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Aderência!$A$1:$M$113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Programação!$A$1:$U$256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Semana!$A$1:$N$37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2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7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5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<sst xmlns="http://schemas.openxmlformats.org/spreadsheetml/2006/main" count="2327" uniqueCount="685">
  <si>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</si>
  <si>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</si>
  <si>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</si>
  <si>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</si>
  <si>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</si>
  <si>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</si>
  <si>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</si>
  <si>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</si>
  <si>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</si>
  <si>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</si>
  <si>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</si>
  <si>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</si>
  <si>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</si>
  <si>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</si>
  <si>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</si>
  <si>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</si>
  <si>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</si>
  <si>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</si>
  <si>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</si>
  <si>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</si>
  <si>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</si>
  <si>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</si>
  <si>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</si>
  <si>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</si>
  <si>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</si>
  <si>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</si>
  <si>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</si>
  <si>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</si>
  <si>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</si>
  <si>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</si>
  <si>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</si>
  <si>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</si>
  <si>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</si>
  <si>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</si>
  <si>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</si>
  <si>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</si>
  <si>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</si>
  <si>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</si>
  <si>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</si>
  <si>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</si>
  <si>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</si>
  <si>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</si>
  <si>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</si>
  <si>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</si>
  <si>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</si>
  <si>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</si>
  <si>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</si>
  <si>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</si>
  <si>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</si>
  <si>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</si>
  <si>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</si>
  <si>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</si>
  <si>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</si>
  <si>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</si>
  <si>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</si>
  <si>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</si>
  <si>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</si>
  <si>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</si>
  <si>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</si>
  <si>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</si>
  <si>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</si>
  <si>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</si>
  <si>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</si>
  <si>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</si>
  <si>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</si>
  <si>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</si>
  <si>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</si>
  <si>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</si>
  <si>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</si>
  <si>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</si>
  <si>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</si>
  <si>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</si>
  <si>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</si>
  <si>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</si>
  <si>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</si>
  <si>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</si>
  <si>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</si>
  <si>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</si>
  <si>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</si>
  <si>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</si>
  <si>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</si>
  <si>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</si>
  <si>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</si>
  <si>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</si>
  <si>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</si>
  <si>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</si>
  <si>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</si>
  <si>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</si>
  <si>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</si>
  <si>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</si>
  <si>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</si>
  <si>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</si>
  <si>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</si>
  <si>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</si>
  <si>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</si>
  <si>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</si>
  <si>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</si>
  <si>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</si>
  <si>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</si>
  <si>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</si>
  <si>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</si>
  <si>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</si>
  <si>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</si>
  <si>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</si>
  <si>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</si>
  <si>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</si>
  <si>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</si>
  <si>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</si>
  <si>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</si>
  <si>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</si>
  <si>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</si>
  <si>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</si>
  <si>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</si>
  <si>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</si>
  <si>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</si>
  <si>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</si>
  <si>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</si>
  <si>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</si>
  <si>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</si>
  <si>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</si>
  <si>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</si>
  <si>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</si>
  <si>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</si>
  <si>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</si>
  <si>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</si>
  <si>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</si>
  <si>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</si>
  <si>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</si>
  <si>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</si>
  <si>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</si>
  <si>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</si>
  <si>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</si>
  <si>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</si>
  <si>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</si>
  <si>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</si>
  <si>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</si>
  <si>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</si>
  <si>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</si>
  <si>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</si>
  <si>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</si>
  <si>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</si>
  <si>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</si>
  <si>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</si>
  <si>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</si>
  <si>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</si>
  <si>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</si>
  <si>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</si>
  <si>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Cardan Nordeste (externo)</t>
  </si>
  <si>
    <t xml:space="preserve">F-331</t>
  </si>
  <si>
    <t xml:space="preserve">Faltou ferramenta</t>
  </si>
  <si>
    <t xml:space="preserve">Eduardo da sticker (externo)</t>
  </si>
  <si>
    <t xml:space="preserve">F-425</t>
  </si>
  <si>
    <t xml:space="preserve">Serviço extra entrou na frente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</si>
  <si>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</si>
  <si>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</si>
  <si>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</si>
  <si>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</si>
  <si>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</si>
  <si>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</si>
  <si>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</si>
  <si>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</si>
  <si>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</si>
  <si>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</si>
  <si>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</si>
  <si>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</si>
  <si>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</si>
  <si>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F-711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</si>
  <si>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</si>
  <si>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</si>
  <si>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</si>
  <si>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</si>
  <si>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</si>
  <si>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</si>
  <si>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</si>
  <si>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</si>
  <si>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</si>
  <si>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</si>
  <si>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</si>
  <si>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</si>
  <si>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</si>
  <si>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</si>
  <si>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</si>
  <si>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</si>
  <si>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</si>
  <si>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</si>
  <si>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</si>
  <si>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</si>
  <si>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</si>
  <si>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</si>
  <si>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</si>
  <si>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</si>
  <si>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</si>
  <si>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</si>
  <si>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</si>
  <si>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</si>
  <si>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</si>
  <si>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</si>
  <si>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</si>
  <si>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</si>
  <si>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</si>
  <si>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</si>
  <si>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</si>
  <si>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</si>
  <si>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</si>
  <si>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</si>
  <si>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</si>
  <si>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</si>
  <si>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</si>
  <si>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</si>
  <si>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</si>
  <si>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</si>
  <si>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</si>
  <si>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</si>
  <si>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</si>
  <si>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</si>
  <si>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</si>
  <si>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</si>
  <si>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</si>
  <si>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Calibração e troca de pneus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</si>
  <si>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</si>
  <si>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</si>
  <si>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</si>
  <si>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</si>
  <si>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</si>
  <si>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</si>
  <si>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</si>
  <si>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</si>
  <si>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</si>
  <si>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</si>
  <si>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</si>
  <si>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21437</t>
  </si>
  <si>
    <t xml:space="preserve">baixa de carteira</t>
  </si>
  <si>
    <t xml:space="preserve">Corrigir ligação da chave geral (serviço interno Matriz)</t>
  </si>
  <si>
    <t xml:space="preserve">21441</t>
  </si>
  <si>
    <t xml:space="preserve">Verificado intercooler com reparos, ficando apenas em observação de substituição (serviço interno Matriz)</t>
  </si>
  <si>
    <t xml:space="preserve">21446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</si>
  <si>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</si>
  <si>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</si>
  <si>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21447</t>
  </si>
  <si>
    <t xml:space="preserve">Fixar banco do passageiro LD (serviço interno Matriz)</t>
  </si>
  <si>
    <t xml:space="preserve">21448</t>
  </si>
  <si>
    <t xml:space="preserve">Corrigir empeno do aro segundo eixo LD (serviço interno Matriz)</t>
  </si>
  <si>
    <t xml:space="preserve">21451</t>
  </si>
  <si>
    <t xml:space="preserve">Programar substituição das juntas do escapamento gastas (serviço interno Matriz/20855371, realizar acompanhamento (6 unidades))</t>
  </si>
  <si>
    <t xml:space="preserve">21456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</si>
  <si>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</si>
  <si>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</si>
  <si>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</si>
  <si>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</si>
  <si>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Aguardando material</t>
  </si>
  <si>
    <t xml:space="preserve">Substituir para-sol avariado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</si>
  <si>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</si>
  <si>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</si>
  <si>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</si>
  <si>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</si>
  <si>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</si>
  <si>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</si>
  <si>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</si>
  <si>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</si>
  <si>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</si>
  <si>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20466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</si>
  <si>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</si>
  <si>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</si>
  <si>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</si>
  <si>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</si>
  <si>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</si>
  <si>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</si>
  <si>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</si>
  <si>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</si>
  <si>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</si>
  <si>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</si>
  <si>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</si>
  <si>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</si>
  <si>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</si>
  <si>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</si>
  <si>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21398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</si>
  <si>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</si>
  <si>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</si>
  <si>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</si>
  <si>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</si>
  <si>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21330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</si>
  <si>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</si>
  <si>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</si>
  <si>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</si>
  <si>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</si>
  <si>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</si>
  <si>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</si>
  <si>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</si>
  <si>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</si>
  <si>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</si>
  <si>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</si>
  <si>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</si>
  <si>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Serviço para terceirizada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</si>
  <si>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</si>
  <si>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</si>
  <si>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</si>
  <si>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</si>
  <si>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</si>
  <si>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</si>
  <si>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</si>
  <si>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</si>
  <si>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</si>
  <si>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</si>
  <si>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</si>
  <si>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</si>
  <si>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</si>
  <si>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</si>
  <si>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</si>
  <si>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</si>
  <si>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</si>
  <si>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</si>
  <si>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</si>
  <si>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</si>
  <si>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</si>
  <si>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</si>
  <si>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</si>
  <si>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</si>
  <si>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</si>
  <si>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</si>
  <si>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</si>
  <si>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</si>
  <si>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</si>
  <si>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</si>
  <si>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</si>
  <si>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</si>
  <si>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</si>
  <si>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</si>
  <si>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</si>
  <si>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</si>
  <si>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</si>
  <si>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</si>
  <si>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</si>
  <si>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</si>
  <si>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</si>
  <si>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</si>
  <si>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</si>
  <si>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</si>
  <si>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</si>
  <si>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</si>
  <si>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</si>
  <si>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</si>
  <si>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</si>
  <si>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</si>
  <si>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</si>
  <si>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</si>
  <si>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</si>
  <si>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</si>
  <si>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</si>
  <si>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</si>
  <si>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</si>
  <si>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</si>
  <si>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</si>
  <si>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</si>
  <si>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</si>
  <si>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</si>
  <si>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</si>
  <si>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</si>
  <si>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</si>
  <si>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</si>
  <si>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</si>
  <si>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</si>
  <si>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</si>
  <si>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</si>
  <si>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</si>
  <si>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</si>
  <si>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</si>
  <si>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</si>
  <si>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e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</si>
  <si>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</si>
  <si>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</si>
  <si>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</si>
  <si>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7334</t>
  </si>
  <si>
    <t xml:space="preserve">Recuperar mangueira de lubrificação do compressor com vazamento (OS ABRIR OS · serviço interno Matriz)</t>
  </si>
  <si>
    <t xml:space="preserve">7339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</si>
  <si>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</si>
  <si>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</si>
  <si>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</si>
  <si>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</si>
  <si>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</si>
  <si>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</si>
  <si>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</si>
  <si>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</si>
  <si>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</si>
  <si>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</si>
  <si>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</si>
  <si>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</si>
  <si>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</si>
  <si>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</si>
  <si>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</si>
  <si>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</si>
  <si>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</si>
  <si>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</si>
  <si>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</si>
  <si>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</si>
  <si>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</si>
  <si>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</si>
  <si>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</si>
  <si>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</si>
  <si>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</si>
  <si>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</si>
  <si>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</si>
  <si>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</si>
  <si>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</si>
  <si>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</si>
  <si>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</si>
  <si>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</si>
  <si>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</si>
  <si>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</si>
  <si>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</si>
  <si>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</si>
  <si>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</si>
  <si>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</si>
  <si>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</si>
  <si>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</si>
  <si>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</si>
  <si>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</si>
  <si>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</si>
  <si>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</si>
  <si>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</si>
  <si>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</si>
  <si>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</si>
  <si>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</si>
  <si>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</si>
  <si>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</si>
  <si>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</si>
  <si>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</si>
  <si>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</si>
  <si>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</si>
  <si>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</si>
  <si>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</si>
  <si>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</si>
  <si>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</si>
  <si>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</si>
  <si>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</si>
  <si>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</si>
  <si>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</si>
  <si>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</si>
  <si>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</si>
  <si>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</si>
  <si>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</si>
  <si>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</si>
  <si>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</si>
  <si>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</si>
  <si>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</si>
  <si>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</si>
  <si>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</si>
  <si>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</si>
  <si>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</si>
  <si>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</si>
  <si>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</si>
  <si>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</si>
  <si>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</si>
  <si>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</si>
  <si>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</si>
  <si>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</si>
  <si>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</si>
  <si>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</si>
  <si>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</si>
  <si>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</si>
  <si>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</si>
  <si>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</si>
  <si>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</si>
  <si>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</si>
  <si>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</si>
  <si>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</si>
  <si>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</si>
  <si>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</si>
  <si>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</si>
  <si>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</si>
  <si>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</si>
  <si>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</si>
  <si>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</si>
  <si>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</si>
  <si>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</si>
  <si>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</si>
  <si>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</si>
  <si>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</si>
  <si>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</si>
  <si>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</si>
  <si>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</si>
  <si>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</si>
  <si>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</si>
  <si>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</si>
  <si>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</si>
  <si>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</si>
  <si>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</si>
  <si>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021470</t>
  </si>
  <si>
    <t xml:space="preserve">Substituir filtro</t>
  </si>
  <si>
    <t xml:space="preserve">Substituir carcaça do filtro de ar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</si>
  <si>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</si>
  <si>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</si>
  <si>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</si>
  <si>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</si>
  <si>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Pendências de inspeção</t>
  </si>
  <si>
    <t xml:space="preserve">Substituir pneu 1º eixo LE devido desgaste</t>
  </si>
  <si>
    <t xml:space="preserve">Apenas HH</t>
  </si>
  <si>
    <t xml:space="preserve">007306</t>
  </si>
  <si>
    <t xml:space="preserve">Lubrificar graxeiros da quinta roda entre os bitrens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</si>
  <si>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</si>
  <si>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</si>
  <si>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</si>
  <si>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</si>
  <si>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</si>
  <si>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</si>
  <si>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</si>
  <si>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</si>
  <si>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</si>
  <si>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</si>
  <si>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</si>
  <si>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</si>
  <si>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</si>
  <si>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</si>
  <si>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</si>
  <si>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</si>
  <si>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</si>
  <si>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</si>
  <si>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</si>
  <si>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</si>
  <si>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</si>
  <si>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</si>
  <si>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</si>
  <si>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</si>
  <si>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</si>
  <si>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</si>
  <si>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</si>
  <si>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</si>
  <si>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</si>
  <si>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</si>
  <si>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</si>
  <si>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</si>
  <si>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</si>
  <si>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</si>
  <si>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</si>
  <si>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Substituir vareta de nível de óleo avariada</t>
  </si>
  <si>
    <t xml:space="preserve">021402</t>
  </si>
  <si>
    <t xml:space="preserve">Substituir junta da tampa de válvulas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</si>
  <si>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</si>
  <si>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</si>
  <si>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</si>
  <si>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</si>
  <si>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</si>
  <si>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 (horizontais traseiros e verticais dianteiros)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</si>
  <si>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</si>
  <si>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</si>
  <si>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</si>
  <si>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</si>
  <si>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</si>
  <si>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</si>
  <si>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</si>
  <si>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</si>
  <si>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</si>
  <si>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</si>
  <si>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</si>
  <si>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</si>
  <si>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</si>
  <si>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Fixar módulo do motor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</si>
  <si>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</si>
  <si>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</si>
  <si>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</si>
  <si>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</si>
  <si>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</si>
  <si>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</si>
  <si>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</si>
  <si>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</si>
  <si>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</si>
  <si>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</si>
  <si>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</si>
  <si>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</si>
  <si>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</si>
  <si>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</si>
  <si>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</si>
  <si>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Corrigir iluminação interna da cabine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</si>
  <si>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</si>
  <si>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</si>
  <si>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</si>
  <si>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</si>
  <si>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</si>
  <si>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</si>
  <si>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</si>
  <si>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</si>
  <si>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</si>
  <si>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</si>
  <si>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</si>
  <si>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</si>
  <si>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</si>
  <si>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</si>
  <si>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</si>
  <si>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021390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</si>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</sst>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0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82</c:v>
                </c:pt>
                <c:pt idx="1">
                  <c:v>8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22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68708690"/>
        <c:axId val="54517750"/>
      </c:barChart>
      <c:catAx>
        <c:axId val="687086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4517750"/>
        <c:crosses val="autoZero"/>
        <c:auto val="1"/>
        <c:lblAlgn val="ctr"/>
        <c:lblOffset val="100"/>
        <c:noMultiLvlLbl val="0"/>
      </c:catAx>
      <c:valAx>
        <c:axId val="5451775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87086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22</c:v>
                </c:pt>
                <c:pt idx="1">
                  <c:v>16</c:v>
                </c:pt>
                <c:pt idx="2">
                  <c:v>52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2005857"/>
        <c:axId val="91683074"/>
      </c:barChart>
      <c:catAx>
        <c:axId val="2005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1683074"/>
        <c:crosses val="autoZero"/>
        <c:auto val="1"/>
        <c:lblAlgn val="ctr"/>
        <c:lblOffset val="100"/>
        <c:noMultiLvlLbl val="0"/>
      </c:catAx>
      <c:valAx>
        <c:axId val="9168307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0058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46266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0.473416262175301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46266</v>
      </c>
      <c r="D3" s="9" t="str">
        <f aca="false">IF($C$3="","",TEXT($C$3,"[$-416]dddd"))</f>
        <v>terça-feira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61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16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37</v>
      </c>
      <c r="B6" s="13"/>
      <c r="C6" s="14" t="n">
        <f aca="false">SUMIFS(Programação!$AB$5:$AB$1004,Programação!$P$5:$P$1004,$C$3,Programação!$V$5:$V$1004,"Interna",Programação!$R$5:$R$1004,"&lt;&gt;Cancelada")</f>
        <v>9</v>
      </c>
      <c r="D6" s="15" t="n">
        <f aca="false">IF($A$6=0,"",$C$6/$A$6)</f>
        <v>0.243243243243243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52</v>
      </c>
      <c r="G6" s="16"/>
      <c r="H6" s="17" t="n">
        <f aca="false">COUNTIFS(Programação!$P$5:$P$1004,"&lt;"&amp;$C$3,Programação!$AB$5:$AB$1004,0,Programação!$R$5:$R$1004,"&lt;&gt;Cancelada",Programação!$V$5:$V$1004,"Interna")</f>
        <v>16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F-327</v>
      </c>
      <c r="B10" s="21" t="str">
        <f aca="false">IF($L$3&lt;1,"",INDEX(Programação!$E$5:$E$1004,MATCH(1,Programação!$AE$5:$AE$1004,0)))</f>
        <v>baixa de carteira</v>
      </c>
      <c r="C10" s="22" t="str">
        <f aca="false">IF($L$3&lt;1,"",INDEX(Programação!$F$5:$F$1004,MATCH(1,Programação!$AE$5:$AE$1004,0)))</f>
        <v>Fixar banco do passageiro LD (serviço interno Matriz)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46266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16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F-327</v>
      </c>
      <c r="B11" s="21" t="str">
        <f aca="false">IF($L$3&lt;2,"",INDEX(Programação!$E$5:$E$1004,MATCH(2,Programação!$AE$5:$AE$1004,0)))</f>
        <v>baixa de carteira</v>
      </c>
      <c r="C11" s="22" t="str">
        <f aca="false">IF($L$3&lt;2,"",INDEX(Programação!$F$5:$F$1004,MATCH(2,Programação!$AE$5:$AE$1004,0)))</f>
        <v>Corrigir empeno do aro segundo eixo LD (serviço interno Matriz)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46266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17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F-327</v>
      </c>
      <c r="B12" s="21" t="str">
        <f aca="false">IF($L$3&lt;3,"",INDEX(Programação!$E$5:$E$1004,MATCH(3,Programação!$AE$5:$AE$1004,0)))</f>
        <v>baixa de carteira</v>
      </c>
      <c r="C12" s="22" t="str">
        <f aca="false">IF($L$3&lt;3,"",INDEX(Programação!$F$5:$F$1004,MATCH(3,Programação!$AE$5:$AE$1004,0)))</f>
        <v>Programar substituição das juntas do escapamento gastas (serviço interno Matriz/20855371, realizar acompanhamento (6 unidades))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46266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18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F-327</v>
      </c>
      <c r="B13" s="21" t="str">
        <f aca="false">IF($L$3&lt;4,"",INDEX(Programação!$E$5:$E$1004,MATCH(4,Programação!$AE$5:$AE$1004,0)))</f>
        <v>baixa de carteira</v>
      </c>
      <c r="C13" s="22" t="str">
        <f aca="false">IF($L$3&lt;4,"",INDEX(Programação!$F$5:$F$1004,MATCH(4,Programação!$AE$5:$AE$1004,0)))</f>
        <v>Substituir estribo da cabine LD (3175928/realizar acompanhamento)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46266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19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Fixar chicote elétrico solto na longarina LD (serviço interno base Mossoró)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46266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46262</v>
      </c>
      <c r="I14" s="20" t="n">
        <f aca="false">IF($L$3&lt;5,"",MATCH(5,Programação!$AE$5:$AE$1004,0)+4)</f>
        <v>29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Repor acabamento inferior frontal do parachoque (20711859)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46266</v>
      </c>
      <c r="G15" s="20" t="str">
        <f aca="false">IF($A15="","",IF($H15&lt;&gt;"","Concluída",IF($F15&lt;$C$3,"Atrasada",IF($F15=$C$3,"Fecha neste dia","Em execução"))))</f>
        <v>Fecha neste dia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30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Preventiva</v>
      </c>
      <c r="C16" s="22" t="str">
        <f aca="false">IF($L$3&lt;7,"",INDEX(Programação!$F$5:$F$1004,MATCH(7,Programação!$AE$5:$AE$1004,0)))</f>
        <v>Repor vidrala sanefa/carga e corrigir empeno no varão (1628953 peça adaptada)</v>
      </c>
      <c r="D16" s="21" t="str">
        <f aca="false">IF($L$3&lt;7,"",INDEX(Programação!$AG$5:$AG$1004,MATCH(7,Programação!$AE$5:$AE$1004,0)))</f>
        <v>Adilton · Gabriel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46266</v>
      </c>
      <c r="G16" s="20" t="str">
        <f aca="false">IF($A16="","",IF($H16&lt;&gt;"","Concluída",IF($F16&lt;$C$3,"Atrasada",IF($F16=$C$3,"Fecha neste dia","Em execução"))))</f>
        <v>Fecha neste dia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31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Preventiva</v>
      </c>
      <c r="C17" s="22" t="str">
        <f aca="false">IF($L$3&lt;8,"",INDEX(Programação!$F$5:$F$1004,MATCH(8,Programação!$AE$5:$AE$1004,0)))</f>
        <v>Corrigir iluminação interna da cabine (serviço interno base Mossoró)</v>
      </c>
      <c r="D17" s="21" t="str">
        <f aca="false">IF($L$3&lt;8,"",INDEX(Programação!$AG$5:$AG$1004,MATCH(8,Programação!$AE$5:$AE$1004,0)))</f>
        <v>Adilton · Gabriel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46266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32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F-331</v>
      </c>
      <c r="B18" s="21" t="str">
        <f aca="false">IF($L$3&lt;9,"",INDEX(Programação!$E$5:$E$1004,MATCH(9,Programação!$AE$5:$AE$1004,0)))</f>
        <v>Preventiva</v>
      </c>
      <c r="C18" s="22" t="str">
        <f aca="false">IF($L$3&lt;9,"",INDEX(Programação!$F$5:$F$1004,MATCH(9,Programação!$AE$5:$AE$1004,0)))</f>
        <v>Fixar mangueiras soltas na longarina LE (serviço interno base Mossoró)</v>
      </c>
      <c r="D18" s="21" t="str">
        <f aca="false">IF($L$3&lt;9,"",INDEX(Programação!$AG$5:$AG$1004,MATCH(9,Programação!$AE$5:$AE$1004,0)))</f>
        <v>Adilton · Gabriel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46266</v>
      </c>
      <c r="G18" s="20" t="str">
        <f aca="false">IF($A18="","",IF($H18&lt;&gt;"","Concluída",IF($F18&lt;$C$3,"Atrasada",IF($F18=$C$3,"Fecha neste dia","Em execução"))))</f>
        <v>Concluída</v>
      </c>
      <c r="H18" s="23" t="n">
        <f aca="false">IF($L$3&lt;9,"",IF(INDEX(Programação!$Q$5:$Q$1004,MATCH(9,Programação!$AE$5:$AE$1004,0))="","",INDEX(Programação!$Q$5:$Q$1004,MATCH(9,Programação!$AE$5:$AE$1004,0))))</f>
        <v>46262</v>
      </c>
      <c r="I18" s="20" t="n">
        <f aca="false">IF($L$3&lt;9,"",MATCH(9,Programação!$AE$5:$AE$1004,0)+4)</f>
        <v>33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Preventiva</v>
      </c>
      <c r="C19" s="22" t="str">
        <f aca="false">IF($L$3&lt;10,"",INDEX(Programação!$F$5:$F$1004,MATCH(10,Programação!$AE$5:$AE$1004,0)))</f>
        <v>Motor esguicho</v>
      </c>
      <c r="D19" s="21" t="str">
        <f aca="false">IF($L$3&lt;10,"",INDEX(Programação!$AG$5:$AG$1004,MATCH(10,Programação!$AE$5:$AE$1004,0)))</f>
        <v>Adilton · Gabriel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34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Preventiva</v>
      </c>
      <c r="C20" s="22" t="str">
        <f aca="false">IF($L$3&lt;11,"",INDEX(Programação!$F$5:$F$1004,MATCH(11,Programação!$AE$5:$AE$1004,0)))</f>
        <v>Mola gás</v>
      </c>
      <c r="D20" s="21" t="str">
        <f aca="false">IF($L$3&lt;11,"",INDEX(Programação!$AG$5:$AG$1004,MATCH(11,Programação!$AE$5:$AE$1004,0)))</f>
        <v>Adilton · Gabriel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35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F-331</v>
      </c>
      <c r="B21" s="21" t="str">
        <f aca="false">IF($L$3&lt;12,"",INDEX(Programação!$E$5:$E$1004,MATCH(12,Programação!$AE$5:$AE$1004,0)))</f>
        <v>Preventiva</v>
      </c>
      <c r="C21" s="22" t="str">
        <f aca="false">IF($L$3&lt;12,"",INDEX(Programação!$F$5:$F$1004,MATCH(12,Programação!$AE$5:$AE$1004,0)))</f>
        <v>Lamina d'agua</v>
      </c>
      <c r="D21" s="21" t="str">
        <f aca="false">IF($L$3&lt;12,"",INDEX(Programação!$AG$5:$AG$1004,MATCH(12,Programação!$AE$5:$AE$1004,0)))</f>
        <v>Adilton · Gabriel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36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F-331</v>
      </c>
      <c r="B22" s="21" t="str">
        <f aca="false">IF($L$3&lt;13,"",INDEX(Programação!$E$5:$E$1004,MATCH(13,Programação!$AE$5:$AE$1004,0)))</f>
        <v>Preventiva</v>
      </c>
      <c r="C22" s="22" t="str">
        <f aca="false">IF($L$3&lt;13,"",INDEX(Programação!$F$5:$F$1004,MATCH(13,Programação!$AE$5:$AE$1004,0)))</f>
        <v>Mola do pedal</v>
      </c>
      <c r="D22" s="21" t="str">
        <f aca="false">IF($L$3&lt;13,"",INDEX(Programação!$AG$5:$AG$1004,MATCH(13,Programação!$AE$5:$AE$1004,0)))</f>
        <v>Adilton · Gabriel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37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F-331</v>
      </c>
      <c r="B23" s="21" t="str">
        <f aca="false">IF($L$3&lt;14,"",INDEX(Programação!$E$5:$E$1004,MATCH(14,Programação!$AE$5:$AE$1004,0)))</f>
        <v>Preventiva</v>
      </c>
      <c r="C23" s="22" t="str">
        <f aca="false">IF($L$3&lt;14,"",INDEX(Programação!$F$5:$F$1004,MATCH(14,Programação!$AE$5:$AE$1004,0)))</f>
        <v>Interruptor</v>
      </c>
      <c r="D23" s="21" t="str">
        <f aca="false">IF($L$3&lt;14,"",INDEX(Programação!$AG$5:$AG$1004,MATCH(14,Programação!$AE$5:$AE$1004,0)))</f>
        <v>Adilton · Gabriel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Em execução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38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F-331</v>
      </c>
      <c r="B24" s="21" t="str">
        <f aca="false">IF($L$3&lt;15,"",INDEX(Programação!$E$5:$E$1004,MATCH(15,Programação!$AE$5:$AE$1004,0)))</f>
        <v>Alinhar pneus</v>
      </c>
      <c r="C24" s="22" t="str">
        <f aca="false">IF($L$3&lt;15,"",INDEX(Programação!$F$5:$F$1004,MATCH(15,Programação!$AE$5:$AE$1004,0)))</f>
        <v>Realizar alinhamento</v>
      </c>
      <c r="D24" s="21" t="str">
        <f aca="false">IF($L$3&lt;15,"",INDEX(Programação!$AG$5:$AG$1004,MATCH(15,Programação!$AE$5:$AE$1004,0)))</f>
        <v>Airton · Luiz Paulo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39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F-617</v>
      </c>
      <c r="B25" s="21" t="str">
        <f aca="false">IF($L$3&lt;16,"",INDEX(Programação!$E$5:$E$1004,MATCH(16,Programação!$AE$5:$AE$1004,0)))</f>
        <v>Baixa de carteira</v>
      </c>
      <c r="C25" s="22" t="str">
        <f aca="false">IF($L$3&lt;16,"",INDEX(Programação!$F$5:$F$1004,MATCH(16,Programação!$AE$5:$AE$1004,0)))</f>
        <v>Corrigir vazamento na mangueira de arrefecimento do compressor;</v>
      </c>
      <c r="D25" s="21" t="str">
        <f aca="false">IF($L$3&lt;16,"",INDEX(Programação!$AG$5:$AG$1004,MATCH(16,Programação!$AE$5:$AE$1004,0)))</f>
        <v>Júnior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46266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55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F-617</v>
      </c>
      <c r="B26" s="21" t="str">
        <f aca="false">IF($L$3&lt;17,"",INDEX(Programação!$E$5:$E$1004,MATCH(17,Programação!$AE$5:$AE$1004,0)))</f>
        <v>Baixa de carteira</v>
      </c>
      <c r="C26" s="22" t="str">
        <f aca="false">IF($L$3&lt;17,"",INDEX(Programação!$F$5:$F$1004,MATCH(17,Programação!$AE$5:$AE$1004,0)))</f>
        <v>Completar óleo hidráulico da direção;</v>
      </c>
      <c r="D26" s="21" t="str">
        <f aca="false">IF($L$3&lt;17,"",INDEX(Programação!$AG$5:$AG$1004,MATCH(17,Programação!$AE$5:$AE$1004,0)))</f>
        <v>Júnior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46266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56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F-617</v>
      </c>
      <c r="B27" s="21" t="str">
        <f aca="false">IF($L$3&lt;18,"",INDEX(Programação!$E$5:$E$1004,MATCH(18,Programação!$AE$5:$AE$1004,0)))</f>
        <v>Baixa de carteira</v>
      </c>
      <c r="C27" s="22" t="str">
        <f aca="false">IF($L$3&lt;18,"",INDEX(Programação!$F$5:$F$1004,MATCH(18,Programação!$AE$5:$AE$1004,0)))</f>
        <v>Substituir copo do filtro racor com vazamento; verificar item em estoque ou realizar pedido 20869391</v>
      </c>
      <c r="D27" s="21" t="str">
        <f aca="false">IF($L$3&lt;18,"",INDEX(Programação!$AG$5:$AG$1004,MATCH(18,Programação!$AE$5:$AE$1004,0)))</f>
        <v>Júnior</v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46266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57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F-617</v>
      </c>
      <c r="B28" s="21" t="str">
        <f aca="false">IF($L$3&lt;19,"",INDEX(Programação!$E$5:$E$1004,MATCH(19,Programação!$AE$5:$AE$1004,0)))</f>
        <v>Baixa de carteira</v>
      </c>
      <c r="C28" s="22" t="str">
        <f aca="false">IF($L$3&lt;19,"",INDEX(Programação!$F$5:$F$1004,MATCH(19,Programação!$AE$5:$AE$1004,0)))</f>
        <v>Substituir lanterna</v>
      </c>
      <c r="D28" s="21" t="str">
        <f aca="false">IF($L$3&lt;19,"",INDEX(Programação!$AG$5:$AG$1004,MATCH(19,Programação!$AE$5:$AE$1004,0)))</f>
        <v>Alexandre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46266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58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F-617</v>
      </c>
      <c r="B29" s="21" t="str">
        <f aca="false">IF($L$3&lt;20,"",INDEX(Programação!$E$5:$E$1004,MATCH(20,Programação!$AE$5:$AE$1004,0)))</f>
        <v>Baixa de carteira</v>
      </c>
      <c r="C29" s="22" t="str">
        <f aca="false">IF($L$3&lt;20,"",INDEX(Programação!$F$5:$F$1004,MATCH(20,Programação!$AE$5:$AE$1004,0)))</f>
        <v>Vidro do passageira não aciona</v>
      </c>
      <c r="D29" s="21" t="str">
        <f aca="false">IF($L$3&lt;20,"",INDEX(Programação!$AG$5:$AG$1004,MATCH(20,Programação!$AE$5:$AE$1004,0)))</f>
        <v>Alexandre</v>
      </c>
      <c r="E29" s="23" t="n">
        <f aca="false">IF($L$3&lt;20,"",INDEX(Programação!$O$5:$O$1004,MATCH(20,Programação!$AE$5:$AE$1004,0)))</f>
        <v>46265</v>
      </c>
      <c r="F29" s="23" t="n">
        <f aca="false">IF($L$3&lt;20,"",INDEX(Programação!$P$5:$P$1004,MATCH(20,Programação!$AE$5:$AE$1004,0)))</f>
        <v>46266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60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F-617</v>
      </c>
      <c r="B30" s="21" t="str">
        <f aca="false">IF($L$3&lt;21,"",INDEX(Programação!$E$5:$E$1004,MATCH(21,Programação!$AE$5:$AE$1004,0)))</f>
        <v>Baixa de carteira</v>
      </c>
      <c r="C30" s="22" t="str">
        <f aca="false">IF($L$3&lt;21,"",INDEX(Programação!$F$5:$F$1004,MATCH(21,Programação!$AE$5:$AE$1004,0)))</f>
        <v>Substituir batentes das cabines</v>
      </c>
      <c r="D30" s="21" t="str">
        <f aca="false">IF($L$3&lt;21,"",INDEX(Programação!$AG$5:$AG$1004,MATCH(21,Programação!$AE$5:$AE$1004,0)))</f>
        <v>Júnior</v>
      </c>
      <c r="E30" s="23" t="n">
        <f aca="false">IF($L$3&lt;21,"",INDEX(Programação!$O$5:$O$1004,MATCH(21,Programação!$AE$5:$AE$1004,0)))</f>
        <v>46265</v>
      </c>
      <c r="F30" s="23" t="n">
        <f aca="false">IF($L$3&lt;21,"",INDEX(Programação!$P$5:$P$1004,MATCH(21,Programação!$AE$5:$AE$1004,0)))</f>
        <v>46266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61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F-617</v>
      </c>
      <c r="B31" s="21" t="str">
        <f aca="false">IF($L$3&lt;22,"",INDEX(Programação!$E$5:$E$1004,MATCH(22,Programação!$AE$5:$AE$1004,0)))</f>
        <v>Baixa de carteira</v>
      </c>
      <c r="C31" s="22" t="str">
        <f aca="false">IF($L$3&lt;22,"",INDEX(Programação!$F$5:$F$1004,MATCH(22,Programação!$AE$5:$AE$1004,0)))</f>
        <v>Substituir mangueira do do tubo de ar quente com vazamento</v>
      </c>
      <c r="D31" s="21" t="str">
        <f aca="false">IF($L$3&lt;22,"",INDEX(Programação!$AG$5:$AG$1004,MATCH(22,Programação!$AE$5:$AE$1004,0)))</f>
        <v>Júnior</v>
      </c>
      <c r="E31" s="23" t="n">
        <f aca="false">IF($L$3&lt;22,"",INDEX(Programação!$O$5:$O$1004,MATCH(22,Programação!$AE$5:$AE$1004,0)))</f>
        <v>46265</v>
      </c>
      <c r="F31" s="23" t="n">
        <f aca="false">IF($L$3&lt;22,"",INDEX(Programação!$P$5:$P$1004,MATCH(22,Programação!$AE$5:$AE$1004,0)))</f>
        <v>46266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62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F-617</v>
      </c>
      <c r="B32" s="21" t="str">
        <f aca="false">IF($L$3&lt;23,"",INDEX(Programação!$E$5:$E$1004,MATCH(23,Programação!$AE$5:$AE$1004,0)))</f>
        <v>Baixa de carteira</v>
      </c>
      <c r="C32" s="22" t="str">
        <f aca="false">IF($L$3&lt;23,"",INDEX(Programação!$F$5:$F$1004,MATCH(23,Programação!$AE$5:$AE$1004,0)))</f>
        <v>Presilha do farol LD e LE</v>
      </c>
      <c r="D32" s="21" t="str">
        <f aca="false">IF($L$3&lt;23,"",INDEX(Programação!$AG$5:$AG$1004,MATCH(23,Programação!$AE$5:$AE$1004,0)))</f>
        <v>Júnior</v>
      </c>
      <c r="E32" s="23" t="n">
        <f aca="false">IF($L$3&lt;23,"",INDEX(Programação!$O$5:$O$1004,MATCH(23,Programação!$AE$5:$AE$1004,0)))</f>
        <v>46265</v>
      </c>
      <c r="F32" s="23" t="n">
        <f aca="false">IF($L$3&lt;23,"",INDEX(Programação!$P$5:$P$1004,MATCH(23,Programação!$AE$5:$AE$1004,0)))</f>
        <v>46266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63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F-617</v>
      </c>
      <c r="B33" s="21" t="str">
        <f aca="false">IF($L$3&lt;24,"",INDEX(Programação!$E$5:$E$1004,MATCH(24,Programação!$AE$5:$AE$1004,0)))</f>
        <v>Baixa de carteira</v>
      </c>
      <c r="C33" s="22" t="str">
        <f aca="false">IF($L$3&lt;24,"",INDEX(Programação!$F$5:$F$1004,MATCH(24,Programação!$AE$5:$AE$1004,0)))</f>
        <v>Chave de luz</v>
      </c>
      <c r="D33" s="21" t="str">
        <f aca="false">IF($L$3&lt;24,"",INDEX(Programação!$AG$5:$AG$1004,MATCH(24,Programação!$AE$5:$AE$1004,0)))</f>
        <v>Júnior</v>
      </c>
      <c r="E33" s="23" t="n">
        <f aca="false">IF($L$3&lt;24,"",INDEX(Programação!$O$5:$O$1004,MATCH(24,Programação!$AE$5:$AE$1004,0)))</f>
        <v>46265</v>
      </c>
      <c r="F33" s="23" t="n">
        <f aca="false">IF($L$3&lt;24,"",INDEX(Programação!$P$5:$P$1004,MATCH(24,Programação!$AE$5:$AE$1004,0)))</f>
        <v>46266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64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F-617</v>
      </c>
      <c r="B34" s="21" t="str">
        <f aca="false">IF($L$3&lt;25,"",INDEX(Programação!$E$5:$E$1004,MATCH(25,Programação!$AE$5:$AE$1004,0)))</f>
        <v>Baixa de carteira</v>
      </c>
      <c r="C34" s="22" t="str">
        <f aca="false">IF($L$3&lt;25,"",INDEX(Programação!$F$5:$F$1004,MATCH(25,Programação!$AE$5:$AE$1004,0)))</f>
        <v>Grade inferior azul frontal</v>
      </c>
      <c r="D34" s="21" t="str">
        <f aca="false">IF($L$3&lt;25,"",INDEX(Programação!$AG$5:$AG$1004,MATCH(25,Programação!$AE$5:$AE$1004,0)))</f>
        <v>Júnior</v>
      </c>
      <c r="E34" s="23" t="n">
        <f aca="false">IF($L$3&lt;25,"",INDEX(Programação!$O$5:$O$1004,MATCH(25,Programação!$AE$5:$AE$1004,0)))</f>
        <v>46265</v>
      </c>
      <c r="F34" s="23" t="n">
        <f aca="false">IF($L$3&lt;25,"",INDEX(Programação!$P$5:$P$1004,MATCH(25,Programação!$AE$5:$AE$1004,0)))</f>
        <v>46266</v>
      </c>
      <c r="G34" s="20" t="str">
        <f aca="false">IF($A34="","",IF($H34&lt;&gt;"","Concluída",IF($F34&lt;$C$3,"Atrasada",IF($F34=$C$3,"Fecha neste dia","Em execução"))))</f>
        <v>Fecha neste dia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65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F-617</v>
      </c>
      <c r="B35" s="21" t="str">
        <f aca="false">IF($L$3&lt;26,"",INDEX(Programação!$E$5:$E$1004,MATCH(26,Programação!$AE$5:$AE$1004,0)))</f>
        <v>Baixa de carteira</v>
      </c>
      <c r="C35" s="22" t="str">
        <f aca="false">IF($L$3&lt;26,"",INDEX(Programação!$F$5:$F$1004,MATCH(26,Programação!$AE$5:$AE$1004,0)))</f>
        <v>Grade do farol LD</v>
      </c>
      <c r="D35" s="21" t="str">
        <f aca="false">IF($L$3&lt;26,"",INDEX(Programação!$AG$5:$AG$1004,MATCH(26,Programação!$AE$5:$AE$1004,0)))</f>
        <v>Júnior</v>
      </c>
      <c r="E35" s="23" t="n">
        <f aca="false">IF($L$3&lt;26,"",INDEX(Programação!$O$5:$O$1004,MATCH(26,Programação!$AE$5:$AE$1004,0)))</f>
        <v>46265</v>
      </c>
      <c r="F35" s="23" t="n">
        <f aca="false">IF($L$3&lt;26,"",INDEX(Programação!$P$5:$P$1004,MATCH(26,Programação!$AE$5:$AE$1004,0)))</f>
        <v>46266</v>
      </c>
      <c r="G35" s="20" t="str">
        <f aca="false">IF($A35="","",IF($H35&lt;&gt;"","Concluída",IF($F35&lt;$C$3,"Atrasada",IF($F35=$C$3,"Fecha neste dia","Em execução"))))</f>
        <v>Fecha neste dia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66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F-617</v>
      </c>
      <c r="B36" s="21" t="str">
        <f aca="false">IF($L$3&lt;27,"",INDEX(Programação!$E$5:$E$1004,MATCH(27,Programação!$AE$5:$AE$1004,0)))</f>
        <v>Baixa de carteira</v>
      </c>
      <c r="C36" s="22" t="str">
        <f aca="false">IF($L$3&lt;27,"",INDEX(Programação!$F$5:$F$1004,MATCH(27,Programação!$AE$5:$AE$1004,0)))</f>
        <v>Substituir pneu dianteiro LD com desgaste irregular e verificar demais - instalar indicadores de porca</v>
      </c>
      <c r="D36" s="21" t="str">
        <f aca="false">IF($L$3&lt;27,"",INDEX(Programação!$AG$5:$AG$1004,MATCH(27,Programação!$AE$5:$AE$1004,0)))</f>
        <v>Airton · Luiz Paulo</v>
      </c>
      <c r="E36" s="23" t="n">
        <f aca="false">IF($L$3&lt;27,"",INDEX(Programação!$O$5:$O$1004,MATCH(27,Programação!$AE$5:$AE$1004,0)))</f>
        <v>46265</v>
      </c>
      <c r="F36" s="23" t="n">
        <f aca="false">IF($L$3&lt;27,"",INDEX(Programação!$P$5:$P$1004,MATCH(27,Programação!$AE$5:$AE$1004,0)))</f>
        <v>46266</v>
      </c>
      <c r="G36" s="20" t="str">
        <f aca="false">IF($A36="","",IF($H36&lt;&gt;"","Concluída",IF($F36&lt;$C$3,"Atrasada",IF($F36=$C$3,"Fecha neste dia","Em execução"))))</f>
        <v>Fecha neste dia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67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F-815</v>
      </c>
      <c r="B37" s="21" t="str">
        <f aca="false">IF($L$3&lt;28,"",INDEX(Programação!$E$5:$E$1004,MATCH(28,Programação!$AE$5:$AE$1004,0)))</f>
        <v>Baixa de pendências backlog</v>
      </c>
      <c r="C37" s="22" t="str">
        <f aca="false">IF($L$3&lt;28,"",INDEX(Programação!$F$5:$F$1004,MATCH(28,Programação!$AE$5:$AE$1004,0)))</f>
        <v>Corrigir iluminação da luz de freio traseira LE e revisar demais luzes (OS ABRIR OS · serviço interno Matriz)</v>
      </c>
      <c r="D37" s="21" t="str">
        <f aca="false">IF($L$3&lt;28,"",INDEX(Programação!$AG$5:$AG$1004,MATCH(28,Programação!$AE$5:$AE$1004,0)))</f>
        <v/>
      </c>
      <c r="E37" s="23" t="n">
        <f aca="false">IF($L$3&lt;28,"",INDEX(Programação!$O$5:$O$1004,MATCH(28,Programação!$AE$5:$AE$1004,0)))</f>
        <v>46265</v>
      </c>
      <c r="F37" s="23" t="n">
        <f aca="false">IF($L$3&lt;28,"",INDEX(Programação!$P$5:$P$1004,MATCH(28,Programação!$AE$5:$AE$1004,0)))</f>
        <v>46266</v>
      </c>
      <c r="G37" s="20" t="str">
        <f aca="false">IF($A37="","",IF($H37&lt;&gt;"","Concluída",IF($F37&lt;$C$3,"Atrasada",IF($F37=$C$3,"Fecha neste dia","Em execução"))))</f>
        <v>Fecha neste dia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109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F-815</v>
      </c>
      <c r="B38" s="21" t="str">
        <f aca="false">IF($L$3&lt;29,"",INDEX(Programação!$E$5:$E$1004,MATCH(29,Programação!$AE$5:$AE$1004,0)))</f>
        <v>Baixa de pendências backlog</v>
      </c>
      <c r="C38" s="22" t="str">
        <f aca="false">IF($L$3&lt;29,"",INDEX(Programação!$F$5:$F$1004,MATCH(29,Programação!$AE$5:$AE$1004,0)))</f>
        <v>Fixar módulo do motor, evitando excesso de vibração no mesmo (OS ABRIR OS · serviço interno Matriz)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46265</v>
      </c>
      <c r="F38" s="23" t="n">
        <f aca="false">IF($L$3&lt;29,"",INDEX(Programação!$P$5:$P$1004,MATCH(29,Programação!$AE$5:$AE$1004,0)))</f>
        <v>46266</v>
      </c>
      <c r="G38" s="20" t="str">
        <f aca="false">IF($A38="","",IF($H38&lt;&gt;"","Concluída",IF($F38&lt;$C$3,"Atrasada",IF($F38=$C$3,"Fecha neste dia","Em execução"))))</f>
        <v>Fecha neste dia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110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F-815</v>
      </c>
      <c r="B39" s="21" t="str">
        <f aca="false">IF($L$3&lt;30,"",INDEX(Programação!$E$5:$E$1004,MATCH(30,Programação!$AE$5:$AE$1004,0)))</f>
        <v>Baixa de pendências backlog</v>
      </c>
      <c r="C39" s="22" t="str">
        <f aca="false">IF($L$3&lt;30,"",INDEX(Programação!$F$5:$F$1004,MATCH(30,Programação!$AE$5:$AE$1004,0)))</f>
        <v>Fixar grade frontal LD (OS ABRIR OS · serviço interno Matriz)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46265</v>
      </c>
      <c r="F39" s="23" t="n">
        <f aca="false">IF($L$3&lt;30,"",INDEX(Programação!$P$5:$P$1004,MATCH(30,Programação!$AE$5:$AE$1004,0)))</f>
        <v>46266</v>
      </c>
      <c r="G39" s="20" t="str">
        <f aca="false">IF($A39="","",IF($H39&lt;&gt;"","Concluída",IF($F39&lt;$C$3,"Atrasada",IF($F39=$C$3,"Fecha neste dia","Em execução"))))</f>
        <v>Fecha neste dia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111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F-815</v>
      </c>
      <c r="B40" s="21" t="str">
        <f aca="false">IF($L$3&lt;31,"",INDEX(Programação!$E$5:$E$1004,MATCH(31,Programação!$AE$5:$AE$1004,0)))</f>
        <v>Baixa de pendências backlog</v>
      </c>
      <c r="C40" s="22" t="str">
        <f aca="false">IF($L$3&lt;31,"",INDEX(Programação!$F$5:$F$1004,MATCH(31,Programação!$AE$5:$AE$1004,0)))</f>
        <v>Substituir estepe furado (OS ABRIR OS · serviço interno Matriz)</v>
      </c>
      <c r="D40" s="21" t="str">
        <f aca="false">IF($L$3&lt;31,"",INDEX(Programação!$AG$5:$AG$1004,MATCH(31,Programação!$AE$5:$AE$1004,0)))</f>
        <v/>
      </c>
      <c r="E40" s="23" t="n">
        <f aca="false">IF($L$3&lt;31,"",INDEX(Programação!$O$5:$O$1004,MATCH(31,Programação!$AE$5:$AE$1004,0)))</f>
        <v>46265</v>
      </c>
      <c r="F40" s="23" t="n">
        <f aca="false">IF($L$3&lt;31,"",INDEX(Programação!$P$5:$P$1004,MATCH(31,Programação!$AE$5:$AE$1004,0)))</f>
        <v>46266</v>
      </c>
      <c r="G40" s="20" t="str">
        <f aca="false">IF($A40="","",IF($H40&lt;&gt;"","Concluída",IF($F40&lt;$C$3,"Atrasada",IF($F40=$C$3,"Fecha neste dia","Em execução"))))</f>
        <v>Fecha neste dia</v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n">
        <f aca="false">IF($L$3&lt;31,"",MATCH(31,Programação!$AE$5:$AE$1004,0)+4)</f>
        <v>112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F-815</v>
      </c>
      <c r="B41" s="21" t="str">
        <f aca="false">IF($L$3&lt;32,"",INDEX(Programação!$E$5:$E$1004,MATCH(32,Programação!$AE$5:$AE$1004,0)))</f>
        <v>Baixa de pendências backlog</v>
      </c>
      <c r="C41" s="22" t="str">
        <f aca="false">IF($L$3&lt;32,"",INDEX(Programação!$F$5:$F$1004,MATCH(32,Programação!$AE$5:$AE$1004,0)))</f>
        <v>Substituir amortecedor dianteiro da cabine LD com desgaste nas buchas, apresentando ruído "ferro com ferro" ao movimentar a mesma (OS</v>
      </c>
      <c r="D41" s="21" t="str">
        <f aca="false">IF($L$3&lt;32,"",INDEX(Programação!$AG$5:$AG$1004,MATCH(32,Programação!$AE$5:$AE$1004,0)))</f>
        <v>Heliton</v>
      </c>
      <c r="E41" s="23" t="n">
        <f aca="false">IF($L$3&lt;32,"",INDEX(Programação!$O$5:$O$1004,MATCH(32,Programação!$AE$5:$AE$1004,0)))</f>
        <v>46265</v>
      </c>
      <c r="F41" s="23" t="n">
        <f aca="false">IF($L$3&lt;32,"",INDEX(Programação!$P$5:$P$1004,MATCH(32,Programação!$AE$5:$AE$1004,0)))</f>
        <v>46266</v>
      </c>
      <c r="G41" s="20" t="str">
        <f aca="false">IF($A41="","",IF($H41&lt;&gt;"","Concluída",IF($F41&lt;$C$3,"Atrasada",IF($F41=$C$3,"Fecha neste dia","Em execução"))))</f>
        <v>Fecha neste dia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113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F-815</v>
      </c>
      <c r="B42" s="21" t="str">
        <f aca="false">IF($L$3&lt;33,"",INDEX(Programação!$E$5:$E$1004,MATCH(33,Programação!$AE$5:$AE$1004,0)))</f>
        <v>Baixa de pendências backlog</v>
      </c>
      <c r="C42" s="22" t="str">
        <f aca="false">IF($L$3&lt;33,"",INDEX(Programação!$F$5:$F$1004,MATCH(33,Programação!$AE$5:$AE$1004,0)))</f>
        <v>Substituir reservatório do limpador de parabrisas avariado (OS ABRIR OS · verificar possível correção ou realizar pedido 20360593)</v>
      </c>
      <c r="D42" s="21" t="str">
        <f aca="false">IF($L$3&lt;33,"",INDEX(Programação!$AG$5:$AG$1004,MATCH(33,Programação!$AE$5:$AE$1004,0)))</f>
        <v/>
      </c>
      <c r="E42" s="23" t="n">
        <f aca="false">IF($L$3&lt;33,"",INDEX(Programação!$O$5:$O$1004,MATCH(33,Programação!$AE$5:$AE$1004,0)))</f>
        <v>46265</v>
      </c>
      <c r="F42" s="23" t="n">
        <f aca="false">IF($L$3&lt;33,"",INDEX(Programação!$P$5:$P$1004,MATCH(33,Programação!$AE$5:$AE$1004,0)))</f>
        <v>46266</v>
      </c>
      <c r="G42" s="20" t="str">
        <f aca="false">IF($A42="","",IF($H42&lt;&gt;"","Concluída",IF($F42&lt;$C$3,"Atrasada",IF($F42=$C$3,"Fecha neste dia","Em execução"))))</f>
        <v>Fecha neste dia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114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Baixa de pendências backlog</v>
      </c>
      <c r="C43" s="22" t="str">
        <f aca="false">IF($L$3&lt;34,"",INDEX(Programação!$F$5:$F$1004,MATCH(34,Programação!$AE$5:$AE$1004,0)))</f>
        <v>Substituir vedação da tampa do cubo de roda dianteiro LD (OS 7161 · 3986189)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46265</v>
      </c>
      <c r="F43" s="23" t="n">
        <f aca="false">IF($L$3&lt;34,"",INDEX(Programação!$P$5:$P$1004,MATCH(34,Programação!$AE$5:$AE$1004,0)))</f>
        <v>46266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115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Baixa de pendências backlog</v>
      </c>
      <c r="C44" s="22" t="str">
        <f aca="false">IF($L$3&lt;35,"",INDEX(Programação!$F$5:$F$1004,MATCH(35,Programação!$AE$5:$AE$1004,0)))</f>
        <v>Substituir vareta de verificação do nível de óleo hidráulico avariada (OS ABRIR OS · 1696362)</v>
      </c>
      <c r="D44" s="21" t="str">
        <f aca="false">IF($L$3&lt;35,"",INDEX(Programação!$AG$5:$AG$1004,MATCH(35,Programação!$AE$5:$AE$1004,0)))</f>
        <v/>
      </c>
      <c r="E44" s="23" t="n">
        <f aca="false">IF($L$3&lt;35,"",INDEX(Programação!$O$5:$O$1004,MATCH(35,Programação!$AE$5:$AE$1004,0)))</f>
        <v>46265</v>
      </c>
      <c r="F44" s="23" t="n">
        <f aca="false">IF($L$3&lt;35,"",INDEX(Programação!$P$5:$P$1004,MATCH(35,Programação!$AE$5:$AE$1004,0)))</f>
        <v>46266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116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F-815</v>
      </c>
      <c r="B45" s="21" t="str">
        <f aca="false">IF($L$3&lt;36,"",INDEX(Programação!$E$5:$E$1004,MATCH(36,Programação!$AE$5:$AE$1004,0)))</f>
        <v>Baixa de pendências backlog</v>
      </c>
      <c r="C45" s="22" t="str">
        <f aca="false">IF($L$3&lt;36,"",INDEX(Programação!$F$5:$F$1004,MATCH(36,Programação!$AE$5:$AE$1004,0)))</f>
        <v>Substituir flexível do escapamento avariado, evitando danificar mangueiras e chicotes (OS 7162 · 20442244)</v>
      </c>
      <c r="D45" s="21" t="str">
        <f aca="false">IF($L$3&lt;36,"",INDEX(Programação!$AG$5:$AG$1004,MATCH(36,Programação!$AE$5:$AE$1004,0)))</f>
        <v>Heliton</v>
      </c>
      <c r="E45" s="23" t="n">
        <f aca="false">IF($L$3&lt;36,"",INDEX(Programação!$O$5:$O$1004,MATCH(36,Programação!$AE$5:$AE$1004,0)))</f>
        <v>46265</v>
      </c>
      <c r="F45" s="23" t="n">
        <f aca="false">IF($L$3&lt;36,"",INDEX(Programação!$P$5:$P$1004,MATCH(36,Programação!$AE$5:$AE$1004,0)))</f>
        <v>46266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117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F-815</v>
      </c>
      <c r="B46" s="21" t="str">
        <f aca="false">IF($L$3&lt;37,"",INDEX(Programação!$E$5:$E$1004,MATCH(37,Programação!$AE$5:$AE$1004,0)))</f>
        <v>Baixa de pendências backlog</v>
      </c>
      <c r="C46" s="22" t="str">
        <f aca="false">IF($L$3&lt;37,"",INDEX(Programação!$F$5:$F$1004,MATCH(37,Programação!$AE$5:$AE$1004,0)))</f>
        <v>Programar substituição das lonas de freio segundo eixo LD (OS ABRIR OS · serviço empresa especializada, programar próxima parada)</v>
      </c>
      <c r="D46" s="21" t="str">
        <f aca="false">IF($L$3&lt;37,"",INDEX(Programação!$AG$5:$AG$1004,MATCH(37,Programação!$AE$5:$AE$1004,0)))</f>
        <v/>
      </c>
      <c r="E46" s="23" t="n">
        <f aca="false">IF($L$3&lt;37,"",INDEX(Programação!$O$5:$O$1004,MATCH(37,Programação!$AE$5:$AE$1004,0)))</f>
        <v>46265</v>
      </c>
      <c r="F46" s="23" t="n">
        <f aca="false">IF($L$3&lt;37,"",INDEX(Programação!$P$5:$P$1004,MATCH(37,Programação!$AE$5:$AE$1004,0)))</f>
        <v>46266</v>
      </c>
      <c r="G46" s="20" t="str">
        <f aca="false">IF($A46="","",IF($H46&lt;&gt;"","Concluída",IF($F46&lt;$C$3,"Atrasada",IF($F46=$C$3,"Fecha neste dia","Em execução"))))</f>
        <v>Fecha neste dia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118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F-815</v>
      </c>
      <c r="B47" s="21" t="str">
        <f aca="false">IF($L$3&lt;38,"",INDEX(Programação!$E$5:$E$1004,MATCH(38,Programação!$AE$5:$AE$1004,0)))</f>
        <v>Baixa de pendências backlog</v>
      </c>
      <c r="C47" s="22" t="str">
        <f aca="false">IF($L$3&lt;38,"",INDEX(Programação!$F$5:$F$1004,MATCH(38,Programação!$AE$5:$AE$1004,0)))</f>
        <v>Substituir farol LE avariado (OS ABRIR OS · 21035645 (realizar acompanhamento))</v>
      </c>
      <c r="D47" s="21" t="str">
        <f aca="false">IF($L$3&lt;38,"",INDEX(Programação!$AG$5:$AG$1004,MATCH(38,Programação!$AE$5:$AE$1004,0)))</f>
        <v/>
      </c>
      <c r="E47" s="23" t="n">
        <f aca="false">IF($L$3&lt;38,"",INDEX(Programação!$O$5:$O$1004,MATCH(38,Programação!$AE$5:$AE$1004,0)))</f>
        <v>46265</v>
      </c>
      <c r="F47" s="23" t="n">
        <f aca="false">IF($L$3&lt;38,"",INDEX(Programação!$P$5:$P$1004,MATCH(38,Programação!$AE$5:$AE$1004,0)))</f>
        <v>46266</v>
      </c>
      <c r="G47" s="20" t="str">
        <f aca="false">IF($A47="","",IF($H47&lt;&gt;"","Concluída",IF($F47&lt;$C$3,"Atrasada",IF($F47=$C$3,"Fecha neste dia","Em execução"))))</f>
        <v>Fecha neste dia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119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F-815</v>
      </c>
      <c r="B48" s="21" t="str">
        <f aca="false">IF($L$3&lt;39,"",INDEX(Programação!$E$5:$E$1004,MATCH(39,Programação!$AE$5:$AE$1004,0)))</f>
        <v>Baixa de pendências backlog</v>
      </c>
      <c r="C48" s="22" t="str">
        <f aca="false">IF($L$3&lt;39,"",INDEX(Programação!$F$5:$F$1004,MATCH(39,Programação!$AE$5:$AE$1004,0)))</f>
        <v>Substituir vedação dos pescadores do tanque LD e LE devido vazamento (20732301 (2 unidades) (acompanhamento))</v>
      </c>
      <c r="D48" s="21" t="str">
        <f aca="false">IF($L$3&lt;39,"",INDEX(Programação!$AG$5:$AG$1004,MATCH(39,Programação!$AE$5:$AE$1004,0)))</f>
        <v/>
      </c>
      <c r="E48" s="23" t="n">
        <f aca="false">IF($L$3&lt;39,"",INDEX(Programação!$O$5:$O$1004,MATCH(39,Programação!$AE$5:$AE$1004,0)))</f>
        <v>46265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Em execução</v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n">
        <f aca="false">IF($L$3&lt;39,"",MATCH(39,Programação!$AE$5:$AE$1004,0)+4)</f>
        <v>120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F-815</v>
      </c>
      <c r="B49" s="21" t="str">
        <f aca="false">IF($L$3&lt;40,"",INDEX(Programação!$E$5:$E$1004,MATCH(40,Programação!$AE$5:$AE$1004,0)))</f>
        <v>Baixa de pendências backlog</v>
      </c>
      <c r="C49" s="22" t="str">
        <f aca="false">IF($L$3&lt;40,"",INDEX(Programação!$F$5:$F$1004,MATCH(40,Programação!$AE$5:$AE$1004,0)))</f>
        <v>Repor tampa do reservatório do limpador de parabrisas (OS 7164 · 24425399)</v>
      </c>
      <c r="D49" s="21" t="str">
        <f aca="false">IF($L$3&lt;40,"",INDEX(Programação!$AG$5:$AG$1004,MATCH(40,Programação!$AE$5:$AE$1004,0)))</f>
        <v>Heliton</v>
      </c>
      <c r="E49" s="23" t="n">
        <f aca="false">IF($L$3&lt;40,"",INDEX(Programação!$O$5:$O$1004,MATCH(40,Programação!$AE$5:$AE$1004,0)))</f>
        <v>46265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Em execução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121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F-815</v>
      </c>
      <c r="B50" s="21" t="str">
        <f aca="false">IF($L$3&lt;41,"",INDEX(Programação!$E$5:$E$1004,MATCH(41,Programação!$AE$5:$AE$1004,0)))</f>
        <v>Baixa de pendências backlog</v>
      </c>
      <c r="C50" s="22" t="str">
        <f aca="false">IF($L$3&lt;41,"",INDEX(Programação!$F$5:$F$1004,MATCH(41,Programação!$AE$5:$AE$1004,0)))</f>
        <v>Fixar farol LD (OS ABRIR OS · serviço interno Matriz)</v>
      </c>
      <c r="D50" s="21" t="str">
        <f aca="false">IF($L$3&lt;41,"",INDEX(Programação!$AG$5:$AG$1004,MATCH(41,Programação!$AE$5:$AE$1004,0)))</f>
        <v/>
      </c>
      <c r="E50" s="23" t="n">
        <f aca="false">IF($L$3&lt;41,"",INDEX(Programação!$O$5:$O$1004,MATCH(41,Programação!$AE$5:$AE$1004,0)))</f>
        <v>46265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Em execução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122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>F-815</v>
      </c>
      <c r="B51" s="21" t="str">
        <f aca="false">IF($L$3&lt;42,"",INDEX(Programação!$E$5:$E$1004,MATCH(42,Programação!$AE$5:$AE$1004,0)))</f>
        <v>Baixa de pendências backlog</v>
      </c>
      <c r="C51" s="22" t="str">
        <f aca="false">IF($L$3&lt;42,"",INDEX(Programação!$F$5:$F$1004,MATCH(42,Programação!$AE$5:$AE$1004,0)))</f>
        <v>Substituir farol de neblina LE avariado (OS ABRIR OS · 21297918 (acompanhamento))</v>
      </c>
      <c r="D51" s="21" t="str">
        <f aca="false">IF($L$3&lt;42,"",INDEX(Programação!$AG$5:$AG$1004,MATCH(42,Programação!$AE$5:$AE$1004,0)))</f>
        <v/>
      </c>
      <c r="E51" s="23" t="n">
        <f aca="false">IF($L$3&lt;42,"",INDEX(Programação!$O$5:$O$1004,MATCH(42,Programação!$AE$5:$AE$1004,0)))</f>
        <v>46265</v>
      </c>
      <c r="F51" s="23" t="n">
        <f aca="false">IF($L$3&lt;42,"",INDEX(Programação!$P$5:$P$1004,MATCH(42,Programação!$AE$5:$AE$1004,0)))</f>
        <v>46267</v>
      </c>
      <c r="G51" s="20" t="str">
        <f aca="false">IF($A51="","",IF($H51&lt;&gt;"","Concluída",IF($F51&lt;$C$3,"Atrasada",IF($F51=$C$3,"Fecha neste dia","Em execução"))))</f>
        <v>Em execução</v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n">
        <f aca="false">IF($L$3&lt;42,"",MATCH(42,Programação!$AE$5:$AE$1004,0)+4)</f>
        <v>123</v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>F-815</v>
      </c>
      <c r="B52" s="21" t="str">
        <f aca="false">IF($L$3&lt;43,"",INDEX(Programação!$E$5:$E$1004,MATCH(43,Programação!$AE$5:$AE$1004,0)))</f>
        <v>Baixa de pendências backlog</v>
      </c>
      <c r="C52" s="22" t="str">
        <f aca="false">IF($L$3&lt;43,"",INDEX(Programação!$F$5:$F$1004,MATCH(43,Programação!$AE$5:$AE$1004,0)))</f>
        <v>Substituir paralama traseiro LE avariado (OS ABRIR OS · 812975614 (acompanhamento))</v>
      </c>
      <c r="D52" s="21" t="str">
        <f aca="false">IF($L$3&lt;43,"",INDEX(Programação!$AG$5:$AG$1004,MATCH(43,Programação!$AE$5:$AE$1004,0)))</f>
        <v/>
      </c>
      <c r="E52" s="23" t="n">
        <f aca="false">IF($L$3&lt;43,"",INDEX(Programação!$O$5:$O$1004,MATCH(43,Programação!$AE$5:$AE$1004,0)))</f>
        <v>46265</v>
      </c>
      <c r="F52" s="23" t="n">
        <f aca="false">IF($L$3&lt;43,"",INDEX(Programação!$P$5:$P$1004,MATCH(43,Programação!$AE$5:$AE$1004,0)))</f>
        <v>46267</v>
      </c>
      <c r="G52" s="20" t="str">
        <f aca="false">IF($A52="","",IF($H52&lt;&gt;"","Concluída",IF($F52&lt;$C$3,"Atrasada",IF($F52=$C$3,"Fecha neste dia","Em execução"))))</f>
        <v>Em execução</v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n">
        <f aca="false">IF($L$3&lt;43,"",MATCH(43,Programação!$AE$5:$AE$1004,0)+4)</f>
        <v>124</v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>F-815</v>
      </c>
      <c r="B53" s="21" t="str">
        <f aca="false">IF($L$3&lt;44,"",INDEX(Programação!$E$5:$E$1004,MATCH(44,Programação!$AE$5:$AE$1004,0)))</f>
        <v>Baixa de pendências backlog</v>
      </c>
      <c r="C53" s="22" t="str">
        <f aca="false">IF($L$3&lt;44,"",INDEX(Programação!$F$5:$F$1004,MATCH(44,Programação!$AE$5:$AE$1004,0)))</f>
        <v>Retirar mangueiras não utilizadas do rodoar (OS ABRIR OS · serviço interno Matriz)</v>
      </c>
      <c r="D53" s="21" t="str">
        <f aca="false">IF($L$3&lt;44,"",INDEX(Programação!$AG$5:$AG$1004,MATCH(44,Programação!$AE$5:$AE$1004,0)))</f>
        <v/>
      </c>
      <c r="E53" s="23" t="n">
        <f aca="false">IF($L$3&lt;44,"",INDEX(Programação!$O$5:$O$1004,MATCH(44,Programação!$AE$5:$AE$1004,0)))</f>
        <v>46265</v>
      </c>
      <c r="F53" s="23" t="n">
        <f aca="false">IF($L$3&lt;44,"",INDEX(Programação!$P$5:$P$1004,MATCH(44,Programação!$AE$5:$AE$1004,0)))</f>
        <v>46267</v>
      </c>
      <c r="G53" s="20" t="str">
        <f aca="false">IF($A53="","",IF($H53&lt;&gt;"","Concluída",IF($F53&lt;$C$3,"Atrasada",IF($F53=$C$3,"Fecha neste dia","Em execução"))))</f>
        <v>Em execução</v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n">
        <f aca="false">IF($L$3&lt;44,"",MATCH(44,Programação!$AE$5:$AE$1004,0)+4)</f>
        <v>125</v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>F-815</v>
      </c>
      <c r="B54" s="21" t="str">
        <f aca="false">IF($L$3&lt;45,"",INDEX(Programação!$E$5:$E$1004,MATCH(45,Programação!$AE$5:$AE$1004,0)))</f>
        <v>Baixa de pendências backlog</v>
      </c>
      <c r="C54" s="22" t="str">
        <f aca="false">IF($L$3&lt;45,"",INDEX(Programação!$F$5:$F$1004,MATCH(45,Programação!$AE$5:$AE$1004,0)))</f>
        <v>Corrigir fixação do friso do para-sol LE (OS ABRIR OS · serviço interno Matriz)</v>
      </c>
      <c r="D54" s="21" t="str">
        <f aca="false">IF($L$3&lt;45,"",INDEX(Programação!$AG$5:$AG$1004,MATCH(45,Programação!$AE$5:$AE$1004,0)))</f>
        <v/>
      </c>
      <c r="E54" s="23" t="n">
        <f aca="false">IF($L$3&lt;45,"",INDEX(Programação!$O$5:$O$1004,MATCH(45,Programação!$AE$5:$AE$1004,0)))</f>
        <v>46265</v>
      </c>
      <c r="F54" s="23" t="n">
        <f aca="false">IF($L$3&lt;45,"",INDEX(Programação!$P$5:$P$1004,MATCH(45,Programação!$AE$5:$AE$1004,0)))</f>
        <v>46267</v>
      </c>
      <c r="G54" s="20" t="str">
        <f aca="false">IF($A54="","",IF($H54&lt;&gt;"","Concluída",IF($F54&lt;$C$3,"Atrasada",IF($F54=$C$3,"Fecha neste dia","Em execução"))))</f>
        <v>Em execução</v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n">
        <f aca="false">IF($L$3&lt;45,"",MATCH(45,Programação!$AE$5:$AE$1004,0)+4)</f>
        <v>126</v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>⚠ há mais 16 atividades além das 45 listadas — veja na aba Programação</v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F-327</v>
      </c>
      <c r="B59" s="21" t="str">
        <f aca="false">IF($L$4&lt;1,"",INDEX(Programação!$E$5:$E$1004,MATCH(1,Programação!$AF$5:$AF$1004,0)))</f>
        <v>baixa de carteira</v>
      </c>
      <c r="C59" s="22" t="str">
        <f aca="false">IF($L$4&lt;1,"",INDEX(Programação!$F$5:$F$1004,MATCH(1,Programação!$AF$5:$AF$1004,0)))</f>
        <v>Corrigir ligação da chave geral (serviço interno Matriz)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12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F-327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Verificado intercooler com reparos, ficando apenas em observação de substituição (serviço interno Matriz)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13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F-327</v>
      </c>
      <c r="B61" s="21" t="str">
        <f aca="false">IF($L$4&lt;3,"",INDEX(Programação!$E$5:$E$1004,MATCH(3,Programação!$AF$5:$AF$1004,0)))</f>
        <v>baixa de carteira</v>
      </c>
      <c r="C61" s="22" t="str">
        <f aca="false">IF($L$4&lt;3,"",INDEX(Programação!$F$5:$F$1004,MATCH(3,Programação!$AF$5:$AF$1004,0)))</f>
        <v>Substituir buchas das abraçadeiras do tanque LD gastas e corrigir/substituir tanque amassado (serviço interno Matriz)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14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F-331</v>
      </c>
      <c r="B62" s="21" t="str">
        <f aca="false">IF($L$4&lt;4,"",INDEX(Programação!$E$5:$E$1004,MATCH(4,Programação!$AF$5:$AF$1004,0)))</f>
        <v>Preventiva</v>
      </c>
      <c r="C62" s="22" t="str">
        <f aca="false">IF($L$4&lt;4,"",INDEX(Programação!$F$5:$F$1004,MATCH(4,Programação!$AF$5:$AF$1004,0)))</f>
        <v>Diagnosticar e corrigir falha no sistema do motor: temperatura dos gases de escape (serviço interno base Mossoró)</v>
      </c>
      <c r="D62" s="21" t="str">
        <f aca="false">IF($L$4&lt;4,"",INDEX(Programação!$AG$5:$AG$1004,MATCH(4,Programação!$AF$5:$AF$1004,0)))</f>
        <v>Adilton · Gabriel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46265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24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F-331</v>
      </c>
      <c r="B63" s="21" t="str">
        <f aca="false">IF($L$4&lt;5,"",INDEX(Programação!$E$5:$E$1004,MATCH(5,Programação!$AF$5:$AF$1004,0)))</f>
        <v>Preventiva</v>
      </c>
      <c r="C63" s="22" t="str">
        <f aca="false">IF($L$4&lt;5,"",INDEX(Programação!$F$5:$F$1004,MATCH(5,Programação!$AF$5:$AF$1004,0)))</f>
        <v>Realizar lavagem e sanar vazamento na bomba de direção hidráulica (serviço interno base Mossoró)</v>
      </c>
      <c r="D63" s="21" t="str">
        <f aca="false">IF($L$4&lt;5,"",INDEX(Programação!$AG$5:$AG$1004,MATCH(5,Programação!$AF$5:$AF$1004,0)))</f>
        <v>Adilton · Gabriel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46265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26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F-331</v>
      </c>
      <c r="B64" s="21" t="str">
        <f aca="false">IF($L$4&lt;6,"",INDEX(Programação!$E$5:$E$1004,MATCH(6,Programação!$AF$5:$AF$1004,0)))</f>
        <v>Preventiva</v>
      </c>
      <c r="C64" s="22" t="str">
        <f aca="false">IF($L$4&lt;6,"",INDEX(Programação!$F$5:$F$1004,MATCH(6,Programação!$AF$5:$AF$1004,0)))</f>
        <v>Sanar vazamento na mangueira da bomba de direção (serviço interno base Mossoró solicitar codigo do tubo original)</v>
      </c>
      <c r="D64" s="21" t="str">
        <f aca="false">IF($L$4&lt;6,"",INDEX(Programação!$AG$5:$AG$1004,MATCH(6,Programação!$AF$5:$AF$1004,0)))</f>
        <v>Adilton · Gabriel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46265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27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F-815</v>
      </c>
      <c r="B65" s="21" t="str">
        <f aca="false">IF($L$4&lt;7,"",INDEX(Programação!$E$5:$E$1004,MATCH(7,Programação!$AF$5:$AF$1004,0)))</f>
        <v>Baixa de pendências backlog</v>
      </c>
      <c r="C65" s="22" t="str">
        <f aca="false">IF($L$4&lt;7,"",INDEX(Programação!$F$5:$F$1004,MATCH(7,Programação!$AF$5:$AF$1004,0)))</f>
        <v>Completar nível de óleo do motor e corrigir vazamentos no mesmo (OS ABRIR OS · serviço interno Matriz)</v>
      </c>
      <c r="D65" s="21" t="str">
        <f aca="false">IF($L$4&lt;7,"",INDEX(Programação!$AG$5:$AG$1004,MATCH(7,Programação!$AF$5:$AF$1004,0)))</f>
        <v>Heliton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46265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98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F-815</v>
      </c>
      <c r="B66" s="21" t="str">
        <f aca="false">IF($L$4&lt;8,"",INDEX(Programação!$E$5:$E$1004,MATCH(8,Programação!$AF$5:$AF$1004,0)))</f>
        <v>Baixa de pendências backlog</v>
      </c>
      <c r="C66" s="22" t="str">
        <f aca="false">IF($L$4&lt;8,"",INDEX(Programação!$F$5:$F$1004,MATCH(8,Programação!$AF$5:$AF$1004,0)))</f>
        <v>Substituir junta da tampa de válvulas com vazamento (OS 7157 · 20804638 (junta motor D11))</v>
      </c>
      <c r="D66" s="21" t="str">
        <f aca="false">IF($L$4&lt;8,"",INDEX(Programação!$AG$5:$AG$1004,MATCH(8,Programação!$AF$5:$AF$1004,0)))</f>
        <v>Heliton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99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F-815</v>
      </c>
      <c r="B67" s="21" t="str">
        <f aca="false">IF($L$4&lt;9,"",INDEX(Programação!$E$5:$E$1004,MATCH(9,Programação!$AF$5:$AF$1004,0)))</f>
        <v>Baixa de pendências backlog</v>
      </c>
      <c r="C67" s="22" t="str">
        <f aca="false">IF($L$4&lt;9,"",INDEX(Programação!$F$5:$F$1004,MATCH(9,Programação!$AF$5:$AF$1004,0)))</f>
        <v>Recuperar mangueira de lubrificação do compressor com vazamento (OS ABRIR OS · serviço interno Matriz)</v>
      </c>
      <c r="D67" s="21" t="str">
        <f aca="false">IF($L$4&lt;9,"",INDEX(Programação!$AG$5:$AG$1004,MATCH(9,Programação!$AF$5:$AF$1004,0)))</f>
        <v/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100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F-815</v>
      </c>
      <c r="B68" s="21" t="str">
        <f aca="false">IF($L$4&lt;10,"",INDEX(Programação!$E$5:$E$1004,MATCH(10,Programação!$AF$5:$AF$1004,0)))</f>
        <v>Baixa de pendências backlog</v>
      </c>
      <c r="C68" s="22" t="str">
        <f aca="false">IF($L$4&lt;10,"",INDEX(Programação!$F$5:$F$1004,MATCH(10,Programação!$AF$5:$AF$1004,0)))</f>
        <v>Substituir vedação do tubo de respiro da tampa de válvulas (OS ABRIR OS · verificar item em estoque)</v>
      </c>
      <c r="D68" s="21" t="str">
        <f aca="false">IF($L$4&lt;10,"",INDEX(Programação!$AG$5:$AG$1004,MATCH(10,Programação!$AF$5:$AF$1004,0)))</f>
        <v/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101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F-815</v>
      </c>
      <c r="B69" s="21" t="str">
        <f aca="false">IF($L$4&lt;11,"",INDEX(Programação!$E$5:$E$1004,MATCH(11,Programação!$AF$5:$AF$1004,0)))</f>
        <v>Baixa de pendências backlog</v>
      </c>
      <c r="C69" s="22" t="str">
        <f aca="false">IF($L$4&lt;11,"",INDEX(Programação!$F$5:$F$1004,MATCH(11,Programação!$AF$5:$AF$1004,0)))</f>
        <v>Corrigir vazamento nas mangueiras do reservatório de óleo hidráulico: recuperar as mesmas, substituir abraçadeiras e etc (OS ABRIR OS ·</v>
      </c>
      <c r="D69" s="21" t="str">
        <f aca="false">IF($L$4&lt;11,"",INDEX(Programação!$AG$5:$AG$1004,MATCH(11,Programação!$AF$5:$AF$1004,0)))</f>
        <v/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46265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103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F-815</v>
      </c>
      <c r="B70" s="21" t="str">
        <f aca="false">IF($L$4&lt;12,"",INDEX(Programação!$E$5:$E$1004,MATCH(12,Programação!$AF$5:$AF$1004,0)))</f>
        <v>Baixa de pendências backlog</v>
      </c>
      <c r="C70" s="22" t="str">
        <f aca="false">IF($L$4&lt;12,"",INDEX(Programação!$F$5:$F$1004,MATCH(12,Programação!$AF$5:$AF$1004,0)))</f>
        <v>Completar nível do líquido de arrefecimento (OS ABRIR OS · serviço interno Matriz)</v>
      </c>
      <c r="D70" s="21" t="str">
        <f aca="false">IF($L$4&lt;12,"",INDEX(Programação!$AG$5:$AG$1004,MATCH(12,Programação!$AF$5:$AF$1004,0)))</f>
        <v/>
      </c>
      <c r="E70" s="23" t="n">
        <f aca="false">IF($L$4&lt;12,"",INDEX(Programação!$O$5:$O$1004,MATCH(12,Programação!$AF$5:$AF$1004,0)))</f>
        <v>46265</v>
      </c>
      <c r="F70" s="23" t="n">
        <f aca="false">IF($L$4&lt;12,"",INDEX(Programação!$P$5:$P$1004,MATCH(12,Programação!$AF$5:$AF$1004,0)))</f>
        <v>46265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105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F-815</v>
      </c>
      <c r="B71" s="21" t="str">
        <f aca="false">IF($L$4&lt;13,"",INDEX(Programação!$E$5:$E$1004,MATCH(13,Programação!$AF$5:$AF$1004,0)))</f>
        <v>Baixa de pendências backlog</v>
      </c>
      <c r="C71" s="22" t="str">
        <f aca="false">IF($L$4&lt;13,"",INDEX(Programação!$F$5:$F$1004,MATCH(13,Programação!$AF$5:$AF$1004,0)))</f>
        <v>Corrigir vazamento no diferencial do segundo eixo (OS ABRIR OS · serviço interno Matriz)</v>
      </c>
      <c r="D71" s="21" t="str">
        <f aca="false">IF($L$4&lt;13,"",INDEX(Programação!$AG$5:$AG$1004,MATCH(13,Programação!$AF$5:$AF$1004,0)))</f>
        <v/>
      </c>
      <c r="E71" s="23" t="n">
        <f aca="false">IF($L$4&lt;13,"",INDEX(Programação!$O$5:$O$1004,MATCH(13,Programação!$AF$5:$AF$1004,0)))</f>
        <v>46265</v>
      </c>
      <c r="F71" s="23" t="n">
        <f aca="false">IF($L$4&lt;13,"",INDEX(Programação!$P$5:$P$1004,MATCH(13,Programação!$AF$5:$AF$1004,0)))</f>
        <v>46265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106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>F-815</v>
      </c>
      <c r="B72" s="21" t="str">
        <f aca="false">IF($L$4&lt;14,"",INDEX(Programação!$E$5:$E$1004,MATCH(14,Programação!$AF$5:$AF$1004,0)))</f>
        <v>Baixa de pendências backlog</v>
      </c>
      <c r="C72" s="22" t="str">
        <f aca="false">IF($L$4&lt;14,"",INDEX(Programação!$F$5:$F$1004,MATCH(14,Programação!$AF$5:$AF$1004,0)))</f>
        <v>Substituir chave geral avariada (OS 7158 · 21243844)</v>
      </c>
      <c r="D72" s="21" t="str">
        <f aca="false">IF($L$4&lt;14,"",INDEX(Programação!$AG$5:$AG$1004,MATCH(14,Programação!$AF$5:$AF$1004,0)))</f>
        <v>Heliton</v>
      </c>
      <c r="E72" s="23" t="n">
        <f aca="false">IF($L$4&lt;14,"",INDEX(Programação!$O$5:$O$1004,MATCH(14,Programação!$AF$5:$AF$1004,0)))</f>
        <v>46265</v>
      </c>
      <c r="F72" s="23" t="n">
        <f aca="false">IF($L$4&lt;14,"",INDEX(Programação!$P$5:$P$1004,MATCH(14,Programação!$AF$5:$AF$1004,0)))</f>
        <v>46265</v>
      </c>
      <c r="G72" s="20" t="str">
        <f aca="false">IF($A72="","",IF($H72&lt;&gt;"","Concluída",IF($F72&lt;$C$3,"Atrasada",IF($F72=$C$3,"Fecha neste dia","Em execução"))))</f>
        <v>Atrasada</v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n">
        <f aca="false">IF($L$4&lt;14,"",MATCH(14,Programação!$AF$5:$AF$1004,0)+4)</f>
        <v>107</v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>F-815</v>
      </c>
      <c r="B73" s="21" t="str">
        <f aca="false">IF($L$4&lt;15,"",INDEX(Programação!$E$5:$E$1004,MATCH(15,Programação!$AF$5:$AF$1004,0)))</f>
        <v>Baixa de pendências backlog</v>
      </c>
      <c r="C73" s="22" t="str">
        <f aca="false">IF($L$4&lt;15,"",INDEX(Programação!$F$5:$F$1004,MATCH(15,Programação!$AF$5:$AF$1004,0)))</f>
        <v>Repor tampa de proteção das tomadas frontais (erraque) LD (OS 7159 · 20410141)</v>
      </c>
      <c r="D73" s="21" t="str">
        <f aca="false">IF($L$4&lt;15,"",INDEX(Programação!$AG$5:$AG$1004,MATCH(15,Programação!$AF$5:$AF$1004,0)))</f>
        <v>Heliton</v>
      </c>
      <c r="E73" s="23" t="n">
        <f aca="false">IF($L$4&lt;15,"",INDEX(Programação!$O$5:$O$1004,MATCH(15,Programação!$AF$5:$AF$1004,0)))</f>
        <v>46265</v>
      </c>
      <c r="F73" s="23" t="n">
        <f aca="false">IF($L$4&lt;15,"",INDEX(Programação!$P$5:$P$1004,MATCH(15,Programação!$AF$5:$AF$1004,0)))</f>
        <v>46265</v>
      </c>
      <c r="G73" s="20" t="str">
        <f aca="false">IF($A73="","",IF($H73&lt;&gt;"","Concluída",IF($F73&lt;$C$3,"Atrasada",IF($F73=$C$3,"Fecha neste dia","Em execução"))))</f>
        <v>Atrasada</v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n">
        <f aca="false">IF($L$4&lt;15,"",MATCH(15,Programação!$AF$5:$AF$1004,0)+4)</f>
        <v>108</v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>F-711</v>
      </c>
      <c r="B74" s="21" t="str">
        <f aca="false">IF($L$4&lt;16,"",INDEX(Programação!$E$5:$E$1004,MATCH(16,Programação!$AF$5:$AF$1004,0)))</f>
        <v>Substituir filtro</v>
      </c>
      <c r="C74" s="22" t="str">
        <f aca="false">IF($L$4&lt;16,"",INDEX(Programação!$F$5:$F$1004,MATCH(16,Programação!$AF$5:$AF$1004,0)))</f>
        <v>Substituir carcaça do filtro de ar</v>
      </c>
      <c r="D74" s="21" t="str">
        <f aca="false">IF($L$4&lt;16,"",INDEX(Programação!$AG$5:$AG$1004,MATCH(16,Programação!$AF$5:$AF$1004,0)))</f>
        <v>Gabriel</v>
      </c>
      <c r="E74" s="23" t="n">
        <f aca="false">IF($L$4&lt;16,"",INDEX(Programação!$O$5:$O$1004,MATCH(16,Programação!$AF$5:$AF$1004,0)))</f>
        <v>46265</v>
      </c>
      <c r="F74" s="23" t="n">
        <f aca="false">IF($L$4&lt;16,"",INDEX(Programação!$P$5:$P$1004,MATCH(16,Programação!$AF$5:$AF$1004,0)))</f>
        <v>46265</v>
      </c>
      <c r="G74" s="20" t="str">
        <f aca="false">IF($A74="","",IF($H74&lt;&gt;"","Concluída",IF($F74&lt;$C$3,"Atrasada",IF($F74=$C$3,"Fecha neste dia","Em execução"))))</f>
        <v>Atrasada</v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n">
        <f aca="false">IF($L$4&lt;16,"",MATCH(16,Programação!$AF$5:$AF$1004,0)+4)</f>
        <v>194</v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/>
      <c r="D10" s="21"/>
      <c r="E10" s="21" t="s">
        <v>135</v>
      </c>
      <c r="F10" s="21" t="s">
        <v>136</v>
      </c>
    </row>
    <row r="11" customFormat="false" ht="15" hidden="false" customHeight="false" outlineLevel="0" collapsed="false">
      <c r="A11" s="21" t="s">
        <v>137</v>
      </c>
      <c r="B11" s="21" t="s">
        <v>138</v>
      </c>
      <c r="C11" s="21"/>
      <c r="D11" s="21"/>
      <c r="E11" s="21" t="s">
        <v>139</v>
      </c>
      <c r="F11" s="21" t="s">
        <v>140</v>
      </c>
    </row>
    <row r="12" customFormat="false" ht="15" hidden="false" customHeight="false" outlineLevel="0" collapsed="false">
      <c r="A12" s="21" t="s">
        <v>141</v>
      </c>
      <c r="B12" s="21" t="s">
        <v>142</v>
      </c>
      <c r="C12" s="21"/>
      <c r="D12" s="21"/>
      <c r="E12" s="21" t="s">
        <v>143</v>
      </c>
      <c r="F12" s="21"/>
    </row>
    <row r="13" customFormat="false" ht="15" hidden="false" customHeight="false" outlineLevel="0" collapsed="false">
      <c r="A13" s="21" t="s">
        <v>144</v>
      </c>
      <c r="B13" s="21" t="s">
        <v>145</v>
      </c>
      <c r="C13" s="21"/>
      <c r="D13" s="21"/>
      <c r="E13" s="21" t="s">
        <v>146</v>
      </c>
      <c r="F13" s="21"/>
    </row>
    <row r="14" customFormat="false" ht="15" hidden="false" customHeight="false" outlineLevel="0" collapsed="false">
      <c r="A14" s="21" t="s">
        <v>147</v>
      </c>
      <c r="B14" s="21" t="s">
        <v>148</v>
      </c>
      <c r="C14" s="21"/>
      <c r="D14" s="21"/>
      <c r="E14" s="21" t="s">
        <v>149</v>
      </c>
      <c r="F14" s="21"/>
    </row>
    <row r="15" customFormat="false" ht="15" hidden="false" customHeight="false" outlineLevel="0" collapsed="false">
      <c r="A15" s="21" t="s">
        <v>150</v>
      </c>
      <c r="B15" s="21" t="s">
        <v>151</v>
      </c>
      <c r="C15" s="21"/>
      <c r="D15" s="21"/>
      <c r="E15" s="21" t="s">
        <v>152</v>
      </c>
      <c r="F15" s="21"/>
    </row>
    <row r="16" customFormat="false" ht="15" hidden="false" customHeight="false" outlineLevel="0" collapsed="false">
      <c r="A16" s="21" t="s">
        <v>153</v>
      </c>
      <c r="B16" s="21" t="s">
        <v>154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155</v>
      </c>
      <c r="B17" s="21" t="s">
        <v>156</v>
      </c>
      <c r="C17" s="21"/>
      <c r="D17" s="21"/>
      <c r="E17" s="21"/>
      <c r="F17" s="21"/>
    </row>
    <row r="18" customFormat="false" ht="15" hidden="false" customHeight="false" outlineLevel="0" collapsed="false">
      <c r="A18" s="21"/>
      <c r="B18" s="21" t="s">
        <v>157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158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159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160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161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162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163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164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165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166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167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168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169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170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171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172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173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174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175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176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177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178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179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181</v>
      </c>
      <c r="B2" s="50"/>
      <c r="C2" s="51" t="s">
        <v>182</v>
      </c>
      <c r="D2" s="51"/>
      <c r="E2" s="51"/>
      <c r="F2" s="51"/>
      <c r="G2" s="51"/>
      <c r="H2" s="51"/>
      <c r="I2" s="52" t="s">
        <v>183</v>
      </c>
      <c r="J2" s="52"/>
      <c r="K2" s="52"/>
      <c r="L2" s="53" t="s">
        <v>184</v>
      </c>
      <c r="M2" s="53"/>
      <c r="N2" s="53"/>
      <c r="O2" s="50" t="s">
        <v>181</v>
      </c>
      <c r="P2" s="50"/>
      <c r="Q2" s="54" t="s">
        <v>185</v>
      </c>
      <c r="R2" s="54"/>
      <c r="S2" s="54"/>
      <c r="T2" s="54"/>
      <c r="U2" s="54"/>
      <c r="V2" s="50" t="s">
        <v>186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187</v>
      </c>
      <c r="B3" s="19" t="s">
        <v>20</v>
      </c>
      <c r="C3" s="55" t="s">
        <v>188</v>
      </c>
      <c r="D3" s="55" t="s">
        <v>14</v>
      </c>
      <c r="E3" s="55" t="s">
        <v>15</v>
      </c>
      <c r="F3" s="55" t="s">
        <v>16</v>
      </c>
      <c r="G3" s="55" t="s">
        <v>189</v>
      </c>
      <c r="H3" s="55" t="s">
        <v>190</v>
      </c>
      <c r="I3" s="55" t="s">
        <v>191</v>
      </c>
      <c r="J3" s="55" t="s">
        <v>192</v>
      </c>
      <c r="K3" s="55" t="s">
        <v>193</v>
      </c>
      <c r="L3" s="55" t="s">
        <v>194</v>
      </c>
      <c r="M3" s="55" t="s">
        <v>107</v>
      </c>
      <c r="N3" s="55" t="s">
        <v>195</v>
      </c>
      <c r="O3" s="19" t="s">
        <v>18</v>
      </c>
      <c r="P3" s="19" t="s">
        <v>196</v>
      </c>
      <c r="Q3" s="55" t="s">
        <v>21</v>
      </c>
      <c r="R3" s="55" t="s">
        <v>105</v>
      </c>
      <c r="S3" s="55" t="s">
        <v>197</v>
      </c>
      <c r="T3" s="55" t="s">
        <v>198</v>
      </c>
      <c r="U3" s="55" t="s">
        <v>199</v>
      </c>
      <c r="V3" s="19" t="s">
        <v>200</v>
      </c>
      <c r="W3" s="19" t="s">
        <v>201</v>
      </c>
      <c r="X3" s="19" t="s">
        <v>202</v>
      </c>
      <c r="Y3" s="19" t="s">
        <v>203</v>
      </c>
      <c r="Z3" s="19" t="s">
        <v>204</v>
      </c>
      <c r="AA3" s="19" t="s">
        <v>205</v>
      </c>
      <c r="AB3" s="19" t="s">
        <v>206</v>
      </c>
      <c r="AC3" s="19" t="s">
        <v>207</v>
      </c>
      <c r="AD3" s="19" t="s">
        <v>208</v>
      </c>
      <c r="AE3" s="19" t="s">
        <v>209</v>
      </c>
      <c r="AF3" s="19" t="s">
        <v>210</v>
      </c>
      <c r="AG3" s="19" t="s">
        <v>211</v>
      </c>
      <c r="AH3" s="19" t="s">
        <v>212</v>
      </c>
      <c r="AI3" s="19" t="s">
        <v>213</v>
      </c>
      <c r="AJ3" s="19" t="s">
        <v>214</v>
      </c>
      <c r="AK3" s="19" t="s">
        <v>215</v>
      </c>
      <c r="AL3" s="19" t="s">
        <v>216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58" t="s">
        <v>217</v>
      </c>
      <c r="D5" s="59" t="s">
        <v>138</v>
      </c>
      <c r="E5" s="59" t="s">
        <v>218</v>
      </c>
      <c r="F5" s="59" t="s">
        <v>219</v>
      </c>
      <c r="G5" s="60" t="s">
        <v>110</v>
      </c>
      <c r="H5" s="60" t="s">
        <v>220</v>
      </c>
      <c r="I5" s="61" t="s">
        <v>113</v>
      </c>
      <c r="J5" s="61" t="s">
        <v>137</v>
      </c>
      <c r="K5" s="61"/>
      <c r="L5" s="62" t="n">
        <v>35</v>
      </c>
      <c r="M5" s="63" t="s">
        <v>122</v>
      </c>
      <c r="N5" s="62" t="n">
        <v>4</v>
      </c>
      <c r="O5" s="64" t="n">
        <f aca="false">IF(OR($L5="",$M5=""),"",(DATE(Semana!$J$3,1,4)-WEEKDAY(DATE(Semana!$J$3,1,4),3))+($L5-1)*7+MATCH($M5,Listas!$F$5:$F$11,0)-1)</f>
        <v>46260</v>
      </c>
      <c r="P5" s="64" t="n">
        <f aca="false">IF($O5="","",$O5+MAX(0,ROUNDUP($AK5*MAX(1,IF($N5="",1,$N5))/MAX(1,$AL5),0)-1))</f>
        <v>46260</v>
      </c>
      <c r="Q5" s="65" t="n">
        <v>46260</v>
      </c>
      <c r="R5" s="60" t="s">
        <v>82</v>
      </c>
      <c r="S5" s="66"/>
      <c r="T5" s="59"/>
      <c r="U5" s="59" t="s">
        <v>221</v>
      </c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46260</v>
      </c>
      <c r="X5" s="57" t="n">
        <f aca="false">IF($F5="","",IF(OR($Q5="",$O5=""),0,IF($Q5&lt;=$O5,1,0)))</f>
        <v>1</v>
      </c>
      <c r="Y5" s="57" t="n">
        <f aca="false">IF($F5="","",IF(OR($Q5="",$W5=""),0,IF($Q5&lt;=$W5,1,0)))</f>
        <v>1</v>
      </c>
      <c r="Z5" s="57" t="n">
        <f aca="false">IF(OR($Q5="",$O5=""),"",MAX(0,$Q5-$O5))</f>
        <v>0</v>
      </c>
      <c r="AA5" s="57" t="n">
        <f aca="false">IF($F5="","",IF(AND($S5&lt;&gt;"",$L5&lt;&gt;"",$S5&lt;&gt;$L5),1,0))</f>
        <v>0</v>
      </c>
      <c r="AB5" s="57" t="n">
        <f aca="false">IF($F5="","",IF($R5="Cancelada",0,IF(OR($Q5&lt;&gt;"",$R5="Concluída"),1,0)))</f>
        <v>1</v>
      </c>
      <c r="AC5" s="57" t="n">
        <f aca="false">IF($P5="",0,IF($P5&lt;Hoje!$L$1,1,IF(AND($P5=Hoje!$L$1,Hoje!$L$2&gt;Semana!$M$3),1,0)))</f>
        <v>1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F-326|Calibração e troca de pneus|35</v>
      </c>
      <c r="AK5" s="57" t="n">
        <f aca="false">IF($AJ5="","",COUNTIF($AJ$4:$AJ5,$AJ5))</f>
        <v>1</v>
      </c>
      <c r="AL5" s="57" t="n">
        <f aca="false">IF($AJ5="","",COUNTIF($AJ$4:$AJ$1004,$AJ5))</f>
        <v>5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217</v>
      </c>
      <c r="D6" s="59" t="s">
        <v>138</v>
      </c>
      <c r="E6" s="59" t="s">
        <v>218</v>
      </c>
      <c r="F6" s="59" t="s">
        <v>222</v>
      </c>
      <c r="G6" s="60" t="s">
        <v>110</v>
      </c>
      <c r="H6" s="60" t="s">
        <v>220</v>
      </c>
      <c r="I6" s="61" t="s">
        <v>133</v>
      </c>
      <c r="J6" s="61"/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46261</v>
      </c>
      <c r="Q6" s="65" t="n">
        <v>46260</v>
      </c>
      <c r="R6" s="60" t="s">
        <v>82</v>
      </c>
      <c r="S6" s="66"/>
      <c r="T6" s="59"/>
      <c r="U6" s="59" t="s">
        <v>221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1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Júnior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2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217</v>
      </c>
      <c r="D7" s="59" t="s">
        <v>138</v>
      </c>
      <c r="E7" s="59" t="s">
        <v>218</v>
      </c>
      <c r="F7" s="59" t="s">
        <v>223</v>
      </c>
      <c r="G7" s="60" t="s">
        <v>110</v>
      </c>
      <c r="H7" s="60" t="s">
        <v>220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46262</v>
      </c>
      <c r="Q7" s="65" t="n">
        <v>46260</v>
      </c>
      <c r="R7" s="60" t="s">
        <v>82</v>
      </c>
      <c r="S7" s="66"/>
      <c r="T7" s="59"/>
      <c r="U7" s="59" t="s">
        <v>221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3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217</v>
      </c>
      <c r="D8" s="59" t="s">
        <v>138</v>
      </c>
      <c r="E8" s="59" t="s">
        <v>218</v>
      </c>
      <c r="F8" s="59" t="s">
        <v>224</v>
      </c>
      <c r="G8" s="60" t="s">
        <v>110</v>
      </c>
      <c r="H8" s="60" t="s">
        <v>220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46263</v>
      </c>
      <c r="Q8" s="65" t="n">
        <v>46260</v>
      </c>
      <c r="R8" s="60" t="s">
        <v>82</v>
      </c>
      <c r="S8" s="66"/>
      <c r="T8" s="59"/>
      <c r="U8" s="59" t="s">
        <v>221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4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217</v>
      </c>
      <c r="D9" s="59" t="s">
        <v>138</v>
      </c>
      <c r="E9" s="59" t="s">
        <v>218</v>
      </c>
      <c r="F9" s="59" t="s">
        <v>225</v>
      </c>
      <c r="G9" s="60" t="s">
        <v>110</v>
      </c>
      <c r="H9" s="60" t="s">
        <v>220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221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5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226</v>
      </c>
      <c r="D10" s="59" t="s">
        <v>142</v>
      </c>
      <c r="E10" s="59" t="s">
        <v>227</v>
      </c>
      <c r="F10" s="59" t="s">
        <v>228</v>
      </c>
      <c r="G10" s="60" t="s">
        <v>110</v>
      </c>
      <c r="H10" s="60" t="s">
        <v>88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3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46260</v>
      </c>
      <c r="Q10" s="65" t="n">
        <v>46260</v>
      </c>
      <c r="R10" s="60" t="s">
        <v>82</v>
      </c>
      <c r="S10" s="66"/>
      <c r="T10" s="59"/>
      <c r="U10" s="59"/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F-327|Montar adesivos e baixa de carteira|35</v>
      </c>
      <c r="AK10" s="57" t="n">
        <f aca="false">IF($AJ10="","",COUNTIF($AJ$4:$AJ10,$AJ10))</f>
        <v>1</v>
      </c>
      <c r="AL10" s="57" t="n">
        <f aca="false">IF($AJ10="","",COUNTIF($AJ$4:$AJ$1004,$AJ10))</f>
        <v>4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226</v>
      </c>
      <c r="D11" s="59" t="s">
        <v>142</v>
      </c>
      <c r="E11" s="59" t="s">
        <v>227</v>
      </c>
      <c r="F11" s="59" t="s">
        <v>229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46261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2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VENCIDA</v>
      </c>
      <c r="C12" s="58" t="s">
        <v>230</v>
      </c>
      <c r="D12" s="59" t="s">
        <v>142</v>
      </c>
      <c r="E12" s="59" t="s">
        <v>231</v>
      </c>
      <c r="F12" s="59" t="s">
        <v>232</v>
      </c>
      <c r="G12" s="60" t="s">
        <v>110</v>
      </c>
      <c r="H12" s="60" t="s">
        <v>220</v>
      </c>
      <c r="I12" s="61" t="s">
        <v>108</v>
      </c>
      <c r="J12" s="61" t="s">
        <v>123</v>
      </c>
      <c r="K12" s="61"/>
      <c r="L12" s="62" t="n">
        <v>36</v>
      </c>
      <c r="M12" s="63" t="s">
        <v>112</v>
      </c>
      <c r="N12" s="62" t="n">
        <v>2</v>
      </c>
      <c r="O12" s="64" t="n">
        <f aca="false">IF(OR($L12="",$M12=""),"",(DATE(Semana!$J$3,1,4)-WEEKDAY(DATE(Semana!$J$3,1,4),3))+($L12-1)*7+MATCH($M12,Listas!$F$5:$F$11,0)-1)</f>
        <v>46265</v>
      </c>
      <c r="P12" s="64" t="n">
        <f aca="false">IF($O12="","",$O12+MAX(0,ROUNDUP($AK12*MAX(1,IF($N12="",1,$N12))/MAX(1,$AL12),0)-1))</f>
        <v>46265</v>
      </c>
      <c r="Q12" s="65"/>
      <c r="R12" s="60"/>
      <c r="S12" s="66" t="n">
        <v>35</v>
      </c>
      <c r="T12" s="59" t="s">
        <v>131</v>
      </c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46258</v>
      </c>
      <c r="X12" s="57" t="n">
        <f aca="false">IF($F12="","",IF(OR($Q12="",$O12=""),0,IF($Q12&lt;=$O12,1,0)))</f>
        <v>0</v>
      </c>
      <c r="Y12" s="57" t="n">
        <f aca="false">IF($F12="","",IF(OR($Q12="",$W12=""),0,IF($Q12&lt;=$W12,1,0)))</f>
        <v>0</v>
      </c>
      <c r="Z12" s="57" t="str">
        <f aca="false">IF(OR($Q12="",$O12=""),"",MAX(0,$Q12-$O12))</f>
        <v/>
      </c>
      <c r="AA12" s="57" t="n">
        <f aca="false">IF($F12="","",IF(AND($S12&lt;&gt;"",$L12&lt;&gt;"",$S12&lt;&gt;$L12),1,0))</f>
        <v>1</v>
      </c>
      <c r="AB12" s="57" t="n">
        <f aca="false">IF($F12="","",IF($R12="Cancelada",0,IF(OR($Q12&lt;&gt;"",$R12="Concluída"),1,0)))</f>
        <v>0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0.5</v>
      </c>
      <c r="AE12" s="57" t="str">
        <f aca="false">IF($AH12=0,"",SUM($AH$4:$AH12))</f>
        <v/>
      </c>
      <c r="AF12" s="57" t="n">
        <f aca="false">IF($AI12=0,"",SUM($AI$4:$AI12))</f>
        <v>1</v>
      </c>
      <c r="AG12" s="67" t="str">
        <f aca="false">IF($F12="","",$I12&amp;IF($J12="",""," · "&amp;$J12)&amp;IF($K12="",""," · "&amp;$K12))</f>
        <v>Adilton · Gabriel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1</v>
      </c>
      <c r="AJ12" s="67" t="str">
        <f aca="false">IF($F12="","",$D12&amp;"|"&amp;$E12&amp;"|"&amp;$L12)</f>
        <v>F-327|baixa de carteira|36</v>
      </c>
      <c r="AK12" s="57" t="n">
        <f aca="false">IF($AJ12="","",COUNTIF($AJ$4:$AJ12,$AJ12))</f>
        <v>1</v>
      </c>
      <c r="AL12" s="57" t="n">
        <f aca="false">IF($AJ12="","",COUNTIF($AJ$4:$AJ$1004,$AJ12))</f>
        <v>7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VENCIDA</v>
      </c>
      <c r="C13" s="58" t="s">
        <v>233</v>
      </c>
      <c r="D13" s="59" t="s">
        <v>142</v>
      </c>
      <c r="E13" s="59" t="s">
        <v>231</v>
      </c>
      <c r="F13" s="59" t="s">
        <v>234</v>
      </c>
      <c r="G13" s="60" t="s">
        <v>110</v>
      </c>
      <c r="H13" s="60" t="s">
        <v>220</v>
      </c>
      <c r="I13" s="61" t="s">
        <v>108</v>
      </c>
      <c r="J13" s="61" t="s">
        <v>123</v>
      </c>
      <c r="K13" s="61"/>
      <c r="L13" s="62" t="n">
        <v>36</v>
      </c>
      <c r="M13" s="63" t="s">
        <v>112</v>
      </c>
      <c r="N13" s="62" t="n">
        <v>2</v>
      </c>
      <c r="O13" s="64" t="n">
        <f aca="false">IF(OR($L13="",$M13=""),"",(DATE(Semana!$J$3,1,4)-WEEKDAY(DATE(Semana!$J$3,1,4),3))+($L13-1)*7+MATCH($M13,Listas!$F$5:$F$11,0)-1)</f>
        <v>46265</v>
      </c>
      <c r="P13" s="64" t="n">
        <f aca="false">IF($O13="","",$O13+MAX(0,ROUNDUP($AK13*MAX(1,IF($N13="",1,$N13))/MAX(1,$AL13),0)-1))</f>
        <v>46265</v>
      </c>
      <c r="Q13" s="65"/>
      <c r="R13" s="60"/>
      <c r="S13" s="66" t="n">
        <v>35</v>
      </c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n">
        <f aca="false">IF($O13="","",IF($S13="",$O13,(DATE(Semana!$J$3,1,4)-WEEKDAY(DATE(Semana!$J$3,1,4),3))+($S13-1)*7+IF($M13="",0,MATCH($M13,Listas!$F$5:$F$11,0)-1)))</f>
        <v>46258</v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1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1</v>
      </c>
      <c r="AD13" s="57" t="n">
        <f aca="false">IF($F13="","",IF(COUNTA($I13:$K13)=0,0,1/COUNTA($I13:$K13)))</f>
        <v>0.5</v>
      </c>
      <c r="AE13" s="57" t="str">
        <f aca="false">IF($AH13=0,"",SUM($AH$4:$AH13))</f>
        <v/>
      </c>
      <c r="AF13" s="57" t="n">
        <f aca="false">IF($AI13=0,"",SUM($AI$4:$AI13))</f>
        <v>2</v>
      </c>
      <c r="AG13" s="67" t="str">
        <f aca="false">IF($F13="","",$I13&amp;IF($J13="",""," · "&amp;$J13)&amp;IF($K13="",""," · "&amp;$K13))</f>
        <v>Adilton · Gabriel</v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1</v>
      </c>
      <c r="AJ13" s="67" t="str">
        <f aca="false">IF($F13="","",$D13&amp;"|"&amp;$E13&amp;"|"&amp;$L13)</f>
        <v>F-327|baixa de carteira|36</v>
      </c>
      <c r="AK13" s="57" t="n">
        <f aca="false">IF($AJ13="","",COUNTIF($AJ$4:$AJ13,$AJ13))</f>
        <v>2</v>
      </c>
      <c r="AL13" s="57" t="n">
        <f aca="false">IF($AJ13="","",COUNTIF($AJ$4:$AJ$1004,$AJ13))</f>
        <v>7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VENCIDA</v>
      </c>
      <c r="C14" s="58" t="s">
        <v>235</v>
      </c>
      <c r="D14" s="59" t="s">
        <v>142</v>
      </c>
      <c r="E14" s="59" t="s">
        <v>231</v>
      </c>
      <c r="F14" s="59" t="s">
        <v>236</v>
      </c>
      <c r="G14" s="60" t="s">
        <v>110</v>
      </c>
      <c r="H14" s="60" t="s">
        <v>220</v>
      </c>
      <c r="I14" s="61" t="s">
        <v>108</v>
      </c>
      <c r="J14" s="61" t="s">
        <v>123</v>
      </c>
      <c r="K14" s="61"/>
      <c r="L14" s="62" t="n">
        <v>36</v>
      </c>
      <c r="M14" s="63" t="s">
        <v>112</v>
      </c>
      <c r="N14" s="62" t="n">
        <v>2</v>
      </c>
      <c r="O14" s="64" t="n">
        <f aca="false">IF(OR($L14="",$M14=""),"",(DATE(Semana!$J$3,1,4)-WEEKDAY(DATE(Semana!$J$3,1,4),3))+($L14-1)*7+MATCH($M14,Listas!$F$5:$F$11,0)-1)</f>
        <v>46265</v>
      </c>
      <c r="P14" s="64" t="n">
        <f aca="false">IF($O14="","",$O14+MAX(0,ROUNDUP($AK14*MAX(1,IF($N14="",1,$N14))/MAX(1,$AL14),0)-1))</f>
        <v>46265</v>
      </c>
      <c r="Q14" s="65"/>
      <c r="R14" s="60"/>
      <c r="S14" s="66" t="n">
        <v>35</v>
      </c>
      <c r="T14" s="59" t="s">
        <v>111</v>
      </c>
      <c r="U14" s="59"/>
      <c r="V14" s="57" t="str">
        <f aca="false">IF($F14="","",IF(ISNUMBER(SEARCH("(externo)",$I14&amp;$J14&amp;$K14)),"Terceirizada","Interna"))</f>
        <v>Interna</v>
      </c>
      <c r="W14" s="64" t="n">
        <f aca="false">IF($O14="","",IF($S14="",$O14,(DATE(Semana!$J$3,1,4)-WEEKDAY(DATE(Semana!$J$3,1,4),3))+($S14-1)*7+IF($M14="",0,MATCH($M14,Listas!$F$5:$F$11,0)-1)))</f>
        <v>46258</v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1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1</v>
      </c>
      <c r="AD14" s="57" t="n">
        <f aca="false">IF($F14="","",IF(COUNTA($I14:$K14)=0,0,1/COUNTA($I14:$K14)))</f>
        <v>0.5</v>
      </c>
      <c r="AE14" s="57" t="str">
        <f aca="false">IF($AH14=0,"",SUM($AH$4:$AH14))</f>
        <v/>
      </c>
      <c r="AF14" s="57" t="n">
        <f aca="false">IF($AI14=0,"",SUM($AI$4:$AI14))</f>
        <v>3</v>
      </c>
      <c r="AG14" s="67" t="str">
        <f aca="false">IF($F14="","",$I14&amp;IF($J14="",""," · "&amp;$J14)&amp;IF($K14="",""," · "&amp;$K14))</f>
        <v>Adilton · Gabriel</v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1</v>
      </c>
      <c r="AJ14" s="67" t="str">
        <f aca="false">IF($F14="","",$D14&amp;"|"&amp;$E14&amp;"|"&amp;$L14)</f>
        <v>F-327|baixa de carteira|36</v>
      </c>
      <c r="AK14" s="57" t="n">
        <f aca="false">IF($AJ14="","",COUNTIF($AJ$4:$AJ14,$AJ14))</f>
        <v>3</v>
      </c>
      <c r="AL14" s="57" t="n">
        <f aca="false">IF($AJ14="","",COUNTIF($AJ$4:$AJ$1004,$AJ14))</f>
        <v>7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58" t="s">
        <v>226</v>
      </c>
      <c r="D15" s="59" t="s">
        <v>142</v>
      </c>
      <c r="E15" s="59" t="s">
        <v>227</v>
      </c>
      <c r="F15" s="59" t="s">
        <v>237</v>
      </c>
      <c r="G15" s="60" t="s">
        <v>110</v>
      </c>
      <c r="H15" s="60" t="s">
        <v>88</v>
      </c>
      <c r="I15" s="61" t="s">
        <v>133</v>
      </c>
      <c r="J15" s="61"/>
      <c r="K15" s="61"/>
      <c r="L15" s="62" t="n">
        <v>35</v>
      </c>
      <c r="M15" s="63" t="s">
        <v>122</v>
      </c>
      <c r="N15" s="62" t="n">
        <v>3</v>
      </c>
      <c r="O15" s="64" t="n">
        <f aca="false">IF(OR($L15="",$M15=""),"",(DATE(Semana!$J$3,1,4)-WEEKDAY(DATE(Semana!$J$3,1,4),3))+($L15-1)*7+MATCH($M15,Listas!$F$5:$F$11,0)-1)</f>
        <v>46260</v>
      </c>
      <c r="P15" s="64" t="n">
        <f aca="false">IF($O15="","",$O15+MAX(0,ROUNDUP($AK15*MAX(1,IF($N15="",1,$N15))/MAX(1,$AL15),0)-1))</f>
        <v>46262</v>
      </c>
      <c r="Q15" s="65" t="n">
        <v>46260</v>
      </c>
      <c r="R15" s="60" t="s">
        <v>82</v>
      </c>
      <c r="S15" s="66"/>
      <c r="T15" s="59"/>
      <c r="U15" s="59"/>
      <c r="V15" s="57" t="str">
        <f aca="false">IF($F15="","",IF(ISNUMBER(SEARCH("(externo)",$I15&amp;$J15&amp;$K15)),"Terceirizada","Interna"))</f>
        <v>Interna</v>
      </c>
      <c r="W15" s="64" t="n">
        <f aca="false">IF($O15="","",IF($S15="",$O15,(DATE(Semana!$J$3,1,4)-WEEKDAY(DATE(Semana!$J$3,1,4),3))+($S15-1)*7+IF($M15="",0,MATCH($M15,Listas!$F$5:$F$11,0)-1)))</f>
        <v>46260</v>
      </c>
      <c r="X15" s="57" t="n">
        <f aca="false">IF($F15="","",IF(OR($Q15="",$O15=""),0,IF($Q15&lt;=$O15,1,0)))</f>
        <v>1</v>
      </c>
      <c r="Y15" s="57" t="n">
        <f aca="false">IF($F15="","",IF(OR($Q15="",$W15=""),0,IF($Q15&lt;=$W15,1,0)))</f>
        <v>1</v>
      </c>
      <c r="Z15" s="57" t="n">
        <f aca="false">IF(OR($Q15="",$O15=""),"",MAX(0,$Q15-$O15))</f>
        <v>0</v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1</v>
      </c>
      <c r="AC15" s="57" t="n">
        <f aca="false">IF($P15="",0,IF($P15&lt;Hoje!$L$1,1,IF(AND($P15=Hoje!$L$1,Hoje!$L$2&gt;Semana!$M$3),1,0)))</f>
        <v>1</v>
      </c>
      <c r="AD15" s="57" t="n">
        <f aca="false">IF($F15="","",IF(COUNTA($I15:$K15)=0,0,1/COUNTA($I15:$K15)))</f>
        <v>1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>Júnior</v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carteira|35</v>
      </c>
      <c r="AK15" s="57" t="n">
        <f aca="false">IF($AJ15="","",COUNTIF($AJ$4:$AJ15,$AJ15))</f>
        <v>3</v>
      </c>
      <c r="AL15" s="57" t="n">
        <f aca="false">IF($AJ15="","",COUNTIF($AJ$4:$AJ$1004,$AJ15))</f>
        <v>4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Fecha hoje</v>
      </c>
      <c r="C16" s="58" t="s">
        <v>238</v>
      </c>
      <c r="D16" s="59" t="s">
        <v>142</v>
      </c>
      <c r="E16" s="59" t="s">
        <v>231</v>
      </c>
      <c r="F16" s="59" t="s">
        <v>239</v>
      </c>
      <c r="G16" s="60" t="s">
        <v>110</v>
      </c>
      <c r="H16" s="60" t="s">
        <v>220</v>
      </c>
      <c r="I16" s="61" t="s">
        <v>108</v>
      </c>
      <c r="J16" s="61" t="s">
        <v>123</v>
      </c>
      <c r="K16" s="61"/>
      <c r="L16" s="62" t="n">
        <v>36</v>
      </c>
      <c r="M16" s="63" t="s">
        <v>112</v>
      </c>
      <c r="N16" s="62" t="n">
        <v>2</v>
      </c>
      <c r="O16" s="64" t="n">
        <f aca="false">IF(OR($L16="",$M16=""),"",(DATE(Semana!$J$3,1,4)-WEEKDAY(DATE(Semana!$J$3,1,4),3))+($L16-1)*7+MATCH($M16,Listas!$F$5:$F$11,0)-1)</f>
        <v>46265</v>
      </c>
      <c r="P16" s="64" t="n">
        <f aca="false">IF($O16="","",$O16+MAX(0,ROUNDUP($AK16*MAX(1,IF($N16="",1,$N16))/MAX(1,$AL16),0)-1))</f>
        <v>46266</v>
      </c>
      <c r="Q16" s="65"/>
      <c r="R16" s="60"/>
      <c r="S16" s="66" t="n">
        <v>35</v>
      </c>
      <c r="T16" s="59" t="s">
        <v>131</v>
      </c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46258</v>
      </c>
      <c r="X16" s="57" t="n">
        <f aca="false">IF($F16="","",IF(OR($Q16="",$O16=""),0,IF($Q16&lt;=$O16,1,0)))</f>
        <v>0</v>
      </c>
      <c r="Y16" s="57" t="n">
        <f aca="false">IF($F16="","",IF(OR($Q16="",$W16=""),0,IF($Q16&lt;=$W16,1,0)))</f>
        <v>0</v>
      </c>
      <c r="Z16" s="57" t="str">
        <f aca="false">IF(OR($Q16="",$O16=""),"",MAX(0,$Q16-$O16))</f>
        <v/>
      </c>
      <c r="AA16" s="57" t="n">
        <f aca="false">IF($F16="","",IF(AND($S16&lt;&gt;"",$L16&lt;&gt;"",$S16&lt;&gt;$L16),1,0))</f>
        <v>1</v>
      </c>
      <c r="AB16" s="57" t="n">
        <f aca="false">IF($F16="","",IF($R16="Cancelada",0,IF(OR($Q16&lt;&gt;"",$R16="Concluída"),1,0)))</f>
        <v>0</v>
      </c>
      <c r="AC16" s="57" t="n">
        <f aca="false">IF($P16="",0,IF($P16&lt;Hoje!$L$1,1,IF(AND($P16=Hoje!$L$1,Hoje!$L$2&gt;Semana!$M$3),1,0)))</f>
        <v>0</v>
      </c>
      <c r="AD16" s="57" t="n">
        <f aca="false">IF($F16="","",IF(COUNTA($I16:$K16)=0,0,1/COUNTA($I16:$K16)))</f>
        <v>0.5</v>
      </c>
      <c r="AE16" s="57" t="n">
        <f aca="false">IF($AH16=0,"",SUM($AH$4:$AH16))</f>
        <v>1</v>
      </c>
      <c r="AF16" s="57" t="str">
        <f aca="false">IF($AI16=0,"",SUM($AI$4:$AI16))</f>
        <v/>
      </c>
      <c r="AG16" s="67" t="str">
        <f aca="false">IF($F16="","",$I16&amp;IF($J16="",""," · "&amp;$J16)&amp;IF($K16="",""," · "&amp;$K16))</f>
        <v>Adilton · Gabriel</v>
      </c>
      <c r="AH16" s="57" t="n">
        <f aca="false">IF(AND($F16&lt;&gt;"",$O16&lt;&gt;"",$O16&lt;=Hoje!$C$3,$P16&gt;=Hoje!$C$3,$R16&lt;&gt;"Cancelada"),1,0)</f>
        <v>1</v>
      </c>
      <c r="AI16" s="57" t="n">
        <f aca="false">IF(AND($F16&lt;&gt;"",$P16&lt;&gt;"",$P16&lt;Hoje!$C$3,$AB16=0,$R16&lt;&gt;"Cancelada"),1,0)</f>
        <v>0</v>
      </c>
      <c r="AJ16" s="67" t="str">
        <f aca="false">IF($F16="","",$D16&amp;"|"&amp;$E16&amp;"|"&amp;$L16)</f>
        <v>F-327|baixa de carteira|36</v>
      </c>
      <c r="AK16" s="57" t="n">
        <f aca="false">IF($AJ16="","",COUNTIF($AJ$4:$AJ16,$AJ16))</f>
        <v>4</v>
      </c>
      <c r="AL16" s="57" t="n">
        <f aca="false">IF($AJ16="","",COUNTIF($AJ$4:$AJ$1004,$AJ16))</f>
        <v>7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Fecha hoje</v>
      </c>
      <c r="C17" s="58" t="s">
        <v>240</v>
      </c>
      <c r="D17" s="59" t="s">
        <v>142</v>
      </c>
      <c r="E17" s="59" t="s">
        <v>231</v>
      </c>
      <c r="F17" s="59" t="s">
        <v>241</v>
      </c>
      <c r="G17" s="60" t="s">
        <v>110</v>
      </c>
      <c r="H17" s="60" t="s">
        <v>220</v>
      </c>
      <c r="I17" s="61" t="s">
        <v>108</v>
      </c>
      <c r="J17" s="61" t="s">
        <v>123</v>
      </c>
      <c r="K17" s="61"/>
      <c r="L17" s="62" t="n">
        <v>36</v>
      </c>
      <c r="M17" s="63" t="s">
        <v>112</v>
      </c>
      <c r="N17" s="62" t="n">
        <v>2</v>
      </c>
      <c r="O17" s="64" t="n">
        <f aca="false">IF(OR($L17="",$M17=""),"",(DATE(Semana!$J$3,1,4)-WEEKDAY(DATE(Semana!$J$3,1,4),3))+($L17-1)*7+MATCH($M17,Listas!$F$5:$F$11,0)-1)</f>
        <v>46265</v>
      </c>
      <c r="P17" s="64" t="n">
        <f aca="false">IF($O17="","",$O17+MAX(0,ROUNDUP($AK17*MAX(1,IF($N17="",1,$N17))/MAX(1,$AL17),0)-1))</f>
        <v>46266</v>
      </c>
      <c r="Q17" s="65"/>
      <c r="R17" s="60"/>
      <c r="S17" s="66" t="n">
        <v>35</v>
      </c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n">
        <f aca="false">IF($O17="","",IF($S17="",$O17,(DATE(Semana!$J$3,1,4)-WEEKDAY(DATE(Semana!$J$3,1,4),3))+($S17-1)*7+IF($M17="",0,MATCH($M17,Listas!$F$5:$F$11,0)-1)))</f>
        <v>46258</v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1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0</v>
      </c>
      <c r="AD17" s="57" t="n">
        <f aca="false">IF($F17="","",IF(COUNTA($I17:$K17)=0,0,1/COUNTA($I17:$K17)))</f>
        <v>0.5</v>
      </c>
      <c r="AE17" s="57" t="n">
        <f aca="false">IF($AH17=0,"",SUM($AH$4:$AH17))</f>
        <v>2</v>
      </c>
      <c r="AF17" s="57" t="str">
        <f aca="false">IF($AI17=0,"",SUM($AI$4:$AI17))</f>
        <v/>
      </c>
      <c r="AG17" s="67" t="str">
        <f aca="false">IF($F17="","",$I17&amp;IF($J17="",""," · "&amp;$J17)&amp;IF($K17="",""," · "&amp;$K17))</f>
        <v>Adilton · Gabriel</v>
      </c>
      <c r="AH17" s="57" t="n">
        <f aca="false">IF(AND($F17&lt;&gt;"",$O17&lt;&gt;"",$O17&lt;=Hoje!$C$3,$P17&gt;=Hoje!$C$3,$R17&lt;&gt;"Cancelada"),1,0)</f>
        <v>1</v>
      </c>
      <c r="AI17" s="57" t="n">
        <f aca="false">IF(AND($F17&lt;&gt;"",$P17&lt;&gt;"",$P17&lt;Hoje!$C$3,$AB17=0,$R17&lt;&gt;"Cancelada"),1,0)</f>
        <v>0</v>
      </c>
      <c r="AJ17" s="67" t="str">
        <f aca="false">IF($F17="","",$D17&amp;"|"&amp;$E17&amp;"|"&amp;$L17)</f>
        <v>F-327|baixa de carteira|36</v>
      </c>
      <c r="AK17" s="57" t="n">
        <f aca="false">IF($AJ17="","",COUNTIF($AJ$4:$AJ17,$AJ17))</f>
        <v>5</v>
      </c>
      <c r="AL17" s="57" t="n">
        <f aca="false">IF($AJ17="","",COUNTIF($AJ$4:$AJ$1004,$AJ17))</f>
        <v>7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Fecha hoje</v>
      </c>
      <c r="C18" s="58" t="s">
        <v>242</v>
      </c>
      <c r="D18" s="59" t="s">
        <v>142</v>
      </c>
      <c r="E18" s="59" t="s">
        <v>231</v>
      </c>
      <c r="F18" s="59" t="s">
        <v>243</v>
      </c>
      <c r="G18" s="60" t="s">
        <v>110</v>
      </c>
      <c r="H18" s="60" t="s">
        <v>220</v>
      </c>
      <c r="I18" s="61" t="s">
        <v>108</v>
      </c>
      <c r="J18" s="61" t="s">
        <v>123</v>
      </c>
      <c r="K18" s="61"/>
      <c r="L18" s="62" t="n">
        <v>36</v>
      </c>
      <c r="M18" s="63" t="s">
        <v>112</v>
      </c>
      <c r="N18" s="62" t="n">
        <v>2</v>
      </c>
      <c r="O18" s="64" t="n">
        <f aca="false">IF(OR($L18="",$M18=""),"",(DATE(Semana!$J$3,1,4)-WEEKDAY(DATE(Semana!$J$3,1,4),3))+($L18-1)*7+MATCH($M18,Listas!$F$5:$F$11,0)-1)</f>
        <v>46265</v>
      </c>
      <c r="P18" s="64" t="n">
        <f aca="false">IF($O18="","",$O18+MAX(0,ROUNDUP($AK18*MAX(1,IF($N18="",1,$N18))/MAX(1,$AL18),0)-1))</f>
        <v>46266</v>
      </c>
      <c r="Q18" s="65"/>
      <c r="R18" s="60"/>
      <c r="S18" s="66" t="n">
        <v>35</v>
      </c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n">
        <f aca="false">IF($O18="","",IF($S18="",$O18,(DATE(Semana!$J$3,1,4)-WEEKDAY(DATE(Semana!$J$3,1,4),3))+($S18-1)*7+IF($M18="",0,MATCH($M18,Listas!$F$5:$F$11,0)-1)))</f>
        <v>46258</v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1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0</v>
      </c>
      <c r="AD18" s="57" t="n">
        <f aca="false">IF($F18="","",IF(COUNTA($I18:$K18)=0,0,1/COUNTA($I18:$K18)))</f>
        <v>0.5</v>
      </c>
      <c r="AE18" s="57" t="n">
        <f aca="false">IF($AH18=0,"",SUM($AH$4:$AH18))</f>
        <v>3</v>
      </c>
      <c r="AF18" s="57" t="str">
        <f aca="false">IF($AI18=0,"",SUM($AI$4:$AI18))</f>
        <v/>
      </c>
      <c r="AG18" s="67" t="str">
        <f aca="false">IF($F18="","",$I18&amp;IF($J18="",""," · "&amp;$J18)&amp;IF($K18="",""," · "&amp;$K18))</f>
        <v>Adilton · Gabriel</v>
      </c>
      <c r="AH18" s="57" t="n">
        <f aca="false">IF(AND($F18&lt;&gt;"",$O18&lt;&gt;"",$O18&lt;=Hoje!$C$3,$P18&gt;=Hoje!$C$3,$R18&lt;&gt;"Cancelada"),1,0)</f>
        <v>1</v>
      </c>
      <c r="AI18" s="57" t="n">
        <f aca="false">IF(AND($F18&lt;&gt;"",$P18&lt;&gt;"",$P18&lt;Hoje!$C$3,$AB18=0,$R18&lt;&gt;"Cancelada"),1,0)</f>
        <v>0</v>
      </c>
      <c r="AJ18" s="67" t="str">
        <f aca="false">IF($F18="","",$D18&amp;"|"&amp;$E18&amp;"|"&amp;$L18)</f>
        <v>F-327|baixa de carteira|36</v>
      </c>
      <c r="AK18" s="57" t="n">
        <f aca="false">IF($AJ18="","",COUNTIF($AJ$4:$AJ18,$AJ18))</f>
        <v>6</v>
      </c>
      <c r="AL18" s="57" t="n">
        <f aca="false">IF($AJ18="","",COUNTIF($AJ$4:$AJ$1004,$AJ18))</f>
        <v>7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Fecha hoje</v>
      </c>
      <c r="C19" s="58" t="s">
        <v>244</v>
      </c>
      <c r="D19" s="59" t="s">
        <v>142</v>
      </c>
      <c r="E19" s="59" t="s">
        <v>231</v>
      </c>
      <c r="F19" s="59" t="s">
        <v>245</v>
      </c>
      <c r="G19" s="60" t="s">
        <v>110</v>
      </c>
      <c r="H19" s="60" t="s">
        <v>220</v>
      </c>
      <c r="I19" s="61" t="s">
        <v>108</v>
      </c>
      <c r="J19" s="61" t="s">
        <v>123</v>
      </c>
      <c r="K19" s="61"/>
      <c r="L19" s="62" t="n">
        <v>36</v>
      </c>
      <c r="M19" s="63" t="s">
        <v>112</v>
      </c>
      <c r="N19" s="62" t="n">
        <v>2</v>
      </c>
      <c r="O19" s="64" t="n">
        <f aca="false">IF(OR($L19="",$M19=""),"",(DATE(Semana!$J$3,1,4)-WEEKDAY(DATE(Semana!$J$3,1,4),3))+($L19-1)*7+MATCH($M19,Listas!$F$5:$F$11,0)-1)</f>
        <v>46265</v>
      </c>
      <c r="P19" s="64" t="n">
        <f aca="false">IF($O19="","",$O19+MAX(0,ROUNDUP($AK19*MAX(1,IF($N19="",1,$N19))/MAX(1,$AL19),0)-1))</f>
        <v>46266</v>
      </c>
      <c r="Q19" s="65"/>
      <c r="R19" s="60"/>
      <c r="S19" s="66" t="n">
        <v>35</v>
      </c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n">
        <f aca="false">IF($O19="","",IF($S19="",$O19,(DATE(Semana!$J$3,1,4)-WEEKDAY(DATE(Semana!$J$3,1,4),3))+($S19-1)*7+IF($M19="",0,MATCH($M19,Listas!$F$5:$F$11,0)-1)))</f>
        <v>46258</v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1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0</v>
      </c>
      <c r="AD19" s="57" t="n">
        <f aca="false">IF($F19="","",IF(COUNTA($I19:$K19)=0,0,1/COUNTA($I19:$K19)))</f>
        <v>0.5</v>
      </c>
      <c r="AE19" s="57" t="n">
        <f aca="false">IF($AH19=0,"",SUM($AH$4:$AH19))</f>
        <v>4</v>
      </c>
      <c r="AF19" s="57" t="str">
        <f aca="false">IF($AI19=0,"",SUM($AI$4:$AI19))</f>
        <v/>
      </c>
      <c r="AG19" s="67" t="str">
        <f aca="false">IF($F19="","",$I19&amp;IF($J19="",""," · "&amp;$J19)&amp;IF($K19="",""," · "&amp;$K19))</f>
        <v>Adilton · Gabriel</v>
      </c>
      <c r="AH19" s="57" t="n">
        <f aca="false">IF(AND($F19&lt;&gt;"",$O19&lt;&gt;"",$O19&lt;=Hoje!$C$3,$P19&gt;=Hoje!$C$3,$R19&lt;&gt;"Cancelada"),1,0)</f>
        <v>1</v>
      </c>
      <c r="AI19" s="57" t="n">
        <f aca="false">IF(AND($F19&lt;&gt;"",$P19&lt;&gt;"",$P19&lt;Hoje!$C$3,$AB19=0,$R19&lt;&gt;"Cancelada"),1,0)</f>
        <v>0</v>
      </c>
      <c r="AJ19" s="67" t="str">
        <f aca="false">IF($F19="","",$D19&amp;"|"&amp;$E19&amp;"|"&amp;$L19)</f>
        <v>F-327|baixa de carteira|36</v>
      </c>
      <c r="AK19" s="57" t="n">
        <f aca="false">IF($AJ19="","",COUNTIF($AJ$4:$AJ19,$AJ19))</f>
        <v>7</v>
      </c>
      <c r="AL19" s="57" t="n">
        <f aca="false">IF($AJ19="","",COUNTIF($AJ$4:$AJ$1004,$AJ19))</f>
        <v>7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58" t="s">
        <v>246</v>
      </c>
      <c r="D20" s="59" t="s">
        <v>142</v>
      </c>
      <c r="E20" s="59" t="s">
        <v>227</v>
      </c>
      <c r="F20" s="59" t="s">
        <v>247</v>
      </c>
      <c r="G20" s="60" t="s">
        <v>110</v>
      </c>
      <c r="H20" s="60" t="s">
        <v>88</v>
      </c>
      <c r="I20" s="61" t="s">
        <v>133</v>
      </c>
      <c r="J20" s="61"/>
      <c r="K20" s="61"/>
      <c r="L20" s="62" t="n">
        <v>35</v>
      </c>
      <c r="M20" s="63" t="s">
        <v>122</v>
      </c>
      <c r="N20" s="62" t="n">
        <v>3</v>
      </c>
      <c r="O20" s="64" t="n">
        <f aca="false">IF(OR($L20="",$M20=""),"",(DATE(Semana!$J$3,1,4)-WEEKDAY(DATE(Semana!$J$3,1,4),3))+($L20-1)*7+MATCH($M20,Listas!$F$5:$F$11,0)-1)</f>
        <v>46260</v>
      </c>
      <c r="P20" s="64" t="n">
        <f aca="false">IF($O20="","",$O20+MAX(0,ROUNDUP($AK20*MAX(1,IF($N20="",1,$N20))/MAX(1,$AL20),0)-1))</f>
        <v>46262</v>
      </c>
      <c r="Q20" s="65" t="n">
        <v>46260</v>
      </c>
      <c r="R20" s="60" t="s">
        <v>82</v>
      </c>
      <c r="S20" s="66"/>
      <c r="T20" s="59"/>
      <c r="U20" s="59"/>
      <c r="V20" s="57" t="str">
        <f aca="false">IF($F20="","",IF(ISNUMBER(SEARCH("(externo)",$I20&amp;$J20&amp;$K20)),"Terceirizada","Interna"))</f>
        <v>Interna</v>
      </c>
      <c r="W20" s="64" t="n">
        <f aca="false">IF($O20="","",IF($S20="",$O20,(DATE(Semana!$J$3,1,4)-WEEKDAY(DATE(Semana!$J$3,1,4),3))+($S20-1)*7+IF($M20="",0,MATCH($M20,Listas!$F$5:$F$11,0)-1)))</f>
        <v>46260</v>
      </c>
      <c r="X20" s="57" t="n">
        <f aca="false">IF($F20="","",IF(OR($Q20="",$O20=""),0,IF($Q20&lt;=$O20,1,0)))</f>
        <v>1</v>
      </c>
      <c r="Y20" s="57" t="n">
        <f aca="false">IF($F20="","",IF(OR($Q20="",$W20=""),0,IF($Q20&lt;=$W20,1,0)))</f>
        <v>1</v>
      </c>
      <c r="Z20" s="57" t="n">
        <f aca="false">IF(OR($Q20="",$O20=""),"",MAX(0,$Q20-$O20))</f>
        <v>0</v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1</v>
      </c>
      <c r="AC20" s="57" t="n">
        <f aca="false">IF($P20="",0,IF($P20&lt;Hoje!$L$1,1,IF(AND($P20=Hoje!$L$1,Hoje!$L$2&gt;Semana!$M$3),1,0)))</f>
        <v>1</v>
      </c>
      <c r="AD20" s="57" t="n">
        <f aca="false">IF($F20="","",IF(COUNTA($I20:$K20)=0,0,1/COUNTA($I20:$K20)))</f>
        <v>1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>Júnior</v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carteira|35</v>
      </c>
      <c r="AK20" s="57" t="n">
        <f aca="false">IF($AJ20="","",COUNTIF($AJ$4:$AJ20,$AJ20))</f>
        <v>4</v>
      </c>
      <c r="AL20" s="57" t="n">
        <f aca="false">IF($AJ20="","",COUNTIF($AJ$4:$AJ$1004,$AJ20))</f>
        <v>4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Na carteira</v>
      </c>
      <c r="C21" s="58"/>
      <c r="D21" s="59" t="s">
        <v>142</v>
      </c>
      <c r="E21" s="59" t="s">
        <v>231</v>
      </c>
      <c r="F21" s="59" t="s">
        <v>248</v>
      </c>
      <c r="G21" s="60" t="s">
        <v>110</v>
      </c>
      <c r="H21" s="60" t="s">
        <v>88</v>
      </c>
      <c r="I21" s="61"/>
      <c r="J21" s="61"/>
      <c r="K21" s="61"/>
      <c r="L21" s="62"/>
      <c r="M21" s="63"/>
      <c r="N21" s="62" t="n">
        <v>2</v>
      </c>
      <c r="O21" s="64" t="str">
        <f aca="false">IF(OR($L21="",$M21=""),"",(DATE(Semana!$J$3,1,4)-WEEKDAY(DATE(Semana!$J$3,1,4),3))+($L21-1)*7+MATCH($M21,Listas!$F$5:$F$11,0)-1)</f>
        <v/>
      </c>
      <c r="P21" s="64" t="str">
        <f aca="false">IF($O21="","",$O21+MAX(0,ROUNDUP($AK21*MAX(1,IF($N21="",1,$N21))/MAX(1,$AL21),0)-1))</f>
        <v/>
      </c>
      <c r="Q21" s="65"/>
      <c r="R21" s="60"/>
      <c r="S21" s="66" t="n">
        <v>35</v>
      </c>
      <c r="T21" s="59" t="s">
        <v>111</v>
      </c>
      <c r="U21" s="59" t="s">
        <v>249</v>
      </c>
      <c r="V21" s="57" t="str">
        <f aca="false">IF($F21="","",IF(ISNUMBER(SEARCH("(externo)",$I21&amp;$J21&amp;$K21)),"Terceirizada","Interna"))</f>
        <v>Interna</v>
      </c>
      <c r="W21" s="64" t="str">
        <f aca="false">IF($O21="","",IF($S21="",$O21,(DATE(Semana!$J$3,1,4)-WEEKDAY(DATE(Semana!$J$3,1,4),3))+($S21-1)*7+IF($M21="",0,MATCH($M21,Listas!$F$5:$F$11,0)-1)))</f>
        <v/>
      </c>
      <c r="X21" s="57" t="n">
        <f aca="false">IF($F21="","",IF(OR($Q21="",$O21=""),0,IF($Q21&lt;=$O21,1,0)))</f>
        <v>0</v>
      </c>
      <c r="Y21" s="57" t="n">
        <f aca="false">IF($F21="","",IF(OR($Q21="",$W21=""),0,IF($Q21&lt;=$W21,1,0)))</f>
        <v>0</v>
      </c>
      <c r="Z21" s="57" t="str">
        <f aca="false">IF(OR($Q21="",$O21=""),"",MAX(0,$Q21-$O21))</f>
        <v/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0</v>
      </c>
      <c r="AC21" s="57" t="n">
        <f aca="false">IF($P21="",0,IF($P21&lt;Hoje!$L$1,1,IF(AND($P21=Hoje!$L$1,Hoje!$L$2&gt;Semana!$M$3),1,0)))</f>
        <v>0</v>
      </c>
      <c r="AD21" s="57" t="n">
        <f aca="false">IF($F21="","",IF(COUNTA($I21:$K21)=0,0,1/COUNTA($I21:$K21)))</f>
        <v>0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/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F-327|baixa de carteira|</v>
      </c>
      <c r="AK21" s="57" t="n">
        <f aca="false">IF($AJ21="","",COUNTIF($AJ$4:$AJ21,$AJ21))</f>
        <v>1</v>
      </c>
      <c r="AL21" s="57" t="n">
        <f aca="false">IF($AJ21="","",COUNTIF($AJ$4:$AJ$1004,$AJ21))</f>
        <v>2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142</v>
      </c>
      <c r="E22" s="59" t="s">
        <v>231</v>
      </c>
      <c r="F22" s="59" t="s">
        <v>250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2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 t="n">
        <v>35</v>
      </c>
      <c r="T22" s="59" t="s">
        <v>111</v>
      </c>
      <c r="U22" s="59" t="s">
        <v>249</v>
      </c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F-327|baixa de carteira|</v>
      </c>
      <c r="AK22" s="57" t="n">
        <f aca="false">IF($AJ22="","",COUNTIF($AJ$4:$AJ22,$AJ22))</f>
        <v>2</v>
      </c>
      <c r="AL22" s="57" t="n">
        <f aca="false">IF($AJ22="","",COUNTIF($AJ$4:$AJ$1004,$AJ22))</f>
        <v>2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251</v>
      </c>
      <c r="D23" s="59" t="s">
        <v>148</v>
      </c>
      <c r="E23" s="59" t="s">
        <v>115</v>
      </c>
      <c r="F23" s="59" t="s">
        <v>252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253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15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251</v>
      </c>
      <c r="D24" s="59" t="s">
        <v>148</v>
      </c>
      <c r="E24" s="59" t="s">
        <v>115</v>
      </c>
      <c r="F24" s="59" t="s">
        <v>254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253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4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15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251</v>
      </c>
      <c r="D25" s="59" t="s">
        <v>148</v>
      </c>
      <c r="E25" s="59" t="s">
        <v>115</v>
      </c>
      <c r="F25" s="59" t="s">
        <v>255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253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251</v>
      </c>
      <c r="D26" s="59" t="s">
        <v>148</v>
      </c>
      <c r="E26" s="59" t="s">
        <v>115</v>
      </c>
      <c r="F26" s="59" t="s">
        <v>256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253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5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15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251</v>
      </c>
      <c r="D27" s="59" t="s">
        <v>148</v>
      </c>
      <c r="E27" s="59" t="s">
        <v>115</v>
      </c>
      <c r="F27" s="59" t="s">
        <v>257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253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6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15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251</v>
      </c>
      <c r="D28" s="59" t="s">
        <v>148</v>
      </c>
      <c r="E28" s="59" t="s">
        <v>115</v>
      </c>
      <c r="F28" s="59" t="s">
        <v>258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253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15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251</v>
      </c>
      <c r="D29" s="59" t="s">
        <v>148</v>
      </c>
      <c r="E29" s="59" t="s">
        <v>115</v>
      </c>
      <c r="F29" s="59" t="s">
        <v>259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253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0</v>
      </c>
      <c r="AD29" s="57" t="n">
        <f aca="false">IF($F29="","",IF(COUNTA($I29:$K29)=0,0,1/COUNTA($I29:$K29)))</f>
        <v>0.5</v>
      </c>
      <c r="AE29" s="57" t="n">
        <f aca="false">IF($AH29=0,"",SUM($AH$4:$AH29))</f>
        <v>5</v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1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15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Fecha hoje</v>
      </c>
      <c r="C30" s="58" t="s">
        <v>260</v>
      </c>
      <c r="D30" s="59" t="s">
        <v>148</v>
      </c>
      <c r="E30" s="59" t="s">
        <v>115</v>
      </c>
      <c r="F30" s="59" t="s">
        <v>261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253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0</v>
      </c>
      <c r="AD30" s="57" t="n">
        <f aca="false">IF($F30="","",IF(COUNTA($I30:$K30)=0,0,1/COUNTA($I30:$K30)))</f>
        <v>0.5</v>
      </c>
      <c r="AE30" s="57" t="n">
        <f aca="false">IF($AH30=0,"",SUM($AH$4:$AH30))</f>
        <v>6</v>
      </c>
      <c r="AF30" s="57" t="str">
        <f aca="false">IF($AI30=0,"",SUM($AI$4:$AI30))</f>
        <v/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1</v>
      </c>
      <c r="AI30" s="57" t="n">
        <f aca="false">IF(AND($F30&lt;&gt;"",$P30&lt;&gt;"",$P30&lt;Hoje!$C$3,$AB30=0,$R30&lt;&gt;"Cancelada"),1,0)</f>
        <v>0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15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Fecha hoje</v>
      </c>
      <c r="C31" s="58" t="s">
        <v>260</v>
      </c>
      <c r="D31" s="59" t="s">
        <v>148</v>
      </c>
      <c r="E31" s="59" t="s">
        <v>115</v>
      </c>
      <c r="F31" s="59" t="s">
        <v>262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253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0</v>
      </c>
      <c r="AD31" s="57" t="n">
        <f aca="false">IF($F31="","",IF(COUNTA($I31:$K31)=0,0,1/COUNTA($I31:$K31)))</f>
        <v>0.5</v>
      </c>
      <c r="AE31" s="57" t="n">
        <f aca="false">IF($AH31=0,"",SUM($AH$4:$AH31))</f>
        <v>7</v>
      </c>
      <c r="AF31" s="57" t="str">
        <f aca="false">IF($AI31=0,"",SUM($AI$4:$AI31))</f>
        <v/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1</v>
      </c>
      <c r="AI31" s="57" t="n">
        <f aca="false">IF(AND($F31&lt;&gt;"",$P31&lt;&gt;"",$P31&lt;Hoje!$C$3,$AB31=0,$R31&lt;&gt;"Cancelada"),1,0)</f>
        <v>0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15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Fecha hoje</v>
      </c>
      <c r="C32" s="58" t="s">
        <v>260</v>
      </c>
      <c r="D32" s="59" t="s">
        <v>148</v>
      </c>
      <c r="E32" s="59" t="s">
        <v>115</v>
      </c>
      <c r="F32" s="59" t="s">
        <v>263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253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0</v>
      </c>
      <c r="AD32" s="57" t="n">
        <f aca="false">IF($F32="","",IF(COUNTA($I32:$K32)=0,0,1/COUNTA($I32:$K32)))</f>
        <v>0.5</v>
      </c>
      <c r="AE32" s="57" t="n">
        <f aca="false">IF($AH32=0,"",SUM($AH$4:$AH32))</f>
        <v>8</v>
      </c>
      <c r="AF32" s="57" t="str">
        <f aca="false">IF($AI32=0,"",SUM($AI$4:$AI32))</f>
        <v/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1</v>
      </c>
      <c r="AI32" s="57" t="n">
        <f aca="false">IF(AND($F32&lt;&gt;"",$P32&lt;&gt;"",$P32&lt;Hoje!$C$3,$AB32=0,$R32&lt;&gt;"Cancelada"),1,0)</f>
        <v>0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15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251</v>
      </c>
      <c r="D33" s="59" t="s">
        <v>148</v>
      </c>
      <c r="E33" s="59" t="s">
        <v>115</v>
      </c>
      <c r="F33" s="59" t="s">
        <v>264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253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0</v>
      </c>
      <c r="AD33" s="57" t="n">
        <f aca="false">IF($F33="","",IF(COUNTA($I33:$K33)=0,0,1/COUNTA($I33:$K33)))</f>
        <v>0.5</v>
      </c>
      <c r="AE33" s="57" t="n">
        <f aca="false">IF($AH33=0,"",SUM($AH$4:$AH33))</f>
        <v>9</v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1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15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Em execução</v>
      </c>
      <c r="C34" s="58" t="s">
        <v>265</v>
      </c>
      <c r="D34" s="59" t="s">
        <v>148</v>
      </c>
      <c r="E34" s="59" t="s">
        <v>115</v>
      </c>
      <c r="F34" s="59" t="s">
        <v>266</v>
      </c>
      <c r="G34" s="60" t="s">
        <v>115</v>
      </c>
      <c r="H34" s="60" t="s">
        <v>88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 t="n">
        <v>35</v>
      </c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46258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1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0</v>
      </c>
      <c r="AD34" s="57" t="n">
        <f aca="false">IF($F34="","",IF(COUNTA($I34:$K34)=0,0,1/COUNTA($I34:$K34)))</f>
        <v>0.5</v>
      </c>
      <c r="AE34" s="57" t="n">
        <f aca="false">IF($AH34=0,"",SUM($AH$4:$AH34))</f>
        <v>10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15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Em execução</v>
      </c>
      <c r="C35" s="58" t="s">
        <v>267</v>
      </c>
      <c r="D35" s="59" t="s">
        <v>148</v>
      </c>
      <c r="E35" s="59" t="s">
        <v>115</v>
      </c>
      <c r="F35" s="59" t="s">
        <v>268</v>
      </c>
      <c r="G35" s="60" t="s">
        <v>115</v>
      </c>
      <c r="H35" s="60" t="s">
        <v>88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 t="n">
        <v>35</v>
      </c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46258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1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0</v>
      </c>
      <c r="AD35" s="57" t="n">
        <f aca="false">IF($F35="","",IF(COUNTA($I35:$K35)=0,0,1/COUNTA($I35:$K35)))</f>
        <v>0.5</v>
      </c>
      <c r="AE35" s="57" t="n">
        <f aca="false">IF($AH35=0,"",SUM($AH$4:$AH35))</f>
        <v>11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15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Em execução</v>
      </c>
      <c r="C36" s="58" t="s">
        <v>269</v>
      </c>
      <c r="D36" s="59" t="s">
        <v>148</v>
      </c>
      <c r="E36" s="59" t="s">
        <v>115</v>
      </c>
      <c r="F36" s="59" t="s">
        <v>270</v>
      </c>
      <c r="G36" s="60" t="s">
        <v>115</v>
      </c>
      <c r="H36" s="60" t="s">
        <v>88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 t="n">
        <v>35</v>
      </c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46258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1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0</v>
      </c>
      <c r="AD36" s="57" t="n">
        <f aca="false">IF($F36="","",IF(COUNTA($I36:$K36)=0,0,1/COUNTA($I36:$K36)))</f>
        <v>0.5</v>
      </c>
      <c r="AE36" s="57" t="n">
        <f aca="false">IF($AH36=0,"",SUM($AH$4:$AH36))</f>
        <v>12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15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Em execução</v>
      </c>
      <c r="C37" s="58" t="s">
        <v>271</v>
      </c>
      <c r="D37" s="59" t="s">
        <v>148</v>
      </c>
      <c r="E37" s="59" t="s">
        <v>115</v>
      </c>
      <c r="F37" s="59" t="s">
        <v>272</v>
      </c>
      <c r="G37" s="60" t="s">
        <v>115</v>
      </c>
      <c r="H37" s="60" t="s">
        <v>88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 t="n">
        <v>35</v>
      </c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46258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1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0</v>
      </c>
      <c r="AD37" s="57" t="n">
        <f aca="false">IF($F37="","",IF(COUNTA($I37:$K37)=0,0,1/COUNTA($I37:$K37)))</f>
        <v>0.5</v>
      </c>
      <c r="AE37" s="57" t="n">
        <f aca="false">IF($AH37=0,"",SUM($AH$4:$AH37))</f>
        <v>13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15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Em execução</v>
      </c>
      <c r="C38" s="58" t="s">
        <v>273</v>
      </c>
      <c r="D38" s="59" t="s">
        <v>148</v>
      </c>
      <c r="E38" s="59" t="s">
        <v>115</v>
      </c>
      <c r="F38" s="59" t="s">
        <v>274</v>
      </c>
      <c r="G38" s="60" t="s">
        <v>115</v>
      </c>
      <c r="H38" s="60" t="s">
        <v>88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 t="n">
        <v>35</v>
      </c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46258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1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0</v>
      </c>
      <c r="AD38" s="57" t="n">
        <f aca="false">IF($F38="","",IF(COUNTA($I38:$K38)=0,0,1/COUNTA($I38:$K38)))</f>
        <v>0.5</v>
      </c>
      <c r="AE38" s="57" t="n">
        <f aca="false">IF($AH38=0,"",SUM($AH$4:$AH38))</f>
        <v>14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15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Em execução</v>
      </c>
      <c r="C39" s="58" t="s">
        <v>275</v>
      </c>
      <c r="D39" s="59" t="s">
        <v>148</v>
      </c>
      <c r="E39" s="59" t="s">
        <v>276</v>
      </c>
      <c r="F39" s="59" t="s">
        <v>277</v>
      </c>
      <c r="G39" s="60" t="s">
        <v>110</v>
      </c>
      <c r="H39" s="60" t="s">
        <v>88</v>
      </c>
      <c r="I39" s="61" t="s">
        <v>113</v>
      </c>
      <c r="J39" s="61" t="s">
        <v>137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/>
      <c r="T39" s="59"/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46265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0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0</v>
      </c>
      <c r="AD39" s="57" t="n">
        <f aca="false">IF($F39="","",IF(COUNTA($I39:$K39)=0,0,1/COUNTA($I39:$K39)))</f>
        <v>0.5</v>
      </c>
      <c r="AE39" s="57" t="n">
        <f aca="false">IF($AH39=0,"",SUM($AH$4:$AH39))</f>
        <v>15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Airton · Luiz Paulo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F-331|Alinhar pneus|36</v>
      </c>
      <c r="AK39" s="57" t="n">
        <f aca="false">IF($AJ39="","",COUNTIF($AJ$4:$AJ39,$AJ39))</f>
        <v>1</v>
      </c>
      <c r="AL39" s="57" t="n">
        <f aca="false">IF($AJ39="","",COUNTIF($AJ$4:$AJ$1004,$AJ39))</f>
        <v>1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/>
      <c r="D40" s="59" t="s">
        <v>156</v>
      </c>
      <c r="E40" s="59" t="s">
        <v>278</v>
      </c>
      <c r="F40" s="59" t="s">
        <v>278</v>
      </c>
      <c r="G40" s="60" t="s">
        <v>110</v>
      </c>
      <c r="H40" s="60" t="s">
        <v>220</v>
      </c>
      <c r="I40" s="61" t="s">
        <v>108</v>
      </c>
      <c r="J40" s="61"/>
      <c r="K40" s="61"/>
      <c r="L40" s="62" t="n">
        <v>35</v>
      </c>
      <c r="M40" s="63" t="s">
        <v>127</v>
      </c>
      <c r="N40" s="62" t="n">
        <v>2</v>
      </c>
      <c r="O40" s="64" t="n">
        <f aca="false">IF(OR($L40="",$M40=""),"",(DATE(Semana!$J$3,1,4)-WEEKDAY(DATE(Semana!$J$3,1,4),3))+($L40-1)*7+MATCH($M40,Listas!$F$5:$F$11,0)-1)</f>
        <v>46261</v>
      </c>
      <c r="P40" s="64" t="n">
        <f aca="false">IF($O40="","",$O40+MAX(0,ROUNDUP($AK40*MAX(1,IF($N40="",1,$N40))/MAX(1,$AL40),0)-1))</f>
        <v>46262</v>
      </c>
      <c r="Q40" s="65" t="n">
        <v>46261</v>
      </c>
      <c r="R40" s="60"/>
      <c r="S40" s="66"/>
      <c r="T40" s="59"/>
      <c r="U40" s="59" t="s">
        <v>279</v>
      </c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46261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1</v>
      </c>
      <c r="AE40" s="57" t="str">
        <f aca="false">IF($AH40=0,"",SUM($AH$4:$AH40))</f>
        <v/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Adilton</v>
      </c>
      <c r="AH40" s="57" t="n">
        <f aca="false">IF(AND($F40&lt;&gt;"",$O40&lt;&gt;"",$O40&lt;=Hoje!$C$3,$P40&gt;=Hoje!$C$3,$R40&lt;&gt;"Cancelada"),1,0)</f>
        <v>0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F-457|Verificar válvula de freio|35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157</v>
      </c>
      <c r="E41" s="59" t="s">
        <v>278</v>
      </c>
      <c r="F41" s="59" t="s">
        <v>278</v>
      </c>
      <c r="G41" s="60" t="s">
        <v>110</v>
      </c>
      <c r="H41" s="60" t="s">
        <v>220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279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F-458|Verificar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58" t="s">
        <v>280</v>
      </c>
      <c r="D42" s="59" t="s">
        <v>161</v>
      </c>
      <c r="E42" s="59" t="s">
        <v>218</v>
      </c>
      <c r="F42" s="59" t="s">
        <v>281</v>
      </c>
      <c r="G42" s="60" t="s">
        <v>110</v>
      </c>
      <c r="H42" s="60" t="s">
        <v>220</v>
      </c>
      <c r="I42" s="61" t="s">
        <v>113</v>
      </c>
      <c r="J42" s="61" t="s">
        <v>137</v>
      </c>
      <c r="K42" s="61"/>
      <c r="L42" s="62" t="n">
        <v>35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46261</v>
      </c>
      <c r="P42" s="64" t="n">
        <f aca="false">IF($O42="","",$O42+MAX(0,ROUNDUP($AK42*MAX(1,IF($N42="",1,$N42))/MAX(1,$AL42),0)-1))</f>
        <v>46262</v>
      </c>
      <c r="Q42" s="65" t="n">
        <v>46261</v>
      </c>
      <c r="R42" s="60" t="s">
        <v>82</v>
      </c>
      <c r="S42" s="66"/>
      <c r="T42" s="59"/>
      <c r="U42" s="59"/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1</v>
      </c>
      <c r="Y42" s="57" t="n">
        <f aca="false">IF($F42="","",IF(OR($Q42="",$W42=""),0,IF($Q42&lt;=$W42,1,0)))</f>
        <v>1</v>
      </c>
      <c r="Z42" s="57" t="n">
        <f aca="false">IF(OR($Q42="",$O42=""),"",MAX(0,$Q42-$O42))</f>
        <v>0</v>
      </c>
      <c r="AA42" s="57" t="n">
        <f aca="false">IF($F42="","",IF(AND($S42&lt;&gt;"",$L42&lt;&gt;"",$S42&lt;&gt;$L42),1,0))</f>
        <v>0</v>
      </c>
      <c r="AB42" s="57" t="n">
        <f aca="false">IF($F42="","",IF($R42="Cancelada",0,IF(OR($Q42&lt;&gt;"",$R42="Concluída"),1,0)))</f>
        <v>1</v>
      </c>
      <c r="AC42" s="57" t="n">
        <f aca="false">IF($P42="",0,IF($P42&lt;Hoje!$L$1,1,IF(AND($P42=Hoje!$L$1,Hoje!$L$2&gt;Semana!$M$3),1,0)))</f>
        <v>1</v>
      </c>
      <c r="AD42" s="57" t="n">
        <f aca="false">IF($F42="","",IF(COUNTA($I42:$K42)=0,0,1/COUNTA($I42:$K42)))</f>
        <v>0.5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Airton · Luiz Paulo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F-617|Calibração e troca de pneus|35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282</v>
      </c>
      <c r="D43" s="59" t="s">
        <v>161</v>
      </c>
      <c r="E43" s="59" t="s">
        <v>283</v>
      </c>
      <c r="F43" s="59" t="s">
        <v>284</v>
      </c>
      <c r="G43" s="60" t="s">
        <v>110</v>
      </c>
      <c r="H43" s="60" t="s">
        <v>88</v>
      </c>
      <c r="I43" s="61" t="s">
        <v>118</v>
      </c>
      <c r="J43" s="61"/>
      <c r="K43" s="61"/>
      <c r="L43" s="62" t="n">
        <v>36</v>
      </c>
      <c r="M43" s="63" t="s">
        <v>112</v>
      </c>
      <c r="N43" s="62" t="n">
        <v>2</v>
      </c>
      <c r="O43" s="64" t="n">
        <f aca="false">IF(OR($L43="",$M43=""),"",(DATE(Semana!$J$3,1,4)-WEEKDAY(DATE(Semana!$J$3,1,4),3))+($L43-1)*7+MATCH($M43,Listas!$F$5:$F$11,0)-1)</f>
        <v>46265</v>
      </c>
      <c r="P43" s="64" t="n">
        <f aca="false">IF($O43="","",$O43+MAX(0,ROUNDUP($AK43*MAX(1,IF($N43="",1,$N43))/MAX(1,$AL43),0)-1))</f>
        <v>46265</v>
      </c>
      <c r="Q43" s="65"/>
      <c r="R43" s="60" t="s">
        <v>82</v>
      </c>
      <c r="S43" s="66" t="n">
        <v>35</v>
      </c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46258</v>
      </c>
      <c r="X43" s="57" t="n">
        <f aca="false">IF($F43="","",IF(OR($Q43="",$O43=""),0,IF($Q43&lt;=$O43,1,0)))</f>
        <v>0</v>
      </c>
      <c r="Y43" s="57" t="n">
        <f aca="false">IF($F43="","",IF(OR($Q43="",$W43=""),0,IF($Q43&lt;=$W43,1,0)))</f>
        <v>0</v>
      </c>
      <c r="Z43" s="57" t="str">
        <f aca="false">IF(OR($Q43="",$O43=""),"",MAX(0,$Q43-$O43))</f>
        <v/>
      </c>
      <c r="AA43" s="57" t="n">
        <f aca="false">IF($F43="","",IF(AND($S43&lt;&gt;"",$L43&lt;&gt;"",$S43&lt;&gt;$L43),1,0))</f>
        <v>1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1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Alexandre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F-617|Baixa de carteira|36</v>
      </c>
      <c r="AK43" s="57" t="n">
        <f aca="false">IF($AJ43="","",COUNTIF($AJ$4:$AJ43,$AJ43))</f>
        <v>1</v>
      </c>
      <c r="AL43" s="57" t="n">
        <f aca="false">IF($AJ43="","",COUNTIF($AJ$4:$AJ$1004,$AJ43))</f>
        <v>25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58" t="s">
        <v>285</v>
      </c>
      <c r="D44" s="59" t="s">
        <v>161</v>
      </c>
      <c r="E44" s="59" t="s">
        <v>283</v>
      </c>
      <c r="F44" s="59" t="s">
        <v>286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2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 t="s">
        <v>82</v>
      </c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1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0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2</v>
      </c>
      <c r="AL44" s="57" t="n">
        <f aca="false">IF($AJ44="","",COUNTIF($AJ$4:$AJ$1004,$AJ44))</f>
        <v>25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58" t="s">
        <v>285</v>
      </c>
      <c r="D45" s="59" t="s">
        <v>161</v>
      </c>
      <c r="E45" s="59" t="s">
        <v>283</v>
      </c>
      <c r="F45" s="59" t="s">
        <v>287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2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 t="s">
        <v>82</v>
      </c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1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0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3</v>
      </c>
      <c r="AL45" s="57" t="n">
        <f aca="false">IF($AJ45="","",COUNTIF($AJ$4:$AJ$1004,$AJ45))</f>
        <v>25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58" t="s">
        <v>288</v>
      </c>
      <c r="D46" s="59" t="s">
        <v>161</v>
      </c>
      <c r="E46" s="59" t="s">
        <v>283</v>
      </c>
      <c r="F46" s="59" t="s">
        <v>289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2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 t="n">
        <v>46265</v>
      </c>
      <c r="R46" s="60" t="s">
        <v>82</v>
      </c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1</v>
      </c>
      <c r="Y46" s="57" t="n">
        <f aca="false">IF($F46="","",IF(OR($Q46="",$W46=""),0,IF($Q46&lt;=$W46,1,0)))</f>
        <v>0</v>
      </c>
      <c r="Z46" s="57" t="n">
        <f aca="false">IF(OR($Q46="",$O46=""),"",MAX(0,$Q46-$O46))</f>
        <v>0</v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1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0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4</v>
      </c>
      <c r="AL46" s="57" t="n">
        <f aca="false">IF($AJ46="","",COUNTIF($AJ$4:$AJ$1004,$AJ46))</f>
        <v>25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58" t="s">
        <v>290</v>
      </c>
      <c r="D47" s="59" t="s">
        <v>161</v>
      </c>
      <c r="E47" s="59" t="s">
        <v>283</v>
      </c>
      <c r="F47" s="59" t="s">
        <v>291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2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/>
      <c r="R47" s="60" t="s">
        <v>57</v>
      </c>
      <c r="S47" s="66" t="n">
        <v>35</v>
      </c>
      <c r="T47" s="59"/>
      <c r="U47" s="59" t="s">
        <v>292</v>
      </c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0</v>
      </c>
      <c r="Y47" s="57" t="n">
        <f aca="false">IF($F47="","",IF(OR($Q47="",$W47=""),0,IF($Q47&lt;=$W47,1,0)))</f>
        <v>0</v>
      </c>
      <c r="Z47" s="57" t="str">
        <f aca="false">IF(OR($Q47="",$O47=""),"",MAX(0,$Q47-$O47))</f>
        <v/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0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0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5</v>
      </c>
      <c r="AL47" s="57" t="n">
        <f aca="false">IF($AJ47="","",COUNTIF($AJ$4:$AJ$1004,$AJ47))</f>
        <v>25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</v>
      </c>
      <c r="C48" s="58" t="s">
        <v>293</v>
      </c>
      <c r="D48" s="59" t="s">
        <v>161</v>
      </c>
      <c r="E48" s="59" t="s">
        <v>283</v>
      </c>
      <c r="F48" s="59" t="s">
        <v>294</v>
      </c>
      <c r="G48" s="60" t="s">
        <v>110</v>
      </c>
      <c r="H48" s="60" t="s">
        <v>88</v>
      </c>
      <c r="I48" s="61" t="s">
        <v>133</v>
      </c>
      <c r="J48" s="61"/>
      <c r="K48" s="61"/>
      <c r="L48" s="62" t="n">
        <v>36</v>
      </c>
      <c r="M48" s="63" t="s">
        <v>112</v>
      </c>
      <c r="N48" s="62" t="n">
        <v>2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 t="s">
        <v>82</v>
      </c>
      <c r="S48" s="66" t="n">
        <v>35</v>
      </c>
      <c r="T48" s="59"/>
      <c r="U48" s="59"/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1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Júnior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0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6</v>
      </c>
      <c r="AL48" s="57" t="n">
        <f aca="false">IF($AJ48="","",COUNTIF($AJ$4:$AJ$1004,$AJ48))</f>
        <v>25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58" t="s">
        <v>295</v>
      </c>
      <c r="D49" s="59" t="s">
        <v>161</v>
      </c>
      <c r="E49" s="59" t="s">
        <v>283</v>
      </c>
      <c r="F49" s="59" t="s">
        <v>296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2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46265</v>
      </c>
      <c r="Q49" s="65"/>
      <c r="R49" s="60" t="s">
        <v>82</v>
      </c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1</v>
      </c>
      <c r="AC49" s="57" t="n">
        <f aca="false">IF($P49="",0,IF($P49&lt;Hoje!$L$1,1,IF(AND($P49=Hoje!$L$1,Hoje!$L$2&gt;Semana!$M$3),1,0)))</f>
        <v>1</v>
      </c>
      <c r="AD49" s="57" t="n">
        <f aca="false">IF($F49="","",IF(COUNTA($I49:$K49)=0,0,1/COUNTA($I49:$K49)))</f>
        <v>1</v>
      </c>
      <c r="AE49" s="57" t="str">
        <f aca="false">IF($AH49=0,"",SUM($AH$4:$AH49))</f>
        <v/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0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7</v>
      </c>
      <c r="AL49" s="57" t="n">
        <f aca="false">IF($AJ49="","",COUNTIF($AJ$4:$AJ$1004,$AJ49))</f>
        <v>25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58" t="s">
        <v>297</v>
      </c>
      <c r="D50" s="59" t="s">
        <v>161</v>
      </c>
      <c r="E50" s="59" t="s">
        <v>283</v>
      </c>
      <c r="F50" s="59" t="s">
        <v>298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2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46265</v>
      </c>
      <c r="Q50" s="65"/>
      <c r="R50" s="60" t="s">
        <v>82</v>
      </c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1</v>
      </c>
      <c r="AC50" s="57" t="n">
        <f aca="false">IF($P50="",0,IF($P50&lt;Hoje!$L$1,1,IF(AND($P50=Hoje!$L$1,Hoje!$L$2&gt;Semana!$M$3),1,0)))</f>
        <v>1</v>
      </c>
      <c r="AD50" s="57" t="n">
        <f aca="false">IF($F50="","",IF(COUNTA($I50:$K50)=0,0,1/COUNTA($I50:$K50)))</f>
        <v>1</v>
      </c>
      <c r="AE50" s="57" t="str">
        <f aca="false">IF($AH50=0,"",SUM($AH$4:$AH50))</f>
        <v/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0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8</v>
      </c>
      <c r="AL50" s="57" t="n">
        <f aca="false">IF($AJ50="","",COUNTIF($AJ$4:$AJ$1004,$AJ50))</f>
        <v>25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58" t="s">
        <v>299</v>
      </c>
      <c r="D51" s="59" t="s">
        <v>161</v>
      </c>
      <c r="E51" s="59" t="s">
        <v>283</v>
      </c>
      <c r="F51" s="59" t="s">
        <v>300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2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46265</v>
      </c>
      <c r="Q51" s="65"/>
      <c r="R51" s="60" t="s">
        <v>82</v>
      </c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1</v>
      </c>
      <c r="AC51" s="57" t="n">
        <f aca="false">IF($P51="",0,IF($P51&lt;Hoje!$L$1,1,IF(AND($P51=Hoje!$L$1,Hoje!$L$2&gt;Semana!$M$3),1,0)))</f>
        <v>1</v>
      </c>
      <c r="AD51" s="57" t="n">
        <f aca="false">IF($F51="","",IF(COUNTA($I51:$K51)=0,0,1/COUNTA($I51:$K51)))</f>
        <v>1</v>
      </c>
      <c r="AE51" s="57" t="str">
        <f aca="false">IF($AH51=0,"",SUM($AH$4:$AH51))</f>
        <v/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0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9</v>
      </c>
      <c r="AL51" s="57" t="n">
        <f aca="false">IF($AJ51="","",COUNTIF($AJ$4:$AJ$1004,$AJ51))</f>
        <v>25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58" t="s">
        <v>301</v>
      </c>
      <c r="D52" s="59" t="s">
        <v>161</v>
      </c>
      <c r="E52" s="59" t="s">
        <v>283</v>
      </c>
      <c r="F52" s="59" t="s">
        <v>302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2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46265</v>
      </c>
      <c r="Q52" s="65"/>
      <c r="R52" s="60" t="s">
        <v>82</v>
      </c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1</v>
      </c>
      <c r="AC52" s="57" t="n">
        <f aca="false">IF($P52="",0,IF($P52&lt;Hoje!$L$1,1,IF(AND($P52=Hoje!$L$1,Hoje!$L$2&gt;Semana!$M$3),1,0)))</f>
        <v>1</v>
      </c>
      <c r="AD52" s="57" t="n">
        <f aca="false">IF($F52="","",IF(COUNTA($I52:$K52)=0,0,1/COUNTA($I52:$K52)))</f>
        <v>1</v>
      </c>
      <c r="AE52" s="57" t="str">
        <f aca="false">IF($AH52=0,"",SUM($AH$4:$AH52))</f>
        <v/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0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10</v>
      </c>
      <c r="AL52" s="57" t="n">
        <f aca="false">IF($AJ52="","",COUNTIF($AJ$4:$AJ$1004,$AJ52))</f>
        <v>25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58" t="s">
        <v>303</v>
      </c>
      <c r="D53" s="59" t="s">
        <v>161</v>
      </c>
      <c r="E53" s="59" t="s">
        <v>283</v>
      </c>
      <c r="F53" s="59" t="s">
        <v>304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2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46265</v>
      </c>
      <c r="Q53" s="65"/>
      <c r="R53" s="60" t="s">
        <v>82</v>
      </c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1</v>
      </c>
      <c r="AC53" s="57" t="n">
        <f aca="false">IF($P53="",0,IF($P53&lt;Hoje!$L$1,1,IF(AND($P53=Hoje!$L$1,Hoje!$L$2&gt;Semana!$M$3),1,0)))</f>
        <v>1</v>
      </c>
      <c r="AD53" s="57" t="n">
        <f aca="false">IF($F53="","",IF(COUNTA($I53:$K53)=0,0,1/COUNTA($I53:$K53)))</f>
        <v>1</v>
      </c>
      <c r="AE53" s="57" t="str">
        <f aca="false">IF($AH53=0,"",SUM($AH$4:$AH53))</f>
        <v/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0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11</v>
      </c>
      <c r="AL53" s="57" t="n">
        <f aca="false">IF($AJ53="","",COUNTIF($AJ$4:$AJ$1004,$AJ53))</f>
        <v>25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58" t="s">
        <v>305</v>
      </c>
      <c r="D54" s="59" t="s">
        <v>161</v>
      </c>
      <c r="E54" s="59" t="s">
        <v>283</v>
      </c>
      <c r="F54" s="59" t="s">
        <v>306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2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46265</v>
      </c>
      <c r="Q54" s="65"/>
      <c r="R54" s="60" t="s">
        <v>82</v>
      </c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1</v>
      </c>
      <c r="AC54" s="57" t="n">
        <f aca="false">IF($P54="",0,IF($P54&lt;Hoje!$L$1,1,IF(AND($P54=Hoje!$L$1,Hoje!$L$2&gt;Semana!$M$3),1,0)))</f>
        <v>1</v>
      </c>
      <c r="AD54" s="57" t="n">
        <f aca="false">IF($F54="","",IF(COUNTA($I54:$K54)=0,0,1/COUNTA($I54:$K54)))</f>
        <v>1</v>
      </c>
      <c r="AE54" s="57" t="str">
        <f aca="false">IF($AH54=0,"",SUM($AH$4:$AH54))</f>
        <v/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0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12</v>
      </c>
      <c r="AL54" s="57" t="n">
        <f aca="false">IF($AJ54="","",COUNTIF($AJ$4:$AJ$1004,$AJ54))</f>
        <v>25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Fecha hoje</v>
      </c>
      <c r="C55" s="58" t="s">
        <v>305</v>
      </c>
      <c r="D55" s="59" t="s">
        <v>161</v>
      </c>
      <c r="E55" s="59" t="s">
        <v>283</v>
      </c>
      <c r="F55" s="59" t="s">
        <v>307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2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46266</v>
      </c>
      <c r="Q55" s="65"/>
      <c r="R55" s="60"/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0</v>
      </c>
      <c r="AC55" s="57" t="n">
        <f aca="false">IF($P55="",0,IF($P55&lt;Hoje!$L$1,1,IF(AND($P55=Hoje!$L$1,Hoje!$L$2&gt;Semana!$M$3),1,0)))</f>
        <v>0</v>
      </c>
      <c r="AD55" s="57" t="n">
        <f aca="false">IF($F55="","",IF(COUNTA($I55:$K55)=0,0,1/COUNTA($I55:$K55)))</f>
        <v>1</v>
      </c>
      <c r="AE55" s="57" t="n">
        <f aca="false">IF($AH55=0,"",SUM($AH$4:$AH55))</f>
        <v>16</v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1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13</v>
      </c>
      <c r="AL55" s="57" t="n">
        <f aca="false">IF($AJ55="","",COUNTIF($AJ$4:$AJ$1004,$AJ55))</f>
        <v>25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</v>
      </c>
      <c r="C56" s="58" t="s">
        <v>308</v>
      </c>
      <c r="D56" s="59" t="s">
        <v>161</v>
      </c>
      <c r="E56" s="59" t="s">
        <v>283</v>
      </c>
      <c r="F56" s="59" t="s">
        <v>309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2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46266</v>
      </c>
      <c r="Q56" s="65"/>
      <c r="R56" s="60" t="s">
        <v>82</v>
      </c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1</v>
      </c>
      <c r="AC56" s="57" t="n">
        <f aca="false">IF($P56="",0,IF($P56&lt;Hoje!$L$1,1,IF(AND($P56=Hoje!$L$1,Hoje!$L$2&gt;Semana!$M$3),1,0)))</f>
        <v>0</v>
      </c>
      <c r="AD56" s="57" t="n">
        <f aca="false">IF($F56="","",IF(COUNTA($I56:$K56)=0,0,1/COUNTA($I56:$K56)))</f>
        <v>1</v>
      </c>
      <c r="AE56" s="57" t="n">
        <f aca="false">IF($AH56=0,"",SUM($AH$4:$AH56))</f>
        <v>17</v>
      </c>
      <c r="AF56" s="57" t="str">
        <f aca="false">IF($AI56=0,"",SUM($AI$4:$AI56))</f>
        <v/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1</v>
      </c>
      <c r="AI56" s="57" t="n">
        <f aca="false">IF(AND($F56&lt;&gt;"",$P56&lt;&gt;"",$P56&lt;Hoje!$C$3,$AB56=0,$R56&lt;&gt;"Cancelada"),1,0)</f>
        <v>0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14</v>
      </c>
      <c r="AL56" s="57" t="n">
        <f aca="false">IF($AJ56="","",COUNTIF($AJ$4:$AJ$1004,$AJ56))</f>
        <v>25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58" t="s">
        <v>310</v>
      </c>
      <c r="D57" s="59" t="s">
        <v>161</v>
      </c>
      <c r="E57" s="59" t="s">
        <v>283</v>
      </c>
      <c r="F57" s="59" t="s">
        <v>311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2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46266</v>
      </c>
      <c r="Q57" s="65"/>
      <c r="R57" s="60" t="s">
        <v>82</v>
      </c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1</v>
      </c>
      <c r="AC57" s="57" t="n">
        <f aca="false">IF($P57="",0,IF($P57&lt;Hoje!$L$1,1,IF(AND($P57=Hoje!$L$1,Hoje!$L$2&gt;Semana!$M$3),1,0)))</f>
        <v>0</v>
      </c>
      <c r="AD57" s="57" t="n">
        <f aca="false">IF($F57="","",IF(COUNTA($I57:$K57)=0,0,1/COUNTA($I57:$K57)))</f>
        <v>1</v>
      </c>
      <c r="AE57" s="57" t="n">
        <f aca="false">IF($AH57=0,"",SUM($AH$4:$AH57))</f>
        <v>18</v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1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15</v>
      </c>
      <c r="AL57" s="57" t="n">
        <f aca="false">IF($AJ57="","",COUNTIF($AJ$4:$AJ$1004,$AJ57))</f>
        <v>25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58" t="s">
        <v>312</v>
      </c>
      <c r="D58" s="59" t="s">
        <v>161</v>
      </c>
      <c r="E58" s="59" t="s">
        <v>283</v>
      </c>
      <c r="F58" s="59" t="s">
        <v>313</v>
      </c>
      <c r="G58" s="60" t="s">
        <v>110</v>
      </c>
      <c r="H58" s="60" t="s">
        <v>88</v>
      </c>
      <c r="I58" s="61" t="s">
        <v>118</v>
      </c>
      <c r="J58" s="61"/>
      <c r="K58" s="61"/>
      <c r="L58" s="62" t="n">
        <v>36</v>
      </c>
      <c r="M58" s="63" t="s">
        <v>112</v>
      </c>
      <c r="N58" s="62" t="n">
        <v>2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46266</v>
      </c>
      <c r="Q58" s="65"/>
      <c r="R58" s="60" t="s">
        <v>82</v>
      </c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1</v>
      </c>
      <c r="AC58" s="57" t="n">
        <f aca="false">IF($P58="",0,IF($P58&lt;Hoje!$L$1,1,IF(AND($P58=Hoje!$L$1,Hoje!$L$2&gt;Semana!$M$3),1,0)))</f>
        <v>0</v>
      </c>
      <c r="AD58" s="57" t="n">
        <f aca="false">IF($F58="","",IF(COUNTA($I58:$K58)=0,0,1/COUNTA($I58:$K58)))</f>
        <v>1</v>
      </c>
      <c r="AE58" s="57" t="n">
        <f aca="false">IF($AH58=0,"",SUM($AH$4:$AH58))</f>
        <v>19</v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Alexandre</v>
      </c>
      <c r="AH58" s="57" t="n">
        <f aca="false">IF(AND($F58&lt;&gt;"",$O58&lt;&gt;"",$O58&lt;=Hoje!$C$3,$P58&gt;=Hoje!$C$3,$R58&lt;&gt;"Cancelada"),1,0)</f>
        <v>1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16</v>
      </c>
      <c r="AL58" s="57" t="n">
        <f aca="false">IF($AJ58="","",COUNTIF($AJ$4:$AJ$1004,$AJ58))</f>
        <v>25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58" t="s">
        <v>288</v>
      </c>
      <c r="D59" s="59" t="s">
        <v>161</v>
      </c>
      <c r="E59" s="59" t="s">
        <v>283</v>
      </c>
      <c r="F59" s="59" t="s">
        <v>314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2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46266</v>
      </c>
      <c r="Q59" s="65"/>
      <c r="R59" s="60" t="s">
        <v>57</v>
      </c>
      <c r="S59" s="66" t="n">
        <v>35</v>
      </c>
      <c r="T59" s="59" t="s">
        <v>131</v>
      </c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0</v>
      </c>
      <c r="AC59" s="57" t="n">
        <f aca="false">IF($P59="",0,IF($P59&lt;Hoje!$L$1,1,IF(AND($P59=Hoje!$L$1,Hoje!$L$2&gt;Semana!$M$3),1,0)))</f>
        <v>0</v>
      </c>
      <c r="AD59" s="57" t="n">
        <f aca="false">IF($F59="","",IF(COUNTA($I59:$K59)=0,0,1/COUNTA($I59:$K59)))</f>
        <v>1</v>
      </c>
      <c r="AE59" s="57" t="str">
        <f aca="false">IF($AH59=0,"",SUM($AH$4:$AH59))</f>
        <v/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0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17</v>
      </c>
      <c r="AL59" s="57" t="n">
        <f aca="false">IF($AJ59="","",COUNTIF($AJ$4:$AJ$1004,$AJ59))</f>
        <v>25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58" t="s">
        <v>315</v>
      </c>
      <c r="D60" s="59" t="s">
        <v>161</v>
      </c>
      <c r="E60" s="59" t="s">
        <v>283</v>
      </c>
      <c r="F60" s="59" t="s">
        <v>316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2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46266</v>
      </c>
      <c r="Q60" s="65"/>
      <c r="R60" s="60" t="s">
        <v>82</v>
      </c>
      <c r="S60" s="66" t="n">
        <v>35</v>
      </c>
      <c r="T60" s="59"/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1</v>
      </c>
      <c r="AC60" s="57" t="n">
        <f aca="false">IF($P60="",0,IF($P60&lt;Hoje!$L$1,1,IF(AND($P60=Hoje!$L$1,Hoje!$L$2&gt;Semana!$M$3),1,0)))</f>
        <v>0</v>
      </c>
      <c r="AD60" s="57" t="n">
        <f aca="false">IF($F60="","",IF(COUNTA($I60:$K60)=0,0,1/COUNTA($I60:$K60)))</f>
        <v>1</v>
      </c>
      <c r="AE60" s="57" t="n">
        <f aca="false">IF($AH60=0,"",SUM($AH$4:$AH60))</f>
        <v>20</v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1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18</v>
      </c>
      <c r="AL60" s="57" t="n">
        <f aca="false">IF($AJ60="","",COUNTIF($AJ$4:$AJ$1004,$AJ60))</f>
        <v>25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Fecha hoje</v>
      </c>
      <c r="C61" s="58" t="s">
        <v>317</v>
      </c>
      <c r="D61" s="59" t="s">
        <v>161</v>
      </c>
      <c r="E61" s="59" t="s">
        <v>283</v>
      </c>
      <c r="F61" s="59" t="s">
        <v>318</v>
      </c>
      <c r="G61" s="60" t="s">
        <v>110</v>
      </c>
      <c r="H61" s="60" t="s">
        <v>88</v>
      </c>
      <c r="I61" s="61" t="s">
        <v>133</v>
      </c>
      <c r="J61" s="61"/>
      <c r="K61" s="61"/>
      <c r="L61" s="62" t="n">
        <v>36</v>
      </c>
      <c r="M61" s="63" t="s">
        <v>112</v>
      </c>
      <c r="N61" s="62" t="n">
        <v>2</v>
      </c>
      <c r="O61" s="64" t="n">
        <f aca="false">IF(OR($L61="",$M61=""),"",(DATE(Semana!$J$3,1,4)-WEEKDAY(DATE(Semana!$J$3,1,4),3))+($L61-1)*7+MATCH($M61,Listas!$F$5:$F$11,0)-1)</f>
        <v>46265</v>
      </c>
      <c r="P61" s="64" t="n">
        <f aca="false">IF($O61="","",$O61+MAX(0,ROUNDUP($AK61*MAX(1,IF($N61="",1,$N61))/MAX(1,$AL61),0)-1))</f>
        <v>46266</v>
      </c>
      <c r="Q61" s="65"/>
      <c r="R61" s="60"/>
      <c r="S61" s="66" t="n">
        <v>35</v>
      </c>
      <c r="T61" s="59"/>
      <c r="U61" s="59"/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46258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str">
        <f aca="false">IF(OR($Q61="",$O61=""),"",MAX(0,$Q61-$O61))</f>
        <v/>
      </c>
      <c r="AA61" s="57" t="n">
        <f aca="false">IF($F61="","",IF(AND($S61&lt;&gt;"",$L61&lt;&gt;"",$S61&lt;&gt;$L61),1,0))</f>
        <v>1</v>
      </c>
      <c r="AB61" s="57" t="n">
        <f aca="false">IF($F61="","",IF($R61="Cancelada",0,IF(OR($Q61&lt;&gt;"",$R61="Concluída"),1,0)))</f>
        <v>0</v>
      </c>
      <c r="AC61" s="57" t="n">
        <f aca="false">IF($P61="",0,IF($P61&lt;Hoje!$L$1,1,IF(AND($P61=Hoje!$L$1,Hoje!$L$2&gt;Semana!$M$3),1,0)))</f>
        <v>0</v>
      </c>
      <c r="AD61" s="57" t="n">
        <f aca="false">IF($F61="","",IF(COUNTA($I61:$K61)=0,0,1/COUNTA($I61:$K61)))</f>
        <v>1</v>
      </c>
      <c r="AE61" s="57" t="n">
        <f aca="false">IF($AH61=0,"",SUM($AH$4:$AH61))</f>
        <v>21</v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Júnior</v>
      </c>
      <c r="AH61" s="57" t="n">
        <f aca="false">IF(AND($F61&lt;&gt;"",$O61&lt;&gt;"",$O61&lt;=Hoje!$C$3,$P61&gt;=Hoje!$C$3,$R61&lt;&gt;"Cancelada"),1,0)</f>
        <v>1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F-617|Baixa de carteira|36</v>
      </c>
      <c r="AK61" s="57" t="n">
        <f aca="false">IF($AJ61="","",COUNTIF($AJ$4:$AJ61,$AJ61))</f>
        <v>19</v>
      </c>
      <c r="AL61" s="57" t="n">
        <f aca="false">IF($AJ61="","",COUNTIF($AJ$4:$AJ$1004,$AJ61))</f>
        <v>25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Fecha hoje</v>
      </c>
      <c r="C62" s="58" t="s">
        <v>317</v>
      </c>
      <c r="D62" s="59" t="s">
        <v>161</v>
      </c>
      <c r="E62" s="59" t="s">
        <v>283</v>
      </c>
      <c r="F62" s="59" t="s">
        <v>319</v>
      </c>
      <c r="G62" s="60" t="s">
        <v>110</v>
      </c>
      <c r="H62" s="60" t="s">
        <v>88</v>
      </c>
      <c r="I62" s="61" t="s">
        <v>133</v>
      </c>
      <c r="J62" s="61"/>
      <c r="K62" s="61"/>
      <c r="L62" s="62" t="n">
        <v>36</v>
      </c>
      <c r="M62" s="63" t="s">
        <v>112</v>
      </c>
      <c r="N62" s="62" t="n">
        <v>2</v>
      </c>
      <c r="O62" s="64" t="n">
        <f aca="false">IF(OR($L62="",$M62=""),"",(DATE(Semana!$J$3,1,4)-WEEKDAY(DATE(Semana!$J$3,1,4),3))+($L62-1)*7+MATCH($M62,Listas!$F$5:$F$11,0)-1)</f>
        <v>46265</v>
      </c>
      <c r="P62" s="64" t="n">
        <f aca="false">IF($O62="","",$O62+MAX(0,ROUNDUP($AK62*MAX(1,IF($N62="",1,$N62))/MAX(1,$AL62),0)-1))</f>
        <v>46266</v>
      </c>
      <c r="Q62" s="65"/>
      <c r="R62" s="60"/>
      <c r="S62" s="66" t="n">
        <v>35</v>
      </c>
      <c r="T62" s="59"/>
      <c r="U62" s="59"/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46258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str">
        <f aca="false">IF(OR($Q62="",$O62=""),"",MAX(0,$Q62-$O62))</f>
        <v/>
      </c>
      <c r="AA62" s="57" t="n">
        <f aca="false">IF($F62="","",IF(AND($S62&lt;&gt;"",$L62&lt;&gt;"",$S62&lt;&gt;$L62),1,0))</f>
        <v>1</v>
      </c>
      <c r="AB62" s="57" t="n">
        <f aca="false">IF($F62="","",IF($R62="Cancelada",0,IF(OR($Q62&lt;&gt;"",$R62="Concluída"),1,0)))</f>
        <v>0</v>
      </c>
      <c r="AC62" s="57" t="n">
        <f aca="false">IF($P62="",0,IF($P62&lt;Hoje!$L$1,1,IF(AND($P62=Hoje!$L$1,Hoje!$L$2&gt;Semana!$M$3),1,0)))</f>
        <v>0</v>
      </c>
      <c r="AD62" s="57" t="n">
        <f aca="false">IF($F62="","",IF(COUNTA($I62:$K62)=0,0,1/COUNTA($I62:$K62)))</f>
        <v>1</v>
      </c>
      <c r="AE62" s="57" t="n">
        <f aca="false">IF($AH62=0,"",SUM($AH$4:$AH62))</f>
        <v>22</v>
      </c>
      <c r="AF62" s="57" t="str">
        <f aca="false">IF($AI62=0,"",SUM($AI$4:$AI62))</f>
        <v/>
      </c>
      <c r="AG62" s="67" t="str">
        <f aca="false">IF($F62="","",$I62&amp;IF($J62="",""," · "&amp;$J62)&amp;IF($K62="",""," · "&amp;$K62))</f>
        <v>Júnior</v>
      </c>
      <c r="AH62" s="57" t="n">
        <f aca="false">IF(AND($F62&lt;&gt;"",$O62&lt;&gt;"",$O62&lt;=Hoje!$C$3,$P62&gt;=Hoje!$C$3,$R62&lt;&gt;"Cancelada"),1,0)</f>
        <v>1</v>
      </c>
      <c r="AI62" s="57" t="n">
        <f aca="false">IF(AND($F62&lt;&gt;"",$P62&lt;&gt;"",$P62&lt;Hoje!$C$3,$AB62=0,$R62&lt;&gt;"Cancelada"),1,0)</f>
        <v>0</v>
      </c>
      <c r="AJ62" s="67" t="str">
        <f aca="false">IF($F62="","",$D62&amp;"|"&amp;$E62&amp;"|"&amp;$L62)</f>
        <v>F-617|Baixa de carteira|36</v>
      </c>
      <c r="AK62" s="57" t="n">
        <f aca="false">IF($AJ62="","",COUNTIF($AJ$4:$AJ62,$AJ62))</f>
        <v>20</v>
      </c>
      <c r="AL62" s="57" t="n">
        <f aca="false">IF($AJ62="","",COUNTIF($AJ$4:$AJ$1004,$AJ62))</f>
        <v>25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</v>
      </c>
      <c r="C63" s="58" t="s">
        <v>320</v>
      </c>
      <c r="D63" s="59" t="s">
        <v>161</v>
      </c>
      <c r="E63" s="59" t="s">
        <v>283</v>
      </c>
      <c r="F63" s="59" t="s">
        <v>321</v>
      </c>
      <c r="G63" s="60" t="s">
        <v>110</v>
      </c>
      <c r="H63" s="60" t="s">
        <v>88</v>
      </c>
      <c r="I63" s="61" t="s">
        <v>133</v>
      </c>
      <c r="J63" s="61"/>
      <c r="K63" s="61"/>
      <c r="L63" s="62" t="n">
        <v>36</v>
      </c>
      <c r="M63" s="63" t="s">
        <v>112</v>
      </c>
      <c r="N63" s="62" t="n">
        <v>2</v>
      </c>
      <c r="O63" s="64" t="n">
        <f aca="false">IF(OR($L63="",$M63=""),"",(DATE(Semana!$J$3,1,4)-WEEKDAY(DATE(Semana!$J$3,1,4),3))+($L63-1)*7+MATCH($M63,Listas!$F$5:$F$11,0)-1)</f>
        <v>46265</v>
      </c>
      <c r="P63" s="64" t="n">
        <f aca="false">IF($O63="","",$O63+MAX(0,ROUNDUP($AK63*MAX(1,IF($N63="",1,$N63))/MAX(1,$AL63),0)-1))</f>
        <v>46266</v>
      </c>
      <c r="Q63" s="65"/>
      <c r="R63" s="60" t="s">
        <v>82</v>
      </c>
      <c r="S63" s="66" t="n">
        <v>35</v>
      </c>
      <c r="T63" s="59"/>
      <c r="U63" s="59"/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46258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str">
        <f aca="false">IF(OR($Q63="",$O63=""),"",MAX(0,$Q63-$O63))</f>
        <v/>
      </c>
      <c r="AA63" s="57" t="n">
        <f aca="false">IF($F63="","",IF(AND($S63&lt;&gt;"",$L63&lt;&gt;"",$S63&lt;&gt;$L63),1,0))</f>
        <v>1</v>
      </c>
      <c r="AB63" s="57" t="n">
        <f aca="false">IF($F63="","",IF($R63="Cancelada",0,IF(OR($Q63&lt;&gt;"",$R63="Concluída"),1,0)))</f>
        <v>1</v>
      </c>
      <c r="AC63" s="57" t="n">
        <f aca="false">IF($P63="",0,IF($P63&lt;Hoje!$L$1,1,IF(AND($P63=Hoje!$L$1,Hoje!$L$2&gt;Semana!$M$3),1,0)))</f>
        <v>0</v>
      </c>
      <c r="AD63" s="57" t="n">
        <f aca="false">IF($F63="","",IF(COUNTA($I63:$K63)=0,0,1/COUNTA($I63:$K63)))</f>
        <v>1</v>
      </c>
      <c r="AE63" s="57" t="n">
        <f aca="false">IF($AH63=0,"",SUM($AH$4:$AH63))</f>
        <v>23</v>
      </c>
      <c r="AF63" s="57" t="str">
        <f aca="false">IF($AI63=0,"",SUM($AI$4:$AI63))</f>
        <v/>
      </c>
      <c r="AG63" s="67" t="str">
        <f aca="false">IF($F63="","",$I63&amp;IF($J63="",""," · "&amp;$J63)&amp;IF($K63="",""," · "&amp;$K63))</f>
        <v>Júnior</v>
      </c>
      <c r="AH63" s="57" t="n">
        <f aca="false">IF(AND($F63&lt;&gt;"",$O63&lt;&gt;"",$O63&lt;=Hoje!$C$3,$P63&gt;=Hoje!$C$3,$R63&lt;&gt;"Cancelada"),1,0)</f>
        <v>1</v>
      </c>
      <c r="AI63" s="57" t="n">
        <f aca="false">IF(AND($F63&lt;&gt;"",$P63&lt;&gt;"",$P63&lt;Hoje!$C$3,$AB63=0,$R63&lt;&gt;"Cancelada"),1,0)</f>
        <v>0</v>
      </c>
      <c r="AJ63" s="67" t="str">
        <f aca="false">IF($F63="","",$D63&amp;"|"&amp;$E63&amp;"|"&amp;$L63)</f>
        <v>F-617|Baixa de carteira|36</v>
      </c>
      <c r="AK63" s="57" t="n">
        <f aca="false">IF($AJ63="","",COUNTIF($AJ$4:$AJ63,$AJ63))</f>
        <v>21</v>
      </c>
      <c r="AL63" s="57" t="n">
        <f aca="false">IF($AJ63="","",COUNTIF($AJ$4:$AJ$1004,$AJ63))</f>
        <v>25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Fecha hoje</v>
      </c>
      <c r="C64" s="58" t="s">
        <v>320</v>
      </c>
      <c r="D64" s="59" t="s">
        <v>161</v>
      </c>
      <c r="E64" s="59" t="s">
        <v>283</v>
      </c>
      <c r="F64" s="59" t="s">
        <v>322</v>
      </c>
      <c r="G64" s="60" t="s">
        <v>110</v>
      </c>
      <c r="H64" s="60" t="s">
        <v>88</v>
      </c>
      <c r="I64" s="61" t="s">
        <v>133</v>
      </c>
      <c r="J64" s="61"/>
      <c r="K64" s="61"/>
      <c r="L64" s="62" t="n">
        <v>36</v>
      </c>
      <c r="M64" s="63" t="s">
        <v>112</v>
      </c>
      <c r="N64" s="62" t="n">
        <v>2</v>
      </c>
      <c r="O64" s="64" t="n">
        <f aca="false">IF(OR($L64="",$M64=""),"",(DATE(Semana!$J$3,1,4)-WEEKDAY(DATE(Semana!$J$3,1,4),3))+($L64-1)*7+MATCH($M64,Listas!$F$5:$F$11,0)-1)</f>
        <v>46265</v>
      </c>
      <c r="P64" s="64" t="n">
        <f aca="false">IF($O64="","",$O64+MAX(0,ROUNDUP($AK64*MAX(1,IF($N64="",1,$N64))/MAX(1,$AL64),0)-1))</f>
        <v>46266</v>
      </c>
      <c r="Q64" s="65"/>
      <c r="R64" s="60"/>
      <c r="S64" s="66" t="n">
        <v>35</v>
      </c>
      <c r="T64" s="59"/>
      <c r="U64" s="59"/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46258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str">
        <f aca="false">IF(OR($Q64="",$O64=""),"",MAX(0,$Q64-$O64))</f>
        <v/>
      </c>
      <c r="AA64" s="57" t="n">
        <f aca="false">IF($F64="","",IF(AND($S64&lt;&gt;"",$L64&lt;&gt;"",$S64&lt;&gt;$L64),1,0))</f>
        <v>1</v>
      </c>
      <c r="AB64" s="57" t="n">
        <f aca="false">IF($F64="","",IF($R64="Cancelada",0,IF(OR($Q64&lt;&gt;"",$R64="Concluída"),1,0)))</f>
        <v>0</v>
      </c>
      <c r="AC64" s="57" t="n">
        <f aca="false">IF($P64="",0,IF($P64&lt;Hoje!$L$1,1,IF(AND($P64=Hoje!$L$1,Hoje!$L$2&gt;Semana!$M$3),1,0)))</f>
        <v>0</v>
      </c>
      <c r="AD64" s="57" t="n">
        <f aca="false">IF($F64="","",IF(COUNTA($I64:$K64)=0,0,1/COUNTA($I64:$K64)))</f>
        <v>1</v>
      </c>
      <c r="AE64" s="57" t="n">
        <f aca="false">IF($AH64=0,"",SUM($AH$4:$AH64))</f>
        <v>24</v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Júnior</v>
      </c>
      <c r="AH64" s="57" t="n">
        <f aca="false">IF(AND($F64&lt;&gt;"",$O64&lt;&gt;"",$O64&lt;=Hoje!$C$3,$P64&gt;=Hoje!$C$3,$R64&lt;&gt;"Cancelada"),1,0)</f>
        <v>1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F-617|Baixa de carteira|36</v>
      </c>
      <c r="AK64" s="57" t="n">
        <f aca="false">IF($AJ64="","",COUNTIF($AJ$4:$AJ64,$AJ64))</f>
        <v>22</v>
      </c>
      <c r="AL64" s="57" t="n">
        <f aca="false">IF($AJ64="","",COUNTIF($AJ$4:$AJ$1004,$AJ64))</f>
        <v>25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Fecha hoje</v>
      </c>
      <c r="C65" s="58" t="s">
        <v>320</v>
      </c>
      <c r="D65" s="59" t="s">
        <v>161</v>
      </c>
      <c r="E65" s="59" t="s">
        <v>283</v>
      </c>
      <c r="F65" s="59" t="s">
        <v>323</v>
      </c>
      <c r="G65" s="60" t="s">
        <v>110</v>
      </c>
      <c r="H65" s="60" t="s">
        <v>88</v>
      </c>
      <c r="I65" s="61" t="s">
        <v>133</v>
      </c>
      <c r="J65" s="61"/>
      <c r="K65" s="61"/>
      <c r="L65" s="62" t="n">
        <v>36</v>
      </c>
      <c r="M65" s="63" t="s">
        <v>112</v>
      </c>
      <c r="N65" s="62" t="n">
        <v>2</v>
      </c>
      <c r="O65" s="64" t="n">
        <f aca="false">IF(OR($L65="",$M65=""),"",(DATE(Semana!$J$3,1,4)-WEEKDAY(DATE(Semana!$J$3,1,4),3))+($L65-1)*7+MATCH($M65,Listas!$F$5:$F$11,0)-1)</f>
        <v>46265</v>
      </c>
      <c r="P65" s="64" t="n">
        <f aca="false">IF($O65="","",$O65+MAX(0,ROUNDUP($AK65*MAX(1,IF($N65="",1,$N65))/MAX(1,$AL65),0)-1))</f>
        <v>46266</v>
      </c>
      <c r="Q65" s="65"/>
      <c r="R65" s="60"/>
      <c r="S65" s="66" t="n">
        <v>35</v>
      </c>
      <c r="T65" s="59"/>
      <c r="U65" s="59"/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46258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str">
        <f aca="false">IF(OR($Q65="",$O65=""),"",MAX(0,$Q65-$O65))</f>
        <v/>
      </c>
      <c r="AA65" s="57" t="n">
        <f aca="false">IF($F65="","",IF(AND($S65&lt;&gt;"",$L65&lt;&gt;"",$S65&lt;&gt;$L65),1,0))</f>
        <v>1</v>
      </c>
      <c r="AB65" s="57" t="n">
        <f aca="false">IF($F65="","",IF($R65="Cancelada",0,IF(OR($Q65&lt;&gt;"",$R65="Concluída"),1,0)))</f>
        <v>0</v>
      </c>
      <c r="AC65" s="57" t="n">
        <f aca="false">IF($P65="",0,IF($P65&lt;Hoje!$L$1,1,IF(AND($P65=Hoje!$L$1,Hoje!$L$2&gt;Semana!$M$3),1,0)))</f>
        <v>0</v>
      </c>
      <c r="AD65" s="57" t="n">
        <f aca="false">IF($F65="","",IF(COUNTA($I65:$K65)=0,0,1/COUNTA($I65:$K65)))</f>
        <v>1</v>
      </c>
      <c r="AE65" s="57" t="n">
        <f aca="false">IF($AH65=0,"",SUM($AH$4:$AH65))</f>
        <v>25</v>
      </c>
      <c r="AF65" s="57" t="str">
        <f aca="false">IF($AI65=0,"",SUM($AI$4:$AI65))</f>
        <v/>
      </c>
      <c r="AG65" s="67" t="str">
        <f aca="false">IF($F65="","",$I65&amp;IF($J65="",""," · "&amp;$J65)&amp;IF($K65="",""," · "&amp;$K65))</f>
        <v>Júnior</v>
      </c>
      <c r="AH65" s="57" t="n">
        <f aca="false">IF(AND($F65&lt;&gt;"",$O65&lt;&gt;"",$O65&lt;=Hoje!$C$3,$P65&gt;=Hoje!$C$3,$R65&lt;&gt;"Cancelada"),1,0)</f>
        <v>1</v>
      </c>
      <c r="AI65" s="57" t="n">
        <f aca="false">IF(AND($F65&lt;&gt;"",$P65&lt;&gt;"",$P65&lt;Hoje!$C$3,$AB65=0,$R65&lt;&gt;"Cancelada"),1,0)</f>
        <v>0</v>
      </c>
      <c r="AJ65" s="67" t="str">
        <f aca="false">IF($F65="","",$D65&amp;"|"&amp;$E65&amp;"|"&amp;$L65)</f>
        <v>F-617|Baixa de carteira|36</v>
      </c>
      <c r="AK65" s="57" t="n">
        <f aca="false">IF($AJ65="","",COUNTIF($AJ$4:$AJ65,$AJ65))</f>
        <v>23</v>
      </c>
      <c r="AL65" s="57" t="n">
        <f aca="false">IF($AJ65="","",COUNTIF($AJ$4:$AJ$1004,$AJ65))</f>
        <v>25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</v>
      </c>
      <c r="C66" s="58" t="s">
        <v>320</v>
      </c>
      <c r="D66" s="59" t="s">
        <v>161</v>
      </c>
      <c r="E66" s="59" t="s">
        <v>283</v>
      </c>
      <c r="F66" s="59" t="s">
        <v>324</v>
      </c>
      <c r="G66" s="60" t="s">
        <v>110</v>
      </c>
      <c r="H66" s="60" t="s">
        <v>88</v>
      </c>
      <c r="I66" s="61" t="s">
        <v>133</v>
      </c>
      <c r="J66" s="61"/>
      <c r="K66" s="61"/>
      <c r="L66" s="62" t="n">
        <v>36</v>
      </c>
      <c r="M66" s="63" t="s">
        <v>112</v>
      </c>
      <c r="N66" s="62" t="n">
        <v>2</v>
      </c>
      <c r="O66" s="64" t="n">
        <f aca="false">IF(OR($L66="",$M66=""),"",(DATE(Semana!$J$3,1,4)-WEEKDAY(DATE(Semana!$J$3,1,4),3))+($L66-1)*7+MATCH($M66,Listas!$F$5:$F$11,0)-1)</f>
        <v>46265</v>
      </c>
      <c r="P66" s="64" t="n">
        <f aca="false">IF($O66="","",$O66+MAX(0,ROUNDUP($AK66*MAX(1,IF($N66="",1,$N66))/MAX(1,$AL66),0)-1))</f>
        <v>46266</v>
      </c>
      <c r="Q66" s="65"/>
      <c r="R66" s="60" t="s">
        <v>82</v>
      </c>
      <c r="S66" s="66" t="n">
        <v>35</v>
      </c>
      <c r="T66" s="59"/>
      <c r="U66" s="59"/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46258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str">
        <f aca="false">IF(OR($Q66="",$O66=""),"",MAX(0,$Q66-$O66))</f>
        <v/>
      </c>
      <c r="AA66" s="57" t="n">
        <f aca="false">IF($F66="","",IF(AND($S66&lt;&gt;"",$L66&lt;&gt;"",$S66&lt;&gt;$L66),1,0))</f>
        <v>1</v>
      </c>
      <c r="AB66" s="57" t="n">
        <f aca="false">IF($F66="","",IF($R66="Cancelada",0,IF(OR($Q66&lt;&gt;"",$R66="Concluída"),1,0)))</f>
        <v>1</v>
      </c>
      <c r="AC66" s="57" t="n">
        <f aca="false">IF($P66="",0,IF($P66&lt;Hoje!$L$1,1,IF(AND($P66=Hoje!$L$1,Hoje!$L$2&gt;Semana!$M$3),1,0)))</f>
        <v>0</v>
      </c>
      <c r="AD66" s="57" t="n">
        <f aca="false">IF($F66="","",IF(COUNTA($I66:$K66)=0,0,1/COUNTA($I66:$K66)))</f>
        <v>1</v>
      </c>
      <c r="AE66" s="57" t="n">
        <f aca="false">IF($AH66=0,"",SUM($AH$4:$AH66))</f>
        <v>26</v>
      </c>
      <c r="AF66" s="57" t="str">
        <f aca="false">IF($AI66=0,"",SUM($AI$4:$AI66))</f>
        <v/>
      </c>
      <c r="AG66" s="67" t="str">
        <f aca="false">IF($F66="","",$I66&amp;IF($J66="",""," · "&amp;$J66)&amp;IF($K66="",""," · "&amp;$K66))</f>
        <v>Júnior</v>
      </c>
      <c r="AH66" s="57" t="n">
        <f aca="false">IF(AND($F66&lt;&gt;"",$O66&lt;&gt;"",$O66&lt;=Hoje!$C$3,$P66&gt;=Hoje!$C$3,$R66&lt;&gt;"Cancelada"),1,0)</f>
        <v>1</v>
      </c>
      <c r="AI66" s="57" t="n">
        <f aca="false">IF(AND($F66&lt;&gt;"",$P66&lt;&gt;"",$P66&lt;Hoje!$C$3,$AB66=0,$R66&lt;&gt;"Cancelada"),1,0)</f>
        <v>0</v>
      </c>
      <c r="AJ66" s="67" t="str">
        <f aca="false">IF($F66="","",$D66&amp;"|"&amp;$E66&amp;"|"&amp;$L66)</f>
        <v>F-617|Baixa de carteira|36</v>
      </c>
      <c r="AK66" s="57" t="n">
        <f aca="false">IF($AJ66="","",COUNTIF($AJ$4:$AJ66,$AJ66))</f>
        <v>24</v>
      </c>
      <c r="AL66" s="57" t="n">
        <f aca="false">IF($AJ66="","",COUNTIF($AJ$4:$AJ$1004,$AJ66))</f>
        <v>25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58" t="s">
        <v>280</v>
      </c>
      <c r="D67" s="59" t="s">
        <v>161</v>
      </c>
      <c r="E67" s="59" t="s">
        <v>283</v>
      </c>
      <c r="F67" s="59" t="s">
        <v>325</v>
      </c>
      <c r="G67" s="60" t="s">
        <v>110</v>
      </c>
      <c r="H67" s="60" t="s">
        <v>88</v>
      </c>
      <c r="I67" s="61" t="s">
        <v>113</v>
      </c>
      <c r="J67" s="61" t="s">
        <v>137</v>
      </c>
      <c r="K67" s="61"/>
      <c r="L67" s="62" t="n">
        <v>36</v>
      </c>
      <c r="M67" s="63" t="s">
        <v>112</v>
      </c>
      <c r="N67" s="62" t="n">
        <v>2</v>
      </c>
      <c r="O67" s="64" t="n">
        <f aca="false">IF(OR($L67="",$M67=""),"",(DATE(Semana!$J$3,1,4)-WEEKDAY(DATE(Semana!$J$3,1,4),3))+($L67-1)*7+MATCH($M67,Listas!$F$5:$F$11,0)-1)</f>
        <v>46265</v>
      </c>
      <c r="P67" s="64" t="n">
        <f aca="false">IF($O67="","",$O67+MAX(0,ROUNDUP($AK67*MAX(1,IF($N67="",1,$N67))/MAX(1,$AL67),0)-1))</f>
        <v>46266</v>
      </c>
      <c r="Q67" s="65"/>
      <c r="R67" s="60" t="s">
        <v>82</v>
      </c>
      <c r="S67" s="66" t="n">
        <v>35</v>
      </c>
      <c r="T67" s="59"/>
      <c r="U67" s="59"/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46258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str">
        <f aca="false">IF(OR($Q67="",$O67=""),"",MAX(0,$Q67-$O67))</f>
        <v/>
      </c>
      <c r="AA67" s="57" t="n">
        <f aca="false">IF($F67="","",IF(AND($S67&lt;&gt;"",$L67&lt;&gt;"",$S67&lt;&gt;$L67),1,0))</f>
        <v>1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0</v>
      </c>
      <c r="AD67" s="57" t="n">
        <f aca="false">IF($F67="","",IF(COUNTA($I67:$K67)=0,0,1/COUNTA($I67:$K67)))</f>
        <v>0.5</v>
      </c>
      <c r="AE67" s="57" t="n">
        <f aca="false">IF($AH67=0,"",SUM($AH$4:$AH67))</f>
        <v>27</v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Airton · Luiz Paulo</v>
      </c>
      <c r="AH67" s="57" t="n">
        <f aca="false">IF(AND($F67&lt;&gt;"",$O67&lt;&gt;"",$O67&lt;=Hoje!$C$3,$P67&gt;=Hoje!$C$3,$R67&lt;&gt;"Cancelada"),1,0)</f>
        <v>1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F-617|Baixa de carteira|36</v>
      </c>
      <c r="AK67" s="57" t="n">
        <f aca="false">IF($AJ67="","",COUNTIF($AJ$4:$AJ67,$AJ67))</f>
        <v>25</v>
      </c>
      <c r="AL67" s="57" t="n">
        <f aca="false">IF($AJ67="","",COUNTIF($AJ$4:$AJ$1004,$AJ67))</f>
        <v>25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58" t="s">
        <v>326</v>
      </c>
      <c r="D68" s="59" t="s">
        <v>163</v>
      </c>
      <c r="E68" s="59" t="s">
        <v>327</v>
      </c>
      <c r="F68" s="59" t="s">
        <v>328</v>
      </c>
      <c r="G68" s="60" t="s">
        <v>110</v>
      </c>
      <c r="H68" s="60" t="s">
        <v>88</v>
      </c>
      <c r="I68" s="61" t="s">
        <v>108</v>
      </c>
      <c r="J68" s="61" t="s">
        <v>123</v>
      </c>
      <c r="K68" s="61" t="s">
        <v>133</v>
      </c>
      <c r="L68" s="62" t="n">
        <v>35</v>
      </c>
      <c r="M68" s="63" t="s">
        <v>117</v>
      </c>
      <c r="N68" s="62" t="n">
        <v>4</v>
      </c>
      <c r="O68" s="64" t="n">
        <f aca="false">IF(OR($L68="",$M68=""),"",(DATE(Semana!$J$3,1,4)-WEEKDAY(DATE(Semana!$J$3,1,4),3))+($L68-1)*7+MATCH($M68,Listas!$F$5:$F$11,0)-1)</f>
        <v>46259</v>
      </c>
      <c r="P68" s="64" t="n">
        <f aca="false">IF($O68="","",$O68+MAX(0,ROUNDUP($AK68*MAX(1,IF($N68="",1,$N68))/MAX(1,$AL68),0)-1))</f>
        <v>46259</v>
      </c>
      <c r="Q68" s="65" t="n">
        <v>46260</v>
      </c>
      <c r="R68" s="60" t="s">
        <v>82</v>
      </c>
      <c r="S68" s="66"/>
      <c r="T68" s="59"/>
      <c r="U68" s="59" t="s">
        <v>329</v>
      </c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46259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n">
        <f aca="false">IF(OR($Q68="",$O68=""),"",MAX(0,$Q68-$O68))</f>
        <v>1</v>
      </c>
      <c r="AA68" s="57" t="n">
        <f aca="false">IF($F68="","",IF(AND($S68&lt;&gt;"",$L68&lt;&gt;"",$S68&lt;&gt;$L68),1,0))</f>
        <v>0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0.333333333333333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Adilton · Gabriel · Júnior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F-624|Baixa de pendências backlog|35</v>
      </c>
      <c r="AK68" s="57" t="n">
        <f aca="false">IF($AJ68="","",COUNTIF($AJ$4:$AJ68,$AJ68))</f>
        <v>1</v>
      </c>
      <c r="AL68" s="57" t="n">
        <f aca="false">IF($AJ68="","",COUNTIF($AJ$4:$AJ$1004,$AJ68))</f>
        <v>20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 t="s">
        <v>330</v>
      </c>
      <c r="D69" s="59" t="s">
        <v>163</v>
      </c>
      <c r="E69" s="59" t="s">
        <v>327</v>
      </c>
      <c r="F69" s="59" t="s">
        <v>331</v>
      </c>
      <c r="G69" s="60" t="s">
        <v>110</v>
      </c>
      <c r="H69" s="60" t="s">
        <v>88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46259</v>
      </c>
      <c r="Q69" s="65" t="n">
        <v>46260</v>
      </c>
      <c r="R69" s="60" t="s">
        <v>82</v>
      </c>
      <c r="S69" s="66"/>
      <c r="T69" s="59"/>
      <c r="U69" s="59" t="s">
        <v>329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2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/>
      <c r="D70" s="59" t="s">
        <v>163</v>
      </c>
      <c r="E70" s="59" t="s">
        <v>327</v>
      </c>
      <c r="F70" s="59" t="s">
        <v>332</v>
      </c>
      <c r="G70" s="60" t="s">
        <v>110</v>
      </c>
      <c r="H70" s="60" t="s">
        <v>220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46259</v>
      </c>
      <c r="Q70" s="65" t="n">
        <v>46260</v>
      </c>
      <c r="R70" s="60" t="s">
        <v>82</v>
      </c>
      <c r="S70" s="66"/>
      <c r="T70" s="59"/>
      <c r="U70" s="59" t="s">
        <v>329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3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58"/>
      <c r="D71" s="59" t="s">
        <v>163</v>
      </c>
      <c r="E71" s="59" t="s">
        <v>327</v>
      </c>
      <c r="F71" s="59" t="s">
        <v>333</v>
      </c>
      <c r="G71" s="60" t="s">
        <v>110</v>
      </c>
      <c r="H71" s="60" t="s">
        <v>220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117</v>
      </c>
      <c r="N71" s="62" t="n">
        <v>4</v>
      </c>
      <c r="O71" s="64" t="n">
        <f aca="false">IF(OR($L71="",$M71=""),"",(DATE(Semana!$J$3,1,4)-WEEKDAY(DATE(Semana!$J$3,1,4),3))+($L71-1)*7+MATCH($M71,Listas!$F$5:$F$11,0)-1)</f>
        <v>46259</v>
      </c>
      <c r="P71" s="64" t="n">
        <f aca="false">IF($O71="","",$O71+MAX(0,ROUNDUP($AK71*MAX(1,IF($N71="",1,$N71))/MAX(1,$AL71),0)-1))</f>
        <v>46259</v>
      </c>
      <c r="Q71" s="65" t="n">
        <v>46260</v>
      </c>
      <c r="R71" s="60" t="s">
        <v>82</v>
      </c>
      <c r="S71" s="66"/>
      <c r="T71" s="59"/>
      <c r="U71" s="59" t="s">
        <v>329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46259</v>
      </c>
      <c r="X71" s="57" t="n">
        <f aca="false">IF($F71="","",IF(OR($Q71="",$O71=""),0,IF($Q71&lt;=$O71,1,0)))</f>
        <v>0</v>
      </c>
      <c r="Y71" s="57" t="n">
        <f aca="false">IF($F71="","",IF(OR($Q71="",$W71=""),0,IF($Q71&lt;=$W71,1,0)))</f>
        <v>0</v>
      </c>
      <c r="Z71" s="57" t="n">
        <f aca="false">IF(OR($Q71="",$O71=""),"",MAX(0,$Q71-$O71))</f>
        <v>1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4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58"/>
      <c r="D72" s="59" t="s">
        <v>163</v>
      </c>
      <c r="E72" s="59" t="s">
        <v>327</v>
      </c>
      <c r="F72" s="59" t="s">
        <v>334</v>
      </c>
      <c r="G72" s="60" t="s">
        <v>110</v>
      </c>
      <c r="H72" s="60" t="s">
        <v>220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117</v>
      </c>
      <c r="N72" s="62" t="n">
        <v>4</v>
      </c>
      <c r="O72" s="64" t="n">
        <f aca="false">IF(OR($L72="",$M72=""),"",(DATE(Semana!$J$3,1,4)-WEEKDAY(DATE(Semana!$J$3,1,4),3))+($L72-1)*7+MATCH($M72,Listas!$F$5:$F$11,0)-1)</f>
        <v>46259</v>
      </c>
      <c r="P72" s="64" t="n">
        <f aca="false">IF($O72="","",$O72+MAX(0,ROUNDUP($AK72*MAX(1,IF($N72="",1,$N72))/MAX(1,$AL72),0)-1))</f>
        <v>46259</v>
      </c>
      <c r="Q72" s="65" t="n">
        <v>46260</v>
      </c>
      <c r="R72" s="60" t="s">
        <v>82</v>
      </c>
      <c r="S72" s="66"/>
      <c r="T72" s="59"/>
      <c r="U72" s="59" t="s">
        <v>329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46259</v>
      </c>
      <c r="X72" s="57" t="n">
        <f aca="false">IF($F72="","",IF(OR($Q72="",$O72=""),0,IF($Q72&lt;=$O72,1,0)))</f>
        <v>0</v>
      </c>
      <c r="Y72" s="57" t="n">
        <f aca="false">IF($F72="","",IF(OR($Q72="",$W72=""),0,IF($Q72&lt;=$W72,1,0)))</f>
        <v>0</v>
      </c>
      <c r="Z72" s="57" t="n">
        <f aca="false">IF(OR($Q72="",$O72=""),"",MAX(0,$Q72-$O72))</f>
        <v>1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5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58"/>
      <c r="D73" s="59" t="s">
        <v>163</v>
      </c>
      <c r="E73" s="59" t="s">
        <v>327</v>
      </c>
      <c r="F73" s="59" t="s">
        <v>335</v>
      </c>
      <c r="G73" s="60" t="s">
        <v>110</v>
      </c>
      <c r="H73" s="60" t="s">
        <v>220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117</v>
      </c>
      <c r="N73" s="62" t="n">
        <v>4</v>
      </c>
      <c r="O73" s="64" t="n">
        <f aca="false">IF(OR($L73="",$M73=""),"",(DATE(Semana!$J$3,1,4)-WEEKDAY(DATE(Semana!$J$3,1,4),3))+($L73-1)*7+MATCH($M73,Listas!$F$5:$F$11,0)-1)</f>
        <v>46259</v>
      </c>
      <c r="P73" s="64" t="n">
        <f aca="false">IF($O73="","",$O73+MAX(0,ROUNDUP($AK73*MAX(1,IF($N73="",1,$N73))/MAX(1,$AL73),0)-1))</f>
        <v>46260</v>
      </c>
      <c r="Q73" s="65" t="n">
        <v>46260</v>
      </c>
      <c r="R73" s="60" t="s">
        <v>82</v>
      </c>
      <c r="S73" s="66"/>
      <c r="T73" s="59"/>
      <c r="U73" s="59" t="s">
        <v>329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46259</v>
      </c>
      <c r="X73" s="57" t="n">
        <f aca="false">IF($F73="","",IF(OR($Q73="",$O73=""),0,IF($Q73&lt;=$O73,1,0)))</f>
        <v>0</v>
      </c>
      <c r="Y73" s="57" t="n">
        <f aca="false">IF($F73="","",IF(OR($Q73="",$W73=""),0,IF($Q73&lt;=$W73,1,0)))</f>
        <v>0</v>
      </c>
      <c r="Z73" s="57" t="n">
        <f aca="false">IF(OR($Q73="",$O73=""),"",MAX(0,$Q73-$O73))</f>
        <v>1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6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58"/>
      <c r="D74" s="59" t="s">
        <v>163</v>
      </c>
      <c r="E74" s="59" t="s">
        <v>327</v>
      </c>
      <c r="F74" s="59" t="s">
        <v>336</v>
      </c>
      <c r="G74" s="60" t="s">
        <v>110</v>
      </c>
      <c r="H74" s="60" t="s">
        <v>220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117</v>
      </c>
      <c r="N74" s="62" t="n">
        <v>4</v>
      </c>
      <c r="O74" s="64" t="n">
        <f aca="false">IF(OR($L74="",$M74=""),"",(DATE(Semana!$J$3,1,4)-WEEKDAY(DATE(Semana!$J$3,1,4),3))+($L74-1)*7+MATCH($M74,Listas!$F$5:$F$11,0)-1)</f>
        <v>46259</v>
      </c>
      <c r="P74" s="64" t="n">
        <f aca="false">IF($O74="","",$O74+MAX(0,ROUNDUP($AK74*MAX(1,IF($N74="",1,$N74))/MAX(1,$AL74),0)-1))</f>
        <v>46260</v>
      </c>
      <c r="Q74" s="65" t="n">
        <v>46260</v>
      </c>
      <c r="R74" s="60" t="s">
        <v>82</v>
      </c>
      <c r="S74" s="66"/>
      <c r="T74" s="59"/>
      <c r="U74" s="59" t="s">
        <v>329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46259</v>
      </c>
      <c r="X74" s="57" t="n">
        <f aca="false">IF($F74="","",IF(OR($Q74="",$O74=""),0,IF($Q74&lt;=$O74,1,0)))</f>
        <v>0</v>
      </c>
      <c r="Y74" s="57" t="n">
        <f aca="false">IF($F74="","",IF(OR($Q74="",$W74=""),0,IF($Q74&lt;=$W74,1,0)))</f>
        <v>0</v>
      </c>
      <c r="Z74" s="57" t="n">
        <f aca="false">IF(OR($Q74="",$O74=""),"",MAX(0,$Q74-$O74))</f>
        <v>1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7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58"/>
      <c r="D75" s="59" t="s">
        <v>163</v>
      </c>
      <c r="E75" s="59" t="s">
        <v>327</v>
      </c>
      <c r="F75" s="59" t="s">
        <v>337</v>
      </c>
      <c r="G75" s="60" t="s">
        <v>110</v>
      </c>
      <c r="H75" s="60" t="s">
        <v>220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117</v>
      </c>
      <c r="N75" s="62" t="n">
        <v>4</v>
      </c>
      <c r="O75" s="64" t="n">
        <f aca="false">IF(OR($L75="",$M75=""),"",(DATE(Semana!$J$3,1,4)-WEEKDAY(DATE(Semana!$J$3,1,4),3))+($L75-1)*7+MATCH($M75,Listas!$F$5:$F$11,0)-1)</f>
        <v>46259</v>
      </c>
      <c r="P75" s="64" t="n">
        <f aca="false">IF($O75="","",$O75+MAX(0,ROUNDUP($AK75*MAX(1,IF($N75="",1,$N75))/MAX(1,$AL75),0)-1))</f>
        <v>46260</v>
      </c>
      <c r="Q75" s="65" t="n">
        <v>46260</v>
      </c>
      <c r="R75" s="60" t="s">
        <v>82</v>
      </c>
      <c r="S75" s="66"/>
      <c r="T75" s="59"/>
      <c r="U75" s="59" t="s">
        <v>329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46259</v>
      </c>
      <c r="X75" s="57" t="n">
        <f aca="false">IF($F75="","",IF(OR($Q75="",$O75=""),0,IF($Q75&lt;=$O75,1,0)))</f>
        <v>0</v>
      </c>
      <c r="Y75" s="57" t="n">
        <f aca="false">IF($F75="","",IF(OR($Q75="",$W75=""),0,IF($Q75&lt;=$W75,1,0)))</f>
        <v>0</v>
      </c>
      <c r="Z75" s="57" t="n">
        <f aca="false">IF(OR($Q75="",$O75=""),"",MAX(0,$Q75-$O75))</f>
        <v>1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8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58"/>
      <c r="D76" s="59" t="s">
        <v>163</v>
      </c>
      <c r="E76" s="59" t="s">
        <v>327</v>
      </c>
      <c r="F76" s="59" t="s">
        <v>338</v>
      </c>
      <c r="G76" s="60" t="s">
        <v>110</v>
      </c>
      <c r="H76" s="60" t="s">
        <v>220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117</v>
      </c>
      <c r="N76" s="62" t="n">
        <v>4</v>
      </c>
      <c r="O76" s="64" t="n">
        <f aca="false">IF(OR($L76="",$M76=""),"",(DATE(Semana!$J$3,1,4)-WEEKDAY(DATE(Semana!$J$3,1,4),3))+($L76-1)*7+MATCH($M76,Listas!$F$5:$F$11,0)-1)</f>
        <v>46259</v>
      </c>
      <c r="P76" s="64" t="n">
        <f aca="false">IF($O76="","",$O76+MAX(0,ROUNDUP($AK76*MAX(1,IF($N76="",1,$N76))/MAX(1,$AL76),0)-1))</f>
        <v>46260</v>
      </c>
      <c r="Q76" s="65" t="n">
        <v>46260</v>
      </c>
      <c r="R76" s="60" t="s">
        <v>82</v>
      </c>
      <c r="S76" s="66"/>
      <c r="T76" s="59"/>
      <c r="U76" s="59" t="s">
        <v>329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46259</v>
      </c>
      <c r="X76" s="57" t="n">
        <f aca="false">IF($F76="","",IF(OR($Q76="",$O76=""),0,IF($Q76&lt;=$O76,1,0)))</f>
        <v>0</v>
      </c>
      <c r="Y76" s="57" t="n">
        <f aca="false">IF($F76="","",IF(OR($Q76="",$W76=""),0,IF($Q76&lt;=$W76,1,0)))</f>
        <v>0</v>
      </c>
      <c r="Z76" s="57" t="n">
        <f aca="false">IF(OR($Q76="",$O76=""),"",MAX(0,$Q76-$O76))</f>
        <v>1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9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58"/>
      <c r="D77" s="59" t="s">
        <v>163</v>
      </c>
      <c r="E77" s="59" t="s">
        <v>327</v>
      </c>
      <c r="F77" s="59" t="s">
        <v>339</v>
      </c>
      <c r="G77" s="60" t="s">
        <v>110</v>
      </c>
      <c r="H77" s="60" t="s">
        <v>220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117</v>
      </c>
      <c r="N77" s="62" t="n">
        <v>4</v>
      </c>
      <c r="O77" s="64" t="n">
        <f aca="false">IF(OR($L77="",$M77=""),"",(DATE(Semana!$J$3,1,4)-WEEKDAY(DATE(Semana!$J$3,1,4),3))+($L77-1)*7+MATCH($M77,Listas!$F$5:$F$11,0)-1)</f>
        <v>46259</v>
      </c>
      <c r="P77" s="64" t="n">
        <f aca="false">IF($O77="","",$O77+MAX(0,ROUNDUP($AK77*MAX(1,IF($N77="",1,$N77))/MAX(1,$AL77),0)-1))</f>
        <v>46260</v>
      </c>
      <c r="Q77" s="65" t="n">
        <v>46260</v>
      </c>
      <c r="R77" s="60" t="s">
        <v>82</v>
      </c>
      <c r="S77" s="66"/>
      <c r="T77" s="59"/>
      <c r="U77" s="59" t="s">
        <v>329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46259</v>
      </c>
      <c r="X77" s="57" t="n">
        <f aca="false">IF($F77="","",IF(OR($Q77="",$O77=""),0,IF($Q77&lt;=$O77,1,0)))</f>
        <v>0</v>
      </c>
      <c r="Y77" s="57" t="n">
        <f aca="false">IF($F77="","",IF(OR($Q77="",$W77=""),0,IF($Q77&lt;=$W77,1,0)))</f>
        <v>0</v>
      </c>
      <c r="Z77" s="57" t="n">
        <f aca="false">IF(OR($Q77="",$O77=""),"",MAX(0,$Q77-$O77))</f>
        <v>1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10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58"/>
      <c r="D78" s="59" t="s">
        <v>163</v>
      </c>
      <c r="E78" s="59" t="s">
        <v>327</v>
      </c>
      <c r="F78" s="59" t="s">
        <v>340</v>
      </c>
      <c r="G78" s="60" t="s">
        <v>110</v>
      </c>
      <c r="H78" s="60" t="s">
        <v>220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122</v>
      </c>
      <c r="N78" s="62" t="n">
        <v>4</v>
      </c>
      <c r="O78" s="64" t="n">
        <f aca="false">IF(OR($L78="",$M78=""),"",(DATE(Semana!$J$3,1,4)-WEEKDAY(DATE(Semana!$J$3,1,4),3))+($L78-1)*7+MATCH($M78,Listas!$F$5:$F$11,0)-1)</f>
        <v>46260</v>
      </c>
      <c r="P78" s="64" t="n">
        <f aca="false">IF($O78="","",$O78+MAX(0,ROUNDUP($AK78*MAX(1,IF($N78="",1,$N78))/MAX(1,$AL78),0)-1))</f>
        <v>46262</v>
      </c>
      <c r="Q78" s="65" t="n">
        <v>46260</v>
      </c>
      <c r="R78" s="60" t="s">
        <v>82</v>
      </c>
      <c r="S78" s="66"/>
      <c r="T78" s="59"/>
      <c r="U78" s="59" t="s">
        <v>329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46260</v>
      </c>
      <c r="X78" s="57" t="n">
        <f aca="false">IF($F78="","",IF(OR($Q78="",$O78=""),0,IF($Q78&lt;=$O78,1,0)))</f>
        <v>1</v>
      </c>
      <c r="Y78" s="57" t="n">
        <f aca="false">IF($F78="","",IF(OR($Q78="",$W78=""),0,IF($Q78&lt;=$W78,1,0)))</f>
        <v>1</v>
      </c>
      <c r="Z78" s="57" t="n">
        <f aca="false">IF(OR($Q78="",$O78=""),"",MAX(0,$Q78-$O78))</f>
        <v>0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11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163</v>
      </c>
      <c r="E79" s="59" t="s">
        <v>327</v>
      </c>
      <c r="F79" s="59" t="s">
        <v>341</v>
      </c>
      <c r="G79" s="60" t="s">
        <v>110</v>
      </c>
      <c r="H79" s="60" t="s">
        <v>220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46262</v>
      </c>
      <c r="Q79" s="65" t="n">
        <v>46260</v>
      </c>
      <c r="R79" s="60" t="s">
        <v>82</v>
      </c>
      <c r="S79" s="66"/>
      <c r="T79" s="59"/>
      <c r="U79" s="59" t="s">
        <v>329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12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163</v>
      </c>
      <c r="E80" s="59" t="s">
        <v>327</v>
      </c>
      <c r="F80" s="59" t="s">
        <v>342</v>
      </c>
      <c r="G80" s="60" t="s">
        <v>110</v>
      </c>
      <c r="H80" s="60" t="s">
        <v>220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46262</v>
      </c>
      <c r="Q80" s="65" t="n">
        <v>46260</v>
      </c>
      <c r="R80" s="60" t="s">
        <v>82</v>
      </c>
      <c r="S80" s="66"/>
      <c r="T80" s="59"/>
      <c r="U80" s="59" t="s">
        <v>329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13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58"/>
      <c r="D81" s="59" t="s">
        <v>163</v>
      </c>
      <c r="E81" s="59" t="s">
        <v>327</v>
      </c>
      <c r="F81" s="59" t="s">
        <v>343</v>
      </c>
      <c r="G81" s="60" t="s">
        <v>110</v>
      </c>
      <c r="H81" s="60" t="s">
        <v>220</v>
      </c>
      <c r="I81" s="61" t="s">
        <v>108</v>
      </c>
      <c r="J81" s="61" t="s">
        <v>123</v>
      </c>
      <c r="K81" s="61" t="s">
        <v>133</v>
      </c>
      <c r="L81" s="62" t="n">
        <v>35</v>
      </c>
      <c r="M81" s="63" t="s">
        <v>122</v>
      </c>
      <c r="N81" s="62" t="n">
        <v>4</v>
      </c>
      <c r="O81" s="64" t="n">
        <f aca="false">IF(OR($L81="",$M81=""),"",(DATE(Semana!$J$3,1,4)-WEEKDAY(DATE(Semana!$J$3,1,4),3))+($L81-1)*7+MATCH($M81,Listas!$F$5:$F$11,0)-1)</f>
        <v>46260</v>
      </c>
      <c r="P81" s="64" t="n">
        <f aca="false">IF($O81="","",$O81+MAX(0,ROUNDUP($AK81*MAX(1,IF($N81="",1,$N81))/MAX(1,$AL81),0)-1))</f>
        <v>46262</v>
      </c>
      <c r="Q81" s="65" t="n">
        <v>46260</v>
      </c>
      <c r="R81" s="60" t="s">
        <v>82</v>
      </c>
      <c r="S81" s="66"/>
      <c r="T81" s="59"/>
      <c r="U81" s="59" t="s">
        <v>329</v>
      </c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46260</v>
      </c>
      <c r="X81" s="57" t="n">
        <f aca="false">IF($F81="","",IF(OR($Q81="",$O81=""),0,IF($Q81&lt;=$O81,1,0)))</f>
        <v>1</v>
      </c>
      <c r="Y81" s="57" t="n">
        <f aca="false">IF($F81="","",IF(OR($Q81="",$W81=""),0,IF($Q81&lt;=$W81,1,0)))</f>
        <v>1</v>
      </c>
      <c r="Z81" s="57" t="n">
        <f aca="false">IF(OR($Q81="",$O81=""),"",MAX(0,$Q81-$O81))</f>
        <v>0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0.333333333333333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Gabriel · Júnior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F-624|Baixa de pendências backlog|35</v>
      </c>
      <c r="AK81" s="57" t="n">
        <f aca="false">IF($AJ81="","",COUNTIF($AJ$4:$AJ81,$AJ81))</f>
        <v>14</v>
      </c>
      <c r="AL81" s="57" t="n">
        <f aca="false">IF($AJ81="","",COUNTIF($AJ$4:$AJ$1004,$AJ81))</f>
        <v>20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58"/>
      <c r="D82" s="59" t="s">
        <v>163</v>
      </c>
      <c r="E82" s="59" t="s">
        <v>327</v>
      </c>
      <c r="F82" s="59" t="s">
        <v>344</v>
      </c>
      <c r="G82" s="60" t="s">
        <v>110</v>
      </c>
      <c r="H82" s="60" t="s">
        <v>220</v>
      </c>
      <c r="I82" s="61" t="s">
        <v>108</v>
      </c>
      <c r="J82" s="61" t="s">
        <v>123</v>
      </c>
      <c r="K82" s="61" t="s">
        <v>133</v>
      </c>
      <c r="L82" s="62" t="n">
        <v>35</v>
      </c>
      <c r="M82" s="63" t="s">
        <v>122</v>
      </c>
      <c r="N82" s="62" t="n">
        <v>4</v>
      </c>
      <c r="O82" s="64" t="n">
        <f aca="false">IF(OR($L82="",$M82=""),"",(DATE(Semana!$J$3,1,4)-WEEKDAY(DATE(Semana!$J$3,1,4),3))+($L82-1)*7+MATCH($M82,Listas!$F$5:$F$11,0)-1)</f>
        <v>46260</v>
      </c>
      <c r="P82" s="64" t="n">
        <f aca="false">IF($O82="","",$O82+MAX(0,ROUNDUP($AK82*MAX(1,IF($N82="",1,$N82))/MAX(1,$AL82),0)-1))</f>
        <v>46262</v>
      </c>
      <c r="Q82" s="65" t="n">
        <v>46260</v>
      </c>
      <c r="R82" s="60" t="s">
        <v>82</v>
      </c>
      <c r="S82" s="66"/>
      <c r="T82" s="59"/>
      <c r="U82" s="59" t="s">
        <v>329</v>
      </c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46260</v>
      </c>
      <c r="X82" s="57" t="n">
        <f aca="false">IF($F82="","",IF(OR($Q82="",$O82=""),0,IF($Q82&lt;=$O82,1,0)))</f>
        <v>1</v>
      </c>
      <c r="Y82" s="57" t="n">
        <f aca="false">IF($F82="","",IF(OR($Q82="",$W82=""),0,IF($Q82&lt;=$W82,1,0)))</f>
        <v>1</v>
      </c>
      <c r="Z82" s="57" t="n">
        <f aca="false">IF(OR($Q82="",$O82=""),"",MAX(0,$Q82-$O82))</f>
        <v>0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0.333333333333333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Gabriel · Júnior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F-624|Baixa de pendências backlog|35</v>
      </c>
      <c r="AK82" s="57" t="n">
        <f aca="false">IF($AJ82="","",COUNTIF($AJ$4:$AJ82,$AJ82))</f>
        <v>15</v>
      </c>
      <c r="AL82" s="57" t="n">
        <f aca="false">IF($AJ82="","",COUNTIF($AJ$4:$AJ$1004,$AJ82))</f>
        <v>20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58"/>
      <c r="D83" s="59" t="s">
        <v>163</v>
      </c>
      <c r="E83" s="59" t="s">
        <v>327</v>
      </c>
      <c r="F83" s="59" t="s">
        <v>345</v>
      </c>
      <c r="G83" s="60" t="s">
        <v>110</v>
      </c>
      <c r="H83" s="60" t="s">
        <v>220</v>
      </c>
      <c r="I83" s="61" t="s">
        <v>108</v>
      </c>
      <c r="J83" s="61" t="s">
        <v>123</v>
      </c>
      <c r="K83" s="61" t="s">
        <v>133</v>
      </c>
      <c r="L83" s="62" t="n">
        <v>35</v>
      </c>
      <c r="M83" s="63" t="s">
        <v>122</v>
      </c>
      <c r="N83" s="62" t="n">
        <v>4</v>
      </c>
      <c r="O83" s="64" t="n">
        <f aca="false">IF(OR($L83="",$M83=""),"",(DATE(Semana!$J$3,1,4)-WEEKDAY(DATE(Semana!$J$3,1,4),3))+($L83-1)*7+MATCH($M83,Listas!$F$5:$F$11,0)-1)</f>
        <v>46260</v>
      </c>
      <c r="P83" s="64" t="n">
        <f aca="false">IF($O83="","",$O83+MAX(0,ROUNDUP($AK83*MAX(1,IF($N83="",1,$N83))/MAX(1,$AL83),0)-1))</f>
        <v>46263</v>
      </c>
      <c r="Q83" s="65" t="n">
        <v>46260</v>
      </c>
      <c r="R83" s="60" t="s">
        <v>82</v>
      </c>
      <c r="S83" s="66"/>
      <c r="T83" s="59"/>
      <c r="U83" s="59" t="s">
        <v>329</v>
      </c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46260</v>
      </c>
      <c r="X83" s="57" t="n">
        <f aca="false">IF($F83="","",IF(OR($Q83="",$O83=""),0,IF($Q83&lt;=$O83,1,0)))</f>
        <v>1</v>
      </c>
      <c r="Y83" s="57" t="n">
        <f aca="false">IF($F83="","",IF(OR($Q83="",$W83=""),0,IF($Q83&lt;=$W83,1,0)))</f>
        <v>1</v>
      </c>
      <c r="Z83" s="57" t="n">
        <f aca="false">IF(OR($Q83="",$O83=""),"",MAX(0,$Q83-$O83))</f>
        <v>0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0.333333333333333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Gabriel · Júnior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F-624|Baixa de pendências backlog|35</v>
      </c>
      <c r="AK83" s="57" t="n">
        <f aca="false">IF($AJ83="","",COUNTIF($AJ$4:$AJ83,$AJ83))</f>
        <v>16</v>
      </c>
      <c r="AL83" s="57" t="n">
        <f aca="false">IF($AJ83="","",COUNTIF($AJ$4:$AJ$1004,$AJ83))</f>
        <v>20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58"/>
      <c r="D84" s="59" t="s">
        <v>163</v>
      </c>
      <c r="E84" s="59" t="s">
        <v>327</v>
      </c>
      <c r="F84" s="59" t="s">
        <v>346</v>
      </c>
      <c r="G84" s="60" t="s">
        <v>110</v>
      </c>
      <c r="H84" s="60" t="s">
        <v>220</v>
      </c>
      <c r="I84" s="61" t="s">
        <v>108</v>
      </c>
      <c r="J84" s="61" t="s">
        <v>123</v>
      </c>
      <c r="K84" s="61" t="s">
        <v>133</v>
      </c>
      <c r="L84" s="62" t="n">
        <v>35</v>
      </c>
      <c r="M84" s="63" t="s">
        <v>122</v>
      </c>
      <c r="N84" s="62" t="n">
        <v>4</v>
      </c>
      <c r="O84" s="64" t="n">
        <f aca="false">IF(OR($L84="",$M84=""),"",(DATE(Semana!$J$3,1,4)-WEEKDAY(DATE(Semana!$J$3,1,4),3))+($L84-1)*7+MATCH($M84,Listas!$F$5:$F$11,0)-1)</f>
        <v>46260</v>
      </c>
      <c r="P84" s="64" t="n">
        <f aca="false">IF($O84="","",$O84+MAX(0,ROUNDUP($AK84*MAX(1,IF($N84="",1,$N84))/MAX(1,$AL84),0)-1))</f>
        <v>46263</v>
      </c>
      <c r="Q84" s="65" t="n">
        <v>46260</v>
      </c>
      <c r="R84" s="60" t="s">
        <v>82</v>
      </c>
      <c r="S84" s="66"/>
      <c r="T84" s="59"/>
      <c r="U84" s="59" t="s">
        <v>329</v>
      </c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46260</v>
      </c>
      <c r="X84" s="57" t="n">
        <f aca="false">IF($F84="","",IF(OR($Q84="",$O84=""),0,IF($Q84&lt;=$O84,1,0)))</f>
        <v>1</v>
      </c>
      <c r="Y84" s="57" t="n">
        <f aca="false">IF($F84="","",IF(OR($Q84="",$W84=""),0,IF($Q84&lt;=$W84,1,0)))</f>
        <v>1</v>
      </c>
      <c r="Z84" s="57" t="n">
        <f aca="false">IF(OR($Q84="",$O84=""),"",MAX(0,$Q84-$O84))</f>
        <v>0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0.333333333333333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Gabriel · Júnior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F-624|Baixa de pendências backlog|35</v>
      </c>
      <c r="AK84" s="57" t="n">
        <f aca="false">IF($AJ84="","",COUNTIF($AJ$4:$AJ84,$AJ84))</f>
        <v>17</v>
      </c>
      <c r="AL84" s="57" t="n">
        <f aca="false">IF($AJ84="","",COUNTIF($AJ$4:$AJ$1004,$AJ84))</f>
        <v>20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58"/>
      <c r="D85" s="59" t="s">
        <v>163</v>
      </c>
      <c r="E85" s="59" t="s">
        <v>327</v>
      </c>
      <c r="F85" s="59" t="s">
        <v>347</v>
      </c>
      <c r="G85" s="60" t="s">
        <v>110</v>
      </c>
      <c r="H85" s="60" t="s">
        <v>220</v>
      </c>
      <c r="I85" s="61" t="s">
        <v>108</v>
      </c>
      <c r="J85" s="61" t="s">
        <v>123</v>
      </c>
      <c r="K85" s="61" t="s">
        <v>133</v>
      </c>
      <c r="L85" s="62" t="n">
        <v>35</v>
      </c>
      <c r="M85" s="63" t="s">
        <v>122</v>
      </c>
      <c r="N85" s="62" t="n">
        <v>4</v>
      </c>
      <c r="O85" s="64" t="n">
        <f aca="false">IF(OR($L85="",$M85=""),"",(DATE(Semana!$J$3,1,4)-WEEKDAY(DATE(Semana!$J$3,1,4),3))+($L85-1)*7+MATCH($M85,Listas!$F$5:$F$11,0)-1)</f>
        <v>46260</v>
      </c>
      <c r="P85" s="64" t="n">
        <f aca="false">IF($O85="","",$O85+MAX(0,ROUNDUP($AK85*MAX(1,IF($N85="",1,$N85))/MAX(1,$AL85),0)-1))</f>
        <v>46263</v>
      </c>
      <c r="Q85" s="65" t="n">
        <v>46260</v>
      </c>
      <c r="R85" s="60" t="s">
        <v>82</v>
      </c>
      <c r="S85" s="66"/>
      <c r="T85" s="59"/>
      <c r="U85" s="59" t="s">
        <v>329</v>
      </c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46260</v>
      </c>
      <c r="X85" s="57" t="n">
        <f aca="false">IF($F85="","",IF(OR($Q85="",$O85=""),0,IF($Q85&lt;=$O85,1,0)))</f>
        <v>1</v>
      </c>
      <c r="Y85" s="57" t="n">
        <f aca="false">IF($F85="","",IF(OR($Q85="",$W85=""),0,IF($Q85&lt;=$W85,1,0)))</f>
        <v>1</v>
      </c>
      <c r="Z85" s="57" t="n">
        <f aca="false">IF(OR($Q85="",$O85=""),"",MAX(0,$Q85-$O85))</f>
        <v>0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0.333333333333333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Gabriel · Júnior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F-624|Baixa de pendências backlog|35</v>
      </c>
      <c r="AK85" s="57" t="n">
        <f aca="false">IF($AJ85="","",COUNTIF($AJ$4:$AJ85,$AJ85))</f>
        <v>18</v>
      </c>
      <c r="AL85" s="57" t="n">
        <f aca="false">IF($AJ85="","",COUNTIF($AJ$4:$AJ$1004,$AJ85))</f>
        <v>20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58"/>
      <c r="D86" s="59" t="s">
        <v>163</v>
      </c>
      <c r="E86" s="59" t="s">
        <v>327</v>
      </c>
      <c r="F86" s="59" t="s">
        <v>348</v>
      </c>
      <c r="G86" s="60" t="s">
        <v>110</v>
      </c>
      <c r="H86" s="60" t="s">
        <v>220</v>
      </c>
      <c r="I86" s="61" t="s">
        <v>108</v>
      </c>
      <c r="J86" s="61" t="s">
        <v>123</v>
      </c>
      <c r="K86" s="61" t="s">
        <v>133</v>
      </c>
      <c r="L86" s="62" t="n">
        <v>35</v>
      </c>
      <c r="M86" s="63" t="s">
        <v>122</v>
      </c>
      <c r="N86" s="62" t="n">
        <v>4</v>
      </c>
      <c r="O86" s="64" t="n">
        <f aca="false">IF(OR($L86="",$M86=""),"",(DATE(Semana!$J$3,1,4)-WEEKDAY(DATE(Semana!$J$3,1,4),3))+($L86-1)*7+MATCH($M86,Listas!$F$5:$F$11,0)-1)</f>
        <v>46260</v>
      </c>
      <c r="P86" s="64" t="n">
        <f aca="false">IF($O86="","",$O86+MAX(0,ROUNDUP($AK86*MAX(1,IF($N86="",1,$N86))/MAX(1,$AL86),0)-1))</f>
        <v>46263</v>
      </c>
      <c r="Q86" s="65" t="n">
        <v>46260</v>
      </c>
      <c r="R86" s="60" t="s">
        <v>82</v>
      </c>
      <c r="S86" s="66"/>
      <c r="T86" s="59"/>
      <c r="U86" s="59" t="s">
        <v>329</v>
      </c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46260</v>
      </c>
      <c r="X86" s="57" t="n">
        <f aca="false">IF($F86="","",IF(OR($Q86="",$O86=""),0,IF($Q86&lt;=$O86,1,0)))</f>
        <v>1</v>
      </c>
      <c r="Y86" s="57" t="n">
        <f aca="false">IF($F86="","",IF(OR($Q86="",$W86=""),0,IF($Q86&lt;=$W86,1,0)))</f>
        <v>1</v>
      </c>
      <c r="Z86" s="57" t="n">
        <f aca="false">IF(OR($Q86="",$O86=""),"",MAX(0,$Q86-$O86))</f>
        <v>0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0.333333333333333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Gabriel · Júnior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F-624|Baixa de pendências backlog|35</v>
      </c>
      <c r="AK86" s="57" t="n">
        <f aca="false">IF($AJ86="","",COUNTIF($AJ$4:$AJ86,$AJ86))</f>
        <v>19</v>
      </c>
      <c r="AL86" s="57" t="n">
        <f aca="false">IF($AJ86="","",COUNTIF($AJ$4:$AJ$1004,$AJ86))</f>
        <v>20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/>
      <c r="D87" s="59" t="s">
        <v>163</v>
      </c>
      <c r="E87" s="59" t="s">
        <v>327</v>
      </c>
      <c r="F87" s="59" t="s">
        <v>349</v>
      </c>
      <c r="G87" s="60" t="s">
        <v>110</v>
      </c>
      <c r="H87" s="60" t="s">
        <v>220</v>
      </c>
      <c r="I87" s="61" t="s">
        <v>108</v>
      </c>
      <c r="J87" s="61" t="s">
        <v>123</v>
      </c>
      <c r="K87" s="61" t="s">
        <v>133</v>
      </c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 t="s">
        <v>329</v>
      </c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0.333333333333333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Gabriel · Júnior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F-624|Baixa de pendências backlog|35</v>
      </c>
      <c r="AK87" s="57" t="n">
        <f aca="false">IF($AJ87="","",COUNTIF($AJ$4:$AJ87,$AJ87))</f>
        <v>20</v>
      </c>
      <c r="AL87" s="57" t="n">
        <f aca="false">IF($AJ87="","",COUNTIF($AJ$4:$AJ$1004,$AJ87))</f>
        <v>20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58" t="s">
        <v>350</v>
      </c>
      <c r="D88" s="59" t="s">
        <v>164</v>
      </c>
      <c r="E88" s="59" t="s">
        <v>351</v>
      </c>
      <c r="F88" s="59" t="s">
        <v>352</v>
      </c>
      <c r="G88" s="60" t="s">
        <v>110</v>
      </c>
      <c r="H88" s="60" t="s">
        <v>220</v>
      </c>
      <c r="I88" s="61" t="s">
        <v>108</v>
      </c>
      <c r="J88" s="61" t="s">
        <v>118</v>
      </c>
      <c r="K88" s="61"/>
      <c r="L88" s="62" t="n">
        <v>35</v>
      </c>
      <c r="M88" s="63" t="s">
        <v>112</v>
      </c>
      <c r="N88" s="62" t="n">
        <v>4</v>
      </c>
      <c r="O88" s="64" t="n">
        <f aca="false">IF(OR($L88="",$M88=""),"",(DATE(Semana!$J$3,1,4)-WEEKDAY(DATE(Semana!$J$3,1,4),3))+($L88-1)*7+MATCH($M88,Listas!$F$5:$F$11,0)-1)</f>
        <v>46258</v>
      </c>
      <c r="P88" s="64" t="n">
        <f aca="false">IF($O88="","",$O88+MAX(0,ROUNDUP($AK88*MAX(1,IF($N88="",1,$N88))/MAX(1,$AL88),0)-1))</f>
        <v>46258</v>
      </c>
      <c r="Q88" s="65" t="n">
        <v>46260</v>
      </c>
      <c r="R88" s="60" t="s">
        <v>82</v>
      </c>
      <c r="S88" s="66"/>
      <c r="T88" s="59"/>
      <c r="U88" s="59"/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46258</v>
      </c>
      <c r="X88" s="57" t="n">
        <f aca="false">IF($F88="","",IF(OR($Q88="",$O88=""),0,IF($Q88&lt;=$O88,1,0)))</f>
        <v>0</v>
      </c>
      <c r="Y88" s="57" t="n">
        <f aca="false">IF($F88="","",IF(OR($Q88="",$W88=""),0,IF($Q88&lt;=$W88,1,0)))</f>
        <v>0</v>
      </c>
      <c r="Z88" s="57" t="n">
        <f aca="false">IF(OR($Q88="",$O88=""),"",MAX(0,$Q88-$O88))</f>
        <v>2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0.5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Alexandre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F-626|Trocar o cabeçote|35</v>
      </c>
      <c r="AK88" s="57" t="n">
        <f aca="false">IF($AJ88="","",COUNTIF($AJ$4:$AJ88,$AJ88))</f>
        <v>1</v>
      </c>
      <c r="AL88" s="57" t="n">
        <f aca="false">IF($AJ88="","",COUNTIF($AJ$4:$AJ$1004,$AJ88))</f>
        <v>8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58" t="s">
        <v>353</v>
      </c>
      <c r="D89" s="59" t="s">
        <v>164</v>
      </c>
      <c r="E89" s="59" t="s">
        <v>351</v>
      </c>
      <c r="F89" s="59" t="s">
        <v>354</v>
      </c>
      <c r="G89" s="60" t="s">
        <v>110</v>
      </c>
      <c r="H89" s="60" t="s">
        <v>220</v>
      </c>
      <c r="I89" s="61" t="s">
        <v>108</v>
      </c>
      <c r="J89" s="61" t="s">
        <v>118</v>
      </c>
      <c r="K89" s="61"/>
      <c r="L89" s="62" t="n">
        <v>35</v>
      </c>
      <c r="M89" s="63" t="s">
        <v>112</v>
      </c>
      <c r="N89" s="62" t="n">
        <v>4</v>
      </c>
      <c r="O89" s="64" t="n">
        <f aca="false">IF(OR($L89="",$M89=""),"",(DATE(Semana!$J$3,1,4)-WEEKDAY(DATE(Semana!$J$3,1,4),3))+($L89-1)*7+MATCH($M89,Listas!$F$5:$F$11,0)-1)</f>
        <v>46258</v>
      </c>
      <c r="P89" s="64" t="n">
        <f aca="false">IF($O89="","",$O89+MAX(0,ROUNDUP($AK89*MAX(1,IF($N89="",1,$N89))/MAX(1,$AL89),0)-1))</f>
        <v>46258</v>
      </c>
      <c r="Q89" s="65" t="n">
        <v>46260</v>
      </c>
      <c r="R89" s="60" t="s">
        <v>82</v>
      </c>
      <c r="S89" s="66"/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46258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n">
        <f aca="false">IF(OR($Q89="",$O89=""),"",MAX(0,$Q89-$O89))</f>
        <v>2</v>
      </c>
      <c r="AA89" s="57" t="n">
        <f aca="false">IF($F89="","",IF(AND($S89&lt;&gt;"",$L89&lt;&gt;"",$S89&lt;&gt;$L89),1,0))</f>
        <v>0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1</v>
      </c>
      <c r="AD89" s="57" t="n">
        <f aca="false">IF($F89="","",IF(COUNTA($I89:$K89)=0,0,1/COUNTA($I89:$K89)))</f>
        <v>0.5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Adilton · Alexandre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F-626|Trocar o cabeçote|35</v>
      </c>
      <c r="AK89" s="57" t="n">
        <f aca="false">IF($AJ89="","",COUNTIF($AJ$4:$AJ89,$AJ89))</f>
        <v>2</v>
      </c>
      <c r="AL89" s="57" t="n">
        <f aca="false">IF($AJ89="","",COUNTIF($AJ$4:$AJ$1004,$AJ89))</f>
        <v>8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58" t="s">
        <v>355</v>
      </c>
      <c r="D90" s="59" t="s">
        <v>164</v>
      </c>
      <c r="E90" s="59" t="s">
        <v>351</v>
      </c>
      <c r="F90" s="59" t="s">
        <v>356</v>
      </c>
      <c r="G90" s="60" t="s">
        <v>110</v>
      </c>
      <c r="H90" s="60" t="s">
        <v>220</v>
      </c>
      <c r="I90" s="61" t="s">
        <v>108</v>
      </c>
      <c r="J90" s="61" t="s">
        <v>118</v>
      </c>
      <c r="K90" s="61"/>
      <c r="L90" s="62" t="n">
        <v>35</v>
      </c>
      <c r="M90" s="63" t="s">
        <v>112</v>
      </c>
      <c r="N90" s="62" t="n">
        <v>4</v>
      </c>
      <c r="O90" s="64" t="n">
        <f aca="false">IF(OR($L90="",$M90=""),"",(DATE(Semana!$J$3,1,4)-WEEKDAY(DATE(Semana!$J$3,1,4),3))+($L90-1)*7+MATCH($M90,Listas!$F$5:$F$11,0)-1)</f>
        <v>46258</v>
      </c>
      <c r="P90" s="64" t="n">
        <f aca="false">IF($O90="","",$O90+MAX(0,ROUNDUP($AK90*MAX(1,IF($N90="",1,$N90))/MAX(1,$AL90),0)-1))</f>
        <v>46259</v>
      </c>
      <c r="Q90" s="65" t="n">
        <v>46260</v>
      </c>
      <c r="R90" s="60" t="s">
        <v>82</v>
      </c>
      <c r="S90" s="66"/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46258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n">
        <f aca="false">IF(OR($Q90="",$O90=""),"",MAX(0,$Q90-$O90))</f>
        <v>2</v>
      </c>
      <c r="AA90" s="57" t="n">
        <f aca="false">IF($F90="","",IF(AND($S90&lt;&gt;"",$L90&lt;&gt;"",$S90&lt;&gt;$L90),1,0))</f>
        <v>0</v>
      </c>
      <c r="AB90" s="57" t="n">
        <f aca="false">IF($F90="","",IF($R90="Cancelada",0,IF(OR($Q90&lt;&gt;"",$R90="Concluída"),1,0)))</f>
        <v>1</v>
      </c>
      <c r="AC90" s="57" t="n">
        <f aca="false">IF($P90="",0,IF($P90&lt;Hoje!$L$1,1,IF(AND($P90=Hoje!$L$1,Hoje!$L$2&gt;Semana!$M$3),1,0)))</f>
        <v>1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Adilton · Alexandre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F-626|Trocar o cabeçote|35</v>
      </c>
      <c r="AK90" s="57" t="n">
        <f aca="false">IF($AJ90="","",COUNTIF($AJ$4:$AJ90,$AJ90))</f>
        <v>3</v>
      </c>
      <c r="AL90" s="57" t="n">
        <f aca="false">IF($AJ90="","",COUNTIF($AJ$4:$AJ$1004,$AJ90))</f>
        <v>8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58" t="s">
        <v>357</v>
      </c>
      <c r="D91" s="59" t="s">
        <v>164</v>
      </c>
      <c r="E91" s="59" t="s">
        <v>351</v>
      </c>
      <c r="F91" s="59" t="s">
        <v>358</v>
      </c>
      <c r="G91" s="60" t="s">
        <v>110</v>
      </c>
      <c r="H91" s="60" t="s">
        <v>88</v>
      </c>
      <c r="I91" s="61" t="s">
        <v>108</v>
      </c>
      <c r="J91" s="61" t="s">
        <v>118</v>
      </c>
      <c r="K91" s="61"/>
      <c r="L91" s="62" t="n">
        <v>35</v>
      </c>
      <c r="M91" s="63" t="s">
        <v>117</v>
      </c>
      <c r="N91" s="62" t="n">
        <v>4</v>
      </c>
      <c r="O91" s="64" t="n">
        <f aca="false">IF(OR($L91="",$M91=""),"",(DATE(Semana!$J$3,1,4)-WEEKDAY(DATE(Semana!$J$3,1,4),3))+($L91-1)*7+MATCH($M91,Listas!$F$5:$F$11,0)-1)</f>
        <v>46259</v>
      </c>
      <c r="P91" s="64" t="n">
        <f aca="false">IF($O91="","",$O91+MAX(0,ROUNDUP($AK91*MAX(1,IF($N91="",1,$N91))/MAX(1,$AL91),0)-1))</f>
        <v>46260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46259</v>
      </c>
      <c r="X91" s="57" t="n">
        <f aca="false">IF($F91="","",IF(OR($Q91="",$O91=""),0,IF($Q91&lt;=$O91,1,0)))</f>
        <v>0</v>
      </c>
      <c r="Y91" s="57" t="n">
        <f aca="false">IF($F91="","",IF(OR($Q91="",$W91=""),0,IF($Q91&lt;=$W91,1,0)))</f>
        <v>0</v>
      </c>
      <c r="Z91" s="57" t="n">
        <f aca="false">IF(OR($Q91="",$O91=""),"",MAX(0,$Q91-$O91))</f>
        <v>1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Adilton · Alexandre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F-626|Trocar o cabeçote|35</v>
      </c>
      <c r="AK91" s="57" t="n">
        <f aca="false">IF($AJ91="","",COUNTIF($AJ$4:$AJ91,$AJ91))</f>
        <v>4</v>
      </c>
      <c r="AL91" s="57" t="n">
        <f aca="false">IF($AJ91="","",COUNTIF($AJ$4:$AJ$1004,$AJ91))</f>
        <v>8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58" t="s">
        <v>359</v>
      </c>
      <c r="D92" s="59" t="s">
        <v>164</v>
      </c>
      <c r="E92" s="59" t="s">
        <v>351</v>
      </c>
      <c r="F92" s="59" t="s">
        <v>360</v>
      </c>
      <c r="G92" s="60" t="s">
        <v>110</v>
      </c>
      <c r="H92" s="60" t="s">
        <v>88</v>
      </c>
      <c r="I92" s="61" t="s">
        <v>108</v>
      </c>
      <c r="J92" s="61" t="s">
        <v>118</v>
      </c>
      <c r="K92" s="61"/>
      <c r="L92" s="62" t="n">
        <v>35</v>
      </c>
      <c r="M92" s="63" t="s">
        <v>117</v>
      </c>
      <c r="N92" s="62" t="n">
        <v>4</v>
      </c>
      <c r="O92" s="64" t="n">
        <f aca="false">IF(OR($L92="",$M92=""),"",(DATE(Semana!$J$3,1,4)-WEEKDAY(DATE(Semana!$J$3,1,4),3))+($L92-1)*7+MATCH($M92,Listas!$F$5:$F$11,0)-1)</f>
        <v>46259</v>
      </c>
      <c r="P92" s="64" t="n">
        <f aca="false">IF($O92="","",$O92+MAX(0,ROUNDUP($AK92*MAX(1,IF($N92="",1,$N92))/MAX(1,$AL92),0)-1))</f>
        <v>46261</v>
      </c>
      <c r="Q92" s="65" t="n">
        <v>46260</v>
      </c>
      <c r="R92" s="60" t="s">
        <v>82</v>
      </c>
      <c r="S92" s="66"/>
      <c r="T92" s="59"/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46259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n">
        <f aca="false">IF(OR($Q92="",$O92=""),"",MAX(0,$Q92-$O92))</f>
        <v>1</v>
      </c>
      <c r="AA92" s="57" t="n">
        <f aca="false">IF($F92="","",IF(AND($S92&lt;&gt;"",$L92&lt;&gt;"",$S92&lt;&gt;$L92),1,0))</f>
        <v>0</v>
      </c>
      <c r="AB92" s="57" t="n">
        <f aca="false">IF($F92="","",IF($R92="Cancelada",0,IF(OR($Q92&lt;&gt;"",$R92="Concluída"),1,0)))</f>
        <v>1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0.5</v>
      </c>
      <c r="AE92" s="57" t="str">
        <f aca="false">IF($AH92=0,"",SUM($AH$4:$AH92))</f>
        <v/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Adilton · Alexandre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0</v>
      </c>
      <c r="AJ92" s="67" t="str">
        <f aca="false">IF($F92="","",$D92&amp;"|"&amp;$E92&amp;"|"&amp;$L92)</f>
        <v>F-626|Trocar o cabeçote|35</v>
      </c>
      <c r="AK92" s="57" t="n">
        <f aca="false">IF($AJ92="","",COUNTIF($AJ$4:$AJ92,$AJ92))</f>
        <v>5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58" t="s">
        <v>361</v>
      </c>
      <c r="D93" s="59" t="s">
        <v>164</v>
      </c>
      <c r="E93" s="59" t="s">
        <v>351</v>
      </c>
      <c r="F93" s="59" t="s">
        <v>362</v>
      </c>
      <c r="G93" s="60" t="s">
        <v>110</v>
      </c>
      <c r="H93" s="60" t="s">
        <v>88</v>
      </c>
      <c r="I93" s="61" t="s">
        <v>108</v>
      </c>
      <c r="J93" s="61" t="s">
        <v>118</v>
      </c>
      <c r="K93" s="61"/>
      <c r="L93" s="62" t="n">
        <v>35</v>
      </c>
      <c r="M93" s="63" t="s">
        <v>117</v>
      </c>
      <c r="N93" s="62" t="n">
        <v>4</v>
      </c>
      <c r="O93" s="64" t="n">
        <f aca="false">IF(OR($L93="",$M93=""),"",(DATE(Semana!$J$3,1,4)-WEEKDAY(DATE(Semana!$J$3,1,4),3))+($L93-1)*7+MATCH($M93,Listas!$F$5:$F$11,0)-1)</f>
        <v>46259</v>
      </c>
      <c r="P93" s="64" t="n">
        <f aca="false">IF($O93="","",$O93+MAX(0,ROUNDUP($AK93*MAX(1,IF($N93="",1,$N93))/MAX(1,$AL93),0)-1))</f>
        <v>46261</v>
      </c>
      <c r="Q93" s="65" t="n">
        <v>46260</v>
      </c>
      <c r="R93" s="60" t="s">
        <v>82</v>
      </c>
      <c r="S93" s="66"/>
      <c r="T93" s="59"/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46259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n">
        <f aca="false">IF(OR($Q93="",$O93=""),"",MAX(0,$Q93-$O93))</f>
        <v>1</v>
      </c>
      <c r="AA93" s="57" t="n">
        <f aca="false">IF($F93="","",IF(AND($S93&lt;&gt;"",$L93&lt;&gt;"",$S93&lt;&gt;$L93),1,0))</f>
        <v>0</v>
      </c>
      <c r="AB93" s="57" t="n">
        <f aca="false">IF($F93="","",IF($R93="Cancelada",0,IF(OR($Q93&lt;&gt;"",$R93="Concluída"),1,0)))</f>
        <v>1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0.5</v>
      </c>
      <c r="AE93" s="57" t="str">
        <f aca="false">IF($AH93=0,"",SUM($AH$4:$AH93))</f>
        <v/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Adilton · Alexandre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0</v>
      </c>
      <c r="AJ93" s="67" t="str">
        <f aca="false">IF($F93="","",$D93&amp;"|"&amp;$E93&amp;"|"&amp;$L93)</f>
        <v>F-626|Trocar o cabeçote|35</v>
      </c>
      <c r="AK93" s="57" t="n">
        <f aca="false">IF($AJ93="","",COUNTIF($AJ$4:$AJ93,$AJ93))</f>
        <v>6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58" t="s">
        <v>361</v>
      </c>
      <c r="D94" s="59" t="s">
        <v>164</v>
      </c>
      <c r="E94" s="59" t="s">
        <v>351</v>
      </c>
      <c r="F94" s="59" t="s">
        <v>363</v>
      </c>
      <c r="G94" s="60" t="s">
        <v>110</v>
      </c>
      <c r="H94" s="60" t="s">
        <v>88</v>
      </c>
      <c r="I94" s="61" t="s">
        <v>108</v>
      </c>
      <c r="J94" s="61" t="s">
        <v>118</v>
      </c>
      <c r="K94" s="61"/>
      <c r="L94" s="62" t="n">
        <v>35</v>
      </c>
      <c r="M94" s="63" t="s">
        <v>122</v>
      </c>
      <c r="N94" s="62" t="n">
        <v>4</v>
      </c>
      <c r="O94" s="64" t="n">
        <f aca="false">IF(OR($L94="",$M94=""),"",(DATE(Semana!$J$3,1,4)-WEEKDAY(DATE(Semana!$J$3,1,4),3))+($L94-1)*7+MATCH($M94,Listas!$F$5:$F$11,0)-1)</f>
        <v>46260</v>
      </c>
      <c r="P94" s="64" t="n">
        <f aca="false">IF($O94="","",$O94+MAX(0,ROUNDUP($AK94*MAX(1,IF($N94="",1,$N94))/MAX(1,$AL94),0)-1))</f>
        <v>46263</v>
      </c>
      <c r="Q94" s="65" t="n">
        <v>46260</v>
      </c>
      <c r="R94" s="60" t="s">
        <v>82</v>
      </c>
      <c r="S94" s="66"/>
      <c r="T94" s="59"/>
      <c r="U94" s="59"/>
      <c r="V94" s="57" t="str">
        <f aca="false">IF($F94="","",IF(ISNUMBER(SEARCH("(externo)",$I94&amp;$J94&amp;$K94)),"Terceirizada","Interna"))</f>
        <v>Interna</v>
      </c>
      <c r="W94" s="64" t="n">
        <f aca="false">IF($O94="","",IF($S94="",$O94,(DATE(Semana!$J$3,1,4)-WEEKDAY(DATE(Semana!$J$3,1,4),3))+($S94-1)*7+IF($M94="",0,MATCH($M94,Listas!$F$5:$F$11,0)-1)))</f>
        <v>46260</v>
      </c>
      <c r="X94" s="57" t="n">
        <f aca="false">IF($F94="","",IF(OR($Q94="",$O94=""),0,IF($Q94&lt;=$O94,1,0)))</f>
        <v>1</v>
      </c>
      <c r="Y94" s="57" t="n">
        <f aca="false">IF($F94="","",IF(OR($Q94="",$W94=""),0,IF($Q94&lt;=$W94,1,0)))</f>
        <v>1</v>
      </c>
      <c r="Z94" s="57" t="n">
        <f aca="false">IF(OR($Q94="",$O94=""),"",MAX(0,$Q94-$O94))</f>
        <v>0</v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1</v>
      </c>
      <c r="AC94" s="57" t="n">
        <f aca="false">IF($P94="",0,IF($P94&lt;Hoje!$L$1,1,IF(AND($P94=Hoje!$L$1,Hoje!$L$2&gt;Semana!$M$3),1,0)))</f>
        <v>1</v>
      </c>
      <c r="AD94" s="57" t="n">
        <f aca="false">IF($F94="","",IF(COUNTA($I94:$K94)=0,0,1/COUNTA($I94:$K94)))</f>
        <v>0.5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>Adilton · Alexandre</v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F-626|Trocar o cabeçote|35</v>
      </c>
      <c r="AK94" s="57" t="n">
        <f aca="false">IF($AJ94="","",COUNTIF($AJ$4:$AJ94,$AJ94))</f>
        <v>7</v>
      </c>
      <c r="AL94" s="57" t="n">
        <f aca="false">IF($AJ94="","",COUNTIF($AJ$4:$AJ$1004,$AJ94))</f>
        <v>8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58" t="s">
        <v>361</v>
      </c>
      <c r="D95" s="59" t="s">
        <v>164</v>
      </c>
      <c r="E95" s="59" t="s">
        <v>351</v>
      </c>
      <c r="F95" s="59" t="s">
        <v>364</v>
      </c>
      <c r="G95" s="60" t="s">
        <v>110</v>
      </c>
      <c r="H95" s="60" t="s">
        <v>88</v>
      </c>
      <c r="I95" s="61" t="s">
        <v>108</v>
      </c>
      <c r="J95" s="61" t="s">
        <v>118</v>
      </c>
      <c r="K95" s="61"/>
      <c r="L95" s="62" t="n">
        <v>35</v>
      </c>
      <c r="M95" s="63" t="s">
        <v>122</v>
      </c>
      <c r="N95" s="62" t="n">
        <v>4</v>
      </c>
      <c r="O95" s="64" t="n">
        <f aca="false">IF(OR($L95="",$M95=""),"",(DATE(Semana!$J$3,1,4)-WEEKDAY(DATE(Semana!$J$3,1,4),3))+($L95-1)*7+MATCH($M95,Listas!$F$5:$F$11,0)-1)</f>
        <v>46260</v>
      </c>
      <c r="P95" s="64" t="n">
        <f aca="false">IF($O95="","",$O95+MAX(0,ROUNDUP($AK95*MAX(1,IF($N95="",1,$N95))/MAX(1,$AL95),0)-1))</f>
        <v>46263</v>
      </c>
      <c r="Q95" s="65" t="n">
        <v>46260</v>
      </c>
      <c r="R95" s="60" t="s">
        <v>82</v>
      </c>
      <c r="S95" s="66"/>
      <c r="T95" s="59"/>
      <c r="U95" s="59"/>
      <c r="V95" s="57" t="str">
        <f aca="false">IF($F95="","",IF(ISNUMBER(SEARCH("(externo)",$I95&amp;$J95&amp;$K95)),"Terceirizada","Interna"))</f>
        <v>Interna</v>
      </c>
      <c r="W95" s="64" t="n">
        <f aca="false">IF($O95="","",IF($S95="",$O95,(DATE(Semana!$J$3,1,4)-WEEKDAY(DATE(Semana!$J$3,1,4),3))+($S95-1)*7+IF($M95="",0,MATCH($M95,Listas!$F$5:$F$11,0)-1)))</f>
        <v>46260</v>
      </c>
      <c r="X95" s="57" t="n">
        <f aca="false">IF($F95="","",IF(OR($Q95="",$O95=""),0,IF($Q95&lt;=$O95,1,0)))</f>
        <v>1</v>
      </c>
      <c r="Y95" s="57" t="n">
        <f aca="false">IF($F95="","",IF(OR($Q95="",$W95=""),0,IF($Q95&lt;=$W95,1,0)))</f>
        <v>1</v>
      </c>
      <c r="Z95" s="57" t="n">
        <f aca="false">IF(OR($Q95="",$O95=""),"",MAX(0,$Q95-$O95))</f>
        <v>0</v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1</v>
      </c>
      <c r="AC95" s="57" t="n">
        <f aca="false">IF($P95="",0,IF($P95&lt;Hoje!$L$1,1,IF(AND($P95=Hoje!$L$1,Hoje!$L$2&gt;Semana!$M$3),1,0)))</f>
        <v>1</v>
      </c>
      <c r="AD95" s="57" t="n">
        <f aca="false">IF($F95="","",IF(COUNTA($I95:$K95)=0,0,1/COUNTA($I95:$K95)))</f>
        <v>0.5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>Adilton · Alexandre</v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F-626|Trocar o cabeçote|35</v>
      </c>
      <c r="AK95" s="57" t="n">
        <f aca="false">IF($AJ95="","",COUNTIF($AJ$4:$AJ95,$AJ95))</f>
        <v>8</v>
      </c>
      <c r="AL95" s="57" t="n">
        <f aca="false">IF($AJ95="","",COUNTIF($AJ$4:$AJ$1004,$AJ95))</f>
        <v>8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58"/>
      <c r="D96" s="59" t="s">
        <v>165</v>
      </c>
      <c r="E96" s="59" t="s">
        <v>365</v>
      </c>
      <c r="F96" s="59" t="s">
        <v>366</v>
      </c>
      <c r="G96" s="60" t="s">
        <v>110</v>
      </c>
      <c r="H96" s="60" t="s">
        <v>88</v>
      </c>
      <c r="I96" s="61" t="s">
        <v>133</v>
      </c>
      <c r="J96" s="61"/>
      <c r="K96" s="61"/>
      <c r="L96" s="62" t="n">
        <v>35</v>
      </c>
      <c r="M96" s="63" t="s">
        <v>127</v>
      </c>
      <c r="N96" s="62" t="n">
        <v>2</v>
      </c>
      <c r="O96" s="64" t="n">
        <f aca="false">IF(OR($L96="",$M96=""),"",(DATE(Semana!$J$3,1,4)-WEEKDAY(DATE(Semana!$J$3,1,4),3))+($L96-1)*7+MATCH($M96,Listas!$F$5:$F$11,0)-1)</f>
        <v>46261</v>
      </c>
      <c r="P96" s="64" t="n">
        <f aca="false">IF($O96="","",$O96+MAX(0,ROUNDUP($AK96*MAX(1,IF($N96="",1,$N96))/MAX(1,$AL96),0)-1))</f>
        <v>46262</v>
      </c>
      <c r="Q96" s="65"/>
      <c r="R96" s="60" t="s">
        <v>82</v>
      </c>
      <c r="S96" s="66"/>
      <c r="T96" s="59"/>
      <c r="U96" s="59"/>
      <c r="V96" s="57" t="str">
        <f aca="false">IF($F96="","",IF(ISNUMBER(SEARCH("(externo)",$I96&amp;$J96&amp;$K96)),"Terceirizada","Interna"))</f>
        <v>Interna</v>
      </c>
      <c r="W96" s="64" t="n">
        <f aca="false">IF($O96="","",IF($S96="",$O96,(DATE(Semana!$J$3,1,4)-WEEKDAY(DATE(Semana!$J$3,1,4),3))+($S96-1)*7+IF($M96="",0,MATCH($M96,Listas!$F$5:$F$11,0)-1)))</f>
        <v>46261</v>
      </c>
      <c r="X96" s="57" t="n">
        <f aca="false">IF($F96="","",IF(OR($Q96="",$O96=""),0,IF($Q96&lt;=$O96,1,0)))</f>
        <v>0</v>
      </c>
      <c r="Y96" s="57" t="n">
        <f aca="false">IF($F96="","",IF(OR($Q96="",$W96=""),0,IF($Q96&lt;=$W96,1,0)))</f>
        <v>0</v>
      </c>
      <c r="Z96" s="57" t="str">
        <f aca="false">IF(OR($Q96="",$O96=""),"",MAX(0,$Q96-$O96))</f>
        <v/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1</v>
      </c>
      <c r="AC96" s="57" t="n">
        <f aca="false">IF($P96="",0,IF($P96&lt;Hoje!$L$1,1,IF(AND($P96=Hoje!$L$1,Hoje!$L$2&gt;Semana!$M$3),1,0)))</f>
        <v>1</v>
      </c>
      <c r="AD96" s="57" t="n">
        <f aca="false">IF($F96="","",IF(COUNTA($I96:$K96)=0,0,1/COUNTA($I96:$K96)))</f>
        <v>1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>Júnior</v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F-696|Aplicar faixas refletivas|35</v>
      </c>
      <c r="AK96" s="57" t="n">
        <f aca="false">IF($AJ96="","",COUNTIF($AJ$4:$AJ96,$AJ96))</f>
        <v>1</v>
      </c>
      <c r="AL96" s="57" t="n">
        <f aca="false">IF($AJ96="","",COUNTIF($AJ$4:$AJ$1004,$AJ96))</f>
        <v>1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58"/>
      <c r="D97" s="59" t="s">
        <v>169</v>
      </c>
      <c r="E97" s="59" t="s">
        <v>218</v>
      </c>
      <c r="F97" s="59" t="s">
        <v>367</v>
      </c>
      <c r="G97" s="60" t="s">
        <v>110</v>
      </c>
      <c r="H97" s="60" t="s">
        <v>220</v>
      </c>
      <c r="I97" s="61" t="s">
        <v>113</v>
      </c>
      <c r="J97" s="61" t="s">
        <v>137</v>
      </c>
      <c r="K97" s="61"/>
      <c r="L97" s="62" t="n">
        <v>35</v>
      </c>
      <c r="M97" s="63" t="s">
        <v>122</v>
      </c>
      <c r="N97" s="62" t="n">
        <v>2</v>
      </c>
      <c r="O97" s="64" t="n">
        <f aca="false">IF(OR($L97="",$M97=""),"",(DATE(Semana!$J$3,1,4)-WEEKDAY(DATE(Semana!$J$3,1,4),3))+($L97-1)*7+MATCH($M97,Listas!$F$5:$F$11,0)-1)</f>
        <v>46260</v>
      </c>
      <c r="P97" s="64" t="n">
        <f aca="false">IF($O97="","",$O97+MAX(0,ROUNDUP($AK97*MAX(1,IF($N97="",1,$N97))/MAX(1,$AL97),0)-1))</f>
        <v>46261</v>
      </c>
      <c r="Q97" s="65" t="n">
        <v>46260</v>
      </c>
      <c r="R97" s="60" t="s">
        <v>82</v>
      </c>
      <c r="S97" s="66"/>
      <c r="T97" s="59"/>
      <c r="U97" s="59"/>
      <c r="V97" s="57" t="str">
        <f aca="false">IF($F97="","",IF(ISNUMBER(SEARCH("(externo)",$I97&amp;$J97&amp;$K97)),"Terceirizada","Interna"))</f>
        <v>Interna</v>
      </c>
      <c r="W97" s="64" t="n">
        <f aca="false">IF($O97="","",IF($S97="",$O97,(DATE(Semana!$J$3,1,4)-WEEKDAY(DATE(Semana!$J$3,1,4),3))+($S97-1)*7+IF($M97="",0,MATCH($M97,Listas!$F$5:$F$11,0)-1)))</f>
        <v>46260</v>
      </c>
      <c r="X97" s="57" t="n">
        <f aca="false">IF($F97="","",IF(OR($Q97="",$O97=""),0,IF($Q97&lt;=$O97,1,0)))</f>
        <v>1</v>
      </c>
      <c r="Y97" s="57" t="n">
        <f aca="false">IF($F97="","",IF(OR($Q97="",$W97=""),0,IF($Q97&lt;=$W97,1,0)))</f>
        <v>1</v>
      </c>
      <c r="Z97" s="57" t="n">
        <f aca="false">IF(OR($Q97="",$O97=""),"",MAX(0,$Q97-$O97))</f>
        <v>0</v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1</v>
      </c>
      <c r="AC97" s="57" t="n">
        <f aca="false">IF($P97="",0,IF($P97&lt;Hoje!$L$1,1,IF(AND($P97=Hoje!$L$1,Hoje!$L$2&gt;Semana!$M$3),1,0)))</f>
        <v>1</v>
      </c>
      <c r="AD97" s="57" t="n">
        <f aca="false">IF($F97="","",IF(COUNTA($I97:$K97)=0,0,1/COUNTA($I97:$K97)))</f>
        <v>0.5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>Airton · Luiz Paulo</v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F-789|Calibração e troca de pneus|35</v>
      </c>
      <c r="AK97" s="57" t="n">
        <f aca="false">IF($AJ97="","",COUNTIF($AJ$4:$AJ97,$AJ97))</f>
        <v>1</v>
      </c>
      <c r="AL97" s="57" t="n">
        <f aca="false">IF($AJ97="","",COUNTIF($AJ$4:$AJ$1004,$AJ97))</f>
        <v>1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VENCIDA</v>
      </c>
      <c r="C98" s="58" t="s">
        <v>368</v>
      </c>
      <c r="D98" s="59" t="s">
        <v>171</v>
      </c>
      <c r="E98" s="59" t="s">
        <v>327</v>
      </c>
      <c r="F98" s="59" t="s">
        <v>369</v>
      </c>
      <c r="G98" s="60" t="s">
        <v>110</v>
      </c>
      <c r="H98" s="60" t="s">
        <v>88</v>
      </c>
      <c r="I98" s="61" t="s">
        <v>128</v>
      </c>
      <c r="J98" s="61"/>
      <c r="K98" s="61"/>
      <c r="L98" s="62" t="n">
        <v>36</v>
      </c>
      <c r="M98" s="63" t="s">
        <v>112</v>
      </c>
      <c r="N98" s="62" t="n">
        <v>3</v>
      </c>
      <c r="O98" s="64" t="n">
        <f aca="false">IF(OR($L98="",$M98=""),"",(DATE(Semana!$J$3,1,4)-WEEKDAY(DATE(Semana!$J$3,1,4),3))+($L98-1)*7+MATCH($M98,Listas!$F$5:$F$11,0)-1)</f>
        <v>46265</v>
      </c>
      <c r="P98" s="64" t="n">
        <f aca="false">IF($O98="","",$O98+MAX(0,ROUNDUP($AK98*MAX(1,IF($N98="",1,$N98))/MAX(1,$AL98),0)-1))</f>
        <v>46265</v>
      </c>
      <c r="Q98" s="65"/>
      <c r="R98" s="60"/>
      <c r="S98" s="66" t="n">
        <v>35</v>
      </c>
      <c r="T98" s="59" t="s">
        <v>146</v>
      </c>
      <c r="U98" s="59"/>
      <c r="V98" s="57" t="str">
        <f aca="false">IF($F98="","",IF(ISNUMBER(SEARCH("(externo)",$I98&amp;$J98&amp;$K98)),"Terceirizada","Interna"))</f>
        <v>Interna</v>
      </c>
      <c r="W98" s="64" t="n">
        <f aca="false">IF($O98="","",IF($S98="",$O98,(DATE(Semana!$J$3,1,4)-WEEKDAY(DATE(Semana!$J$3,1,4),3))+($S98-1)*7+IF($M98="",0,MATCH($M98,Listas!$F$5:$F$11,0)-1)))</f>
        <v>46258</v>
      </c>
      <c r="X98" s="57" t="n">
        <f aca="false">IF($F98="","",IF(OR($Q98="",$O98=""),0,IF($Q98&lt;=$O98,1,0)))</f>
        <v>0</v>
      </c>
      <c r="Y98" s="57" t="n">
        <f aca="false">IF($F98="","",IF(OR($Q98="",$W98=""),0,IF($Q98&lt;=$W98,1,0)))</f>
        <v>0</v>
      </c>
      <c r="Z98" s="57" t="str">
        <f aca="false">IF(OR($Q98="",$O98=""),"",MAX(0,$Q98-$O98))</f>
        <v/>
      </c>
      <c r="AA98" s="57" t="n">
        <f aca="false">IF($F98="","",IF(AND($S98&lt;&gt;"",$L98&lt;&gt;"",$S98&lt;&gt;$L98),1,0))</f>
        <v>1</v>
      </c>
      <c r="AB98" s="57" t="n">
        <f aca="false">IF($F98="","",IF($R98="Cancelada",0,IF(OR($Q98&lt;&gt;"",$R98="Concluída"),1,0)))</f>
        <v>0</v>
      </c>
      <c r="AC98" s="57" t="n">
        <f aca="false">IF($P98="",0,IF($P98&lt;Hoje!$L$1,1,IF(AND($P98=Hoje!$L$1,Hoje!$L$2&gt;Semana!$M$3),1,0)))</f>
        <v>1</v>
      </c>
      <c r="AD98" s="57" t="n">
        <f aca="false">IF($F98="","",IF(COUNTA($I98:$K98)=0,0,1/COUNTA($I98:$K98)))</f>
        <v>1</v>
      </c>
      <c r="AE98" s="57" t="str">
        <f aca="false">IF($AH98=0,"",SUM($AH$4:$AH98))</f>
        <v/>
      </c>
      <c r="AF98" s="57" t="n">
        <f aca="false">IF($AI98=0,"",SUM($AI$4:$AI98))</f>
        <v>7</v>
      </c>
      <c r="AG98" s="67" t="str">
        <f aca="false">IF($F98="","",$I98&amp;IF($J98="",""," · "&amp;$J98)&amp;IF($K98="",""," · "&amp;$K98))</f>
        <v>Heliton</v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1</v>
      </c>
      <c r="AJ98" s="67" t="str">
        <f aca="false">IF($F98="","",$D98&amp;"|"&amp;$E98&amp;"|"&amp;$L98)</f>
        <v>F-815|Baixa de pendências backlog|36</v>
      </c>
      <c r="AK98" s="57" t="n">
        <f aca="false">IF($AJ98="","",COUNTIF($AJ$4:$AJ98,$AJ98))</f>
        <v>1</v>
      </c>
      <c r="AL98" s="57" t="n">
        <f aca="false">IF($AJ98="","",COUNTIF($AJ$4:$AJ$1004,$AJ98))</f>
        <v>34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VENCIDA</v>
      </c>
      <c r="C99" s="58" t="s">
        <v>368</v>
      </c>
      <c r="D99" s="59" t="s">
        <v>171</v>
      </c>
      <c r="E99" s="59" t="s">
        <v>327</v>
      </c>
      <c r="F99" s="59" t="s">
        <v>370</v>
      </c>
      <c r="G99" s="60" t="s">
        <v>110</v>
      </c>
      <c r="H99" s="60" t="s">
        <v>88</v>
      </c>
      <c r="I99" s="61" t="s">
        <v>128</v>
      </c>
      <c r="J99" s="61"/>
      <c r="K99" s="61"/>
      <c r="L99" s="62" t="n">
        <v>36</v>
      </c>
      <c r="M99" s="63" t="s">
        <v>112</v>
      </c>
      <c r="N99" s="62" t="n">
        <v>3</v>
      </c>
      <c r="O99" s="64" t="n">
        <f aca="false">IF(OR($L99="",$M99=""),"",(DATE(Semana!$J$3,1,4)-WEEKDAY(DATE(Semana!$J$3,1,4),3))+($L99-1)*7+MATCH($M99,Listas!$F$5:$F$11,0)-1)</f>
        <v>46265</v>
      </c>
      <c r="P99" s="64" t="n">
        <f aca="false">IF($O99="","",$O99+MAX(0,ROUNDUP($AK99*MAX(1,IF($N99="",1,$N99))/MAX(1,$AL99),0)-1))</f>
        <v>46265</v>
      </c>
      <c r="Q99" s="65"/>
      <c r="R99" s="60"/>
      <c r="S99" s="66" t="n">
        <v>35</v>
      </c>
      <c r="T99" s="59" t="s">
        <v>146</v>
      </c>
      <c r="U99" s="59"/>
      <c r="V99" s="57" t="str">
        <f aca="false">IF($F99="","",IF(ISNUMBER(SEARCH("(externo)",$I99&amp;$J99&amp;$K99)),"Terceirizada","Interna"))</f>
        <v>Interna</v>
      </c>
      <c r="W99" s="64" t="n">
        <f aca="false">IF($O99="","",IF($S99="",$O99,(DATE(Semana!$J$3,1,4)-WEEKDAY(DATE(Semana!$J$3,1,4),3))+($S99-1)*7+IF($M99="",0,MATCH($M99,Listas!$F$5:$F$11,0)-1)))</f>
        <v>46258</v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1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1</v>
      </c>
      <c r="AD99" s="57" t="n">
        <f aca="false">IF($F99="","",IF(COUNTA($I99:$K99)=0,0,1/COUNTA($I99:$K99)))</f>
        <v>1</v>
      </c>
      <c r="AE99" s="57" t="str">
        <f aca="false">IF($AH99=0,"",SUM($AH$4:$AH99))</f>
        <v/>
      </c>
      <c r="AF99" s="57" t="n">
        <f aca="false">IF($AI99=0,"",SUM($AI$4:$AI99))</f>
        <v>8</v>
      </c>
      <c r="AG99" s="67" t="str">
        <f aca="false">IF($F99="","",$I99&amp;IF($J99="",""," · "&amp;$J99)&amp;IF($K99="",""," · "&amp;$K99))</f>
        <v>Heliton</v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1</v>
      </c>
      <c r="AJ99" s="67" t="str">
        <f aca="false">IF($F99="","",$D99&amp;"|"&amp;$E99&amp;"|"&amp;$L99)</f>
        <v>F-815|Baixa de pendências backlog|36</v>
      </c>
      <c r="AK99" s="57" t="n">
        <f aca="false">IF($AJ99="","",COUNTIF($AJ$4:$AJ99,$AJ99))</f>
        <v>2</v>
      </c>
      <c r="AL99" s="57" t="n">
        <f aca="false">IF($AJ99="","",COUNTIF($AJ$4:$AJ$1004,$AJ99))</f>
        <v>34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VENCIDA</v>
      </c>
      <c r="C100" s="58" t="s">
        <v>371</v>
      </c>
      <c r="D100" s="59" t="s">
        <v>171</v>
      </c>
      <c r="E100" s="59" t="s">
        <v>327</v>
      </c>
      <c r="F100" s="59" t="s">
        <v>372</v>
      </c>
      <c r="G100" s="60" t="s">
        <v>110</v>
      </c>
      <c r="H100" s="60" t="s">
        <v>88</v>
      </c>
      <c r="I100" s="61"/>
      <c r="J100" s="61"/>
      <c r="K100" s="61"/>
      <c r="L100" s="62" t="n">
        <v>36</v>
      </c>
      <c r="M100" s="63" t="s">
        <v>112</v>
      </c>
      <c r="N100" s="62" t="n">
        <v>3</v>
      </c>
      <c r="O100" s="64" t="n">
        <f aca="false">IF(OR($L100="",$M100=""),"",(DATE(Semana!$J$3,1,4)-WEEKDAY(DATE(Semana!$J$3,1,4),3))+($L100-1)*7+MATCH($M100,Listas!$F$5:$F$11,0)-1)</f>
        <v>46265</v>
      </c>
      <c r="P100" s="64" t="n">
        <f aca="false">IF($O100="","",$O100+MAX(0,ROUNDUP($AK100*MAX(1,IF($N100="",1,$N100))/MAX(1,$AL100),0)-1))</f>
        <v>46265</v>
      </c>
      <c r="Q100" s="65"/>
      <c r="R100" s="60"/>
      <c r="S100" s="66" t="n">
        <v>35</v>
      </c>
      <c r="T100" s="59"/>
      <c r="U100" s="59"/>
      <c r="V100" s="57" t="str">
        <f aca="false">IF($F100="","",IF(ISNUMBER(SEARCH("(externo)",$I100&amp;$J100&amp;$K100)),"Terceirizada","Interna"))</f>
        <v>Interna</v>
      </c>
      <c r="W100" s="64" t="n">
        <f aca="false">IF($O100="","",IF($S100="",$O100,(DATE(Semana!$J$3,1,4)-WEEKDAY(DATE(Semana!$J$3,1,4),3))+($S100-1)*7+IF($M100="",0,MATCH($M100,Listas!$F$5:$F$11,0)-1)))</f>
        <v>46258</v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1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1</v>
      </c>
      <c r="AD100" s="57" t="n">
        <f aca="false">IF($F100="","",IF(COUNTA($I100:$K100)=0,0,1/COUNTA($I100:$K100)))</f>
        <v>0</v>
      </c>
      <c r="AE100" s="57" t="str">
        <f aca="false">IF($AH100=0,"",SUM($AH$4:$AH100))</f>
        <v/>
      </c>
      <c r="AF100" s="57" t="n">
        <f aca="false">IF($AI100=0,"",SUM($AI$4:$AI100))</f>
        <v>9</v>
      </c>
      <c r="AG100" s="67" t="str">
        <f aca="false">IF($F100="","",$I100&amp;IF($J100="",""," · "&amp;$J100)&amp;IF($K100="",""," · "&amp;$K100))</f>
        <v/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1</v>
      </c>
      <c r="AJ100" s="67" t="str">
        <f aca="false">IF($F100="","",$D100&amp;"|"&amp;$E100&amp;"|"&amp;$L100)</f>
        <v>F-815|Baixa de pendências backlog|36</v>
      </c>
      <c r="AK100" s="57" t="n">
        <f aca="false">IF($AJ100="","",COUNTIF($AJ$4:$AJ100,$AJ100))</f>
        <v>3</v>
      </c>
      <c r="AL100" s="57" t="n">
        <f aca="false">IF($AJ100="","",COUNTIF($AJ$4:$AJ$1004,$AJ100))</f>
        <v>34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58" t="s">
        <v>373</v>
      </c>
      <c r="D101" s="59" t="s">
        <v>171</v>
      </c>
      <c r="E101" s="59" t="s">
        <v>327</v>
      </c>
      <c r="F101" s="59" t="s">
        <v>374</v>
      </c>
      <c r="G101" s="60" t="s">
        <v>110</v>
      </c>
      <c r="H101" s="60" t="s">
        <v>88</v>
      </c>
      <c r="I101" s="61"/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46265</v>
      </c>
      <c r="Q101" s="65"/>
      <c r="R101" s="60"/>
      <c r="S101" s="66" t="n">
        <v>35</v>
      </c>
      <c r="T101" s="59"/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1</v>
      </c>
      <c r="AD101" s="57" t="n">
        <f aca="false">IF($F101="","",IF(COUNTA($I101:$K101)=0,0,1/COUNTA($I101:$K101)))</f>
        <v>0</v>
      </c>
      <c r="AE101" s="57" t="str">
        <f aca="false">IF($AH101=0,"",SUM($AH$4:$AH101))</f>
        <v/>
      </c>
      <c r="AF101" s="57" t="n">
        <f aca="false">IF($AI101=0,"",SUM($AI$4:$AI101))</f>
        <v>10</v>
      </c>
      <c r="AG101" s="67" t="str">
        <f aca="false">IF($F101="","",$I101&amp;IF($J101="",""," · "&amp;$J101)&amp;IF($K101="",""," · "&amp;$K101))</f>
        <v/>
      </c>
      <c r="AH101" s="57" t="n">
        <f aca="false">IF(AND($F101&lt;&gt;"",$O101&lt;&gt;"",$O101&lt;=Hoje!$C$3,$P101&gt;=Hoje!$C$3,$R101&lt;&gt;"Cancelada"),1,0)</f>
        <v>0</v>
      </c>
      <c r="AI101" s="57" t="n">
        <f aca="false">IF(AND($F101&lt;&gt;"",$P101&lt;&gt;"",$P101&lt;Hoje!$C$3,$AB101=0,$R101&lt;&gt;"Cancelada"),1,0)</f>
        <v>1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4</v>
      </c>
      <c r="AL101" s="57" t="n">
        <f aca="false">IF($AJ101="","",COUNTIF($AJ$4:$AJ$1004,$AJ101))</f>
        <v>34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58"/>
      <c r="D102" s="59" t="s">
        <v>171</v>
      </c>
      <c r="E102" s="59" t="s">
        <v>327</v>
      </c>
      <c r="F102" s="59" t="s">
        <v>375</v>
      </c>
      <c r="G102" s="60" t="s">
        <v>110</v>
      </c>
      <c r="H102" s="60" t="s">
        <v>88</v>
      </c>
      <c r="I102" s="61"/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46265</v>
      </c>
      <c r="Q102" s="65"/>
      <c r="R102" s="60" t="s">
        <v>57</v>
      </c>
      <c r="S102" s="66" t="n">
        <v>35</v>
      </c>
      <c r="T102" s="59" t="s">
        <v>139</v>
      </c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1</v>
      </c>
      <c r="AD102" s="57" t="n">
        <f aca="false">IF($F102="","",IF(COUNTA($I102:$K102)=0,0,1/COUNTA($I102:$K102)))</f>
        <v>0</v>
      </c>
      <c r="AE102" s="57" t="str">
        <f aca="false">IF($AH102=0,"",SUM($AH$4:$AH102))</f>
        <v/>
      </c>
      <c r="AF102" s="57" t="str">
        <f aca="false">IF($AI102=0,"",SUM($AI$4:$AI102))</f>
        <v/>
      </c>
      <c r="AG102" s="67" t="str">
        <f aca="false">IF($F102="","",$I102&amp;IF($J102="",""," · "&amp;$J102)&amp;IF($K102="",""," · "&amp;$K102))</f>
        <v/>
      </c>
      <c r="AH102" s="57" t="n">
        <f aca="false">IF(AND($F102&lt;&gt;"",$O102&lt;&gt;"",$O102&lt;=Hoje!$C$3,$P102&gt;=Hoje!$C$3,$R102&lt;&gt;"Cancelada"),1,0)</f>
        <v>0</v>
      </c>
      <c r="AI102" s="57" t="n">
        <f aca="false">IF(AND($F102&lt;&gt;"",$P102&lt;&gt;"",$P102&lt;Hoje!$C$3,$AB102=0,$R102&lt;&gt;"Cancelada"),1,0)</f>
        <v>0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5</v>
      </c>
      <c r="AL102" s="57" t="n">
        <f aca="false">IF($AJ102="","",COUNTIF($AJ$4:$AJ$1004,$AJ102))</f>
        <v>34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VENCIDA</v>
      </c>
      <c r="C103" s="58"/>
      <c r="D103" s="59" t="s">
        <v>171</v>
      </c>
      <c r="E103" s="59" t="s">
        <v>327</v>
      </c>
      <c r="F103" s="59" t="s">
        <v>376</v>
      </c>
      <c r="G103" s="60" t="s">
        <v>110</v>
      </c>
      <c r="H103" s="60" t="s">
        <v>88</v>
      </c>
      <c r="I103" s="61"/>
      <c r="J103" s="61"/>
      <c r="K103" s="61"/>
      <c r="L103" s="62" t="n">
        <v>36</v>
      </c>
      <c r="M103" s="63" t="s">
        <v>112</v>
      </c>
      <c r="N103" s="62" t="n">
        <v>3</v>
      </c>
      <c r="O103" s="64" t="n">
        <f aca="false">IF(OR($L103="",$M103=""),"",(DATE(Semana!$J$3,1,4)-WEEKDAY(DATE(Semana!$J$3,1,4),3))+($L103-1)*7+MATCH($M103,Listas!$F$5:$F$11,0)-1)</f>
        <v>46265</v>
      </c>
      <c r="P103" s="64" t="n">
        <f aca="false">IF($O103="","",$O103+MAX(0,ROUNDUP($AK103*MAX(1,IF($N103="",1,$N103))/MAX(1,$AL103),0)-1))</f>
        <v>46265</v>
      </c>
      <c r="Q103" s="65"/>
      <c r="R103" s="60"/>
      <c r="S103" s="66" t="n">
        <v>35</v>
      </c>
      <c r="T103" s="59"/>
      <c r="U103" s="59"/>
      <c r="V103" s="57" t="str">
        <f aca="false">IF($F103="","",IF(ISNUMBER(SEARCH("(externo)",$I103&amp;$J103&amp;$K103)),"Terceirizada","Interna"))</f>
        <v>Interna</v>
      </c>
      <c r="W103" s="64" t="n">
        <f aca="false">IF($O103="","",IF($S103="",$O103,(DATE(Semana!$J$3,1,4)-WEEKDAY(DATE(Semana!$J$3,1,4),3))+($S103-1)*7+IF($M103="",0,MATCH($M103,Listas!$F$5:$F$11,0)-1)))</f>
        <v>46258</v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1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1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n">
        <f aca="false">IF($AI103=0,"",SUM($AI$4:$AI103))</f>
        <v>11</v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1</v>
      </c>
      <c r="AJ103" s="67" t="str">
        <f aca="false">IF($F103="","",$D103&amp;"|"&amp;$E103&amp;"|"&amp;$L103)</f>
        <v>F-815|Baixa de pendências backlog|36</v>
      </c>
      <c r="AK103" s="57" t="n">
        <f aca="false">IF($AJ103="","",COUNTIF($AJ$4:$AJ103,$AJ103))</f>
        <v>6</v>
      </c>
      <c r="AL103" s="57" t="n">
        <f aca="false">IF($AJ103="","",COUNTIF($AJ$4:$AJ$1004,$AJ103))</f>
        <v>34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58"/>
      <c r="D104" s="59" t="s">
        <v>171</v>
      </c>
      <c r="E104" s="59" t="s">
        <v>327</v>
      </c>
      <c r="F104" s="59" t="s">
        <v>377</v>
      </c>
      <c r="G104" s="60" t="s">
        <v>110</v>
      </c>
      <c r="H104" s="60" t="s">
        <v>88</v>
      </c>
      <c r="I104" s="61"/>
      <c r="J104" s="61"/>
      <c r="K104" s="61"/>
      <c r="L104" s="62" t="n">
        <v>36</v>
      </c>
      <c r="M104" s="63" t="s">
        <v>112</v>
      </c>
      <c r="N104" s="62" t="n">
        <v>3</v>
      </c>
      <c r="O104" s="64" t="n">
        <f aca="false">IF(OR($L104="",$M104=""),"",(DATE(Semana!$J$3,1,4)-WEEKDAY(DATE(Semana!$J$3,1,4),3))+($L104-1)*7+MATCH($M104,Listas!$F$5:$F$11,0)-1)</f>
        <v>46265</v>
      </c>
      <c r="P104" s="64" t="n">
        <f aca="false">IF($O104="","",$O104+MAX(0,ROUNDUP($AK104*MAX(1,IF($N104="",1,$N104))/MAX(1,$AL104),0)-1))</f>
        <v>46265</v>
      </c>
      <c r="Q104" s="65"/>
      <c r="R104" s="60" t="s">
        <v>57</v>
      </c>
      <c r="S104" s="66" t="n">
        <v>35</v>
      </c>
      <c r="T104" s="59" t="s">
        <v>139</v>
      </c>
      <c r="U104" s="59"/>
      <c r="V104" s="57" t="str">
        <f aca="false">IF($F104="","",IF(ISNUMBER(SEARCH("(externo)",$I104&amp;$J104&amp;$K104)),"Terceirizada","Interna"))</f>
        <v>Interna</v>
      </c>
      <c r="W104" s="64" t="n">
        <f aca="false">IF($O104="","",IF($S104="",$O104,(DATE(Semana!$J$3,1,4)-WEEKDAY(DATE(Semana!$J$3,1,4),3))+($S104-1)*7+IF($M104="",0,MATCH($M104,Listas!$F$5:$F$11,0)-1)))</f>
        <v>46258</v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1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1</v>
      </c>
      <c r="AD104" s="57" t="n">
        <f aca="false">IF($F104="","",IF(COUNTA($I104:$K104)=0,0,1/COUNTA($I104:$K104)))</f>
        <v>0</v>
      </c>
      <c r="AE104" s="57" t="str">
        <f aca="false">IF($AH104=0,"",SUM($AH$4:$AH104))</f>
        <v/>
      </c>
      <c r="AF104" s="57" t="str">
        <f aca="false">IF($AI104=0,"",SUM($AI$4:$AI104))</f>
        <v/>
      </c>
      <c r="AG104" s="67" t="str">
        <f aca="false">IF($F104="","",$I104&amp;IF($J104="",""," · "&amp;$J104)&amp;IF($K104="",""," · "&amp;$K104))</f>
        <v/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0</v>
      </c>
      <c r="AJ104" s="67" t="str">
        <f aca="false">IF($F104="","",$D104&amp;"|"&amp;$E104&amp;"|"&amp;$L104)</f>
        <v>F-815|Baixa de pendências backlog|36</v>
      </c>
      <c r="AK104" s="57" t="n">
        <f aca="false">IF($AJ104="","",COUNTIF($AJ$4:$AJ104,$AJ104))</f>
        <v>7</v>
      </c>
      <c r="AL104" s="57" t="n">
        <f aca="false">IF($AJ104="","",COUNTIF($AJ$4:$AJ$1004,$AJ104))</f>
        <v>34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VENCIDA</v>
      </c>
      <c r="C105" s="58"/>
      <c r="D105" s="59" t="s">
        <v>171</v>
      </c>
      <c r="E105" s="59" t="s">
        <v>327</v>
      </c>
      <c r="F105" s="59" t="s">
        <v>378</v>
      </c>
      <c r="G105" s="60" t="s">
        <v>110</v>
      </c>
      <c r="H105" s="60" t="s">
        <v>88</v>
      </c>
      <c r="I105" s="61"/>
      <c r="J105" s="61"/>
      <c r="K105" s="61"/>
      <c r="L105" s="62" t="n">
        <v>36</v>
      </c>
      <c r="M105" s="63" t="s">
        <v>112</v>
      </c>
      <c r="N105" s="62" t="n">
        <v>3</v>
      </c>
      <c r="O105" s="64" t="n">
        <f aca="false">IF(OR($L105="",$M105=""),"",(DATE(Semana!$J$3,1,4)-WEEKDAY(DATE(Semana!$J$3,1,4),3))+($L105-1)*7+MATCH($M105,Listas!$F$5:$F$11,0)-1)</f>
        <v>46265</v>
      </c>
      <c r="P105" s="64" t="n">
        <f aca="false">IF($O105="","",$O105+MAX(0,ROUNDUP($AK105*MAX(1,IF($N105="",1,$N105))/MAX(1,$AL105),0)-1))</f>
        <v>46265</v>
      </c>
      <c r="Q105" s="65"/>
      <c r="R105" s="60"/>
      <c r="S105" s="66" t="n">
        <v>35</v>
      </c>
      <c r="T105" s="59"/>
      <c r="U105" s="59"/>
      <c r="V105" s="57" t="str">
        <f aca="false">IF($F105="","",IF(ISNUMBER(SEARCH("(externo)",$I105&amp;$J105&amp;$K105)),"Terceirizada","Interna"))</f>
        <v>Interna</v>
      </c>
      <c r="W105" s="64" t="n">
        <f aca="false">IF($O105="","",IF($S105="",$O105,(DATE(Semana!$J$3,1,4)-WEEKDAY(DATE(Semana!$J$3,1,4),3))+($S105-1)*7+IF($M105="",0,MATCH($M105,Listas!$F$5:$F$11,0)-1)))</f>
        <v>46258</v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1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1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n">
        <f aca="false">IF($AI105=0,"",SUM($AI$4:$AI105))</f>
        <v>12</v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1</v>
      </c>
      <c r="AJ105" s="67" t="str">
        <f aca="false">IF($F105="","",$D105&amp;"|"&amp;$E105&amp;"|"&amp;$L105)</f>
        <v>F-815|Baixa de pendências backlog|36</v>
      </c>
      <c r="AK105" s="57" t="n">
        <f aca="false">IF($AJ105="","",COUNTIF($AJ$4:$AJ105,$AJ105))</f>
        <v>8</v>
      </c>
      <c r="AL105" s="57" t="n">
        <f aca="false">IF($AJ105="","",COUNTIF($AJ$4:$AJ$1004,$AJ105))</f>
        <v>34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VENCIDA</v>
      </c>
      <c r="C106" s="58"/>
      <c r="D106" s="59" t="s">
        <v>171</v>
      </c>
      <c r="E106" s="59" t="s">
        <v>327</v>
      </c>
      <c r="F106" s="59" t="s">
        <v>379</v>
      </c>
      <c r="G106" s="60" t="s">
        <v>110</v>
      </c>
      <c r="H106" s="60" t="s">
        <v>88</v>
      </c>
      <c r="I106" s="61"/>
      <c r="J106" s="61"/>
      <c r="K106" s="61"/>
      <c r="L106" s="62" t="n">
        <v>36</v>
      </c>
      <c r="M106" s="63" t="s">
        <v>112</v>
      </c>
      <c r="N106" s="62" t="n">
        <v>3</v>
      </c>
      <c r="O106" s="64" t="n">
        <f aca="false">IF(OR($L106="",$M106=""),"",(DATE(Semana!$J$3,1,4)-WEEKDAY(DATE(Semana!$J$3,1,4),3))+($L106-1)*7+MATCH($M106,Listas!$F$5:$F$11,0)-1)</f>
        <v>46265</v>
      </c>
      <c r="P106" s="64" t="n">
        <f aca="false">IF($O106="","",$O106+MAX(0,ROUNDUP($AK106*MAX(1,IF($N106="",1,$N106))/MAX(1,$AL106),0)-1))</f>
        <v>46265</v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n">
        <f aca="false">IF($O106="","",IF($S106="",$O106,(DATE(Semana!$J$3,1,4)-WEEKDAY(DATE(Semana!$J$3,1,4),3))+($S106-1)*7+IF($M106="",0,MATCH($M106,Listas!$F$5:$F$11,0)-1)))</f>
        <v>46258</v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1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1</v>
      </c>
      <c r="AD106" s="57" t="n">
        <f aca="false">IF($F106="","",IF(COUNTA($I106:$K106)=0,0,1/COUNTA($I106:$K106)))</f>
        <v>0</v>
      </c>
      <c r="AE106" s="57" t="str">
        <f aca="false">IF($AH106=0,"",SUM($AH$4:$AH106))</f>
        <v/>
      </c>
      <c r="AF106" s="57" t="n">
        <f aca="false">IF($AI106=0,"",SUM($AI$4:$AI106))</f>
        <v>13</v>
      </c>
      <c r="AG106" s="67" t="str">
        <f aca="false">IF($F106="","",$I106&amp;IF($J106="",""," · "&amp;$J106)&amp;IF($K106="",""," · "&amp;$K106))</f>
        <v/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1</v>
      </c>
      <c r="AJ106" s="67" t="str">
        <f aca="false">IF($F106="","",$D106&amp;"|"&amp;$E106&amp;"|"&amp;$L106)</f>
        <v>F-815|Baixa de pendências backlog|36</v>
      </c>
      <c r="AK106" s="57" t="n">
        <f aca="false">IF($AJ106="","",COUNTIF($AJ$4:$AJ106,$AJ106))</f>
        <v>9</v>
      </c>
      <c r="AL106" s="57" t="n">
        <f aca="false">IF($AJ106="","",COUNTIF($AJ$4:$AJ$1004,$AJ106))</f>
        <v>34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VENCIDA</v>
      </c>
      <c r="C107" s="58" t="s">
        <v>380</v>
      </c>
      <c r="D107" s="59" t="s">
        <v>171</v>
      </c>
      <c r="E107" s="59" t="s">
        <v>327</v>
      </c>
      <c r="F107" s="59" t="s">
        <v>381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46265</v>
      </c>
      <c r="Q107" s="65"/>
      <c r="R107" s="60"/>
      <c r="S107" s="66" t="n">
        <v>35</v>
      </c>
      <c r="T107" s="59" t="s">
        <v>146</v>
      </c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1</v>
      </c>
      <c r="AD107" s="57" t="n">
        <f aca="false">IF($F107="","",IF(COUNTA($I107:$K107)=0,0,1/COUNTA($I107:$K107)))</f>
        <v>1</v>
      </c>
      <c r="AE107" s="57" t="str">
        <f aca="false">IF($AH107=0,"",SUM($AH$4:$AH107))</f>
        <v/>
      </c>
      <c r="AF107" s="57" t="n">
        <f aca="false">IF($AI107=0,"",SUM($AI$4:$AI107))</f>
        <v>14</v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0</v>
      </c>
      <c r="AI107" s="57" t="n">
        <f aca="false">IF(AND($F107&lt;&gt;"",$P107&lt;&gt;"",$P107&lt;Hoje!$C$3,$AB107=0,$R107&lt;&gt;"Cancelada"),1,0)</f>
        <v>1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10</v>
      </c>
      <c r="AL107" s="57" t="n">
        <f aca="false">IF($AJ107="","",COUNTIF($AJ$4:$AJ$1004,$AJ107))</f>
        <v>34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VENCIDA</v>
      </c>
      <c r="C108" s="58" t="s">
        <v>382</v>
      </c>
      <c r="D108" s="59" t="s">
        <v>171</v>
      </c>
      <c r="E108" s="59" t="s">
        <v>327</v>
      </c>
      <c r="F108" s="59" t="s">
        <v>383</v>
      </c>
      <c r="G108" s="60" t="s">
        <v>110</v>
      </c>
      <c r="H108" s="60" t="s">
        <v>88</v>
      </c>
      <c r="I108" s="61" t="s">
        <v>128</v>
      </c>
      <c r="J108" s="61"/>
      <c r="K108" s="61"/>
      <c r="L108" s="62" t="n">
        <v>36</v>
      </c>
      <c r="M108" s="63" t="s">
        <v>112</v>
      </c>
      <c r="N108" s="62" t="n">
        <v>3</v>
      </c>
      <c r="O108" s="64" t="n">
        <f aca="false">IF(OR($L108="",$M108=""),"",(DATE(Semana!$J$3,1,4)-WEEKDAY(DATE(Semana!$J$3,1,4),3))+($L108-1)*7+MATCH($M108,Listas!$F$5:$F$11,0)-1)</f>
        <v>46265</v>
      </c>
      <c r="P108" s="64" t="n">
        <f aca="false">IF($O108="","",$O108+MAX(0,ROUNDUP($AK108*MAX(1,IF($N108="",1,$N108))/MAX(1,$AL108),0)-1))</f>
        <v>46265</v>
      </c>
      <c r="Q108" s="65"/>
      <c r="R108" s="60"/>
      <c r="S108" s="66" t="n">
        <v>35</v>
      </c>
      <c r="T108" s="59" t="s">
        <v>146</v>
      </c>
      <c r="U108" s="59"/>
      <c r="V108" s="57" t="str">
        <f aca="false">IF($F108="","",IF(ISNUMBER(SEARCH("(externo)",$I108&amp;$J108&amp;$K108)),"Terceirizada","Interna"))</f>
        <v>Interna</v>
      </c>
      <c r="W108" s="64" t="n">
        <f aca="false">IF($O108="","",IF($S108="",$O108,(DATE(Semana!$J$3,1,4)-WEEKDAY(DATE(Semana!$J$3,1,4),3))+($S108-1)*7+IF($M108="",0,MATCH($M108,Listas!$F$5:$F$11,0)-1)))</f>
        <v>46258</v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1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1</v>
      </c>
      <c r="AD108" s="57" t="n">
        <f aca="false">IF($F108="","",IF(COUNTA($I108:$K108)=0,0,1/COUNTA($I108:$K108)))</f>
        <v>1</v>
      </c>
      <c r="AE108" s="57" t="str">
        <f aca="false">IF($AH108=0,"",SUM($AH$4:$AH108))</f>
        <v/>
      </c>
      <c r="AF108" s="57" t="n">
        <f aca="false">IF($AI108=0,"",SUM($AI$4:$AI108))</f>
        <v>15</v>
      </c>
      <c r="AG108" s="67" t="str">
        <f aca="false">IF($F108="","",$I108&amp;IF($J108="",""," · "&amp;$J108)&amp;IF($K108="",""," · "&amp;$K108))</f>
        <v>Heliton</v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1</v>
      </c>
      <c r="AJ108" s="67" t="str">
        <f aca="false">IF($F108="","",$D108&amp;"|"&amp;$E108&amp;"|"&amp;$L108)</f>
        <v>F-815|Baixa de pendências backlog|36</v>
      </c>
      <c r="AK108" s="57" t="n">
        <f aca="false">IF($AJ108="","",COUNTIF($AJ$4:$AJ108,$AJ108))</f>
        <v>11</v>
      </c>
      <c r="AL108" s="57" t="n">
        <f aca="false">IF($AJ108="","",COUNTIF($AJ$4:$AJ$1004,$AJ108))</f>
        <v>34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Fecha hoje</v>
      </c>
      <c r="C109" s="58"/>
      <c r="D109" s="59" t="s">
        <v>171</v>
      </c>
      <c r="E109" s="59" t="s">
        <v>327</v>
      </c>
      <c r="F109" s="59" t="s">
        <v>384</v>
      </c>
      <c r="G109" s="60" t="s">
        <v>110</v>
      </c>
      <c r="H109" s="60" t="s">
        <v>88</v>
      </c>
      <c r="I109" s="61"/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46266</v>
      </c>
      <c r="Q109" s="65"/>
      <c r="R109" s="60"/>
      <c r="S109" s="66" t="n">
        <v>35</v>
      </c>
      <c r="T109" s="59"/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0</v>
      </c>
      <c r="AD109" s="57" t="n">
        <f aca="false">IF($F109="","",IF(COUNTA($I109:$K109)=0,0,1/COUNTA($I109:$K109)))</f>
        <v>0</v>
      </c>
      <c r="AE109" s="57" t="n">
        <f aca="false">IF($AH109=0,"",SUM($AH$4:$AH109))</f>
        <v>28</v>
      </c>
      <c r="AF109" s="57" t="str">
        <f aca="false">IF($AI109=0,"",SUM($AI$4:$AI109))</f>
        <v/>
      </c>
      <c r="AG109" s="67" t="str">
        <f aca="false">IF($F109="","",$I109&amp;IF($J109="",""," · "&amp;$J109)&amp;IF($K109="",""," · "&amp;$K109))</f>
        <v/>
      </c>
      <c r="AH109" s="57" t="n">
        <f aca="false">IF(AND($F109&lt;&gt;"",$O109&lt;&gt;"",$O109&lt;=Hoje!$C$3,$P109&gt;=Hoje!$C$3,$R109&lt;&gt;"Cancelada"),1,0)</f>
        <v>1</v>
      </c>
      <c r="AI109" s="57" t="n">
        <f aca="false">IF(AND($F109&lt;&gt;"",$P109&lt;&gt;"",$P109&lt;Hoje!$C$3,$AB109=0,$R109&lt;&gt;"Cancelada"),1,0)</f>
        <v>0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12</v>
      </c>
      <c r="AL109" s="57" t="n">
        <f aca="false">IF($AJ109="","",COUNTIF($AJ$4:$AJ$1004,$AJ109))</f>
        <v>34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Fecha hoje</v>
      </c>
      <c r="C110" s="58"/>
      <c r="D110" s="59" t="s">
        <v>171</v>
      </c>
      <c r="E110" s="59" t="s">
        <v>327</v>
      </c>
      <c r="F110" s="59" t="s">
        <v>385</v>
      </c>
      <c r="G110" s="60" t="s">
        <v>110</v>
      </c>
      <c r="H110" s="60" t="s">
        <v>88</v>
      </c>
      <c r="I110" s="61"/>
      <c r="J110" s="61"/>
      <c r="K110" s="61"/>
      <c r="L110" s="62" t="n">
        <v>36</v>
      </c>
      <c r="M110" s="63" t="s">
        <v>112</v>
      </c>
      <c r="N110" s="62" t="n">
        <v>3</v>
      </c>
      <c r="O110" s="64" t="n">
        <f aca="false">IF(OR($L110="",$M110=""),"",(DATE(Semana!$J$3,1,4)-WEEKDAY(DATE(Semana!$J$3,1,4),3))+($L110-1)*7+MATCH($M110,Listas!$F$5:$F$11,0)-1)</f>
        <v>46265</v>
      </c>
      <c r="P110" s="64" t="n">
        <f aca="false">IF($O110="","",$O110+MAX(0,ROUNDUP($AK110*MAX(1,IF($N110="",1,$N110))/MAX(1,$AL110),0)-1))</f>
        <v>46266</v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n">
        <f aca="false">IF($O110="","",IF($S110="",$O110,(DATE(Semana!$J$3,1,4)-WEEKDAY(DATE(Semana!$J$3,1,4),3))+($S110-1)*7+IF($M110="",0,MATCH($M110,Listas!$F$5:$F$11,0)-1)))</f>
        <v>46258</v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1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0</v>
      </c>
      <c r="AD110" s="57" t="n">
        <f aca="false">IF($F110="","",IF(COUNTA($I110:$K110)=0,0,1/COUNTA($I110:$K110)))</f>
        <v>0</v>
      </c>
      <c r="AE110" s="57" t="n">
        <f aca="false">IF($AH110=0,"",SUM($AH$4:$AH110))</f>
        <v>29</v>
      </c>
      <c r="AF110" s="57" t="str">
        <f aca="false">IF($AI110=0,"",SUM($AI$4:$AI110))</f>
        <v/>
      </c>
      <c r="AG110" s="67" t="str">
        <f aca="false">IF($F110="","",$I110&amp;IF($J110="",""," · "&amp;$J110)&amp;IF($K110="",""," · "&amp;$K110))</f>
        <v/>
      </c>
      <c r="AH110" s="57" t="n">
        <f aca="false">IF(AND($F110&lt;&gt;"",$O110&lt;&gt;"",$O110&lt;=Hoje!$C$3,$P110&gt;=Hoje!$C$3,$R110&lt;&gt;"Cancelada"),1,0)</f>
        <v>1</v>
      </c>
      <c r="AI110" s="57" t="n">
        <f aca="false">IF(AND($F110&lt;&gt;"",$P110&lt;&gt;"",$P110&lt;Hoje!$C$3,$AB110=0,$R110&lt;&gt;"Cancelada"),1,0)</f>
        <v>0</v>
      </c>
      <c r="AJ110" s="67" t="str">
        <f aca="false">IF($F110="","",$D110&amp;"|"&amp;$E110&amp;"|"&amp;$L110)</f>
        <v>F-815|Baixa de pendências backlog|36</v>
      </c>
      <c r="AK110" s="57" t="n">
        <f aca="false">IF($AJ110="","",COUNTIF($AJ$4:$AJ110,$AJ110))</f>
        <v>13</v>
      </c>
      <c r="AL110" s="57" t="n">
        <f aca="false">IF($AJ110="","",COUNTIF($AJ$4:$AJ$1004,$AJ110))</f>
        <v>34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Fecha hoje</v>
      </c>
      <c r="C111" s="58"/>
      <c r="D111" s="59" t="s">
        <v>171</v>
      </c>
      <c r="E111" s="59" t="s">
        <v>327</v>
      </c>
      <c r="F111" s="59" t="s">
        <v>386</v>
      </c>
      <c r="G111" s="60" t="s">
        <v>110</v>
      </c>
      <c r="H111" s="60" t="s">
        <v>88</v>
      </c>
      <c r="I111" s="61"/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46266</v>
      </c>
      <c r="Q111" s="65"/>
      <c r="R111" s="60"/>
      <c r="S111" s="66" t="n">
        <v>35</v>
      </c>
      <c r="T111" s="59"/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0</v>
      </c>
      <c r="AD111" s="57" t="n">
        <f aca="false">IF($F111="","",IF(COUNTA($I111:$K111)=0,0,1/COUNTA($I111:$K111)))</f>
        <v>0</v>
      </c>
      <c r="AE111" s="57" t="n">
        <f aca="false">IF($AH111=0,"",SUM($AH$4:$AH111))</f>
        <v>30</v>
      </c>
      <c r="AF111" s="57" t="str">
        <f aca="false">IF($AI111=0,"",SUM($AI$4:$AI111))</f>
        <v/>
      </c>
      <c r="AG111" s="67" t="str">
        <f aca="false">IF($F111="","",$I111&amp;IF($J111="",""," · "&amp;$J111)&amp;IF($K111="",""," · "&amp;$K111))</f>
        <v/>
      </c>
      <c r="AH111" s="57" t="n">
        <f aca="false">IF(AND($F111&lt;&gt;"",$O111&lt;&gt;"",$O111&lt;=Hoje!$C$3,$P111&gt;=Hoje!$C$3,$R111&lt;&gt;"Cancelada"),1,0)</f>
        <v>1</v>
      </c>
      <c r="AI111" s="57" t="n">
        <f aca="false">IF(AND($F111&lt;&gt;"",$P111&lt;&gt;"",$P111&lt;Hoje!$C$3,$AB111=0,$R111&lt;&gt;"Cancelada"),1,0)</f>
        <v>0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14</v>
      </c>
      <c r="AL111" s="57" t="n">
        <f aca="false">IF($AJ111="","",COUNTIF($AJ$4:$AJ$1004,$AJ111))</f>
        <v>34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Fecha hoje</v>
      </c>
      <c r="C112" s="58"/>
      <c r="D112" s="59" t="s">
        <v>171</v>
      </c>
      <c r="E112" s="59" t="s">
        <v>327</v>
      </c>
      <c r="F112" s="59" t="s">
        <v>387</v>
      </c>
      <c r="G112" s="60" t="s">
        <v>110</v>
      </c>
      <c r="H112" s="60" t="s">
        <v>88</v>
      </c>
      <c r="I112" s="61"/>
      <c r="J112" s="61"/>
      <c r="K112" s="61"/>
      <c r="L112" s="62" t="n">
        <v>36</v>
      </c>
      <c r="M112" s="63" t="s">
        <v>112</v>
      </c>
      <c r="N112" s="62" t="n">
        <v>3</v>
      </c>
      <c r="O112" s="64" t="n">
        <f aca="false">IF(OR($L112="",$M112=""),"",(DATE(Semana!$J$3,1,4)-WEEKDAY(DATE(Semana!$J$3,1,4),3))+($L112-1)*7+MATCH($M112,Listas!$F$5:$F$11,0)-1)</f>
        <v>46265</v>
      </c>
      <c r="P112" s="64" t="n">
        <f aca="false">IF($O112="","",$O112+MAX(0,ROUNDUP($AK112*MAX(1,IF($N112="",1,$N112))/MAX(1,$AL112),0)-1))</f>
        <v>46266</v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n">
        <f aca="false">IF($O112="","",IF($S112="",$O112,(DATE(Semana!$J$3,1,4)-WEEKDAY(DATE(Semana!$J$3,1,4),3))+($S112-1)*7+IF($M112="",0,MATCH($M112,Listas!$F$5:$F$11,0)-1)))</f>
        <v>46258</v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1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0</v>
      </c>
      <c r="AD112" s="57" t="n">
        <f aca="false">IF($F112="","",IF(COUNTA($I112:$K112)=0,0,1/COUNTA($I112:$K112)))</f>
        <v>0</v>
      </c>
      <c r="AE112" s="57" t="n">
        <f aca="false">IF($AH112=0,"",SUM($AH$4:$AH112))</f>
        <v>31</v>
      </c>
      <c r="AF112" s="57" t="str">
        <f aca="false">IF($AI112=0,"",SUM($AI$4:$AI112))</f>
        <v/>
      </c>
      <c r="AG112" s="67" t="str">
        <f aca="false">IF($F112="","",$I112&amp;IF($J112="",""," · "&amp;$J112)&amp;IF($K112="",""," · "&amp;$K112))</f>
        <v/>
      </c>
      <c r="AH112" s="57" t="n">
        <f aca="false">IF(AND($F112&lt;&gt;"",$O112&lt;&gt;"",$O112&lt;=Hoje!$C$3,$P112&gt;=Hoje!$C$3,$R112&lt;&gt;"Cancelada"),1,0)</f>
        <v>1</v>
      </c>
      <c r="AI112" s="57" t="n">
        <f aca="false">IF(AND($F112&lt;&gt;"",$P112&lt;&gt;"",$P112&lt;Hoje!$C$3,$AB112=0,$R112&lt;&gt;"Cancelada"),1,0)</f>
        <v>0</v>
      </c>
      <c r="AJ112" s="67" t="str">
        <f aca="false">IF($F112="","",$D112&amp;"|"&amp;$E112&amp;"|"&amp;$L112)</f>
        <v>F-815|Baixa de pendências backlog|36</v>
      </c>
      <c r="AK112" s="57" t="n">
        <f aca="false">IF($AJ112="","",COUNTIF($AJ$4:$AJ112,$AJ112))</f>
        <v>15</v>
      </c>
      <c r="AL112" s="57" t="n">
        <f aca="false">IF($AJ112="","",COUNTIF($AJ$4:$AJ$1004,$AJ112))</f>
        <v>34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Fecha hoje</v>
      </c>
      <c r="C113" s="58" t="s">
        <v>388</v>
      </c>
      <c r="D113" s="59" t="s">
        <v>171</v>
      </c>
      <c r="E113" s="59" t="s">
        <v>327</v>
      </c>
      <c r="F113" s="59" t="s">
        <v>389</v>
      </c>
      <c r="G113" s="60" t="s">
        <v>110</v>
      </c>
      <c r="H113" s="60" t="s">
        <v>88</v>
      </c>
      <c r="I113" s="61" t="s">
        <v>128</v>
      </c>
      <c r="J113" s="61"/>
      <c r="K113" s="61"/>
      <c r="L113" s="62" t="n">
        <v>36</v>
      </c>
      <c r="M113" s="63" t="s">
        <v>112</v>
      </c>
      <c r="N113" s="62" t="n">
        <v>3</v>
      </c>
      <c r="O113" s="64" t="n">
        <f aca="false">IF(OR($L113="",$M113=""),"",(DATE(Semana!$J$3,1,4)-WEEKDAY(DATE(Semana!$J$3,1,4),3))+($L113-1)*7+MATCH($M113,Listas!$F$5:$F$11,0)-1)</f>
        <v>46265</v>
      </c>
      <c r="P113" s="64" t="n">
        <f aca="false">IF($O113="","",$O113+MAX(0,ROUNDUP($AK113*MAX(1,IF($N113="",1,$N113))/MAX(1,$AL113),0)-1))</f>
        <v>46266</v>
      </c>
      <c r="Q113" s="65"/>
      <c r="R113" s="60"/>
      <c r="S113" s="66" t="n">
        <v>35</v>
      </c>
      <c r="T113" s="59" t="s">
        <v>146</v>
      </c>
      <c r="U113" s="59"/>
      <c r="V113" s="57" t="str">
        <f aca="false">IF($F113="","",IF(ISNUMBER(SEARCH("(externo)",$I113&amp;$J113&amp;$K113)),"Terceirizada","Interna"))</f>
        <v>Interna</v>
      </c>
      <c r="W113" s="64" t="n">
        <f aca="false">IF($O113="","",IF($S113="",$O113,(DATE(Semana!$J$3,1,4)-WEEKDAY(DATE(Semana!$J$3,1,4),3))+($S113-1)*7+IF($M113="",0,MATCH($M113,Listas!$F$5:$F$11,0)-1)))</f>
        <v>46258</v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1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0</v>
      </c>
      <c r="AD113" s="57" t="n">
        <f aca="false">IF($F113="","",IF(COUNTA($I113:$K113)=0,0,1/COUNTA($I113:$K113)))</f>
        <v>1</v>
      </c>
      <c r="AE113" s="57" t="n">
        <f aca="false">IF($AH113=0,"",SUM($AH$4:$AH113))</f>
        <v>32</v>
      </c>
      <c r="AF113" s="57" t="str">
        <f aca="false">IF($AI113=0,"",SUM($AI$4:$AI113))</f>
        <v/>
      </c>
      <c r="AG113" s="67" t="str">
        <f aca="false">IF($F113="","",$I113&amp;IF($J113="",""," · "&amp;$J113)&amp;IF($K113="",""," · "&amp;$K113))</f>
        <v>Heliton</v>
      </c>
      <c r="AH113" s="57" t="n">
        <f aca="false">IF(AND($F113&lt;&gt;"",$O113&lt;&gt;"",$O113&lt;=Hoje!$C$3,$P113&gt;=Hoje!$C$3,$R113&lt;&gt;"Cancelada"),1,0)</f>
        <v>1</v>
      </c>
      <c r="AI113" s="57" t="n">
        <f aca="false">IF(AND($F113&lt;&gt;"",$P113&lt;&gt;"",$P113&lt;Hoje!$C$3,$AB113=0,$R113&lt;&gt;"Cancelada"),1,0)</f>
        <v>0</v>
      </c>
      <c r="AJ113" s="67" t="str">
        <f aca="false">IF($F113="","",$D113&amp;"|"&amp;$E113&amp;"|"&amp;$L113)</f>
        <v>F-815|Baixa de pendências backlog|36</v>
      </c>
      <c r="AK113" s="57" t="n">
        <f aca="false">IF($AJ113="","",COUNTIF($AJ$4:$AJ113,$AJ113))</f>
        <v>16</v>
      </c>
      <c r="AL113" s="57" t="n">
        <f aca="false">IF($AJ113="","",COUNTIF($AJ$4:$AJ$1004,$AJ113))</f>
        <v>34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Fecha hoje</v>
      </c>
      <c r="C114" s="58"/>
      <c r="D114" s="59" t="s">
        <v>171</v>
      </c>
      <c r="E114" s="59" t="s">
        <v>327</v>
      </c>
      <c r="F114" s="59" t="s">
        <v>390</v>
      </c>
      <c r="G114" s="60" t="s">
        <v>110</v>
      </c>
      <c r="H114" s="60" t="s">
        <v>88</v>
      </c>
      <c r="I114" s="61"/>
      <c r="J114" s="61"/>
      <c r="K114" s="61"/>
      <c r="L114" s="62" t="n">
        <v>36</v>
      </c>
      <c r="M114" s="63" t="s">
        <v>112</v>
      </c>
      <c r="N114" s="62" t="n">
        <v>3</v>
      </c>
      <c r="O114" s="64" t="n">
        <f aca="false">IF(OR($L114="",$M114=""),"",(DATE(Semana!$J$3,1,4)-WEEKDAY(DATE(Semana!$J$3,1,4),3))+($L114-1)*7+MATCH($M114,Listas!$F$5:$F$11,0)-1)</f>
        <v>46265</v>
      </c>
      <c r="P114" s="64" t="n">
        <f aca="false">IF($O114="","",$O114+MAX(0,ROUNDUP($AK114*MAX(1,IF($N114="",1,$N114))/MAX(1,$AL114),0)-1))</f>
        <v>46266</v>
      </c>
      <c r="Q114" s="65"/>
      <c r="R114" s="60"/>
      <c r="S114" s="66" t="n">
        <v>35</v>
      </c>
      <c r="T114" s="59"/>
      <c r="U114" s="59"/>
      <c r="V114" s="57" t="str">
        <f aca="false">IF($F114="","",IF(ISNUMBER(SEARCH("(externo)",$I114&amp;$J114&amp;$K114)),"Terceirizada","Interna"))</f>
        <v>Interna</v>
      </c>
      <c r="W114" s="64" t="n">
        <f aca="false">IF($O114="","",IF($S114="",$O114,(DATE(Semana!$J$3,1,4)-WEEKDAY(DATE(Semana!$J$3,1,4),3))+($S114-1)*7+IF($M114="",0,MATCH($M114,Listas!$F$5:$F$11,0)-1)))</f>
        <v>46258</v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1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0</v>
      </c>
      <c r="AD114" s="57" t="n">
        <f aca="false">IF($F114="","",IF(COUNTA($I114:$K114)=0,0,1/COUNTA($I114:$K114)))</f>
        <v>0</v>
      </c>
      <c r="AE114" s="57" t="n">
        <f aca="false">IF($AH114=0,"",SUM($AH$4:$AH114))</f>
        <v>33</v>
      </c>
      <c r="AF114" s="57" t="str">
        <f aca="false">IF($AI114=0,"",SUM($AI$4:$AI114))</f>
        <v/>
      </c>
      <c r="AG114" s="67" t="str">
        <f aca="false">IF($F114="","",$I114&amp;IF($J114="",""," · "&amp;$J114)&amp;IF($K114="",""," · "&amp;$K114))</f>
        <v/>
      </c>
      <c r="AH114" s="57" t="n">
        <f aca="false">IF(AND($F114&lt;&gt;"",$O114&lt;&gt;"",$O114&lt;=Hoje!$C$3,$P114&gt;=Hoje!$C$3,$R114&lt;&gt;"Cancelada"),1,0)</f>
        <v>1</v>
      </c>
      <c r="AI114" s="57" t="n">
        <f aca="false">IF(AND($F114&lt;&gt;"",$P114&lt;&gt;"",$P114&lt;Hoje!$C$3,$AB114=0,$R114&lt;&gt;"Cancelada"),1,0)</f>
        <v>0</v>
      </c>
      <c r="AJ114" s="67" t="str">
        <f aca="false">IF($F114="","",$D114&amp;"|"&amp;$E114&amp;"|"&amp;$L114)</f>
        <v>F-815|Baixa de pendências backlog|36</v>
      </c>
      <c r="AK114" s="57" t="n">
        <f aca="false">IF($AJ114="","",COUNTIF($AJ$4:$AJ114,$AJ114))</f>
        <v>17</v>
      </c>
      <c r="AL114" s="57" t="n">
        <f aca="false">IF($AJ114="","",COUNTIF($AJ$4:$AJ$1004,$AJ114))</f>
        <v>34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Fecha hoje</v>
      </c>
      <c r="C115" s="58" t="s">
        <v>391</v>
      </c>
      <c r="D115" s="59" t="s">
        <v>171</v>
      </c>
      <c r="E115" s="59" t="s">
        <v>327</v>
      </c>
      <c r="F115" s="59" t="s">
        <v>392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46266</v>
      </c>
      <c r="Q115" s="65"/>
      <c r="R115" s="60"/>
      <c r="S115" s="66" t="n">
        <v>35</v>
      </c>
      <c r="T115" s="59" t="s">
        <v>146</v>
      </c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0</v>
      </c>
      <c r="AD115" s="57" t="n">
        <f aca="false">IF($F115="","",IF(COUNTA($I115:$K115)=0,0,1/COUNTA($I115:$K115)))</f>
        <v>1</v>
      </c>
      <c r="AE115" s="57" t="n">
        <f aca="false">IF($AH115=0,"",SUM($AH$4:$AH115))</f>
        <v>34</v>
      </c>
      <c r="AF115" s="57" t="str">
        <f aca="false">IF($AI115=0,"",SUM($AI$4:$AI115))</f>
        <v/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1</v>
      </c>
      <c r="AI115" s="57" t="n">
        <f aca="false">IF(AND($F115&lt;&gt;"",$P115&lt;&gt;"",$P115&lt;Hoje!$C$3,$AB115=0,$R115&lt;&gt;"Cancelada"),1,0)</f>
        <v>0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18</v>
      </c>
      <c r="AL115" s="57" t="n">
        <f aca="false">IF($AJ115="","",COUNTIF($AJ$4:$AJ$1004,$AJ115))</f>
        <v>34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Fecha hoje</v>
      </c>
      <c r="C116" s="58"/>
      <c r="D116" s="59" t="s">
        <v>171</v>
      </c>
      <c r="E116" s="59" t="s">
        <v>327</v>
      </c>
      <c r="F116" s="59" t="s">
        <v>393</v>
      </c>
      <c r="G116" s="60" t="s">
        <v>110</v>
      </c>
      <c r="H116" s="60" t="s">
        <v>88</v>
      </c>
      <c r="I116" s="61"/>
      <c r="J116" s="61"/>
      <c r="K116" s="61"/>
      <c r="L116" s="62" t="n">
        <v>36</v>
      </c>
      <c r="M116" s="63" t="s">
        <v>112</v>
      </c>
      <c r="N116" s="62" t="n">
        <v>3</v>
      </c>
      <c r="O116" s="64" t="n">
        <f aca="false">IF(OR($L116="",$M116=""),"",(DATE(Semana!$J$3,1,4)-WEEKDAY(DATE(Semana!$J$3,1,4),3))+($L116-1)*7+MATCH($M116,Listas!$F$5:$F$11,0)-1)</f>
        <v>46265</v>
      </c>
      <c r="P116" s="64" t="n">
        <f aca="false">IF($O116="","",$O116+MAX(0,ROUNDUP($AK116*MAX(1,IF($N116="",1,$N116))/MAX(1,$AL116),0)-1))</f>
        <v>46266</v>
      </c>
      <c r="Q116" s="65"/>
      <c r="R116" s="60"/>
      <c r="S116" s="66" t="n">
        <v>35</v>
      </c>
      <c r="T116" s="59"/>
      <c r="U116" s="59"/>
      <c r="V116" s="57" t="str">
        <f aca="false">IF($F116="","",IF(ISNUMBER(SEARCH("(externo)",$I116&amp;$J116&amp;$K116)),"Terceirizada","Interna"))</f>
        <v>Interna</v>
      </c>
      <c r="W116" s="64" t="n">
        <f aca="false">IF($O116="","",IF($S116="",$O116,(DATE(Semana!$J$3,1,4)-WEEKDAY(DATE(Semana!$J$3,1,4),3))+($S116-1)*7+IF($M116="",0,MATCH($M116,Listas!$F$5:$F$11,0)-1)))</f>
        <v>46258</v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1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0</v>
      </c>
      <c r="AD116" s="57" t="n">
        <f aca="false">IF($F116="","",IF(COUNTA($I116:$K116)=0,0,1/COUNTA($I116:$K116)))</f>
        <v>0</v>
      </c>
      <c r="AE116" s="57" t="n">
        <f aca="false">IF($AH116=0,"",SUM($AH$4:$AH116))</f>
        <v>35</v>
      </c>
      <c r="AF116" s="57" t="str">
        <f aca="false">IF($AI116=0,"",SUM($AI$4:$AI116))</f>
        <v/>
      </c>
      <c r="AG116" s="67" t="str">
        <f aca="false">IF($F116="","",$I116&amp;IF($J116="",""," · "&amp;$J116)&amp;IF($K116="",""," · "&amp;$K116))</f>
        <v/>
      </c>
      <c r="AH116" s="57" t="n">
        <f aca="false">IF(AND($F116&lt;&gt;"",$O116&lt;&gt;"",$O116&lt;=Hoje!$C$3,$P116&gt;=Hoje!$C$3,$R116&lt;&gt;"Cancelada"),1,0)</f>
        <v>1</v>
      </c>
      <c r="AI116" s="57" t="n">
        <f aca="false">IF(AND($F116&lt;&gt;"",$P116&lt;&gt;"",$P116&lt;Hoje!$C$3,$AB116=0,$R116&lt;&gt;"Cancelada"),1,0)</f>
        <v>0</v>
      </c>
      <c r="AJ116" s="67" t="str">
        <f aca="false">IF($F116="","",$D116&amp;"|"&amp;$E116&amp;"|"&amp;$L116)</f>
        <v>F-815|Baixa de pendências backlog|36</v>
      </c>
      <c r="AK116" s="57" t="n">
        <f aca="false">IF($AJ116="","",COUNTIF($AJ$4:$AJ116,$AJ116))</f>
        <v>19</v>
      </c>
      <c r="AL116" s="57" t="n">
        <f aca="false">IF($AJ116="","",COUNTIF($AJ$4:$AJ$1004,$AJ116))</f>
        <v>34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Fecha hoje</v>
      </c>
      <c r="C117" s="58" t="s">
        <v>394</v>
      </c>
      <c r="D117" s="59" t="s">
        <v>171</v>
      </c>
      <c r="E117" s="59" t="s">
        <v>327</v>
      </c>
      <c r="F117" s="59" t="s">
        <v>395</v>
      </c>
      <c r="G117" s="60" t="s">
        <v>110</v>
      </c>
      <c r="H117" s="60" t="s">
        <v>88</v>
      </c>
      <c r="I117" s="61" t="s">
        <v>128</v>
      </c>
      <c r="J117" s="61"/>
      <c r="K117" s="61"/>
      <c r="L117" s="62" t="n">
        <v>36</v>
      </c>
      <c r="M117" s="63" t="s">
        <v>112</v>
      </c>
      <c r="N117" s="62" t="n">
        <v>3</v>
      </c>
      <c r="O117" s="64" t="n">
        <f aca="false">IF(OR($L117="",$M117=""),"",(DATE(Semana!$J$3,1,4)-WEEKDAY(DATE(Semana!$J$3,1,4),3))+($L117-1)*7+MATCH($M117,Listas!$F$5:$F$11,0)-1)</f>
        <v>46265</v>
      </c>
      <c r="P117" s="64" t="n">
        <f aca="false">IF($O117="","",$O117+MAX(0,ROUNDUP($AK117*MAX(1,IF($N117="",1,$N117))/MAX(1,$AL117),0)-1))</f>
        <v>46266</v>
      </c>
      <c r="Q117" s="65"/>
      <c r="R117" s="60"/>
      <c r="S117" s="66" t="n">
        <v>35</v>
      </c>
      <c r="T117" s="59" t="s">
        <v>146</v>
      </c>
      <c r="U117" s="59"/>
      <c r="V117" s="57" t="str">
        <f aca="false">IF($F117="","",IF(ISNUMBER(SEARCH("(externo)",$I117&amp;$J117&amp;$K117)),"Terceirizada","Interna"))</f>
        <v>Interna</v>
      </c>
      <c r="W117" s="64" t="n">
        <f aca="false">IF($O117="","",IF($S117="",$O117,(DATE(Semana!$J$3,1,4)-WEEKDAY(DATE(Semana!$J$3,1,4),3))+($S117-1)*7+IF($M117="",0,MATCH($M117,Listas!$F$5:$F$11,0)-1)))</f>
        <v>46258</v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1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0</v>
      </c>
      <c r="AD117" s="57" t="n">
        <f aca="false">IF($F117="","",IF(COUNTA($I117:$K117)=0,0,1/COUNTA($I117:$K117)))</f>
        <v>1</v>
      </c>
      <c r="AE117" s="57" t="n">
        <f aca="false">IF($AH117=0,"",SUM($AH$4:$AH117))</f>
        <v>36</v>
      </c>
      <c r="AF117" s="57" t="str">
        <f aca="false">IF($AI117=0,"",SUM($AI$4:$AI117))</f>
        <v/>
      </c>
      <c r="AG117" s="67" t="str">
        <f aca="false">IF($F117="","",$I117&amp;IF($J117="",""," · "&amp;$J117)&amp;IF($K117="",""," · "&amp;$K117))</f>
        <v>Heliton</v>
      </c>
      <c r="AH117" s="57" t="n">
        <f aca="false">IF(AND($F117&lt;&gt;"",$O117&lt;&gt;"",$O117&lt;=Hoje!$C$3,$P117&gt;=Hoje!$C$3,$R117&lt;&gt;"Cancelada"),1,0)</f>
        <v>1</v>
      </c>
      <c r="AI117" s="57" t="n">
        <f aca="false">IF(AND($F117&lt;&gt;"",$P117&lt;&gt;"",$P117&lt;Hoje!$C$3,$AB117=0,$R117&lt;&gt;"Cancelada"),1,0)</f>
        <v>0</v>
      </c>
      <c r="AJ117" s="67" t="str">
        <f aca="false">IF($F117="","",$D117&amp;"|"&amp;$E117&amp;"|"&amp;$L117)</f>
        <v>F-815|Baixa de pendências backlog|36</v>
      </c>
      <c r="AK117" s="57" t="n">
        <f aca="false">IF($AJ117="","",COUNTIF($AJ$4:$AJ117,$AJ117))</f>
        <v>20</v>
      </c>
      <c r="AL117" s="57" t="n">
        <f aca="false">IF($AJ117="","",COUNTIF($AJ$4:$AJ$1004,$AJ117))</f>
        <v>34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Fecha hoje</v>
      </c>
      <c r="C118" s="58"/>
      <c r="D118" s="59" t="s">
        <v>171</v>
      </c>
      <c r="E118" s="59" t="s">
        <v>327</v>
      </c>
      <c r="F118" s="59" t="s">
        <v>396</v>
      </c>
      <c r="G118" s="60" t="s">
        <v>110</v>
      </c>
      <c r="H118" s="60" t="s">
        <v>88</v>
      </c>
      <c r="I118" s="61"/>
      <c r="J118" s="61"/>
      <c r="K118" s="61"/>
      <c r="L118" s="62" t="n">
        <v>36</v>
      </c>
      <c r="M118" s="63" t="s">
        <v>112</v>
      </c>
      <c r="N118" s="62" t="n">
        <v>3</v>
      </c>
      <c r="O118" s="64" t="n">
        <f aca="false">IF(OR($L118="",$M118=""),"",(DATE(Semana!$J$3,1,4)-WEEKDAY(DATE(Semana!$J$3,1,4),3))+($L118-1)*7+MATCH($M118,Listas!$F$5:$F$11,0)-1)</f>
        <v>46265</v>
      </c>
      <c r="P118" s="64" t="n">
        <f aca="false">IF($O118="","",$O118+MAX(0,ROUNDUP($AK118*MAX(1,IF($N118="",1,$N118))/MAX(1,$AL118),0)-1))</f>
        <v>46266</v>
      </c>
      <c r="Q118" s="65"/>
      <c r="R118" s="60"/>
      <c r="S118" s="66" t="n">
        <v>35</v>
      </c>
      <c r="T118" s="59"/>
      <c r="U118" s="59"/>
      <c r="V118" s="57" t="str">
        <f aca="false">IF($F118="","",IF(ISNUMBER(SEARCH("(externo)",$I118&amp;$J118&amp;$K118)),"Terceirizada","Interna"))</f>
        <v>Interna</v>
      </c>
      <c r="W118" s="64" t="n">
        <f aca="false">IF($O118="","",IF($S118="",$O118,(DATE(Semana!$J$3,1,4)-WEEKDAY(DATE(Semana!$J$3,1,4),3))+($S118-1)*7+IF($M118="",0,MATCH($M118,Listas!$F$5:$F$11,0)-1)))</f>
        <v>46258</v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1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0</v>
      </c>
      <c r="AD118" s="57" t="n">
        <f aca="false">IF($F118="","",IF(COUNTA($I118:$K118)=0,0,1/COUNTA($I118:$K118)))</f>
        <v>0</v>
      </c>
      <c r="AE118" s="57" t="n">
        <f aca="false">IF($AH118=0,"",SUM($AH$4:$AH118))</f>
        <v>37</v>
      </c>
      <c r="AF118" s="57" t="str">
        <f aca="false">IF($AI118=0,"",SUM($AI$4:$AI118))</f>
        <v/>
      </c>
      <c r="AG118" s="67" t="str">
        <f aca="false">IF($F118="","",$I118&amp;IF($J118="",""," · "&amp;$J118)&amp;IF($K118="",""," · "&amp;$K118))</f>
        <v/>
      </c>
      <c r="AH118" s="57" t="n">
        <f aca="false">IF(AND($F118&lt;&gt;"",$O118&lt;&gt;"",$O118&lt;=Hoje!$C$3,$P118&gt;=Hoje!$C$3,$R118&lt;&gt;"Cancelada"),1,0)</f>
        <v>1</v>
      </c>
      <c r="AI118" s="57" t="n">
        <f aca="false">IF(AND($F118&lt;&gt;"",$P118&lt;&gt;"",$P118&lt;Hoje!$C$3,$AB118=0,$R118&lt;&gt;"Cancelada"),1,0)</f>
        <v>0</v>
      </c>
      <c r="AJ118" s="67" t="str">
        <f aca="false">IF($F118="","",$D118&amp;"|"&amp;$E118&amp;"|"&amp;$L118)</f>
        <v>F-815|Baixa de pendências backlog|36</v>
      </c>
      <c r="AK118" s="57" t="n">
        <f aca="false">IF($AJ118="","",COUNTIF($AJ$4:$AJ118,$AJ118))</f>
        <v>21</v>
      </c>
      <c r="AL118" s="57" t="n">
        <f aca="false">IF($AJ118="","",COUNTIF($AJ$4:$AJ$1004,$AJ118))</f>
        <v>34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Fecha hoje</v>
      </c>
      <c r="C119" s="58"/>
      <c r="D119" s="59" t="s">
        <v>171</v>
      </c>
      <c r="E119" s="59" t="s">
        <v>327</v>
      </c>
      <c r="F119" s="59" t="s">
        <v>397</v>
      </c>
      <c r="G119" s="60" t="s">
        <v>110</v>
      </c>
      <c r="H119" s="60" t="s">
        <v>88</v>
      </c>
      <c r="I119" s="61"/>
      <c r="J119" s="61"/>
      <c r="K119" s="61"/>
      <c r="L119" s="62" t="n">
        <v>36</v>
      </c>
      <c r="M119" s="63" t="s">
        <v>112</v>
      </c>
      <c r="N119" s="62" t="n">
        <v>3</v>
      </c>
      <c r="O119" s="64" t="n">
        <f aca="false">IF(OR($L119="",$M119=""),"",(DATE(Semana!$J$3,1,4)-WEEKDAY(DATE(Semana!$J$3,1,4),3))+($L119-1)*7+MATCH($M119,Listas!$F$5:$F$11,0)-1)</f>
        <v>46265</v>
      </c>
      <c r="P119" s="64" t="n">
        <f aca="false">IF($O119="","",$O119+MAX(0,ROUNDUP($AK119*MAX(1,IF($N119="",1,$N119))/MAX(1,$AL119),0)-1))</f>
        <v>46266</v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n">
        <f aca="false">IF($O119="","",IF($S119="",$O119,(DATE(Semana!$J$3,1,4)-WEEKDAY(DATE(Semana!$J$3,1,4),3))+($S119-1)*7+IF($M119="",0,MATCH($M119,Listas!$F$5:$F$11,0)-1)))</f>
        <v>46258</v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1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0</v>
      </c>
      <c r="AD119" s="57" t="n">
        <f aca="false">IF($F119="","",IF(COUNTA($I119:$K119)=0,0,1/COUNTA($I119:$K119)))</f>
        <v>0</v>
      </c>
      <c r="AE119" s="57" t="n">
        <f aca="false">IF($AH119=0,"",SUM($AH$4:$AH119))</f>
        <v>38</v>
      </c>
      <c r="AF119" s="57" t="str">
        <f aca="false">IF($AI119=0,"",SUM($AI$4:$AI119))</f>
        <v/>
      </c>
      <c r="AG119" s="67" t="str">
        <f aca="false">IF($F119="","",$I119&amp;IF($J119="",""," · "&amp;$J119)&amp;IF($K119="",""," · "&amp;$K119))</f>
        <v/>
      </c>
      <c r="AH119" s="57" t="n">
        <f aca="false">IF(AND($F119&lt;&gt;"",$O119&lt;&gt;"",$O119&lt;=Hoje!$C$3,$P119&gt;=Hoje!$C$3,$R119&lt;&gt;"Cancelada"),1,0)</f>
        <v>1</v>
      </c>
      <c r="AI119" s="57" t="n">
        <f aca="false">IF(AND($F119&lt;&gt;"",$P119&lt;&gt;"",$P119&lt;Hoje!$C$3,$AB119=0,$R119&lt;&gt;"Cancelada"),1,0)</f>
        <v>0</v>
      </c>
      <c r="AJ119" s="67" t="str">
        <f aca="false">IF($F119="","",$D119&amp;"|"&amp;$E119&amp;"|"&amp;$L119)</f>
        <v>F-815|Baixa de pendências backlog|36</v>
      </c>
      <c r="AK119" s="57" t="n">
        <f aca="false">IF($AJ119="","",COUNTIF($AJ$4:$AJ119,$AJ119))</f>
        <v>22</v>
      </c>
      <c r="AL119" s="57" t="n">
        <f aca="false">IF($AJ119="","",COUNTIF($AJ$4:$AJ$1004,$AJ119))</f>
        <v>34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Em execução</v>
      </c>
      <c r="C120" s="58"/>
      <c r="D120" s="59" t="s">
        <v>171</v>
      </c>
      <c r="E120" s="59" t="s">
        <v>327</v>
      </c>
      <c r="F120" s="59" t="s">
        <v>398</v>
      </c>
      <c r="G120" s="60" t="s">
        <v>110</v>
      </c>
      <c r="H120" s="60" t="s">
        <v>88</v>
      </c>
      <c r="I120" s="61"/>
      <c r="J120" s="61"/>
      <c r="K120" s="61"/>
      <c r="L120" s="62" t="n">
        <v>36</v>
      </c>
      <c r="M120" s="63" t="s">
        <v>112</v>
      </c>
      <c r="N120" s="62" t="n">
        <v>3</v>
      </c>
      <c r="O120" s="64" t="n">
        <f aca="false">IF(OR($L120="",$M120=""),"",(DATE(Semana!$J$3,1,4)-WEEKDAY(DATE(Semana!$J$3,1,4),3))+($L120-1)*7+MATCH($M120,Listas!$F$5:$F$11,0)-1)</f>
        <v>46265</v>
      </c>
      <c r="P120" s="64" t="n">
        <f aca="false">IF($O120="","",$O120+MAX(0,ROUNDUP($AK120*MAX(1,IF($N120="",1,$N120))/MAX(1,$AL120),0)-1))</f>
        <v>46267</v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n">
        <f aca="false">IF($O120="","",IF($S120="",$O120,(DATE(Semana!$J$3,1,4)-WEEKDAY(DATE(Semana!$J$3,1,4),3))+($S120-1)*7+IF($M120="",0,MATCH($M120,Listas!$F$5:$F$11,0)-1)))</f>
        <v>46258</v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1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0</v>
      </c>
      <c r="AD120" s="57" t="n">
        <f aca="false">IF($F120="","",IF(COUNTA($I120:$K120)=0,0,1/COUNTA($I120:$K120)))</f>
        <v>0</v>
      </c>
      <c r="AE120" s="57" t="n">
        <f aca="false">IF($AH120=0,"",SUM($AH$4:$AH120))</f>
        <v>39</v>
      </c>
      <c r="AF120" s="57" t="str">
        <f aca="false">IF($AI120=0,"",SUM($AI$4:$AI120))</f>
        <v/>
      </c>
      <c r="AG120" s="67" t="str">
        <f aca="false">IF($F120="","",$I120&amp;IF($J120="",""," · "&amp;$J120)&amp;IF($K120="",""," · "&amp;$K120))</f>
        <v/>
      </c>
      <c r="AH120" s="57" t="n">
        <f aca="false">IF(AND($F120&lt;&gt;"",$O120&lt;&gt;"",$O120&lt;=Hoje!$C$3,$P120&gt;=Hoje!$C$3,$R120&lt;&gt;"Cancelada"),1,0)</f>
        <v>1</v>
      </c>
      <c r="AI120" s="57" t="n">
        <f aca="false">IF(AND($F120&lt;&gt;"",$P120&lt;&gt;"",$P120&lt;Hoje!$C$3,$AB120=0,$R120&lt;&gt;"Cancelada"),1,0)</f>
        <v>0</v>
      </c>
      <c r="AJ120" s="67" t="str">
        <f aca="false">IF($F120="","",$D120&amp;"|"&amp;$E120&amp;"|"&amp;$L120)</f>
        <v>F-815|Baixa de pendências backlog|36</v>
      </c>
      <c r="AK120" s="57" t="n">
        <f aca="false">IF($AJ120="","",COUNTIF($AJ$4:$AJ120,$AJ120))</f>
        <v>23</v>
      </c>
      <c r="AL120" s="57" t="n">
        <f aca="false">IF($AJ120="","",COUNTIF($AJ$4:$AJ$1004,$AJ120))</f>
        <v>34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Em execução</v>
      </c>
      <c r="C121" s="58" t="s">
        <v>399</v>
      </c>
      <c r="D121" s="59" t="s">
        <v>171</v>
      </c>
      <c r="E121" s="59" t="s">
        <v>327</v>
      </c>
      <c r="F121" s="59" t="s">
        <v>400</v>
      </c>
      <c r="G121" s="60" t="s">
        <v>110</v>
      </c>
      <c r="H121" s="60" t="s">
        <v>88</v>
      </c>
      <c r="I121" s="61" t="s">
        <v>128</v>
      </c>
      <c r="J121" s="61"/>
      <c r="K121" s="61"/>
      <c r="L121" s="62" t="n">
        <v>36</v>
      </c>
      <c r="M121" s="63" t="s">
        <v>112</v>
      </c>
      <c r="N121" s="62" t="n">
        <v>3</v>
      </c>
      <c r="O121" s="64" t="n">
        <f aca="false">IF(OR($L121="",$M121=""),"",(DATE(Semana!$J$3,1,4)-WEEKDAY(DATE(Semana!$J$3,1,4),3))+($L121-1)*7+MATCH($M121,Listas!$F$5:$F$11,0)-1)</f>
        <v>46265</v>
      </c>
      <c r="P121" s="64" t="n">
        <f aca="false">IF($O121="","",$O121+MAX(0,ROUNDUP($AK121*MAX(1,IF($N121="",1,$N121))/MAX(1,$AL121),0)-1))</f>
        <v>46267</v>
      </c>
      <c r="Q121" s="65"/>
      <c r="R121" s="60"/>
      <c r="S121" s="66" t="n">
        <v>35</v>
      </c>
      <c r="T121" s="59" t="s">
        <v>146</v>
      </c>
      <c r="U121" s="59"/>
      <c r="V121" s="57" t="str">
        <f aca="false">IF($F121="","",IF(ISNUMBER(SEARCH("(externo)",$I121&amp;$J121&amp;$K121)),"Terceirizada","Interna"))</f>
        <v>Interna</v>
      </c>
      <c r="W121" s="64" t="n">
        <f aca="false">IF($O121="","",IF($S121="",$O121,(DATE(Semana!$J$3,1,4)-WEEKDAY(DATE(Semana!$J$3,1,4),3))+($S121-1)*7+IF($M121="",0,MATCH($M121,Listas!$F$5:$F$11,0)-1)))</f>
        <v>46258</v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1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0</v>
      </c>
      <c r="AD121" s="57" t="n">
        <f aca="false">IF($F121="","",IF(COUNTA($I121:$K121)=0,0,1/COUNTA($I121:$K121)))</f>
        <v>1</v>
      </c>
      <c r="AE121" s="57" t="n">
        <f aca="false">IF($AH121=0,"",SUM($AH$4:$AH121))</f>
        <v>40</v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>Heliton</v>
      </c>
      <c r="AH121" s="57" t="n">
        <f aca="false">IF(AND($F121&lt;&gt;"",$O121&lt;&gt;"",$O121&lt;=Hoje!$C$3,$P121&gt;=Hoje!$C$3,$R121&lt;&gt;"Cancelada"),1,0)</f>
        <v>1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backlog|36</v>
      </c>
      <c r="AK121" s="57" t="n">
        <f aca="false">IF($AJ121="","",COUNTIF($AJ$4:$AJ121,$AJ121))</f>
        <v>24</v>
      </c>
      <c r="AL121" s="57" t="n">
        <f aca="false">IF($AJ121="","",COUNTIF($AJ$4:$AJ$1004,$AJ121))</f>
        <v>34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Em execução</v>
      </c>
      <c r="C122" s="58"/>
      <c r="D122" s="59" t="s">
        <v>171</v>
      </c>
      <c r="E122" s="59" t="s">
        <v>327</v>
      </c>
      <c r="F122" s="59" t="s">
        <v>401</v>
      </c>
      <c r="G122" s="60" t="s">
        <v>110</v>
      </c>
      <c r="H122" s="60" t="s">
        <v>88</v>
      </c>
      <c r="I122" s="61"/>
      <c r="J122" s="61"/>
      <c r="K122" s="61"/>
      <c r="L122" s="62" t="n">
        <v>36</v>
      </c>
      <c r="M122" s="63" t="s">
        <v>112</v>
      </c>
      <c r="N122" s="62" t="n">
        <v>3</v>
      </c>
      <c r="O122" s="64" t="n">
        <f aca="false">IF(OR($L122="",$M122=""),"",(DATE(Semana!$J$3,1,4)-WEEKDAY(DATE(Semana!$J$3,1,4),3))+($L122-1)*7+MATCH($M122,Listas!$F$5:$F$11,0)-1)</f>
        <v>46265</v>
      </c>
      <c r="P122" s="64" t="n">
        <f aca="false">IF($O122="","",$O122+MAX(0,ROUNDUP($AK122*MAX(1,IF($N122="",1,$N122))/MAX(1,$AL122),0)-1))</f>
        <v>46267</v>
      </c>
      <c r="Q122" s="65"/>
      <c r="R122" s="60"/>
      <c r="S122" s="66" t="n">
        <v>35</v>
      </c>
      <c r="T122" s="59"/>
      <c r="U122" s="59"/>
      <c r="V122" s="57" t="str">
        <f aca="false">IF($F122="","",IF(ISNUMBER(SEARCH("(externo)",$I122&amp;$J122&amp;$K122)),"Terceirizada","Interna"))</f>
        <v>Interna</v>
      </c>
      <c r="W122" s="64" t="n">
        <f aca="false">IF($O122="","",IF($S122="",$O122,(DATE(Semana!$J$3,1,4)-WEEKDAY(DATE(Semana!$J$3,1,4),3))+($S122-1)*7+IF($M122="",0,MATCH($M122,Listas!$F$5:$F$11,0)-1)))</f>
        <v>46258</v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1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0</v>
      </c>
      <c r="AD122" s="57" t="n">
        <f aca="false">IF($F122="","",IF(COUNTA($I122:$K122)=0,0,1/COUNTA($I122:$K122)))</f>
        <v>0</v>
      </c>
      <c r="AE122" s="57" t="n">
        <f aca="false">IF($AH122=0,"",SUM($AH$4:$AH122))</f>
        <v>41</v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/>
      </c>
      <c r="AH122" s="57" t="n">
        <f aca="false">IF(AND($F122&lt;&gt;"",$O122&lt;&gt;"",$O122&lt;=Hoje!$C$3,$P122&gt;=Hoje!$C$3,$R122&lt;&gt;"Cancelada"),1,0)</f>
        <v>1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backlog|36</v>
      </c>
      <c r="AK122" s="57" t="n">
        <f aca="false">IF($AJ122="","",COUNTIF($AJ$4:$AJ122,$AJ122))</f>
        <v>25</v>
      </c>
      <c r="AL122" s="57" t="n">
        <f aca="false">IF($AJ122="","",COUNTIF($AJ$4:$AJ$1004,$AJ122))</f>
        <v>34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Em execução</v>
      </c>
      <c r="C123" s="58"/>
      <c r="D123" s="59" t="s">
        <v>171</v>
      </c>
      <c r="E123" s="59" t="s">
        <v>327</v>
      </c>
      <c r="F123" s="59" t="s">
        <v>402</v>
      </c>
      <c r="G123" s="60" t="s">
        <v>110</v>
      </c>
      <c r="H123" s="60" t="s">
        <v>88</v>
      </c>
      <c r="I123" s="61"/>
      <c r="J123" s="61"/>
      <c r="K123" s="61"/>
      <c r="L123" s="62" t="n">
        <v>36</v>
      </c>
      <c r="M123" s="63" t="s">
        <v>112</v>
      </c>
      <c r="N123" s="62" t="n">
        <v>3</v>
      </c>
      <c r="O123" s="64" t="n">
        <f aca="false">IF(OR($L123="",$M123=""),"",(DATE(Semana!$J$3,1,4)-WEEKDAY(DATE(Semana!$J$3,1,4),3))+($L123-1)*7+MATCH($M123,Listas!$F$5:$F$11,0)-1)</f>
        <v>46265</v>
      </c>
      <c r="P123" s="64" t="n">
        <f aca="false">IF($O123="","",$O123+MAX(0,ROUNDUP($AK123*MAX(1,IF($N123="",1,$N123))/MAX(1,$AL123),0)-1))</f>
        <v>46267</v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n">
        <f aca="false">IF($O123="","",IF($S123="",$O123,(DATE(Semana!$J$3,1,4)-WEEKDAY(DATE(Semana!$J$3,1,4),3))+($S123-1)*7+IF($M123="",0,MATCH($M123,Listas!$F$5:$F$11,0)-1)))</f>
        <v>46258</v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1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0</v>
      </c>
      <c r="AD123" s="57" t="n">
        <f aca="false">IF($F123="","",IF(COUNTA($I123:$K123)=0,0,1/COUNTA($I123:$K123)))</f>
        <v>0</v>
      </c>
      <c r="AE123" s="57" t="n">
        <f aca="false">IF($AH123=0,"",SUM($AH$4:$AH123))</f>
        <v>42</v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/>
      </c>
      <c r="AH123" s="57" t="n">
        <f aca="false">IF(AND($F123&lt;&gt;"",$O123&lt;&gt;"",$O123&lt;=Hoje!$C$3,$P123&gt;=Hoje!$C$3,$R123&lt;&gt;"Cancelada"),1,0)</f>
        <v>1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backlog|36</v>
      </c>
      <c r="AK123" s="57" t="n">
        <f aca="false">IF($AJ123="","",COUNTIF($AJ$4:$AJ123,$AJ123))</f>
        <v>26</v>
      </c>
      <c r="AL123" s="57" t="n">
        <f aca="false">IF($AJ123="","",COUNTIF($AJ$4:$AJ$1004,$AJ123))</f>
        <v>34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Em execução</v>
      </c>
      <c r="C124" s="58"/>
      <c r="D124" s="59" t="s">
        <v>171</v>
      </c>
      <c r="E124" s="59" t="s">
        <v>327</v>
      </c>
      <c r="F124" s="59" t="s">
        <v>403</v>
      </c>
      <c r="G124" s="60" t="s">
        <v>110</v>
      </c>
      <c r="H124" s="60" t="s">
        <v>88</v>
      </c>
      <c r="I124" s="61"/>
      <c r="J124" s="61"/>
      <c r="K124" s="61"/>
      <c r="L124" s="62" t="n">
        <v>36</v>
      </c>
      <c r="M124" s="63" t="s">
        <v>112</v>
      </c>
      <c r="N124" s="62" t="n">
        <v>3</v>
      </c>
      <c r="O124" s="64" t="n">
        <f aca="false">IF(OR($L124="",$M124=""),"",(DATE(Semana!$J$3,1,4)-WEEKDAY(DATE(Semana!$J$3,1,4),3))+($L124-1)*7+MATCH($M124,Listas!$F$5:$F$11,0)-1)</f>
        <v>46265</v>
      </c>
      <c r="P124" s="64" t="n">
        <f aca="false">IF($O124="","",$O124+MAX(0,ROUNDUP($AK124*MAX(1,IF($N124="",1,$N124))/MAX(1,$AL124),0)-1))</f>
        <v>46267</v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n">
        <f aca="false">IF($O124="","",IF($S124="",$O124,(DATE(Semana!$J$3,1,4)-WEEKDAY(DATE(Semana!$J$3,1,4),3))+($S124-1)*7+IF($M124="",0,MATCH($M124,Listas!$F$5:$F$11,0)-1)))</f>
        <v>46258</v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1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0</v>
      </c>
      <c r="AD124" s="57" t="n">
        <f aca="false">IF($F124="","",IF(COUNTA($I124:$K124)=0,0,1/COUNTA($I124:$K124)))</f>
        <v>0</v>
      </c>
      <c r="AE124" s="57" t="n">
        <f aca="false">IF($AH124=0,"",SUM($AH$4:$AH124))</f>
        <v>43</v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/>
      </c>
      <c r="AH124" s="57" t="n">
        <f aca="false">IF(AND($F124&lt;&gt;"",$O124&lt;&gt;"",$O124&lt;=Hoje!$C$3,$P124&gt;=Hoje!$C$3,$R124&lt;&gt;"Cancelada"),1,0)</f>
        <v>1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backlog|36</v>
      </c>
      <c r="AK124" s="57" t="n">
        <f aca="false">IF($AJ124="","",COUNTIF($AJ$4:$AJ124,$AJ124))</f>
        <v>27</v>
      </c>
      <c r="AL124" s="57" t="n">
        <f aca="false">IF($AJ124="","",COUNTIF($AJ$4:$AJ$1004,$AJ124))</f>
        <v>34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Em execução</v>
      </c>
      <c r="C125" s="58"/>
      <c r="D125" s="59" t="s">
        <v>171</v>
      </c>
      <c r="E125" s="59" t="s">
        <v>327</v>
      </c>
      <c r="F125" s="59" t="s">
        <v>404</v>
      </c>
      <c r="G125" s="60" t="s">
        <v>110</v>
      </c>
      <c r="H125" s="60" t="s">
        <v>88</v>
      </c>
      <c r="I125" s="61"/>
      <c r="J125" s="61"/>
      <c r="K125" s="61"/>
      <c r="L125" s="62" t="n">
        <v>36</v>
      </c>
      <c r="M125" s="63" t="s">
        <v>112</v>
      </c>
      <c r="N125" s="62" t="n">
        <v>3</v>
      </c>
      <c r="O125" s="64" t="n">
        <f aca="false">IF(OR($L125="",$M125=""),"",(DATE(Semana!$J$3,1,4)-WEEKDAY(DATE(Semana!$J$3,1,4),3))+($L125-1)*7+MATCH($M125,Listas!$F$5:$F$11,0)-1)</f>
        <v>46265</v>
      </c>
      <c r="P125" s="64" t="n">
        <f aca="false">IF($O125="","",$O125+MAX(0,ROUNDUP($AK125*MAX(1,IF($N125="",1,$N125))/MAX(1,$AL125),0)-1))</f>
        <v>46267</v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n">
        <f aca="false">IF($O125="","",IF($S125="",$O125,(DATE(Semana!$J$3,1,4)-WEEKDAY(DATE(Semana!$J$3,1,4),3))+($S125-1)*7+IF($M125="",0,MATCH($M125,Listas!$F$5:$F$11,0)-1)))</f>
        <v>46258</v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1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0</v>
      </c>
      <c r="AD125" s="57" t="n">
        <f aca="false">IF($F125="","",IF(COUNTA($I125:$K125)=0,0,1/COUNTA($I125:$K125)))</f>
        <v>0</v>
      </c>
      <c r="AE125" s="57" t="n">
        <f aca="false">IF($AH125=0,"",SUM($AH$4:$AH125))</f>
        <v>44</v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/>
      </c>
      <c r="AH125" s="57" t="n">
        <f aca="false">IF(AND($F125&lt;&gt;"",$O125&lt;&gt;"",$O125&lt;=Hoje!$C$3,$P125&gt;=Hoje!$C$3,$R125&lt;&gt;"Cancelada"),1,0)</f>
        <v>1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backlog|36</v>
      </c>
      <c r="AK125" s="57" t="n">
        <f aca="false">IF($AJ125="","",COUNTIF($AJ$4:$AJ125,$AJ125))</f>
        <v>28</v>
      </c>
      <c r="AL125" s="57" t="n">
        <f aca="false">IF($AJ125="","",COUNTIF($AJ$4:$AJ$1004,$AJ125))</f>
        <v>34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Em execução</v>
      </c>
      <c r="C126" s="58"/>
      <c r="D126" s="59" t="s">
        <v>171</v>
      </c>
      <c r="E126" s="59" t="s">
        <v>327</v>
      </c>
      <c r="F126" s="59" t="s">
        <v>405</v>
      </c>
      <c r="G126" s="60" t="s">
        <v>110</v>
      </c>
      <c r="H126" s="60" t="s">
        <v>88</v>
      </c>
      <c r="I126" s="61"/>
      <c r="J126" s="61"/>
      <c r="K126" s="61"/>
      <c r="L126" s="62" t="n">
        <v>36</v>
      </c>
      <c r="M126" s="63" t="s">
        <v>112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46265</v>
      </c>
      <c r="P126" s="64" t="n">
        <f aca="false">IF($O126="","",$O126+MAX(0,ROUNDUP($AK126*MAX(1,IF($N126="",1,$N126))/MAX(1,$AL126),0)-1))</f>
        <v>46267</v>
      </c>
      <c r="Q126" s="65"/>
      <c r="R126" s="60"/>
      <c r="S126" s="66" t="n">
        <v>35</v>
      </c>
      <c r="T126" s="59"/>
      <c r="U126" s="59"/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46258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1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0</v>
      </c>
      <c r="AD126" s="57" t="n">
        <f aca="false">IF($F126="","",IF(COUNTA($I126:$K126)=0,0,1/COUNTA($I126:$K126)))</f>
        <v>0</v>
      </c>
      <c r="AE126" s="57" t="n">
        <f aca="false">IF($AH126=0,"",SUM($AH$4:$AH126))</f>
        <v>45</v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/>
      </c>
      <c r="AH126" s="57" t="n">
        <f aca="false">IF(AND($F126&lt;&gt;"",$O126&lt;&gt;"",$O126&lt;=Hoje!$C$3,$P126&gt;=Hoje!$C$3,$R126&lt;&gt;"Cancelada"),1,0)</f>
        <v>1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F-815|Baixa de pendências backlog|36</v>
      </c>
      <c r="AK126" s="57" t="n">
        <f aca="false">IF($AJ126="","",COUNTIF($AJ$4:$AJ126,$AJ126))</f>
        <v>29</v>
      </c>
      <c r="AL126" s="57" t="n">
        <f aca="false">IF($AJ126="","",COUNTIF($AJ$4:$AJ$1004,$AJ126))</f>
        <v>34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Em execução</v>
      </c>
      <c r="C127" s="58"/>
      <c r="D127" s="59" t="s">
        <v>171</v>
      </c>
      <c r="E127" s="59" t="s">
        <v>327</v>
      </c>
      <c r="F127" s="59" t="s">
        <v>406</v>
      </c>
      <c r="G127" s="60" t="s">
        <v>110</v>
      </c>
      <c r="H127" s="60" t="s">
        <v>88</v>
      </c>
      <c r="I127" s="61"/>
      <c r="J127" s="61"/>
      <c r="K127" s="61"/>
      <c r="L127" s="62" t="n">
        <v>36</v>
      </c>
      <c r="M127" s="63" t="s">
        <v>112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46265</v>
      </c>
      <c r="P127" s="64" t="n">
        <f aca="false">IF($O127="","",$O127+MAX(0,ROUNDUP($AK127*MAX(1,IF($N127="",1,$N127))/MAX(1,$AL127),0)-1))</f>
        <v>46267</v>
      </c>
      <c r="Q127" s="65"/>
      <c r="R127" s="60"/>
      <c r="S127" s="66" t="n">
        <v>35</v>
      </c>
      <c r="T127" s="59"/>
      <c r="U127" s="59"/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46258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1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0</v>
      </c>
      <c r="AD127" s="57" t="n">
        <f aca="false">IF($F127="","",IF(COUNTA($I127:$K127)=0,0,1/COUNTA($I127:$K127)))</f>
        <v>0</v>
      </c>
      <c r="AE127" s="57" t="n">
        <f aca="false">IF($AH127=0,"",SUM($AH$4:$AH127))</f>
        <v>46</v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/>
      </c>
      <c r="AH127" s="57" t="n">
        <f aca="false">IF(AND($F127&lt;&gt;"",$O127&lt;&gt;"",$O127&lt;=Hoje!$C$3,$P127&gt;=Hoje!$C$3,$R127&lt;&gt;"Cancelada"),1,0)</f>
        <v>1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F-815|Baixa de pendências backlog|36</v>
      </c>
      <c r="AK127" s="57" t="n">
        <f aca="false">IF($AJ127="","",COUNTIF($AJ$4:$AJ127,$AJ127))</f>
        <v>30</v>
      </c>
      <c r="AL127" s="57" t="n">
        <f aca="false">IF($AJ127="","",COUNTIF($AJ$4:$AJ$1004,$AJ127))</f>
        <v>34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Em execução</v>
      </c>
      <c r="C128" s="58"/>
      <c r="D128" s="59" t="s">
        <v>171</v>
      </c>
      <c r="E128" s="59" t="s">
        <v>327</v>
      </c>
      <c r="F128" s="59" t="s">
        <v>407</v>
      </c>
      <c r="G128" s="60" t="s">
        <v>110</v>
      </c>
      <c r="H128" s="60" t="s">
        <v>88</v>
      </c>
      <c r="I128" s="61"/>
      <c r="J128" s="61"/>
      <c r="K128" s="61"/>
      <c r="L128" s="62" t="n">
        <v>36</v>
      </c>
      <c r="M128" s="63" t="s">
        <v>112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46265</v>
      </c>
      <c r="P128" s="64" t="n">
        <f aca="false">IF($O128="","",$O128+MAX(0,ROUNDUP($AK128*MAX(1,IF($N128="",1,$N128))/MAX(1,$AL128),0)-1))</f>
        <v>46267</v>
      </c>
      <c r="Q128" s="65"/>
      <c r="R128" s="60"/>
      <c r="S128" s="66" t="n">
        <v>35</v>
      </c>
      <c r="T128" s="59"/>
      <c r="U128" s="59"/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46258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1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0</v>
      </c>
      <c r="AD128" s="57" t="n">
        <f aca="false">IF($F128="","",IF(COUNTA($I128:$K128)=0,0,1/COUNTA($I128:$K128)))</f>
        <v>0</v>
      </c>
      <c r="AE128" s="57" t="n">
        <f aca="false">IF($AH128=0,"",SUM($AH$4:$AH128))</f>
        <v>47</v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/>
      </c>
      <c r="AH128" s="57" t="n">
        <f aca="false">IF(AND($F128&lt;&gt;"",$O128&lt;&gt;"",$O128&lt;=Hoje!$C$3,$P128&gt;=Hoje!$C$3,$R128&lt;&gt;"Cancelada"),1,0)</f>
        <v>1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F-815|Baixa de pendências backlog|36</v>
      </c>
      <c r="AK128" s="57" t="n">
        <f aca="false">IF($AJ128="","",COUNTIF($AJ$4:$AJ128,$AJ128))</f>
        <v>31</v>
      </c>
      <c r="AL128" s="57" t="n">
        <f aca="false">IF($AJ128="","",COUNTIF($AJ$4:$AJ$1004,$AJ128))</f>
        <v>34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Em execução</v>
      </c>
      <c r="C129" s="58"/>
      <c r="D129" s="59" t="s">
        <v>171</v>
      </c>
      <c r="E129" s="59" t="s">
        <v>327</v>
      </c>
      <c r="F129" s="59" t="s">
        <v>408</v>
      </c>
      <c r="G129" s="60" t="s">
        <v>110</v>
      </c>
      <c r="H129" s="60" t="s">
        <v>88</v>
      </c>
      <c r="I129" s="61"/>
      <c r="J129" s="61"/>
      <c r="K129" s="61"/>
      <c r="L129" s="62" t="n">
        <v>36</v>
      </c>
      <c r="M129" s="63" t="s">
        <v>112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46265</v>
      </c>
      <c r="P129" s="64" t="n">
        <f aca="false">IF($O129="","",$O129+MAX(0,ROUNDUP($AK129*MAX(1,IF($N129="",1,$N129))/MAX(1,$AL129),0)-1))</f>
        <v>46267</v>
      </c>
      <c r="Q129" s="65"/>
      <c r="R129" s="60"/>
      <c r="S129" s="66" t="n">
        <v>35</v>
      </c>
      <c r="T129" s="59"/>
      <c r="U129" s="59"/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46258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1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0</v>
      </c>
      <c r="AD129" s="57" t="n">
        <f aca="false">IF($F129="","",IF(COUNTA($I129:$K129)=0,0,1/COUNTA($I129:$K129)))</f>
        <v>0</v>
      </c>
      <c r="AE129" s="57" t="n">
        <f aca="false">IF($AH129=0,"",SUM($AH$4:$AH129))</f>
        <v>48</v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/>
      </c>
      <c r="AH129" s="57" t="n">
        <f aca="false">IF(AND($F129&lt;&gt;"",$O129&lt;&gt;"",$O129&lt;=Hoje!$C$3,$P129&gt;=Hoje!$C$3,$R129&lt;&gt;"Cancelada"),1,0)</f>
        <v>1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F-815|Baixa de pendências backlog|36</v>
      </c>
      <c r="AK129" s="57" t="n">
        <f aca="false">IF($AJ129="","",COUNTIF($AJ$4:$AJ129,$AJ129))</f>
        <v>32</v>
      </c>
      <c r="AL129" s="57" t="n">
        <f aca="false">IF($AJ129="","",COUNTIF($AJ$4:$AJ$1004,$AJ129))</f>
        <v>34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Em execução</v>
      </c>
      <c r="C130" s="58"/>
      <c r="D130" s="59" t="s">
        <v>171</v>
      </c>
      <c r="E130" s="59" t="s">
        <v>327</v>
      </c>
      <c r="F130" s="59" t="s">
        <v>409</v>
      </c>
      <c r="G130" s="60" t="s">
        <v>110</v>
      </c>
      <c r="H130" s="60" t="s">
        <v>88</v>
      </c>
      <c r="I130" s="61"/>
      <c r="J130" s="61"/>
      <c r="K130" s="61"/>
      <c r="L130" s="62" t="n">
        <v>36</v>
      </c>
      <c r="M130" s="63" t="s">
        <v>112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46265</v>
      </c>
      <c r="P130" s="64" t="n">
        <f aca="false">IF($O130="","",$O130+MAX(0,ROUNDUP($AK130*MAX(1,IF($N130="",1,$N130))/MAX(1,$AL130),0)-1))</f>
        <v>46267</v>
      </c>
      <c r="Q130" s="65"/>
      <c r="R130" s="60"/>
      <c r="S130" s="66" t="n">
        <v>35</v>
      </c>
      <c r="T130" s="59"/>
      <c r="U130" s="59"/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46258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1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0</v>
      </c>
      <c r="AD130" s="57" t="n">
        <f aca="false">IF($F130="","",IF(COUNTA($I130:$K130)=0,0,1/COUNTA($I130:$K130)))</f>
        <v>0</v>
      </c>
      <c r="AE130" s="57" t="n">
        <f aca="false">IF($AH130=0,"",SUM($AH$4:$AH130))</f>
        <v>49</v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/>
      </c>
      <c r="AH130" s="57" t="n">
        <f aca="false">IF(AND($F130&lt;&gt;"",$O130&lt;&gt;"",$O130&lt;=Hoje!$C$3,$P130&gt;=Hoje!$C$3,$R130&lt;&gt;"Cancelada"),1,0)</f>
        <v>1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F-815|Baixa de pendências backlog|36</v>
      </c>
      <c r="AK130" s="57" t="n">
        <f aca="false">IF($AJ130="","",COUNTIF($AJ$4:$AJ130,$AJ130))</f>
        <v>33</v>
      </c>
      <c r="AL130" s="57" t="n">
        <f aca="false">IF($AJ130="","",COUNTIF($AJ$4:$AJ$1004,$AJ130))</f>
        <v>34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Em execução</v>
      </c>
      <c r="C131" s="58"/>
      <c r="D131" s="59" t="s">
        <v>171</v>
      </c>
      <c r="E131" s="59" t="s">
        <v>327</v>
      </c>
      <c r="F131" s="59" t="s">
        <v>410</v>
      </c>
      <c r="G131" s="60" t="s">
        <v>110</v>
      </c>
      <c r="H131" s="60" t="s">
        <v>88</v>
      </c>
      <c r="I131" s="61"/>
      <c r="J131" s="61"/>
      <c r="K131" s="61"/>
      <c r="L131" s="62" t="n">
        <v>36</v>
      </c>
      <c r="M131" s="63" t="s">
        <v>112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46265</v>
      </c>
      <c r="P131" s="64" t="n">
        <f aca="false">IF($O131="","",$O131+MAX(0,ROUNDUP($AK131*MAX(1,IF($N131="",1,$N131))/MAX(1,$AL131),0)-1))</f>
        <v>46267</v>
      </c>
      <c r="Q131" s="65"/>
      <c r="R131" s="60"/>
      <c r="S131" s="66" t="n">
        <v>35</v>
      </c>
      <c r="T131" s="59"/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46258</v>
      </c>
      <c r="X131" s="57" t="n">
        <f aca="false">IF($F131="","",IF(OR($Q131="",$O131=""),0,IF($Q131&lt;=$O131,1,0)))</f>
        <v>0</v>
      </c>
      <c r="Y131" s="57" t="n">
        <f aca="false">IF($F131="","",IF(OR($Q131="",$W131=""),0,IF($Q131&lt;=$W131,1,0)))</f>
        <v>0</v>
      </c>
      <c r="Z131" s="57" t="str">
        <f aca="false">IF(OR($Q131="",$O131=""),"",MAX(0,$Q131-$O131))</f>
        <v/>
      </c>
      <c r="AA131" s="57" t="n">
        <f aca="false">IF($F131="","",IF(AND($S131&lt;&gt;"",$L131&lt;&gt;"",$S131&lt;&gt;$L131),1,0))</f>
        <v>1</v>
      </c>
      <c r="AB131" s="57" t="n">
        <f aca="false">IF($F131="","",IF($R131="Cancelada",0,IF(OR($Q131&lt;&gt;"",$R131="Concluída"),1,0)))</f>
        <v>0</v>
      </c>
      <c r="AC131" s="57" t="n">
        <f aca="false">IF($P131="",0,IF($P131&lt;Hoje!$L$1,1,IF(AND($P131=Hoje!$L$1,Hoje!$L$2&gt;Semana!$M$3),1,0)))</f>
        <v>0</v>
      </c>
      <c r="AD131" s="57" t="n">
        <f aca="false">IF($F131="","",IF(COUNTA($I131:$K131)=0,0,1/COUNTA($I131:$K131)))</f>
        <v>0</v>
      </c>
      <c r="AE131" s="57" t="n">
        <f aca="false">IF($AH131=0,"",SUM($AH$4:$AH131))</f>
        <v>50</v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/>
      </c>
      <c r="AH131" s="57" t="n">
        <f aca="false">IF(AND($F131&lt;&gt;"",$O131&lt;&gt;"",$O131&lt;=Hoje!$C$3,$P131&gt;=Hoje!$C$3,$R131&lt;&gt;"Cancelada"),1,0)</f>
        <v>1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F-815|Baixa de pendências backlog|36</v>
      </c>
      <c r="AK131" s="57" t="n">
        <f aca="false">IF($AJ131="","",COUNTIF($AJ$4:$AJ131,$AJ131))</f>
        <v>34</v>
      </c>
      <c r="AL131" s="57" t="n">
        <f aca="false">IF($AJ131="","",COUNTIF($AJ$4:$AJ$1004,$AJ131))</f>
        <v>34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58"/>
      <c r="D132" s="59" t="s">
        <v>174</v>
      </c>
      <c r="E132" s="59" t="s">
        <v>252</v>
      </c>
      <c r="F132" s="59" t="s">
        <v>411</v>
      </c>
      <c r="G132" s="60" t="s">
        <v>115</v>
      </c>
      <c r="H132" s="60" t="s">
        <v>88</v>
      </c>
      <c r="I132" s="61" t="s">
        <v>123</v>
      </c>
      <c r="J132" s="61" t="s">
        <v>133</v>
      </c>
      <c r="K132" s="61"/>
      <c r="L132" s="62" t="n">
        <v>35</v>
      </c>
      <c r="M132" s="63" t="s">
        <v>127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46261</v>
      </c>
      <c r="P132" s="64" t="n">
        <f aca="false">IF($O132="","",$O132+MAX(0,ROUNDUP($AK132*MAX(1,IF($N132="",1,$N132))/MAX(1,$AL132),0)-1))</f>
        <v>46261</v>
      </c>
      <c r="Q132" s="65"/>
      <c r="R132" s="60" t="s">
        <v>57</v>
      </c>
      <c r="S132" s="66"/>
      <c r="T132" s="59"/>
      <c r="U132" s="59" t="s">
        <v>412</v>
      </c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46261</v>
      </c>
      <c r="X132" s="57" t="n">
        <f aca="false">IF($F132="","",IF(OR($Q132="",$O132=""),0,IF($Q132&lt;=$O132,1,0)))</f>
        <v>0</v>
      </c>
      <c r="Y132" s="57" t="n">
        <f aca="false">IF($F132="","",IF(OR($Q132="",$W132=""),0,IF($Q132&lt;=$W132,1,0)))</f>
        <v>0</v>
      </c>
      <c r="Z132" s="57" t="str">
        <f aca="false">IF(OR($Q132="",$O132=""),"",MAX(0,$Q132-$O132))</f>
        <v/>
      </c>
      <c r="AA132" s="57" t="n">
        <f aca="false">IF($F132="","",IF(AND($S132&lt;&gt;"",$L132&lt;&gt;"",$S132&lt;&gt;$L132),1,0))</f>
        <v>0</v>
      </c>
      <c r="AB132" s="57" t="n">
        <f aca="false">IF($F132="","",IF($R132="Cancelada",0,IF(OR($Q132&lt;&gt;"",$R132="Concluída"),1,0)))</f>
        <v>0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0.5</v>
      </c>
      <c r="AE132" s="57" t="str">
        <f aca="false">IF($AH132=0,"",SUM($AH$4:$AH132))</f>
        <v/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Gabriel · Júnior</v>
      </c>
      <c r="AH132" s="57" t="n">
        <f aca="false">IF(AND($F132&lt;&gt;"",$O132&lt;&gt;"",$O132&lt;=Hoje!$C$3,$P132&gt;=Hoje!$C$3,$R132&lt;&gt;"Cancelada"),1,0)</f>
        <v>0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F-856|Realizar troca de óleo e filtro|35</v>
      </c>
      <c r="AK132" s="57" t="n">
        <f aca="false">IF($AJ132="","",COUNTIF($AJ$4:$AJ132,$AJ132))</f>
        <v>1</v>
      </c>
      <c r="AL132" s="57" t="n">
        <f aca="false">IF($AJ132="","",COUNTIF($AJ$4:$AJ$1004,$AJ132))</f>
        <v>5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58"/>
      <c r="D133" s="59" t="s">
        <v>174</v>
      </c>
      <c r="E133" s="59" t="s">
        <v>252</v>
      </c>
      <c r="F133" s="59" t="s">
        <v>413</v>
      </c>
      <c r="G133" s="60" t="s">
        <v>115</v>
      </c>
      <c r="H133" s="60" t="s">
        <v>88</v>
      </c>
      <c r="I133" s="61" t="s">
        <v>123</v>
      </c>
      <c r="J133" s="61" t="s">
        <v>133</v>
      </c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46262</v>
      </c>
      <c r="Q133" s="65"/>
      <c r="R133" s="60" t="s">
        <v>57</v>
      </c>
      <c r="S133" s="66"/>
      <c r="T133" s="59"/>
      <c r="U133" s="59" t="s">
        <v>412</v>
      </c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0</v>
      </c>
      <c r="Y133" s="57" t="n">
        <f aca="false">IF($F133="","",IF(OR($Q133="",$W133=""),0,IF($Q133&lt;=$W133,1,0)))</f>
        <v>0</v>
      </c>
      <c r="Z133" s="57" t="str">
        <f aca="false">IF(OR($Q133="",$O133=""),"",MAX(0,$Q133-$O133))</f>
        <v/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0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0.5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Gabriel · 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F-856|Realizar troca de óleo e filtro|35</v>
      </c>
      <c r="AK133" s="57" t="n">
        <f aca="false">IF($AJ133="","",COUNTIF($AJ$4:$AJ133,$AJ133))</f>
        <v>2</v>
      </c>
      <c r="AL133" s="57" t="n">
        <f aca="false">IF($AJ133="","",COUNTIF($AJ$4:$AJ$1004,$AJ133))</f>
        <v>5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58"/>
      <c r="D134" s="59" t="s">
        <v>174</v>
      </c>
      <c r="E134" s="59" t="s">
        <v>252</v>
      </c>
      <c r="F134" s="59" t="s">
        <v>414</v>
      </c>
      <c r="G134" s="60" t="s">
        <v>115</v>
      </c>
      <c r="H134" s="60" t="s">
        <v>88</v>
      </c>
      <c r="I134" s="61" t="s">
        <v>123</v>
      </c>
      <c r="J134" s="61" t="s">
        <v>133</v>
      </c>
      <c r="K134" s="61"/>
      <c r="L134" s="62" t="n">
        <v>35</v>
      </c>
      <c r="M134" s="63" t="s">
        <v>127</v>
      </c>
      <c r="N134" s="62" t="n">
        <v>3</v>
      </c>
      <c r="O134" s="64" t="n">
        <f aca="false">IF(OR($L134="",$M134=""),"",(DATE(Semana!$J$3,1,4)-WEEKDAY(DATE(Semana!$J$3,1,4),3))+($L134-1)*7+MATCH($M134,Listas!$F$5:$F$11,0)-1)</f>
        <v>46261</v>
      </c>
      <c r="P134" s="64" t="n">
        <f aca="false">IF($O134="","",$O134+MAX(0,ROUNDUP($AK134*MAX(1,IF($N134="",1,$N134))/MAX(1,$AL134),0)-1))</f>
        <v>46262</v>
      </c>
      <c r="Q134" s="65"/>
      <c r="R134" s="60" t="s">
        <v>57</v>
      </c>
      <c r="S134" s="66"/>
      <c r="T134" s="59"/>
      <c r="U134" s="59" t="s">
        <v>412</v>
      </c>
      <c r="V134" s="57" t="str">
        <f aca="false">IF($F134="","",IF(ISNUMBER(SEARCH("(externo)",$I134&amp;$J134&amp;$K134)),"Terceirizada","Interna"))</f>
        <v>Interna</v>
      </c>
      <c r="W134" s="64" t="n">
        <f aca="false">IF($O134="","",IF($S134="",$O134,(DATE(Semana!$J$3,1,4)-WEEKDAY(DATE(Semana!$J$3,1,4),3))+($S134-1)*7+IF($M134="",0,MATCH($M134,Listas!$F$5:$F$11,0)-1)))</f>
        <v>46261</v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1</v>
      </c>
      <c r="AD134" s="57" t="n">
        <f aca="false">IF($F134="","",IF(COUNTA($I134:$K134)=0,0,1/COUNTA($I134:$K134)))</f>
        <v>0.5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>Gabriel · Júnior</v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F-856|Realizar troca de óleo e filtro|35</v>
      </c>
      <c r="AK134" s="57" t="n">
        <f aca="false">IF($AJ134="","",COUNTIF($AJ$4:$AJ134,$AJ134))</f>
        <v>3</v>
      </c>
      <c r="AL134" s="57" t="n">
        <f aca="false">IF($AJ134="","",COUNTIF($AJ$4:$AJ$1004,$AJ134))</f>
        <v>5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58"/>
      <c r="D135" s="59" t="s">
        <v>174</v>
      </c>
      <c r="E135" s="59" t="s">
        <v>252</v>
      </c>
      <c r="F135" s="59" t="s">
        <v>415</v>
      </c>
      <c r="G135" s="60" t="s">
        <v>115</v>
      </c>
      <c r="H135" s="60" t="s">
        <v>88</v>
      </c>
      <c r="I135" s="61" t="s">
        <v>123</v>
      </c>
      <c r="J135" s="61" t="s">
        <v>133</v>
      </c>
      <c r="K135" s="61"/>
      <c r="L135" s="62" t="n">
        <v>35</v>
      </c>
      <c r="M135" s="63" t="s">
        <v>127</v>
      </c>
      <c r="N135" s="62" t="n">
        <v>3</v>
      </c>
      <c r="O135" s="64" t="n">
        <f aca="false">IF(OR($L135="",$M135=""),"",(DATE(Semana!$J$3,1,4)-WEEKDAY(DATE(Semana!$J$3,1,4),3))+($L135-1)*7+MATCH($M135,Listas!$F$5:$F$11,0)-1)</f>
        <v>46261</v>
      </c>
      <c r="P135" s="64" t="n">
        <f aca="false">IF($O135="","",$O135+MAX(0,ROUNDUP($AK135*MAX(1,IF($N135="",1,$N135))/MAX(1,$AL135),0)-1))</f>
        <v>46263</v>
      </c>
      <c r="Q135" s="65"/>
      <c r="R135" s="60" t="s">
        <v>57</v>
      </c>
      <c r="S135" s="66"/>
      <c r="T135" s="59"/>
      <c r="U135" s="59" t="s">
        <v>412</v>
      </c>
      <c r="V135" s="57" t="str">
        <f aca="false">IF($F135="","",IF(ISNUMBER(SEARCH("(externo)",$I135&amp;$J135&amp;$K135)),"Terceirizada","Interna"))</f>
        <v>Interna</v>
      </c>
      <c r="W135" s="64" t="n">
        <f aca="false">IF($O135="","",IF($S135="",$O135,(DATE(Semana!$J$3,1,4)-WEEKDAY(DATE(Semana!$J$3,1,4),3))+($S135-1)*7+IF($M135="",0,MATCH($M135,Listas!$F$5:$F$11,0)-1)))</f>
        <v>46261</v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1</v>
      </c>
      <c r="AD135" s="57" t="n">
        <f aca="false">IF($F135="","",IF(COUNTA($I135:$K135)=0,0,1/COUNTA($I135:$K135)))</f>
        <v>0.5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>Gabriel · Júnior</v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F-856|Realizar troca de óleo e filtro|35</v>
      </c>
      <c r="AK135" s="57" t="n">
        <f aca="false">IF($AJ135="","",COUNTIF($AJ$4:$AJ135,$AJ135))</f>
        <v>4</v>
      </c>
      <c r="AL135" s="57" t="n">
        <f aca="false">IF($AJ135="","",COUNTIF($AJ$4:$AJ$1004,$AJ135))</f>
        <v>5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58"/>
      <c r="D136" s="59" t="s">
        <v>174</v>
      </c>
      <c r="E136" s="59" t="s">
        <v>252</v>
      </c>
      <c r="F136" s="59" t="s">
        <v>416</v>
      </c>
      <c r="G136" s="60" t="s">
        <v>115</v>
      </c>
      <c r="H136" s="60" t="s">
        <v>88</v>
      </c>
      <c r="I136" s="61" t="s">
        <v>123</v>
      </c>
      <c r="J136" s="61" t="s">
        <v>133</v>
      </c>
      <c r="K136" s="61"/>
      <c r="L136" s="62" t="n">
        <v>35</v>
      </c>
      <c r="M136" s="63" t="s">
        <v>127</v>
      </c>
      <c r="N136" s="62" t="n">
        <v>3</v>
      </c>
      <c r="O136" s="64" t="n">
        <f aca="false">IF(OR($L136="",$M136=""),"",(DATE(Semana!$J$3,1,4)-WEEKDAY(DATE(Semana!$J$3,1,4),3))+($L136-1)*7+MATCH($M136,Listas!$F$5:$F$11,0)-1)</f>
        <v>46261</v>
      </c>
      <c r="P136" s="64" t="n">
        <f aca="false">IF($O136="","",$O136+MAX(0,ROUNDUP($AK136*MAX(1,IF($N136="",1,$N136))/MAX(1,$AL136),0)-1))</f>
        <v>46263</v>
      </c>
      <c r="Q136" s="65"/>
      <c r="R136" s="60" t="s">
        <v>57</v>
      </c>
      <c r="S136" s="66"/>
      <c r="T136" s="59"/>
      <c r="U136" s="59" t="s">
        <v>412</v>
      </c>
      <c r="V136" s="57" t="str">
        <f aca="false">IF($F136="","",IF(ISNUMBER(SEARCH("(externo)",$I136&amp;$J136&amp;$K136)),"Terceirizada","Interna"))</f>
        <v>Interna</v>
      </c>
      <c r="W136" s="64" t="n">
        <f aca="false">IF($O136="","",IF($S136="",$O136,(DATE(Semana!$J$3,1,4)-WEEKDAY(DATE(Semana!$J$3,1,4),3))+($S136-1)*7+IF($M136="",0,MATCH($M136,Listas!$F$5:$F$11,0)-1)))</f>
        <v>46261</v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1</v>
      </c>
      <c r="AD136" s="57" t="n">
        <f aca="false">IF($F136="","",IF(COUNTA($I136:$K136)=0,0,1/COUNTA($I136:$K136)))</f>
        <v>0.5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>Gabriel · Júnior</v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F-856|Realizar troca de óleo e filtro|35</v>
      </c>
      <c r="AK136" s="57" t="n">
        <f aca="false">IF($AJ136="","",COUNTIF($AJ$4:$AJ136,$AJ136))</f>
        <v>5</v>
      </c>
      <c r="AL136" s="57" t="n">
        <f aca="false">IF($AJ136="","",COUNTIF($AJ$4:$AJ$1004,$AJ136))</f>
        <v>5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58"/>
      <c r="D137" s="59" t="s">
        <v>176</v>
      </c>
      <c r="E137" s="59" t="s">
        <v>417</v>
      </c>
      <c r="F137" s="59" t="s">
        <v>417</v>
      </c>
      <c r="G137" s="60" t="s">
        <v>110</v>
      </c>
      <c r="H137" s="60" t="s">
        <v>220</v>
      </c>
      <c r="I137" s="61" t="s">
        <v>133</v>
      </c>
      <c r="J137" s="61"/>
      <c r="K137" s="61"/>
      <c r="L137" s="62" t="n">
        <v>35</v>
      </c>
      <c r="M137" s="63" t="s">
        <v>127</v>
      </c>
      <c r="N137" s="62" t="n">
        <v>3</v>
      </c>
      <c r="O137" s="64" t="n">
        <f aca="false">IF(OR($L137="",$M137=""),"",(DATE(Semana!$J$3,1,4)-WEEKDAY(DATE(Semana!$J$3,1,4),3))+($L137-1)*7+MATCH($M137,Listas!$F$5:$F$11,0)-1)</f>
        <v>46261</v>
      </c>
      <c r="P137" s="64" t="n">
        <f aca="false">IF($O137="","",$O137+MAX(0,ROUNDUP($AK137*MAX(1,IF($N137="",1,$N137))/MAX(1,$AL137),0)-1))</f>
        <v>46261</v>
      </c>
      <c r="Q137" s="65" t="n">
        <v>46261</v>
      </c>
      <c r="R137" s="60" t="s">
        <v>82</v>
      </c>
      <c r="S137" s="66"/>
      <c r="T137" s="59"/>
      <c r="U137" s="59"/>
      <c r="V137" s="57" t="str">
        <f aca="false">IF($F137="","",IF(ISNUMBER(SEARCH("(externo)",$I137&amp;$J137&amp;$K137)),"Terceirizada","Interna"))</f>
        <v>Interna</v>
      </c>
      <c r="W137" s="64" t="n">
        <f aca="false">IF($O137="","",IF($S137="",$O137,(DATE(Semana!$J$3,1,4)-WEEKDAY(DATE(Semana!$J$3,1,4),3))+($S137-1)*7+IF($M137="",0,MATCH($M137,Listas!$F$5:$F$11,0)-1)))</f>
        <v>46261</v>
      </c>
      <c r="X137" s="57" t="n">
        <f aca="false">IF($F137="","",IF(OR($Q137="",$O137=""),0,IF($Q137&lt;=$O137,1,0)))</f>
        <v>1</v>
      </c>
      <c r="Y137" s="57" t="n">
        <f aca="false">IF($F137="","",IF(OR($Q137="",$W137=""),0,IF($Q137&lt;=$W137,1,0)))</f>
        <v>1</v>
      </c>
      <c r="Z137" s="57" t="n">
        <f aca="false">IF(OR($Q137="",$O137=""),"",MAX(0,$Q137-$O137))</f>
        <v>0</v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1</v>
      </c>
      <c r="AC137" s="57" t="n">
        <f aca="false">IF($P137="",0,IF($P137&lt;Hoje!$L$1,1,IF(AND($P137=Hoje!$L$1,Hoje!$L$2&gt;Semana!$M$3),1,0)))</f>
        <v>1</v>
      </c>
      <c r="AD137" s="57" t="n">
        <f aca="false">IF($F137="","",IF(COUNTA($I137:$K137)=0,0,1/COUNTA($I137:$K137)))</f>
        <v>1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>Júnior</v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F-938|Trocar palhetas do climatizador|35</v>
      </c>
      <c r="AK137" s="57" t="n">
        <f aca="false">IF($AJ137="","",COUNTIF($AJ$4:$AJ137,$AJ137))</f>
        <v>1</v>
      </c>
      <c r="AL137" s="57" t="n">
        <f aca="false">IF($AJ137="","",COUNTIF($AJ$4:$AJ$1004,$AJ137))</f>
        <v>3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58"/>
      <c r="D138" s="59" t="s">
        <v>176</v>
      </c>
      <c r="E138" s="59" t="s">
        <v>417</v>
      </c>
      <c r="F138" s="59" t="s">
        <v>418</v>
      </c>
      <c r="G138" s="60" t="s">
        <v>110</v>
      </c>
      <c r="H138" s="60" t="s">
        <v>220</v>
      </c>
      <c r="I138" s="61" t="s">
        <v>133</v>
      </c>
      <c r="J138" s="61"/>
      <c r="K138" s="61"/>
      <c r="L138" s="62" t="n">
        <v>35</v>
      </c>
      <c r="M138" s="63" t="s">
        <v>127</v>
      </c>
      <c r="N138" s="62" t="n">
        <v>3</v>
      </c>
      <c r="O138" s="64" t="n">
        <f aca="false">IF(OR($L138="",$M138=""),"",(DATE(Semana!$J$3,1,4)-WEEKDAY(DATE(Semana!$J$3,1,4),3))+($L138-1)*7+MATCH($M138,Listas!$F$5:$F$11,0)-1)</f>
        <v>46261</v>
      </c>
      <c r="P138" s="64" t="n">
        <f aca="false">IF($O138="","",$O138+MAX(0,ROUNDUP($AK138*MAX(1,IF($N138="",1,$N138))/MAX(1,$AL138),0)-1))</f>
        <v>46262</v>
      </c>
      <c r="Q138" s="65" t="n">
        <v>46261</v>
      </c>
      <c r="R138" s="60" t="s">
        <v>82</v>
      </c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n">
        <f aca="false">IF($O138="","",IF($S138="",$O138,(DATE(Semana!$J$3,1,4)-WEEKDAY(DATE(Semana!$J$3,1,4),3))+($S138-1)*7+IF($M138="",0,MATCH($M138,Listas!$F$5:$F$11,0)-1)))</f>
        <v>46261</v>
      </c>
      <c r="X138" s="57" t="n">
        <f aca="false">IF($F138="","",IF(OR($Q138="",$O138=""),0,IF($Q138&lt;=$O138,1,0)))</f>
        <v>1</v>
      </c>
      <c r="Y138" s="57" t="n">
        <f aca="false">IF($F138="","",IF(OR($Q138="",$W138=""),0,IF($Q138&lt;=$W138,1,0)))</f>
        <v>1</v>
      </c>
      <c r="Z138" s="57" t="n">
        <f aca="false">IF(OR($Q138="",$O138=""),"",MAX(0,$Q138-$O138))</f>
        <v>0</v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1</v>
      </c>
      <c r="AC138" s="57" t="n">
        <f aca="false">IF($P138="",0,IF($P138&lt;Hoje!$L$1,1,IF(AND($P138=Hoje!$L$1,Hoje!$L$2&gt;Semana!$M$3),1,0)))</f>
        <v>1</v>
      </c>
      <c r="AD138" s="57" t="n">
        <f aca="false">IF($F138="","",IF(COUNTA($I138:$K138)=0,0,1/COUNTA($I138:$K138)))</f>
        <v>1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>Júnior</v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F-938|Trocar palhetas do climatizador|35</v>
      </c>
      <c r="AK138" s="57" t="n">
        <f aca="false">IF($AJ138="","",COUNTIF($AJ$4:$AJ138,$AJ138))</f>
        <v>2</v>
      </c>
      <c r="AL138" s="57" t="n">
        <f aca="false">IF($AJ138="","",COUNTIF($AJ$4:$AJ$1004,$AJ138))</f>
        <v>3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58"/>
      <c r="D139" s="59" t="s">
        <v>176</v>
      </c>
      <c r="E139" s="59" t="s">
        <v>417</v>
      </c>
      <c r="F139" s="59" t="s">
        <v>419</v>
      </c>
      <c r="G139" s="60" t="s">
        <v>110</v>
      </c>
      <c r="H139" s="60" t="s">
        <v>220</v>
      </c>
      <c r="I139" s="61" t="s">
        <v>133</v>
      </c>
      <c r="J139" s="61"/>
      <c r="K139" s="61"/>
      <c r="L139" s="62" t="n">
        <v>35</v>
      </c>
      <c r="M139" s="63" t="s">
        <v>127</v>
      </c>
      <c r="N139" s="62" t="n">
        <v>3</v>
      </c>
      <c r="O139" s="64" t="n">
        <f aca="false">IF(OR($L139="",$M139=""),"",(DATE(Semana!$J$3,1,4)-WEEKDAY(DATE(Semana!$J$3,1,4),3))+($L139-1)*7+MATCH($M139,Listas!$F$5:$F$11,0)-1)</f>
        <v>46261</v>
      </c>
      <c r="P139" s="64" t="n">
        <f aca="false">IF($O139="","",$O139+MAX(0,ROUNDUP($AK139*MAX(1,IF($N139="",1,$N139))/MAX(1,$AL139),0)-1))</f>
        <v>46263</v>
      </c>
      <c r="Q139" s="65" t="n">
        <v>46261</v>
      </c>
      <c r="R139" s="60" t="s">
        <v>82</v>
      </c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n">
        <f aca="false">IF($O139="","",IF($S139="",$O139,(DATE(Semana!$J$3,1,4)-WEEKDAY(DATE(Semana!$J$3,1,4),3))+($S139-1)*7+IF($M139="",0,MATCH($M139,Listas!$F$5:$F$11,0)-1)))</f>
        <v>46261</v>
      </c>
      <c r="X139" s="57" t="n">
        <f aca="false">IF($F139="","",IF(OR($Q139="",$O139=""),0,IF($Q139&lt;=$O139,1,0)))</f>
        <v>1</v>
      </c>
      <c r="Y139" s="57" t="n">
        <f aca="false">IF($F139="","",IF(OR($Q139="",$W139=""),0,IF($Q139&lt;=$W139,1,0)))</f>
        <v>1</v>
      </c>
      <c r="Z139" s="57" t="n">
        <f aca="false">IF(OR($Q139="",$O139=""),"",MAX(0,$Q139-$O139))</f>
        <v>0</v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1</v>
      </c>
      <c r="AC139" s="57" t="n">
        <f aca="false">IF($P139="",0,IF($P139&lt;Hoje!$L$1,1,IF(AND($P139=Hoje!$L$1,Hoje!$L$2&gt;Semana!$M$3),1,0)))</f>
        <v>1</v>
      </c>
      <c r="AD139" s="57" t="n">
        <f aca="false">IF($F139="","",IF(COUNTA($I139:$K139)=0,0,1/COUNTA($I139:$K139)))</f>
        <v>1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>Júnior</v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F-938|Trocar palhetas do climatizador|35</v>
      </c>
      <c r="AK139" s="57" t="n">
        <f aca="false">IF($AJ139="","",COUNTIF($AJ$4:$AJ139,$AJ139))</f>
        <v>3</v>
      </c>
      <c r="AL139" s="57" t="n">
        <f aca="false">IF($AJ139="","",COUNTIF($AJ$4:$AJ$1004,$AJ139))</f>
        <v>3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58"/>
      <c r="D140" s="59" t="s">
        <v>177</v>
      </c>
      <c r="E140" s="59" t="s">
        <v>420</v>
      </c>
      <c r="F140" s="59" t="s">
        <v>421</v>
      </c>
      <c r="G140" s="60" t="s">
        <v>110</v>
      </c>
      <c r="H140" s="60" t="s">
        <v>88</v>
      </c>
      <c r="I140" s="61"/>
      <c r="J140" s="61"/>
      <c r="K140" s="61"/>
      <c r="L140" s="62"/>
      <c r="M140" s="63"/>
      <c r="N140" s="62" t="n">
        <v>4</v>
      </c>
      <c r="O140" s="64" t="str">
        <f aca="false">IF(OR($L140="",$M140=""),"",(DATE(Semana!$J$3,1,4)-WEEKDAY(DATE(Semana!$J$3,1,4),3))+($L140-1)*7+MATCH($M140,Listas!$F$5:$F$11,0)-1)</f>
        <v/>
      </c>
      <c r="P140" s="64" t="str">
        <f aca="false">IF($O140="","",$O140+MAX(0,ROUNDUP($AK140*MAX(1,IF($N140="",1,$N140))/MAX(1,$AL140),0)-1))</f>
        <v/>
      </c>
      <c r="Q140" s="65"/>
      <c r="R140" s="60"/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str">
        <f aca="false">IF($O140="","",IF($S140="",$O140,(DATE(Semana!$J$3,1,4)-WEEKDAY(DATE(Semana!$J$3,1,4),3))+($S140-1)*7+IF($M140="",0,MATCH($M140,Listas!$F$5:$F$11,0)-1)))</f>
        <v/>
      </c>
      <c r="X140" s="57" t="n">
        <f aca="false">IF($F140="","",IF(OR($Q140="",$O140=""),0,IF($Q140&lt;=$O140,1,0)))</f>
        <v>0</v>
      </c>
      <c r="Y140" s="57" t="n">
        <f aca="false">IF($F140="","",IF(OR($Q140="",$W140=""),0,IF($Q140&lt;=$W140,1,0)))</f>
        <v>0</v>
      </c>
      <c r="Z140" s="57" t="str">
        <f aca="false">IF(OR($Q140="",$O140=""),"",MAX(0,$Q140-$O140))</f>
        <v/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0</v>
      </c>
      <c r="AC140" s="57" t="n">
        <f aca="false">IF($P140="",0,IF($P140&lt;Hoje!$L$1,1,IF(AND($P140=Hoje!$L$1,Hoje!$L$2&gt;Semana!$M$3),1,0)))</f>
        <v>0</v>
      </c>
      <c r="AD140" s="57" t="n">
        <f aca="false">IF($F140="","",IF(COUNTA($I140:$K140)=0,0,1/COUNTA($I140:$K140)))</f>
        <v>0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/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F-964|BAIXA DE CARTEIRA|</v>
      </c>
      <c r="AK140" s="57" t="n">
        <f aca="false">IF($AJ140="","",COUNTIF($AJ$4:$AJ140,$AJ140))</f>
        <v>1</v>
      </c>
      <c r="AL140" s="57" t="n">
        <f aca="false">IF($AJ140="","",COUNTIF($AJ$4:$AJ$1004,$AJ140))</f>
        <v>34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177</v>
      </c>
      <c r="E141" s="59" t="s">
        <v>420</v>
      </c>
      <c r="F141" s="59" t="s">
        <v>422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2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177</v>
      </c>
      <c r="E142" s="59" t="s">
        <v>420</v>
      </c>
      <c r="F142" s="59" t="s">
        <v>423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3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177</v>
      </c>
      <c r="E143" s="59" t="s">
        <v>420</v>
      </c>
      <c r="F143" s="59" t="s">
        <v>424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4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177</v>
      </c>
      <c r="E144" s="59" t="s">
        <v>420</v>
      </c>
      <c r="F144" s="59" t="s">
        <v>425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5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177</v>
      </c>
      <c r="E145" s="59" t="s">
        <v>420</v>
      </c>
      <c r="F145" s="59" t="s">
        <v>426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6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177</v>
      </c>
      <c r="E146" s="59" t="s">
        <v>420</v>
      </c>
      <c r="F146" s="59" t="s">
        <v>427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7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177</v>
      </c>
      <c r="E147" s="59" t="s">
        <v>420</v>
      </c>
      <c r="F147" s="59" t="s">
        <v>428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8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177</v>
      </c>
      <c r="E148" s="59" t="s">
        <v>420</v>
      </c>
      <c r="F148" s="59" t="s">
        <v>429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9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177</v>
      </c>
      <c r="E149" s="59" t="s">
        <v>420</v>
      </c>
      <c r="F149" s="59" t="s">
        <v>430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10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177</v>
      </c>
      <c r="E150" s="59" t="s">
        <v>420</v>
      </c>
      <c r="F150" s="59" t="s">
        <v>431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11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177</v>
      </c>
      <c r="E151" s="59" t="s">
        <v>420</v>
      </c>
      <c r="F151" s="59" t="s">
        <v>432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12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177</v>
      </c>
      <c r="E152" s="59" t="s">
        <v>420</v>
      </c>
      <c r="F152" s="59" t="s">
        <v>433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13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177</v>
      </c>
      <c r="E153" s="59" t="s">
        <v>420</v>
      </c>
      <c r="F153" s="59" t="s">
        <v>434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14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177</v>
      </c>
      <c r="E154" s="59" t="s">
        <v>420</v>
      </c>
      <c r="F154" s="59" t="s">
        <v>435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15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177</v>
      </c>
      <c r="E155" s="59" t="s">
        <v>420</v>
      </c>
      <c r="F155" s="59" t="s">
        <v>436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16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177</v>
      </c>
      <c r="E156" s="59" t="s">
        <v>420</v>
      </c>
      <c r="F156" s="59" t="s">
        <v>437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17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177</v>
      </c>
      <c r="E157" s="59" t="s">
        <v>420</v>
      </c>
      <c r="F157" s="59" t="s">
        <v>438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18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177</v>
      </c>
      <c r="E158" s="59" t="s">
        <v>420</v>
      </c>
      <c r="F158" s="59" t="s">
        <v>439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19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177</v>
      </c>
      <c r="E159" s="59" t="s">
        <v>420</v>
      </c>
      <c r="F159" s="59" t="s">
        <v>440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20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177</v>
      </c>
      <c r="E160" s="59" t="s">
        <v>420</v>
      </c>
      <c r="F160" s="59" t="s">
        <v>441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21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177</v>
      </c>
      <c r="E161" s="59" t="s">
        <v>420</v>
      </c>
      <c r="F161" s="59" t="s">
        <v>442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22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177</v>
      </c>
      <c r="E162" s="59" t="s">
        <v>420</v>
      </c>
      <c r="F162" s="59" t="s">
        <v>443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23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177</v>
      </c>
      <c r="E163" s="59" t="s">
        <v>420</v>
      </c>
      <c r="F163" s="59" t="s">
        <v>444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24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177</v>
      </c>
      <c r="E164" s="59" t="s">
        <v>420</v>
      </c>
      <c r="F164" s="59" t="s">
        <v>445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25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177</v>
      </c>
      <c r="E165" s="59" t="s">
        <v>420</v>
      </c>
      <c r="F165" s="59" t="s">
        <v>446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26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177</v>
      </c>
      <c r="E166" s="59" t="s">
        <v>420</v>
      </c>
      <c r="F166" s="59" t="s">
        <v>447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27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177</v>
      </c>
      <c r="E167" s="59" t="s">
        <v>420</v>
      </c>
      <c r="F167" s="59" t="s">
        <v>448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28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58"/>
      <c r="D168" s="59" t="s">
        <v>177</v>
      </c>
      <c r="E168" s="59" t="s">
        <v>420</v>
      </c>
      <c r="F168" s="59" t="s">
        <v>449</v>
      </c>
      <c r="G168" s="60" t="s">
        <v>110</v>
      </c>
      <c r="H168" s="60" t="s">
        <v>88</v>
      </c>
      <c r="I168" s="61"/>
      <c r="J168" s="61"/>
      <c r="K168" s="61"/>
      <c r="L168" s="62"/>
      <c r="M168" s="63"/>
      <c r="N168" s="62" t="n">
        <v>4</v>
      </c>
      <c r="O168" s="64" t="str">
        <f aca="false">IF(OR($L168="",$M168=""),"",(DATE(Semana!$J$3,1,4)-WEEKDAY(DATE(Semana!$J$3,1,4),3))+($L168-1)*7+MATCH($M168,Listas!$F$5:$F$11,0)-1)</f>
        <v/>
      </c>
      <c r="P168" s="64" t="str">
        <f aca="false">IF($O168="","",$O168+MAX(0,ROUNDUP($AK168*MAX(1,IF($N168="",1,$N168))/MAX(1,$AL168),0)-1))</f>
        <v/>
      </c>
      <c r="Q168" s="65"/>
      <c r="R168" s="60"/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str">
        <f aca="false">IF($O168="","",IF($S168="",$O168,(DATE(Semana!$J$3,1,4)-WEEKDAY(DATE(Semana!$J$3,1,4),3))+($S168-1)*7+IF($M168="",0,MATCH($M168,Listas!$F$5:$F$11,0)-1)))</f>
        <v/>
      </c>
      <c r="X168" s="57" t="n">
        <f aca="false">IF($F168="","",IF(OR($Q168="",$O168=""),0,IF($Q168&lt;=$O168,1,0)))</f>
        <v>0</v>
      </c>
      <c r="Y168" s="57" t="n">
        <f aca="false">IF($F168="","",IF(OR($Q168="",$W168=""),0,IF($Q168&lt;=$W168,1,0)))</f>
        <v>0</v>
      </c>
      <c r="Z168" s="57" t="str">
        <f aca="false">IF(OR($Q168="",$O168=""),"",MAX(0,$Q168-$O168))</f>
        <v/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0</v>
      </c>
      <c r="AC168" s="57" t="n">
        <f aca="false">IF($P168="",0,IF($P168&lt;Hoje!$L$1,1,IF(AND($P168=Hoje!$L$1,Hoje!$L$2&gt;Semana!$M$3),1,0)))</f>
        <v>0</v>
      </c>
      <c r="AD168" s="57" t="n">
        <f aca="false">IF($F168="","",IF(COUNTA($I168:$K168)=0,0,1/COUNTA($I168:$K168)))</f>
        <v>0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/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F-964|BAIXA DE CARTEIRA|</v>
      </c>
      <c r="AK168" s="57" t="n">
        <f aca="false">IF($AJ168="","",COUNTIF($AJ$4:$AJ168,$AJ168))</f>
        <v>29</v>
      </c>
      <c r="AL168" s="57" t="n">
        <f aca="false">IF($AJ168="","",COUNTIF($AJ$4:$AJ$1004,$AJ168))</f>
        <v>34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58"/>
      <c r="D169" s="59" t="s">
        <v>177</v>
      </c>
      <c r="E169" s="59" t="s">
        <v>420</v>
      </c>
      <c r="F169" s="59" t="s">
        <v>450</v>
      </c>
      <c r="G169" s="60" t="s">
        <v>110</v>
      </c>
      <c r="H169" s="60" t="s">
        <v>88</v>
      </c>
      <c r="I169" s="61"/>
      <c r="J169" s="61"/>
      <c r="K169" s="61"/>
      <c r="L169" s="62"/>
      <c r="M169" s="63"/>
      <c r="N169" s="62" t="n">
        <v>4</v>
      </c>
      <c r="O169" s="64" t="str">
        <f aca="false">IF(OR($L169="",$M169=""),"",(DATE(Semana!$J$3,1,4)-WEEKDAY(DATE(Semana!$J$3,1,4),3))+($L169-1)*7+MATCH($M169,Listas!$F$5:$F$11,0)-1)</f>
        <v/>
      </c>
      <c r="P169" s="64" t="str">
        <f aca="false">IF($O169="","",$O169+MAX(0,ROUNDUP($AK169*MAX(1,IF($N169="",1,$N169))/MAX(1,$AL169),0)-1))</f>
        <v/>
      </c>
      <c r="Q169" s="65"/>
      <c r="R169" s="60"/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str">
        <f aca="false">IF($O169="","",IF($S169="",$O169,(DATE(Semana!$J$3,1,4)-WEEKDAY(DATE(Semana!$J$3,1,4),3))+($S169-1)*7+IF($M169="",0,MATCH($M169,Listas!$F$5:$F$11,0)-1)))</f>
        <v/>
      </c>
      <c r="X169" s="57" t="n">
        <f aca="false">IF($F169="","",IF(OR($Q169="",$O169=""),0,IF($Q169&lt;=$O169,1,0)))</f>
        <v>0</v>
      </c>
      <c r="Y169" s="57" t="n">
        <f aca="false">IF($F169="","",IF(OR($Q169="",$W169=""),0,IF($Q169&lt;=$W169,1,0)))</f>
        <v>0</v>
      </c>
      <c r="Z169" s="57" t="str">
        <f aca="false">IF(OR($Q169="",$O169=""),"",MAX(0,$Q169-$O169))</f>
        <v/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0</v>
      </c>
      <c r="AC169" s="57" t="n">
        <f aca="false">IF($P169="",0,IF($P169&lt;Hoje!$L$1,1,IF(AND($P169=Hoje!$L$1,Hoje!$L$2&gt;Semana!$M$3),1,0)))</f>
        <v>0</v>
      </c>
      <c r="AD169" s="57" t="n">
        <f aca="false">IF($F169="","",IF(COUNTA($I169:$K169)=0,0,1/COUNTA($I169:$K169)))</f>
        <v>0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/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F-964|BAIXA DE CARTEIRA|</v>
      </c>
      <c r="AK169" s="57" t="n">
        <f aca="false">IF($AJ169="","",COUNTIF($AJ$4:$AJ169,$AJ169))</f>
        <v>30</v>
      </c>
      <c r="AL169" s="57" t="n">
        <f aca="false">IF($AJ169="","",COUNTIF($AJ$4:$AJ$1004,$AJ169))</f>
        <v>34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58"/>
      <c r="D170" s="59" t="s">
        <v>177</v>
      </c>
      <c r="E170" s="59" t="s">
        <v>420</v>
      </c>
      <c r="F170" s="59" t="s">
        <v>451</v>
      </c>
      <c r="G170" s="60" t="s">
        <v>110</v>
      </c>
      <c r="H170" s="60" t="s">
        <v>88</v>
      </c>
      <c r="I170" s="61"/>
      <c r="J170" s="61"/>
      <c r="K170" s="61"/>
      <c r="L170" s="62"/>
      <c r="M170" s="63"/>
      <c r="N170" s="62" t="n">
        <v>4</v>
      </c>
      <c r="O170" s="64" t="str">
        <f aca="false">IF(OR($L170="",$M170=""),"",(DATE(Semana!$J$3,1,4)-WEEKDAY(DATE(Semana!$J$3,1,4),3))+($L170-1)*7+MATCH($M170,Listas!$F$5:$F$11,0)-1)</f>
        <v/>
      </c>
      <c r="P170" s="64" t="str">
        <f aca="false">IF($O170="","",$O170+MAX(0,ROUNDUP($AK170*MAX(1,IF($N170="",1,$N170))/MAX(1,$AL170),0)-1))</f>
        <v/>
      </c>
      <c r="Q170" s="65"/>
      <c r="R170" s="60"/>
      <c r="S170" s="66"/>
      <c r="T170" s="59"/>
      <c r="U170" s="59"/>
      <c r="V170" s="57" t="str">
        <f aca="false">IF($F170="","",IF(ISNUMBER(SEARCH("(externo)",$I170&amp;$J170&amp;$K170)),"Terceirizada","Interna"))</f>
        <v>Interna</v>
      </c>
      <c r="W170" s="64" t="str">
        <f aca="false">IF($O170="","",IF($S170="",$O170,(DATE(Semana!$J$3,1,4)-WEEKDAY(DATE(Semana!$J$3,1,4),3))+($S170-1)*7+IF($M170="",0,MATCH($M170,Listas!$F$5:$F$11,0)-1)))</f>
        <v/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str">
        <f aca="false">IF(OR($Q170="",$O170=""),"",MAX(0,$Q170-$O170))</f>
        <v/>
      </c>
      <c r="AA170" s="57" t="n">
        <f aca="false">IF($F170="","",IF(AND($S170&lt;&gt;"",$L170&lt;&gt;"",$S170&lt;&gt;$L170),1,0))</f>
        <v>0</v>
      </c>
      <c r="AB170" s="57" t="n">
        <f aca="false">IF($F170="","",IF($R170="Cancelada",0,IF(OR($Q170&lt;&gt;"",$R170="Concluída"),1,0)))</f>
        <v>0</v>
      </c>
      <c r="AC170" s="57" t="n">
        <f aca="false">IF($P170="",0,IF($P170&lt;Hoje!$L$1,1,IF(AND($P170=Hoje!$L$1,Hoje!$L$2&gt;Semana!$M$3),1,0)))</f>
        <v>0</v>
      </c>
      <c r="AD170" s="57" t="n">
        <f aca="false">IF($F170="","",IF(COUNTA($I170:$K170)=0,0,1/COUNTA($I170:$K170)))</f>
        <v>0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/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F-964|BAIXA DE CARTEIRA|</v>
      </c>
      <c r="AK170" s="57" t="n">
        <f aca="false">IF($AJ170="","",COUNTIF($AJ$4:$AJ170,$AJ170))</f>
        <v>31</v>
      </c>
      <c r="AL170" s="57" t="n">
        <f aca="false">IF($AJ170="","",COUNTIF($AJ$4:$AJ$1004,$AJ170))</f>
        <v>34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58"/>
      <c r="D171" s="59" t="s">
        <v>177</v>
      </c>
      <c r="E171" s="59" t="s">
        <v>420</v>
      </c>
      <c r="F171" s="59" t="s">
        <v>452</v>
      </c>
      <c r="G171" s="60" t="s">
        <v>110</v>
      </c>
      <c r="H171" s="60" t="s">
        <v>88</v>
      </c>
      <c r="I171" s="61"/>
      <c r="J171" s="61"/>
      <c r="K171" s="61"/>
      <c r="L171" s="62"/>
      <c r="M171" s="63"/>
      <c r="N171" s="62" t="n">
        <v>4</v>
      </c>
      <c r="O171" s="64" t="str">
        <f aca="false">IF(OR($L171="",$M171=""),"",(DATE(Semana!$J$3,1,4)-WEEKDAY(DATE(Semana!$J$3,1,4),3))+($L171-1)*7+MATCH($M171,Listas!$F$5:$F$11,0)-1)</f>
        <v/>
      </c>
      <c r="P171" s="64" t="str">
        <f aca="false">IF($O171="","",$O171+MAX(0,ROUNDUP($AK171*MAX(1,IF($N171="",1,$N171))/MAX(1,$AL171),0)-1))</f>
        <v/>
      </c>
      <c r="Q171" s="65"/>
      <c r="R171" s="60"/>
      <c r="S171" s="66"/>
      <c r="T171" s="59"/>
      <c r="U171" s="59"/>
      <c r="V171" s="57" t="str">
        <f aca="false">IF($F171="","",IF(ISNUMBER(SEARCH("(externo)",$I171&amp;$J171&amp;$K171)),"Terceirizada","Interna"))</f>
        <v>Interna</v>
      </c>
      <c r="W171" s="64" t="str">
        <f aca="false">IF($O171="","",IF($S171="",$O171,(DATE(Semana!$J$3,1,4)-WEEKDAY(DATE(Semana!$J$3,1,4),3))+($S171-1)*7+IF($M171="",0,MATCH($M171,Listas!$F$5:$F$11,0)-1)))</f>
        <v/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str">
        <f aca="false">IF(OR($Q171="",$O171=""),"",MAX(0,$Q171-$O171))</f>
        <v/>
      </c>
      <c r="AA171" s="57" t="n">
        <f aca="false">IF($F171="","",IF(AND($S171&lt;&gt;"",$L171&lt;&gt;"",$S171&lt;&gt;$L171),1,0))</f>
        <v>0</v>
      </c>
      <c r="AB171" s="57" t="n">
        <f aca="false">IF($F171="","",IF($R171="Cancelada",0,IF(OR($Q171&lt;&gt;"",$R171="Concluída"),1,0)))</f>
        <v>0</v>
      </c>
      <c r="AC171" s="57" t="n">
        <f aca="false">IF($P171="",0,IF($P171&lt;Hoje!$L$1,1,IF(AND($P171=Hoje!$L$1,Hoje!$L$2&gt;Semana!$M$3),1,0)))</f>
        <v>0</v>
      </c>
      <c r="AD171" s="57" t="n">
        <f aca="false">IF($F171="","",IF(COUNTA($I171:$K171)=0,0,1/COUNTA($I171:$K171)))</f>
        <v>0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/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F-964|BAIXA DE CARTEIRA|</v>
      </c>
      <c r="AK171" s="57" t="n">
        <f aca="false">IF($AJ171="","",COUNTIF($AJ$4:$AJ171,$AJ171))</f>
        <v>32</v>
      </c>
      <c r="AL171" s="57" t="n">
        <f aca="false">IF($AJ171="","",COUNTIF($AJ$4:$AJ$1004,$AJ171))</f>
        <v>34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58"/>
      <c r="D172" s="59" t="s">
        <v>177</v>
      </c>
      <c r="E172" s="59" t="s">
        <v>420</v>
      </c>
      <c r="F172" s="59" t="s">
        <v>453</v>
      </c>
      <c r="G172" s="60" t="s">
        <v>110</v>
      </c>
      <c r="H172" s="60" t="s">
        <v>88</v>
      </c>
      <c r="I172" s="61"/>
      <c r="J172" s="61"/>
      <c r="K172" s="61"/>
      <c r="L172" s="62"/>
      <c r="M172" s="63"/>
      <c r="N172" s="62" t="n">
        <v>4</v>
      </c>
      <c r="O172" s="64" t="str">
        <f aca="false">IF(OR($L172="",$M172=""),"",(DATE(Semana!$J$3,1,4)-WEEKDAY(DATE(Semana!$J$3,1,4),3))+($L172-1)*7+MATCH($M172,Listas!$F$5:$F$11,0)-1)</f>
        <v/>
      </c>
      <c r="P172" s="64" t="str">
        <f aca="false">IF($O172="","",$O172+MAX(0,ROUNDUP($AK172*MAX(1,IF($N172="",1,$N172))/MAX(1,$AL172),0)-1))</f>
        <v/>
      </c>
      <c r="Q172" s="65"/>
      <c r="R172" s="60"/>
      <c r="S172" s="66"/>
      <c r="T172" s="59"/>
      <c r="U172" s="59"/>
      <c r="V172" s="57" t="str">
        <f aca="false">IF($F172="","",IF(ISNUMBER(SEARCH("(externo)",$I172&amp;$J172&amp;$K172)),"Terceirizada","Interna"))</f>
        <v>Interna</v>
      </c>
      <c r="W172" s="64" t="str">
        <f aca="false">IF($O172="","",IF($S172="",$O172,(DATE(Semana!$J$3,1,4)-WEEKDAY(DATE(Semana!$J$3,1,4),3))+($S172-1)*7+IF($M172="",0,MATCH($M172,Listas!$F$5:$F$11,0)-1)))</f>
        <v/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str">
        <f aca="false">IF(OR($Q172="",$O172=""),"",MAX(0,$Q172-$O172))</f>
        <v/>
      </c>
      <c r="AA172" s="57" t="n">
        <f aca="false">IF($F172="","",IF(AND($S172&lt;&gt;"",$L172&lt;&gt;"",$S172&lt;&gt;$L172),1,0))</f>
        <v>0</v>
      </c>
      <c r="AB172" s="57" t="n">
        <f aca="false">IF($F172="","",IF($R172="Cancelada",0,IF(OR($Q172&lt;&gt;"",$R172="Concluída"),1,0)))</f>
        <v>0</v>
      </c>
      <c r="AC172" s="57" t="n">
        <f aca="false">IF($P172="",0,IF($P172&lt;Hoje!$L$1,1,IF(AND($P172=Hoje!$L$1,Hoje!$L$2&gt;Semana!$M$3),1,0)))</f>
        <v>0</v>
      </c>
      <c r="AD172" s="57" t="n">
        <f aca="false">IF($F172="","",IF(COUNTA($I172:$K172)=0,0,1/COUNTA($I172:$K172)))</f>
        <v>0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/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F-964|BAIXA DE CARTEIRA|</v>
      </c>
      <c r="AK172" s="57" t="n">
        <f aca="false">IF($AJ172="","",COUNTIF($AJ$4:$AJ172,$AJ172))</f>
        <v>33</v>
      </c>
      <c r="AL172" s="57" t="n">
        <f aca="false">IF($AJ172="","",COUNTIF($AJ$4:$AJ$1004,$AJ172))</f>
        <v>34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Na carteira</v>
      </c>
      <c r="C173" s="58"/>
      <c r="D173" s="59" t="s">
        <v>177</v>
      </c>
      <c r="E173" s="59" t="s">
        <v>420</v>
      </c>
      <c r="F173" s="59" t="s">
        <v>454</v>
      </c>
      <c r="G173" s="60" t="s">
        <v>110</v>
      </c>
      <c r="H173" s="60" t="s">
        <v>88</v>
      </c>
      <c r="I173" s="61"/>
      <c r="J173" s="61"/>
      <c r="K173" s="61"/>
      <c r="L173" s="62"/>
      <c r="M173" s="63"/>
      <c r="N173" s="62" t="n">
        <v>4</v>
      </c>
      <c r="O173" s="64" t="str">
        <f aca="false">IF(OR($L173="",$M173=""),"",(DATE(Semana!$J$3,1,4)-WEEKDAY(DATE(Semana!$J$3,1,4),3))+($L173-1)*7+MATCH($M173,Listas!$F$5:$F$11,0)-1)</f>
        <v/>
      </c>
      <c r="P173" s="64" t="str">
        <f aca="false">IF($O173="","",$O173+MAX(0,ROUNDUP($AK173*MAX(1,IF($N173="",1,$N173))/MAX(1,$AL173),0)-1))</f>
        <v/>
      </c>
      <c r="Q173" s="65"/>
      <c r="R173" s="60"/>
      <c r="S173" s="66"/>
      <c r="T173" s="59"/>
      <c r="U173" s="59"/>
      <c r="V173" s="57" t="str">
        <f aca="false">IF($F173="","",IF(ISNUMBER(SEARCH("(externo)",$I173&amp;$J173&amp;$K173)),"Terceirizada","Interna"))</f>
        <v>Interna</v>
      </c>
      <c r="W173" s="64" t="str">
        <f aca="false">IF($O173="","",IF($S173="",$O173,(DATE(Semana!$J$3,1,4)-WEEKDAY(DATE(Semana!$J$3,1,4),3))+($S173-1)*7+IF($M173="",0,MATCH($M173,Listas!$F$5:$F$11,0)-1)))</f>
        <v/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str">
        <f aca="false">IF(OR($Q173="",$O173=""),"",MAX(0,$Q173-$O173))</f>
        <v/>
      </c>
      <c r="AA173" s="57" t="n">
        <f aca="false">IF($F173="","",IF(AND($S173&lt;&gt;"",$L173&lt;&gt;"",$S173&lt;&gt;$L173),1,0))</f>
        <v>0</v>
      </c>
      <c r="AB173" s="57" t="n">
        <f aca="false">IF($F173="","",IF($R173="Cancelada",0,IF(OR($Q173&lt;&gt;"",$R173="Concluída"),1,0)))</f>
        <v>0</v>
      </c>
      <c r="AC173" s="57" t="n">
        <f aca="false">IF($P173="",0,IF($P173&lt;Hoje!$L$1,1,IF(AND($P173=Hoje!$L$1,Hoje!$L$2&gt;Semana!$M$3),1,0)))</f>
        <v>0</v>
      </c>
      <c r="AD173" s="57" t="n">
        <f aca="false">IF($F173="","",IF(COUNTA($I173:$K173)=0,0,1/COUNTA($I173:$K173)))</f>
        <v>0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/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F-964|BAIXA DE CARTEIRA|</v>
      </c>
      <c r="AK173" s="57" t="n">
        <f aca="false">IF($AJ173="","",COUNTIF($AJ$4:$AJ173,$AJ173))</f>
        <v>34</v>
      </c>
      <c r="AL173" s="57" t="n">
        <f aca="false">IF($AJ173="","",COUNTIF($AJ$4:$AJ$1004,$AJ173))</f>
        <v>34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58"/>
      <c r="D174" s="59" t="s">
        <v>119</v>
      </c>
      <c r="E174" s="59" t="s">
        <v>218</v>
      </c>
      <c r="F174" s="59" t="s">
        <v>455</v>
      </c>
      <c r="G174" s="60" t="s">
        <v>110</v>
      </c>
      <c r="H174" s="60" t="s">
        <v>220</v>
      </c>
      <c r="I174" s="61" t="s">
        <v>113</v>
      </c>
      <c r="J174" s="61" t="s">
        <v>137</v>
      </c>
      <c r="K174" s="61"/>
      <c r="L174" s="62" t="n">
        <v>35</v>
      </c>
      <c r="M174" s="63" t="s">
        <v>127</v>
      </c>
      <c r="N174" s="62" t="n">
        <v>2</v>
      </c>
      <c r="O174" s="64" t="n">
        <f aca="false">IF(OR($L174="",$M174=""),"",(DATE(Semana!$J$3,1,4)-WEEKDAY(DATE(Semana!$J$3,1,4),3))+($L174-1)*7+MATCH($M174,Listas!$F$5:$F$11,0)-1)</f>
        <v>46261</v>
      </c>
      <c r="P174" s="64" t="n">
        <f aca="false">IF($O174="","",$O174+MAX(0,ROUNDUP($AK174*MAX(1,IF($N174="",1,$N174))/MAX(1,$AL174),0)-1))</f>
        <v>46262</v>
      </c>
      <c r="Q174" s="65" t="n">
        <v>46261</v>
      </c>
      <c r="R174" s="60" t="s">
        <v>82</v>
      </c>
      <c r="S174" s="66"/>
      <c r="T174" s="59"/>
      <c r="U174" s="59"/>
      <c r="V174" s="57" t="str">
        <f aca="false">IF($F174="","",IF(ISNUMBER(SEARCH("(externo)",$I174&amp;$J174&amp;$K174)),"Terceirizada","Interna"))</f>
        <v>Interna</v>
      </c>
      <c r="W174" s="64" t="n">
        <f aca="false">IF($O174="","",IF($S174="",$O174,(DATE(Semana!$J$3,1,4)-WEEKDAY(DATE(Semana!$J$3,1,4),3))+($S174-1)*7+IF($M174="",0,MATCH($M174,Listas!$F$5:$F$11,0)-1)))</f>
        <v>46261</v>
      </c>
      <c r="X174" s="57" t="n">
        <f aca="false">IF($F174="","",IF(OR($Q174="",$O174=""),0,IF($Q174&lt;=$O174,1,0)))</f>
        <v>1</v>
      </c>
      <c r="Y174" s="57" t="n">
        <f aca="false">IF($F174="","",IF(OR($Q174="",$W174=""),0,IF($Q174&lt;=$W174,1,0)))</f>
        <v>1</v>
      </c>
      <c r="Z174" s="57" t="n">
        <f aca="false">IF(OR($Q174="",$O174=""),"",MAX(0,$Q174-$O174))</f>
        <v>0</v>
      </c>
      <c r="AA174" s="57" t="n">
        <f aca="false">IF($F174="","",IF(AND($S174&lt;&gt;"",$L174&lt;&gt;"",$S174&lt;&gt;$L174),1,0))</f>
        <v>0</v>
      </c>
      <c r="AB174" s="57" t="n">
        <f aca="false">IF($F174="","",IF($R174="Cancelada",0,IF(OR($Q174&lt;&gt;"",$R174="Concluída"),1,0)))</f>
        <v>1</v>
      </c>
      <c r="AC174" s="57" t="n">
        <f aca="false">IF($P174="",0,IF($P174&lt;Hoje!$L$1,1,IF(AND($P174=Hoje!$L$1,Hoje!$L$2&gt;Semana!$M$3),1,0)))</f>
        <v>1</v>
      </c>
      <c r="AD174" s="57" t="n">
        <f aca="false">IF($F174="","",IF(COUNTA($I174:$K174)=0,0,1/COUNTA($I174:$K174)))</f>
        <v>0.5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>Airton · Luiz Paulo</v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F-1064|Calibração e troca de pneus|35</v>
      </c>
      <c r="AK174" s="57" t="n">
        <f aca="false">IF($AJ174="","",COUNTIF($AJ$4:$AJ174,$AJ174))</f>
        <v>1</v>
      </c>
      <c r="AL174" s="57" t="n">
        <f aca="false">IF($AJ174="","",COUNTIF($AJ$4:$AJ$1004,$AJ174))</f>
        <v>1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</v>
      </c>
      <c r="C175" s="58"/>
      <c r="D175" s="59" t="s">
        <v>124</v>
      </c>
      <c r="E175" s="59" t="s">
        <v>218</v>
      </c>
      <c r="F175" s="59" t="s">
        <v>455</v>
      </c>
      <c r="G175" s="60" t="s">
        <v>110</v>
      </c>
      <c r="H175" s="60" t="s">
        <v>220</v>
      </c>
      <c r="I175" s="61" t="s">
        <v>113</v>
      </c>
      <c r="J175" s="61" t="s">
        <v>137</v>
      </c>
      <c r="K175" s="61"/>
      <c r="L175" s="62" t="n">
        <v>35</v>
      </c>
      <c r="M175" s="63" t="s">
        <v>127</v>
      </c>
      <c r="N175" s="62" t="n">
        <v>4</v>
      </c>
      <c r="O175" s="64" t="n">
        <f aca="false">IF(OR($L175="",$M175=""),"",(DATE(Semana!$J$3,1,4)-WEEKDAY(DATE(Semana!$J$3,1,4),3))+($L175-1)*7+MATCH($M175,Listas!$F$5:$F$11,0)-1)</f>
        <v>46261</v>
      </c>
      <c r="P175" s="64" t="n">
        <f aca="false">IF($O175="","",$O175+MAX(0,ROUNDUP($AK175*MAX(1,IF($N175="",1,$N175))/MAX(1,$AL175),0)-1))</f>
        <v>46264</v>
      </c>
      <c r="Q175" s="65" t="n">
        <v>46261</v>
      </c>
      <c r="R175" s="60" t="s">
        <v>82</v>
      </c>
      <c r="S175" s="66"/>
      <c r="T175" s="59"/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46261</v>
      </c>
      <c r="X175" s="57" t="n">
        <f aca="false">IF($F175="","",IF(OR($Q175="",$O175=""),0,IF($Q175&lt;=$O175,1,0)))</f>
        <v>1</v>
      </c>
      <c r="Y175" s="57" t="n">
        <f aca="false">IF($F175="","",IF(OR($Q175="",$W175=""),0,IF($Q175&lt;=$W175,1,0)))</f>
        <v>1</v>
      </c>
      <c r="Z175" s="57" t="n">
        <f aca="false">IF(OR($Q175="",$O175=""),"",MAX(0,$Q175-$O175))</f>
        <v>0</v>
      </c>
      <c r="AA175" s="57" t="n">
        <f aca="false">IF($F175="","",IF(AND($S175&lt;&gt;"",$L175&lt;&gt;"",$S175&lt;&gt;$L175),1,0))</f>
        <v>0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Airton · Luiz Paulo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F-1065|Calibração e troca de pneus|35</v>
      </c>
      <c r="AK175" s="57" t="n">
        <f aca="false">IF($AJ175="","",COUNTIF($AJ$4:$AJ175,$AJ175))</f>
        <v>1</v>
      </c>
      <c r="AL175" s="57" t="n">
        <f aca="false">IF($AJ175="","",COUNTIF($AJ$4:$AJ$1004,$AJ175))</f>
        <v>1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58"/>
      <c r="D176" s="59" t="s">
        <v>178</v>
      </c>
      <c r="E176" s="59" t="s">
        <v>456</v>
      </c>
      <c r="F176" s="59" t="s">
        <v>457</v>
      </c>
      <c r="G176" s="60" t="s">
        <v>110</v>
      </c>
      <c r="H176" s="60" t="s">
        <v>88</v>
      </c>
      <c r="I176" s="61" t="s">
        <v>118</v>
      </c>
      <c r="J176" s="61" t="s">
        <v>128</v>
      </c>
      <c r="K176" s="61"/>
      <c r="L176" s="62" t="n">
        <v>35</v>
      </c>
      <c r="M176" s="63" t="s">
        <v>117</v>
      </c>
      <c r="N176" s="62" t="n">
        <v>3</v>
      </c>
      <c r="O176" s="64" t="n">
        <f aca="false">IF(OR($L176="",$M176=""),"",(DATE(Semana!$J$3,1,4)-WEEKDAY(DATE(Semana!$J$3,1,4),3))+($L176-1)*7+MATCH($M176,Listas!$F$5:$F$11,0)-1)</f>
        <v>46259</v>
      </c>
      <c r="P176" s="64" t="n">
        <f aca="false">IF($O176="","",$O176+MAX(0,ROUNDUP($AK176*MAX(1,IF($N176="",1,$N176))/MAX(1,$AL176),0)-1))</f>
        <v>46259</v>
      </c>
      <c r="Q176" s="65" t="n">
        <v>46260</v>
      </c>
      <c r="R176" s="60" t="s">
        <v>82</v>
      </c>
      <c r="S176" s="66" t="n">
        <v>34</v>
      </c>
      <c r="T176" s="59" t="s">
        <v>111</v>
      </c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46252</v>
      </c>
      <c r="X176" s="57" t="n">
        <f aca="false">IF($F176="","",IF(OR($Q176="",$O176=""),0,IF($Q176&lt;=$O176,1,0)))</f>
        <v>0</v>
      </c>
      <c r="Y176" s="57" t="n">
        <f aca="false">IF($F176="","",IF(OR($Q176="",$W176=""),0,IF($Q176&lt;=$W176,1,0)))</f>
        <v>0</v>
      </c>
      <c r="Z176" s="57" t="n">
        <f aca="false">IF(OR($Q176="",$O176=""),"",MAX(0,$Q176-$O176))</f>
        <v>1</v>
      </c>
      <c r="AA176" s="57" t="n">
        <f aca="false">IF($F176="","",IF(AND($S176&lt;&gt;"",$L176&lt;&gt;"",$S176&lt;&gt;$L176),1,0))</f>
        <v>1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Alexandre · Heliton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F-966|BAIXA DE PENDENCIAS|35</v>
      </c>
      <c r="AK176" s="57" t="n">
        <f aca="false">IF($AJ176="","",COUNTIF($AJ$4:$AJ176,$AJ176))</f>
        <v>1</v>
      </c>
      <c r="AL176" s="57" t="n">
        <f aca="false">IF($AJ176="","",COUNTIF($AJ$4:$AJ$1004,$AJ176))</f>
        <v>7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58"/>
      <c r="D177" s="59" t="s">
        <v>178</v>
      </c>
      <c r="E177" s="59" t="s">
        <v>456</v>
      </c>
      <c r="F177" s="59" t="s">
        <v>458</v>
      </c>
      <c r="G177" s="60" t="s">
        <v>110</v>
      </c>
      <c r="H177" s="60" t="s">
        <v>88</v>
      </c>
      <c r="I177" s="61" t="s">
        <v>118</v>
      </c>
      <c r="J177" s="61" t="s">
        <v>128</v>
      </c>
      <c r="K177" s="61"/>
      <c r="L177" s="62" t="n">
        <v>35</v>
      </c>
      <c r="M177" s="63" t="s">
        <v>117</v>
      </c>
      <c r="N177" s="62" t="n">
        <v>3</v>
      </c>
      <c r="O177" s="64" t="n">
        <f aca="false">IF(OR($L177="",$M177=""),"",(DATE(Semana!$J$3,1,4)-WEEKDAY(DATE(Semana!$J$3,1,4),3))+($L177-1)*7+MATCH($M177,Listas!$F$5:$F$11,0)-1)</f>
        <v>46259</v>
      </c>
      <c r="P177" s="64" t="n">
        <f aca="false">IF($O177="","",$O177+MAX(0,ROUNDUP($AK177*MAX(1,IF($N177="",1,$N177))/MAX(1,$AL177),0)-1))</f>
        <v>46259</v>
      </c>
      <c r="Q177" s="65" t="n">
        <v>46260</v>
      </c>
      <c r="R177" s="60" t="s">
        <v>82</v>
      </c>
      <c r="S177" s="66" t="n">
        <v>34</v>
      </c>
      <c r="T177" s="59" t="s">
        <v>111</v>
      </c>
      <c r="U177" s="59"/>
      <c r="V177" s="57" t="str">
        <f aca="false">IF($F177="","",IF(ISNUMBER(SEARCH("(externo)",$I177&amp;$J177&amp;$K177)),"Terceirizada","Interna"))</f>
        <v>Interna</v>
      </c>
      <c r="W177" s="64" t="n">
        <f aca="false">IF($O177="","",IF($S177="",$O177,(DATE(Semana!$J$3,1,4)-WEEKDAY(DATE(Semana!$J$3,1,4),3))+($S177-1)*7+IF($M177="",0,MATCH($M177,Listas!$F$5:$F$11,0)-1)))</f>
        <v>46252</v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n">
        <f aca="false">IF(OR($Q177="",$O177=""),"",MAX(0,$Q177-$O177))</f>
        <v>1</v>
      </c>
      <c r="AA177" s="57" t="n">
        <f aca="false">IF($F177="","",IF(AND($S177&lt;&gt;"",$L177&lt;&gt;"",$S177&lt;&gt;$L177),1,0))</f>
        <v>1</v>
      </c>
      <c r="AB177" s="57" t="n">
        <f aca="false">IF($F177="","",IF($R177="Cancelada",0,IF(OR($Q177&lt;&gt;"",$R177="Concluída"),1,0)))</f>
        <v>1</v>
      </c>
      <c r="AC177" s="57" t="n">
        <f aca="false">IF($P177="",0,IF($P177&lt;Hoje!$L$1,1,IF(AND($P177=Hoje!$L$1,Hoje!$L$2&gt;Semana!$M$3),1,0)))</f>
        <v>1</v>
      </c>
      <c r="AD177" s="57" t="n">
        <f aca="false">IF($F177="","",IF(COUNTA($I177:$K177)=0,0,1/COUNTA($I177:$K177)))</f>
        <v>0.5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>Alexandre · Heliton</v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F-966|BAIXA DE PENDENCIAS|35</v>
      </c>
      <c r="AK177" s="57" t="n">
        <f aca="false">IF($AJ177="","",COUNTIF($AJ$4:$AJ177,$AJ177))</f>
        <v>2</v>
      </c>
      <c r="AL177" s="57" t="n">
        <f aca="false">IF($AJ177="","",COUNTIF($AJ$4:$AJ$1004,$AJ177))</f>
        <v>7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58"/>
      <c r="D178" s="59" t="s">
        <v>178</v>
      </c>
      <c r="E178" s="59" t="s">
        <v>456</v>
      </c>
      <c r="F178" s="59" t="s">
        <v>459</v>
      </c>
      <c r="G178" s="60" t="s">
        <v>110</v>
      </c>
      <c r="H178" s="60" t="s">
        <v>88</v>
      </c>
      <c r="I178" s="61" t="s">
        <v>118</v>
      </c>
      <c r="J178" s="61" t="s">
        <v>128</v>
      </c>
      <c r="K178" s="61"/>
      <c r="L178" s="62" t="n">
        <v>35</v>
      </c>
      <c r="M178" s="63" t="s">
        <v>117</v>
      </c>
      <c r="N178" s="62" t="n">
        <v>3</v>
      </c>
      <c r="O178" s="64" t="n">
        <f aca="false">IF(OR($L178="",$M178=""),"",(DATE(Semana!$J$3,1,4)-WEEKDAY(DATE(Semana!$J$3,1,4),3))+($L178-1)*7+MATCH($M178,Listas!$F$5:$F$11,0)-1)</f>
        <v>46259</v>
      </c>
      <c r="P178" s="64" t="n">
        <f aca="false">IF($O178="","",$O178+MAX(0,ROUNDUP($AK178*MAX(1,IF($N178="",1,$N178))/MAX(1,$AL178),0)-1))</f>
        <v>46260</v>
      </c>
      <c r="Q178" s="65" t="n">
        <v>46260</v>
      </c>
      <c r="R178" s="60" t="s">
        <v>82</v>
      </c>
      <c r="S178" s="66" t="n">
        <v>34</v>
      </c>
      <c r="T178" s="59" t="s">
        <v>111</v>
      </c>
      <c r="U178" s="59"/>
      <c r="V178" s="57" t="str">
        <f aca="false">IF($F178="","",IF(ISNUMBER(SEARCH("(externo)",$I178&amp;$J178&amp;$K178)),"Terceirizada","Interna"))</f>
        <v>Interna</v>
      </c>
      <c r="W178" s="64" t="n">
        <f aca="false">IF($O178="","",IF($S178="",$O178,(DATE(Semana!$J$3,1,4)-WEEKDAY(DATE(Semana!$J$3,1,4),3))+($S178-1)*7+IF($M178="",0,MATCH($M178,Listas!$F$5:$F$11,0)-1)))</f>
        <v>46252</v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n">
        <f aca="false">IF(OR($Q178="",$O178=""),"",MAX(0,$Q178-$O178))</f>
        <v>1</v>
      </c>
      <c r="AA178" s="57" t="n">
        <f aca="false">IF($F178="","",IF(AND($S178&lt;&gt;"",$L178&lt;&gt;"",$S178&lt;&gt;$L178),1,0))</f>
        <v>1</v>
      </c>
      <c r="AB178" s="57" t="n">
        <f aca="false">IF($F178="","",IF($R178="Cancelada",0,IF(OR($Q178&lt;&gt;"",$R178="Concluída"),1,0)))</f>
        <v>1</v>
      </c>
      <c r="AC178" s="57" t="n">
        <f aca="false">IF($P178="",0,IF($P178&lt;Hoje!$L$1,1,IF(AND($P178=Hoje!$L$1,Hoje!$L$2&gt;Semana!$M$3),1,0)))</f>
        <v>1</v>
      </c>
      <c r="AD178" s="57" t="n">
        <f aca="false">IF($F178="","",IF(COUNTA($I178:$K178)=0,0,1/COUNTA($I178:$K178)))</f>
        <v>0.5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>Alexandre · Heliton</v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F-966|BAIXA DE PENDENCIAS|35</v>
      </c>
      <c r="AK178" s="57" t="n">
        <f aca="false">IF($AJ178="","",COUNTIF($AJ$4:$AJ178,$AJ178))</f>
        <v>3</v>
      </c>
      <c r="AL178" s="57" t="n">
        <f aca="false">IF($AJ178="","",COUNTIF($AJ$4:$AJ$1004,$AJ178))</f>
        <v>7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58"/>
      <c r="D179" s="59" t="s">
        <v>178</v>
      </c>
      <c r="E179" s="59" t="s">
        <v>456</v>
      </c>
      <c r="F179" s="59" t="s">
        <v>460</v>
      </c>
      <c r="G179" s="60" t="s">
        <v>110</v>
      </c>
      <c r="H179" s="60" t="s">
        <v>88</v>
      </c>
      <c r="I179" s="61" t="s">
        <v>118</v>
      </c>
      <c r="J179" s="61" t="s">
        <v>128</v>
      </c>
      <c r="K179" s="61"/>
      <c r="L179" s="62" t="n">
        <v>35</v>
      </c>
      <c r="M179" s="63" t="s">
        <v>117</v>
      </c>
      <c r="N179" s="62" t="n">
        <v>3</v>
      </c>
      <c r="O179" s="64" t="n">
        <f aca="false">IF(OR($L179="",$M179=""),"",(DATE(Semana!$J$3,1,4)-WEEKDAY(DATE(Semana!$J$3,1,4),3))+($L179-1)*7+MATCH($M179,Listas!$F$5:$F$11,0)-1)</f>
        <v>46259</v>
      </c>
      <c r="P179" s="64" t="n">
        <f aca="false">IF($O179="","",$O179+MAX(0,ROUNDUP($AK179*MAX(1,IF($N179="",1,$N179))/MAX(1,$AL179),0)-1))</f>
        <v>46260</v>
      </c>
      <c r="Q179" s="65" t="n">
        <v>46260</v>
      </c>
      <c r="R179" s="60" t="s">
        <v>82</v>
      </c>
      <c r="S179" s="66" t="n">
        <v>34</v>
      </c>
      <c r="T179" s="59" t="s">
        <v>111</v>
      </c>
      <c r="U179" s="59"/>
      <c r="V179" s="57" t="str">
        <f aca="false">IF($F179="","",IF(ISNUMBER(SEARCH("(externo)",$I179&amp;$J179&amp;$K179)),"Terceirizada","Interna"))</f>
        <v>Interna</v>
      </c>
      <c r="W179" s="64" t="n">
        <f aca="false">IF($O179="","",IF($S179="",$O179,(DATE(Semana!$J$3,1,4)-WEEKDAY(DATE(Semana!$J$3,1,4),3))+($S179-1)*7+IF($M179="",0,MATCH($M179,Listas!$F$5:$F$11,0)-1)))</f>
        <v>46252</v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n">
        <f aca="false">IF(OR($Q179="",$O179=""),"",MAX(0,$Q179-$O179))</f>
        <v>1</v>
      </c>
      <c r="AA179" s="57" t="n">
        <f aca="false">IF($F179="","",IF(AND($S179&lt;&gt;"",$L179&lt;&gt;"",$S179&lt;&gt;$L179),1,0))</f>
        <v>1</v>
      </c>
      <c r="AB179" s="57" t="n">
        <f aca="false">IF($F179="","",IF($R179="Cancelada",0,IF(OR($Q179&lt;&gt;"",$R179="Concluída"),1,0)))</f>
        <v>1</v>
      </c>
      <c r="AC179" s="57" t="n">
        <f aca="false">IF($P179="",0,IF($P179&lt;Hoje!$L$1,1,IF(AND($P179=Hoje!$L$1,Hoje!$L$2&gt;Semana!$M$3),1,0)))</f>
        <v>1</v>
      </c>
      <c r="AD179" s="57" t="n">
        <f aca="false">IF($F179="","",IF(COUNTA($I179:$K179)=0,0,1/COUNTA($I179:$K179)))</f>
        <v>0.5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>Alexandre · Heliton</v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F-966|BAIXA DE PENDENCIAS|35</v>
      </c>
      <c r="AK179" s="57" t="n">
        <f aca="false">IF($AJ179="","",COUNTIF($AJ$4:$AJ179,$AJ179))</f>
        <v>4</v>
      </c>
      <c r="AL179" s="57" t="n">
        <f aca="false">IF($AJ179="","",COUNTIF($AJ$4:$AJ$1004,$AJ179))</f>
        <v>7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58"/>
      <c r="D180" s="59" t="s">
        <v>178</v>
      </c>
      <c r="E180" s="59" t="s">
        <v>456</v>
      </c>
      <c r="F180" s="59" t="s">
        <v>461</v>
      </c>
      <c r="G180" s="60" t="s">
        <v>110</v>
      </c>
      <c r="H180" s="60" t="s">
        <v>88</v>
      </c>
      <c r="I180" s="61" t="s">
        <v>118</v>
      </c>
      <c r="J180" s="61" t="s">
        <v>128</v>
      </c>
      <c r="K180" s="61"/>
      <c r="L180" s="62" t="n">
        <v>35</v>
      </c>
      <c r="M180" s="63" t="s">
        <v>117</v>
      </c>
      <c r="N180" s="62" t="n">
        <v>3</v>
      </c>
      <c r="O180" s="64" t="n">
        <f aca="false">IF(OR($L180="",$M180=""),"",(DATE(Semana!$J$3,1,4)-WEEKDAY(DATE(Semana!$J$3,1,4),3))+($L180-1)*7+MATCH($M180,Listas!$F$5:$F$11,0)-1)</f>
        <v>46259</v>
      </c>
      <c r="P180" s="64" t="n">
        <f aca="false">IF($O180="","",$O180+MAX(0,ROUNDUP($AK180*MAX(1,IF($N180="",1,$N180))/MAX(1,$AL180),0)-1))</f>
        <v>46261</v>
      </c>
      <c r="Q180" s="65" t="n">
        <v>46260</v>
      </c>
      <c r="R180" s="60" t="s">
        <v>82</v>
      </c>
      <c r="S180" s="66" t="n">
        <v>34</v>
      </c>
      <c r="T180" s="59" t="s">
        <v>111</v>
      </c>
      <c r="U180" s="59"/>
      <c r="V180" s="57" t="str">
        <f aca="false">IF($F180="","",IF(ISNUMBER(SEARCH("(externo)",$I180&amp;$J180&amp;$K180)),"Terceirizada","Interna"))</f>
        <v>Interna</v>
      </c>
      <c r="W180" s="64" t="n">
        <f aca="false">IF($O180="","",IF($S180="",$O180,(DATE(Semana!$J$3,1,4)-WEEKDAY(DATE(Semana!$J$3,1,4),3))+($S180-1)*7+IF($M180="",0,MATCH($M180,Listas!$F$5:$F$11,0)-1)))</f>
        <v>46252</v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n">
        <f aca="false">IF(OR($Q180="",$O180=""),"",MAX(0,$Q180-$O180))</f>
        <v>1</v>
      </c>
      <c r="AA180" s="57" t="n">
        <f aca="false">IF($F180="","",IF(AND($S180&lt;&gt;"",$L180&lt;&gt;"",$S180&lt;&gt;$L180),1,0))</f>
        <v>1</v>
      </c>
      <c r="AB180" s="57" t="n">
        <f aca="false">IF($F180="","",IF($R180="Cancelada",0,IF(OR($Q180&lt;&gt;"",$R180="Concluída"),1,0)))</f>
        <v>1</v>
      </c>
      <c r="AC180" s="57" t="n">
        <f aca="false">IF($P180="",0,IF($P180&lt;Hoje!$L$1,1,IF(AND($P180=Hoje!$L$1,Hoje!$L$2&gt;Semana!$M$3),1,0)))</f>
        <v>1</v>
      </c>
      <c r="AD180" s="57" t="n">
        <f aca="false">IF($F180="","",IF(COUNTA($I180:$K180)=0,0,1/COUNTA($I180:$K180)))</f>
        <v>0.5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>Alexandre · Heliton</v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F-966|BAIXA DE PENDENCIAS|35</v>
      </c>
      <c r="AK180" s="57" t="n">
        <f aca="false">IF($AJ180="","",COUNTIF($AJ$4:$AJ180,$AJ180))</f>
        <v>5</v>
      </c>
      <c r="AL180" s="57" t="n">
        <f aca="false">IF($AJ180="","",COUNTIF($AJ$4:$AJ$1004,$AJ180))</f>
        <v>7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58"/>
      <c r="D181" s="59" t="s">
        <v>178</v>
      </c>
      <c r="E181" s="59" t="s">
        <v>456</v>
      </c>
      <c r="F181" s="59" t="s">
        <v>462</v>
      </c>
      <c r="G181" s="60" t="s">
        <v>110</v>
      </c>
      <c r="H181" s="60" t="s">
        <v>88</v>
      </c>
      <c r="I181" s="61" t="s">
        <v>118</v>
      </c>
      <c r="J181" s="61" t="s">
        <v>128</v>
      </c>
      <c r="K181" s="61"/>
      <c r="L181" s="62" t="n">
        <v>35</v>
      </c>
      <c r="M181" s="63" t="s">
        <v>117</v>
      </c>
      <c r="N181" s="62" t="n">
        <v>3</v>
      </c>
      <c r="O181" s="64" t="n">
        <f aca="false">IF(OR($L181="",$M181=""),"",(DATE(Semana!$J$3,1,4)-WEEKDAY(DATE(Semana!$J$3,1,4),3))+($L181-1)*7+MATCH($M181,Listas!$F$5:$F$11,0)-1)</f>
        <v>46259</v>
      </c>
      <c r="P181" s="64" t="n">
        <f aca="false">IF($O181="","",$O181+MAX(0,ROUNDUP($AK181*MAX(1,IF($N181="",1,$N181))/MAX(1,$AL181),0)-1))</f>
        <v>46261</v>
      </c>
      <c r="Q181" s="65" t="n">
        <v>46260</v>
      </c>
      <c r="R181" s="60" t="s">
        <v>82</v>
      </c>
      <c r="S181" s="66" t="n">
        <v>34</v>
      </c>
      <c r="T181" s="59" t="s">
        <v>111</v>
      </c>
      <c r="U181" s="59"/>
      <c r="V181" s="57" t="str">
        <f aca="false">IF($F181="","",IF(ISNUMBER(SEARCH("(externo)",$I181&amp;$J181&amp;$K181)),"Terceirizada","Interna"))</f>
        <v>Interna</v>
      </c>
      <c r="W181" s="64" t="n">
        <f aca="false">IF($O181="","",IF($S181="",$O181,(DATE(Semana!$J$3,1,4)-WEEKDAY(DATE(Semana!$J$3,1,4),3))+($S181-1)*7+IF($M181="",0,MATCH($M181,Listas!$F$5:$F$11,0)-1)))</f>
        <v>46252</v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n">
        <f aca="false">IF(OR($Q181="",$O181=""),"",MAX(0,$Q181-$O181))</f>
        <v>1</v>
      </c>
      <c r="AA181" s="57" t="n">
        <f aca="false">IF($F181="","",IF(AND($S181&lt;&gt;"",$L181&lt;&gt;"",$S181&lt;&gt;$L181),1,0))</f>
        <v>1</v>
      </c>
      <c r="AB181" s="57" t="n">
        <f aca="false">IF($F181="","",IF($R181="Cancelada",0,IF(OR($Q181&lt;&gt;"",$R181="Concluída"),1,0)))</f>
        <v>1</v>
      </c>
      <c r="AC181" s="57" t="n">
        <f aca="false">IF($P181="",0,IF($P181&lt;Hoje!$L$1,1,IF(AND($P181=Hoje!$L$1,Hoje!$L$2&gt;Semana!$M$3),1,0)))</f>
        <v>1</v>
      </c>
      <c r="AD181" s="57" t="n">
        <f aca="false">IF($F181="","",IF(COUNTA($I181:$K181)=0,0,1/COUNTA($I181:$K181)))</f>
        <v>0.5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>Alexandre · Heliton</v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F-966|BAIXA DE PENDENCIAS|35</v>
      </c>
      <c r="AK181" s="57" t="n">
        <f aca="false">IF($AJ181="","",COUNTIF($AJ$4:$AJ181,$AJ181))</f>
        <v>6</v>
      </c>
      <c r="AL181" s="57" t="n">
        <f aca="false">IF($AJ181="","",COUNTIF($AJ$4:$AJ$1004,$AJ181))</f>
        <v>7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 com atraso</v>
      </c>
      <c r="C182" s="58"/>
      <c r="D182" s="59" t="s">
        <v>178</v>
      </c>
      <c r="E182" s="59" t="s">
        <v>456</v>
      </c>
      <c r="F182" s="59" t="s">
        <v>463</v>
      </c>
      <c r="G182" s="60" t="s">
        <v>110</v>
      </c>
      <c r="H182" s="60" t="s">
        <v>88</v>
      </c>
      <c r="I182" s="61" t="s">
        <v>118</v>
      </c>
      <c r="J182" s="61" t="s">
        <v>128</v>
      </c>
      <c r="K182" s="61"/>
      <c r="L182" s="62" t="n">
        <v>35</v>
      </c>
      <c r="M182" s="63" t="s">
        <v>117</v>
      </c>
      <c r="N182" s="62" t="n">
        <v>3</v>
      </c>
      <c r="O182" s="64" t="n">
        <f aca="false">IF(OR($L182="",$M182=""),"",(DATE(Semana!$J$3,1,4)-WEEKDAY(DATE(Semana!$J$3,1,4),3))+($L182-1)*7+MATCH($M182,Listas!$F$5:$F$11,0)-1)</f>
        <v>46259</v>
      </c>
      <c r="P182" s="64" t="n">
        <f aca="false">IF($O182="","",$O182+MAX(0,ROUNDUP($AK182*MAX(1,IF($N182="",1,$N182))/MAX(1,$AL182),0)-1))</f>
        <v>46261</v>
      </c>
      <c r="Q182" s="65" t="n">
        <v>46260</v>
      </c>
      <c r="R182" s="60" t="s">
        <v>82</v>
      </c>
      <c r="S182" s="66" t="n">
        <v>34</v>
      </c>
      <c r="T182" s="59" t="s">
        <v>111</v>
      </c>
      <c r="U182" s="59"/>
      <c r="V182" s="57" t="str">
        <f aca="false">IF($F182="","",IF(ISNUMBER(SEARCH("(externo)",$I182&amp;$J182&amp;$K182)),"Terceirizada","Interna"))</f>
        <v>Interna</v>
      </c>
      <c r="W182" s="64" t="n">
        <f aca="false">IF($O182="","",IF($S182="",$O182,(DATE(Semana!$J$3,1,4)-WEEKDAY(DATE(Semana!$J$3,1,4),3))+($S182-1)*7+IF($M182="",0,MATCH($M182,Listas!$F$5:$F$11,0)-1)))</f>
        <v>46252</v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n">
        <f aca="false">IF(OR($Q182="",$O182=""),"",MAX(0,$Q182-$O182))</f>
        <v>1</v>
      </c>
      <c r="AA182" s="57" t="n">
        <f aca="false">IF($F182="","",IF(AND($S182&lt;&gt;"",$L182&lt;&gt;"",$S182&lt;&gt;$L182),1,0))</f>
        <v>1</v>
      </c>
      <c r="AB182" s="57" t="n">
        <f aca="false">IF($F182="","",IF($R182="Cancelada",0,IF(OR($Q182&lt;&gt;"",$R182="Concluída"),1,0)))</f>
        <v>1</v>
      </c>
      <c r="AC182" s="57" t="n">
        <f aca="false">IF($P182="",0,IF($P182&lt;Hoje!$L$1,1,IF(AND($P182=Hoje!$L$1,Hoje!$L$2&gt;Semana!$M$3),1,0)))</f>
        <v>1</v>
      </c>
      <c r="AD182" s="57" t="n">
        <f aca="false">IF($F182="","",IF(COUNTA($I182:$K182)=0,0,1/COUNTA($I182:$K182)))</f>
        <v>0.5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>Alexandre · Heliton</v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F-966|BAIXA DE PENDENCIAS|35</v>
      </c>
      <c r="AK182" s="57" t="n">
        <f aca="false">IF($AJ182="","",COUNTIF($AJ$4:$AJ182,$AJ182))</f>
        <v>7</v>
      </c>
      <c r="AL182" s="57" t="n">
        <f aca="false">IF($AJ182="","",COUNTIF($AJ$4:$AJ$1004,$AJ182))</f>
        <v>7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Fecha hoje</v>
      </c>
      <c r="C183" s="58" t="s">
        <v>464</v>
      </c>
      <c r="D183" s="59" t="s">
        <v>170</v>
      </c>
      <c r="E183" s="59" t="s">
        <v>456</v>
      </c>
      <c r="F183" s="59" t="s">
        <v>465</v>
      </c>
      <c r="G183" s="60" t="s">
        <v>110</v>
      </c>
      <c r="H183" s="60" t="s">
        <v>88</v>
      </c>
      <c r="I183" s="61"/>
      <c r="J183" s="61"/>
      <c r="K183" s="61"/>
      <c r="L183" s="62" t="n">
        <v>36</v>
      </c>
      <c r="M183" s="63" t="s">
        <v>117</v>
      </c>
      <c r="N183" s="62" t="n">
        <v>2</v>
      </c>
      <c r="O183" s="64" t="n">
        <f aca="false">IF(OR($L183="",$M183=""),"",(DATE(Semana!$J$3,1,4)-WEEKDAY(DATE(Semana!$J$3,1,4),3))+($L183-1)*7+MATCH($M183,Listas!$F$5:$F$11,0)-1)</f>
        <v>46266</v>
      </c>
      <c r="P183" s="64" t="n">
        <f aca="false">IF($O183="","",$O183+MAX(0,ROUNDUP($AK183*MAX(1,IF($N183="",1,$N183))/MAX(1,$AL183),0)-1))</f>
        <v>46266</v>
      </c>
      <c r="Q183" s="65"/>
      <c r="R183" s="60"/>
      <c r="S183" s="66"/>
      <c r="T183" s="59" t="s">
        <v>116</v>
      </c>
      <c r="U183" s="59"/>
      <c r="V183" s="57" t="str">
        <f aca="false">IF($F183="","",IF(ISNUMBER(SEARCH("(externo)",$I183&amp;$J183&amp;$K183)),"Terceirizada","Interna"))</f>
        <v>Interna</v>
      </c>
      <c r="W183" s="64" t="n">
        <f aca="false">IF($O183="","",IF($S183="",$O183,(DATE(Semana!$J$3,1,4)-WEEKDAY(DATE(Semana!$J$3,1,4),3))+($S183-1)*7+IF($M183="",0,MATCH($M183,Listas!$F$5:$F$11,0)-1)))</f>
        <v>46266</v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str">
        <f aca="false">IF(OR($Q183="",$O183=""),"",MAX(0,$Q183-$O183))</f>
        <v/>
      </c>
      <c r="AA183" s="57" t="n">
        <f aca="false">IF($F183="","",IF(AND($S183&lt;&gt;"",$L183&lt;&gt;"",$S183&lt;&gt;$L183),1,0))</f>
        <v>0</v>
      </c>
      <c r="AB183" s="57" t="n">
        <f aca="false">IF($F183="","",IF($R183="Cancelada",0,IF(OR($Q183&lt;&gt;"",$R183="Concluída"),1,0)))</f>
        <v>0</v>
      </c>
      <c r="AC183" s="57" t="n">
        <f aca="false">IF($P183="",0,IF($P183&lt;Hoje!$L$1,1,IF(AND($P183=Hoje!$L$1,Hoje!$L$2&gt;Semana!$M$3),1,0)))</f>
        <v>0</v>
      </c>
      <c r="AD183" s="57" t="n">
        <f aca="false">IF($F183="","",IF(COUNTA($I183:$K183)=0,0,1/COUNTA($I183:$K183)))</f>
        <v>0</v>
      </c>
      <c r="AE183" s="57" t="n">
        <f aca="false">IF($AH183=0,"",SUM($AH$4:$AH183))</f>
        <v>51</v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/>
      </c>
      <c r="AH183" s="57" t="n">
        <f aca="false">IF(AND($F183&lt;&gt;"",$O183&lt;&gt;"",$O183&lt;=Hoje!$C$3,$P183&gt;=Hoje!$C$3,$R183&lt;&gt;"Cancelada"),1,0)</f>
        <v>1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F-814|BAIXA DE PENDENCIAS|36</v>
      </c>
      <c r="AK183" s="57" t="n">
        <f aca="false">IF($AJ183="","",COUNTIF($AJ$4:$AJ183,$AJ183))</f>
        <v>1</v>
      </c>
      <c r="AL183" s="57" t="n">
        <f aca="false">IF($AJ183="","",COUNTIF($AJ$4:$AJ$1004,$AJ183))</f>
        <v>11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Fecha hoje</v>
      </c>
      <c r="C184" s="58" t="s">
        <v>466</v>
      </c>
      <c r="D184" s="59" t="s">
        <v>170</v>
      </c>
      <c r="E184" s="59" t="s">
        <v>456</v>
      </c>
      <c r="F184" s="59" t="s">
        <v>467</v>
      </c>
      <c r="G184" s="60" t="s">
        <v>110</v>
      </c>
      <c r="H184" s="60" t="s">
        <v>88</v>
      </c>
      <c r="I184" s="61"/>
      <c r="J184" s="61"/>
      <c r="K184" s="61"/>
      <c r="L184" s="62" t="n">
        <v>36</v>
      </c>
      <c r="M184" s="63" t="s">
        <v>117</v>
      </c>
      <c r="N184" s="62" t="n">
        <v>2</v>
      </c>
      <c r="O184" s="64" t="n">
        <f aca="false">IF(OR($L184="",$M184=""),"",(DATE(Semana!$J$3,1,4)-WEEKDAY(DATE(Semana!$J$3,1,4),3))+($L184-1)*7+MATCH($M184,Listas!$F$5:$F$11,0)-1)</f>
        <v>46266</v>
      </c>
      <c r="P184" s="64" t="n">
        <f aca="false">IF($O184="","",$O184+MAX(0,ROUNDUP($AK184*MAX(1,IF($N184="",1,$N184))/MAX(1,$AL184),0)-1))</f>
        <v>46266</v>
      </c>
      <c r="Q184" s="65"/>
      <c r="R184" s="60"/>
      <c r="S184" s="66"/>
      <c r="T184" s="59" t="s">
        <v>116</v>
      </c>
      <c r="U184" s="59"/>
      <c r="V184" s="57" t="str">
        <f aca="false">IF($F184="","",IF(ISNUMBER(SEARCH("(externo)",$I184&amp;$J184&amp;$K184)),"Terceirizada","Interna"))</f>
        <v>Interna</v>
      </c>
      <c r="W184" s="64" t="n">
        <f aca="false">IF($O184="","",IF($S184="",$O184,(DATE(Semana!$J$3,1,4)-WEEKDAY(DATE(Semana!$J$3,1,4),3))+($S184-1)*7+IF($M184="",0,MATCH($M184,Listas!$F$5:$F$11,0)-1)))</f>
        <v>46266</v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0</v>
      </c>
      <c r="AD184" s="57" t="n">
        <f aca="false">IF($F184="","",IF(COUNTA($I184:$K184)=0,0,1/COUNTA($I184:$K184)))</f>
        <v>0</v>
      </c>
      <c r="AE184" s="57" t="n">
        <f aca="false">IF($AH184=0,"",SUM($AH$4:$AH184))</f>
        <v>52</v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1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PENDENCIAS|36</v>
      </c>
      <c r="AK184" s="57" t="n">
        <f aca="false">IF($AJ184="","",COUNTIF($AJ$4:$AJ184,$AJ184))</f>
        <v>2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Fecha hoje</v>
      </c>
      <c r="C185" s="58" t="s">
        <v>468</v>
      </c>
      <c r="D185" s="59" t="s">
        <v>170</v>
      </c>
      <c r="E185" s="59" t="s">
        <v>456</v>
      </c>
      <c r="F185" s="59" t="s">
        <v>469</v>
      </c>
      <c r="G185" s="60" t="s">
        <v>110</v>
      </c>
      <c r="H185" s="60" t="s">
        <v>88</v>
      </c>
      <c r="I185" s="61"/>
      <c r="J185" s="61"/>
      <c r="K185" s="61"/>
      <c r="L185" s="62" t="n">
        <v>36</v>
      </c>
      <c r="M185" s="63" t="s">
        <v>117</v>
      </c>
      <c r="N185" s="62" t="n">
        <v>2</v>
      </c>
      <c r="O185" s="64" t="n">
        <f aca="false">IF(OR($L185="",$M185=""),"",(DATE(Semana!$J$3,1,4)-WEEKDAY(DATE(Semana!$J$3,1,4),3))+($L185-1)*7+MATCH($M185,Listas!$F$5:$F$11,0)-1)</f>
        <v>46266</v>
      </c>
      <c r="P185" s="64" t="n">
        <f aca="false">IF($O185="","",$O185+MAX(0,ROUNDUP($AK185*MAX(1,IF($N185="",1,$N185))/MAX(1,$AL185),0)-1))</f>
        <v>46266</v>
      </c>
      <c r="Q185" s="65"/>
      <c r="R185" s="60"/>
      <c r="S185" s="66"/>
      <c r="T185" s="59" t="s">
        <v>116</v>
      </c>
      <c r="U185" s="59"/>
      <c r="V185" s="57" t="str">
        <f aca="false">IF($F185="","",IF(ISNUMBER(SEARCH("(externo)",$I185&amp;$J185&amp;$K185)),"Terceirizada","Interna"))</f>
        <v>Interna</v>
      </c>
      <c r="W185" s="64" t="n">
        <f aca="false">IF($O185="","",IF($S185="",$O185,(DATE(Semana!$J$3,1,4)-WEEKDAY(DATE(Semana!$J$3,1,4),3))+($S185-1)*7+IF($M185="",0,MATCH($M185,Listas!$F$5:$F$11,0)-1)))</f>
        <v>46266</v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0</v>
      </c>
      <c r="AD185" s="57" t="n">
        <f aca="false">IF($F185="","",IF(COUNTA($I185:$K185)=0,0,1/COUNTA($I185:$K185)))</f>
        <v>0</v>
      </c>
      <c r="AE185" s="57" t="n">
        <f aca="false">IF($AH185=0,"",SUM($AH$4:$AH185))</f>
        <v>53</v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1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PENDENCIAS|36</v>
      </c>
      <c r="AK185" s="57" t="n">
        <f aca="false">IF($AJ185="","",COUNTIF($AJ$4:$AJ185,$AJ185))</f>
        <v>3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Fecha hoje</v>
      </c>
      <c r="C186" s="58" t="s">
        <v>470</v>
      </c>
      <c r="D186" s="59" t="s">
        <v>170</v>
      </c>
      <c r="E186" s="59" t="s">
        <v>456</v>
      </c>
      <c r="F186" s="59" t="s">
        <v>471</v>
      </c>
      <c r="G186" s="60" t="s">
        <v>110</v>
      </c>
      <c r="H186" s="60" t="s">
        <v>88</v>
      </c>
      <c r="I186" s="61"/>
      <c r="J186" s="61"/>
      <c r="K186" s="61"/>
      <c r="L186" s="62" t="n">
        <v>36</v>
      </c>
      <c r="M186" s="63" t="s">
        <v>117</v>
      </c>
      <c r="N186" s="62" t="n">
        <v>2</v>
      </c>
      <c r="O186" s="64" t="n">
        <f aca="false">IF(OR($L186="",$M186=""),"",(DATE(Semana!$J$3,1,4)-WEEKDAY(DATE(Semana!$J$3,1,4),3))+($L186-1)*7+MATCH($M186,Listas!$F$5:$F$11,0)-1)</f>
        <v>46266</v>
      </c>
      <c r="P186" s="64" t="n">
        <f aca="false">IF($O186="","",$O186+MAX(0,ROUNDUP($AK186*MAX(1,IF($N186="",1,$N186))/MAX(1,$AL186),0)-1))</f>
        <v>46266</v>
      </c>
      <c r="Q186" s="65"/>
      <c r="R186" s="60"/>
      <c r="S186" s="66"/>
      <c r="T186" s="59" t="s">
        <v>116</v>
      </c>
      <c r="U186" s="59"/>
      <c r="V186" s="57" t="str">
        <f aca="false">IF($F186="","",IF(ISNUMBER(SEARCH("(externo)",$I186&amp;$J186&amp;$K186)),"Terceirizada","Interna"))</f>
        <v>Interna</v>
      </c>
      <c r="W186" s="64" t="n">
        <f aca="false">IF($O186="","",IF($S186="",$O186,(DATE(Semana!$J$3,1,4)-WEEKDAY(DATE(Semana!$J$3,1,4),3))+($S186-1)*7+IF($M186="",0,MATCH($M186,Listas!$F$5:$F$11,0)-1)))</f>
        <v>46266</v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0</v>
      </c>
      <c r="AD186" s="57" t="n">
        <f aca="false">IF($F186="","",IF(COUNTA($I186:$K186)=0,0,1/COUNTA($I186:$K186)))</f>
        <v>0</v>
      </c>
      <c r="AE186" s="57" t="n">
        <f aca="false">IF($AH186=0,"",SUM($AH$4:$AH186))</f>
        <v>54</v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1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PENDENCIAS|36</v>
      </c>
      <c r="AK186" s="57" t="n">
        <f aca="false">IF($AJ186="","",COUNTIF($AJ$4:$AJ186,$AJ186))</f>
        <v>4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Fecha hoje</v>
      </c>
      <c r="C187" s="58" t="s">
        <v>472</v>
      </c>
      <c r="D187" s="59" t="s">
        <v>170</v>
      </c>
      <c r="E187" s="59" t="s">
        <v>456</v>
      </c>
      <c r="F187" s="59" t="s">
        <v>473</v>
      </c>
      <c r="G187" s="60" t="s">
        <v>110</v>
      </c>
      <c r="H187" s="60" t="s">
        <v>88</v>
      </c>
      <c r="I187" s="61"/>
      <c r="J187" s="61"/>
      <c r="K187" s="61"/>
      <c r="L187" s="62" t="n">
        <v>36</v>
      </c>
      <c r="M187" s="63" t="s">
        <v>117</v>
      </c>
      <c r="N187" s="62" t="n">
        <v>2</v>
      </c>
      <c r="O187" s="64" t="n">
        <f aca="false">IF(OR($L187="",$M187=""),"",(DATE(Semana!$J$3,1,4)-WEEKDAY(DATE(Semana!$J$3,1,4),3))+($L187-1)*7+MATCH($M187,Listas!$F$5:$F$11,0)-1)</f>
        <v>46266</v>
      </c>
      <c r="P187" s="64" t="n">
        <f aca="false">IF($O187="","",$O187+MAX(0,ROUNDUP($AK187*MAX(1,IF($N187="",1,$N187))/MAX(1,$AL187),0)-1))</f>
        <v>46266</v>
      </c>
      <c r="Q187" s="65"/>
      <c r="R187" s="60"/>
      <c r="S187" s="66"/>
      <c r="T187" s="59" t="s">
        <v>116</v>
      </c>
      <c r="U187" s="59"/>
      <c r="V187" s="57" t="str">
        <f aca="false">IF($F187="","",IF(ISNUMBER(SEARCH("(externo)",$I187&amp;$J187&amp;$K187)),"Terceirizada","Interna"))</f>
        <v>Interna</v>
      </c>
      <c r="W187" s="64" t="n">
        <f aca="false">IF($O187="","",IF($S187="",$O187,(DATE(Semana!$J$3,1,4)-WEEKDAY(DATE(Semana!$J$3,1,4),3))+($S187-1)*7+IF($M187="",0,MATCH($M187,Listas!$F$5:$F$11,0)-1)))</f>
        <v>46266</v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0</v>
      </c>
      <c r="AD187" s="57" t="n">
        <f aca="false">IF($F187="","",IF(COUNTA($I187:$K187)=0,0,1/COUNTA($I187:$K187)))</f>
        <v>0</v>
      </c>
      <c r="AE187" s="57" t="n">
        <f aca="false">IF($AH187=0,"",SUM($AH$4:$AH187))</f>
        <v>55</v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1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PENDENCIAS|36</v>
      </c>
      <c r="AK187" s="57" t="n">
        <f aca="false">IF($AJ187="","",COUNTIF($AJ$4:$AJ187,$AJ187))</f>
        <v>5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execução</v>
      </c>
      <c r="C188" s="58" t="s">
        <v>474</v>
      </c>
      <c r="D188" s="59" t="s">
        <v>170</v>
      </c>
      <c r="E188" s="59" t="s">
        <v>456</v>
      </c>
      <c r="F188" s="59" t="s">
        <v>475</v>
      </c>
      <c r="G188" s="60" t="s">
        <v>110</v>
      </c>
      <c r="H188" s="60" t="s">
        <v>88</v>
      </c>
      <c r="I188" s="61"/>
      <c r="J188" s="61"/>
      <c r="K188" s="61"/>
      <c r="L188" s="62" t="n">
        <v>36</v>
      </c>
      <c r="M188" s="63" t="s">
        <v>117</v>
      </c>
      <c r="N188" s="62" t="n">
        <v>2</v>
      </c>
      <c r="O188" s="64" t="n">
        <f aca="false">IF(OR($L188="",$M188=""),"",(DATE(Semana!$J$3,1,4)-WEEKDAY(DATE(Semana!$J$3,1,4),3))+($L188-1)*7+MATCH($M188,Listas!$F$5:$F$11,0)-1)</f>
        <v>46266</v>
      </c>
      <c r="P188" s="64" t="n">
        <f aca="false">IF($O188="","",$O188+MAX(0,ROUNDUP($AK188*MAX(1,IF($N188="",1,$N188))/MAX(1,$AL188),0)-1))</f>
        <v>46267</v>
      </c>
      <c r="Q188" s="65"/>
      <c r="R188" s="60"/>
      <c r="S188" s="66"/>
      <c r="T188" s="59" t="s">
        <v>116</v>
      </c>
      <c r="U188" s="59"/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46266</v>
      </c>
      <c r="X188" s="57" t="n">
        <f aca="false">IF($F188="","",IF(OR($Q188="",$O188=""),0,IF($Q188&lt;=$O188,1,0)))</f>
        <v>0</v>
      </c>
      <c r="Y188" s="57" t="n">
        <f aca="false">IF($F188="","",IF(OR($Q188="",$W188=""),0,IF($Q188&lt;=$W188,1,0)))</f>
        <v>0</v>
      </c>
      <c r="Z188" s="57" t="str">
        <f aca="false">IF(OR($Q188="",$O188=""),"",MAX(0,$Q188-$O188))</f>
        <v/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0</v>
      </c>
      <c r="AC188" s="57" t="n">
        <f aca="false">IF($P188="",0,IF($P188&lt;Hoje!$L$1,1,IF(AND($P188=Hoje!$L$1,Hoje!$L$2&gt;Semana!$M$3),1,0)))</f>
        <v>0</v>
      </c>
      <c r="AD188" s="57" t="n">
        <f aca="false">IF($F188="","",IF(COUNTA($I188:$K188)=0,0,1/COUNTA($I188:$K188)))</f>
        <v>0</v>
      </c>
      <c r="AE188" s="57" t="n">
        <f aca="false">IF($AH188=0,"",SUM($AH$4:$AH188))</f>
        <v>56</v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/>
      </c>
      <c r="AH188" s="57" t="n">
        <f aca="false">IF(AND($F188&lt;&gt;"",$O188&lt;&gt;"",$O188&lt;=Hoje!$C$3,$P188&gt;=Hoje!$C$3,$R188&lt;&gt;"Cancelada"),1,0)</f>
        <v>1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F-814|BAIXA DE PENDENCIAS|36</v>
      </c>
      <c r="AK188" s="57" t="n">
        <f aca="false">IF($AJ188="","",COUNTIF($AJ$4:$AJ188,$AJ188))</f>
        <v>6</v>
      </c>
      <c r="AL188" s="57" t="n">
        <f aca="false">IF($AJ188="","",COUNTIF($AJ$4:$AJ$1004,$AJ188))</f>
        <v>11</v>
      </c>
    </row>
    <row r="189" customFormat="false" ht="16.5" hidden="false" customHeight="true" outlineLevel="0" collapsed="false">
      <c r="A189" s="56" t="n">
        <f aca="false">IF($F189="","",COUNTA($F$4:$F189))</f>
        <v>185</v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execução</v>
      </c>
      <c r="C189" s="58" t="s">
        <v>476</v>
      </c>
      <c r="D189" s="59" t="s">
        <v>170</v>
      </c>
      <c r="E189" s="59" t="s">
        <v>456</v>
      </c>
      <c r="F189" s="59" t="s">
        <v>477</v>
      </c>
      <c r="G189" s="60" t="s">
        <v>110</v>
      </c>
      <c r="H189" s="60" t="s">
        <v>88</v>
      </c>
      <c r="I189" s="61"/>
      <c r="J189" s="61"/>
      <c r="K189" s="61"/>
      <c r="L189" s="62" t="n">
        <v>36</v>
      </c>
      <c r="M189" s="63" t="s">
        <v>117</v>
      </c>
      <c r="N189" s="62" t="n">
        <v>2</v>
      </c>
      <c r="O189" s="64" t="n">
        <f aca="false">IF(OR($L189="",$M189=""),"",(DATE(Semana!$J$3,1,4)-WEEKDAY(DATE(Semana!$J$3,1,4),3))+($L189-1)*7+MATCH($M189,Listas!$F$5:$F$11,0)-1)</f>
        <v>46266</v>
      </c>
      <c r="P189" s="64" t="n">
        <f aca="false">IF($O189="","",$O189+MAX(0,ROUNDUP($AK189*MAX(1,IF($N189="",1,$N189))/MAX(1,$AL189),0)-1))</f>
        <v>46267</v>
      </c>
      <c r="Q189" s="65"/>
      <c r="R189" s="60"/>
      <c r="S189" s="66"/>
      <c r="T189" s="59" t="s">
        <v>116</v>
      </c>
      <c r="U189" s="59"/>
      <c r="V189" s="57" t="str">
        <f aca="false">IF($F189="","",IF(ISNUMBER(SEARCH("(externo)",$I189&amp;$J189&amp;$K189)),"Terceirizada","Interna"))</f>
        <v>Interna</v>
      </c>
      <c r="W189" s="64" t="n">
        <f aca="false">IF($O189="","",IF($S189="",$O189,(DATE(Semana!$J$3,1,4)-WEEKDAY(DATE(Semana!$J$3,1,4),3))+($S189-1)*7+IF($M189="",0,MATCH($M189,Listas!$F$5:$F$11,0)-1)))</f>
        <v>46266</v>
      </c>
      <c r="X189" s="57" t="n">
        <f aca="false">IF($F189="","",IF(OR($Q189="",$O189=""),0,IF($Q189&lt;=$O189,1,0)))</f>
        <v>0</v>
      </c>
      <c r="Y189" s="57" t="n">
        <f aca="false">IF($F189="","",IF(OR($Q189="",$W189=""),0,IF($Q189&lt;=$W189,1,0)))</f>
        <v>0</v>
      </c>
      <c r="Z189" s="57" t="str">
        <f aca="false">IF(OR($Q189="",$O189=""),"",MAX(0,$Q189-$O189))</f>
        <v/>
      </c>
      <c r="AA189" s="57" t="n">
        <f aca="false">IF($F189="","",IF(AND($S189&lt;&gt;"",$L189&lt;&gt;"",$S189&lt;&gt;$L189),1,0))</f>
        <v>0</v>
      </c>
      <c r="AB189" s="57" t="n">
        <f aca="false">IF($F189="","",IF($R189="Cancelada",0,IF(OR($Q189&lt;&gt;"",$R189="Concluída"),1,0)))</f>
        <v>0</v>
      </c>
      <c r="AC189" s="57" t="n">
        <f aca="false">IF($P189="",0,IF($P189&lt;Hoje!$L$1,1,IF(AND($P189=Hoje!$L$1,Hoje!$L$2&gt;Semana!$M$3),1,0)))</f>
        <v>0</v>
      </c>
      <c r="AD189" s="57" t="n">
        <f aca="false">IF($F189="","",IF(COUNTA($I189:$K189)=0,0,1/COUNTA($I189:$K189)))</f>
        <v>0</v>
      </c>
      <c r="AE189" s="57" t="n">
        <f aca="false">IF($AH189=0,"",SUM($AH$4:$AH189))</f>
        <v>57</v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1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>F-814|BAIXA DE PENDENCIAS|36</v>
      </c>
      <c r="AK189" s="57" t="n">
        <f aca="false">IF($AJ189="","",COUNTIF($AJ$4:$AJ189,$AJ189))</f>
        <v>7</v>
      </c>
      <c r="AL189" s="57" t="n">
        <f aca="false">IF($AJ189="","",COUNTIF($AJ$4:$AJ$1004,$AJ189))</f>
        <v>11</v>
      </c>
    </row>
    <row r="190" customFormat="false" ht="16.5" hidden="false" customHeight="true" outlineLevel="0" collapsed="false">
      <c r="A190" s="56" t="n">
        <f aca="false">IF($F190="","",COUNTA($F$4:$F190))</f>
        <v>186</v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execução</v>
      </c>
      <c r="C190" s="58" t="s">
        <v>478</v>
      </c>
      <c r="D190" s="59" t="s">
        <v>170</v>
      </c>
      <c r="E190" s="59" t="s">
        <v>456</v>
      </c>
      <c r="F190" s="59" t="s">
        <v>479</v>
      </c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 t="s">
        <v>117</v>
      </c>
      <c r="N190" s="62" t="n">
        <v>2</v>
      </c>
      <c r="O190" s="64" t="n">
        <f aca="false">IF(OR($L190="",$M190=""),"",(DATE(Semana!$J$3,1,4)-WEEKDAY(DATE(Semana!$J$3,1,4),3))+($L190-1)*7+MATCH($M190,Listas!$F$5:$F$11,0)-1)</f>
        <v>46266</v>
      </c>
      <c r="P190" s="64" t="n">
        <f aca="false">IF($O190="","",$O190+MAX(0,ROUNDUP($AK190*MAX(1,IF($N190="",1,$N190))/MAX(1,$AL190),0)-1))</f>
        <v>46267</v>
      </c>
      <c r="Q190" s="65"/>
      <c r="R190" s="60"/>
      <c r="S190" s="66"/>
      <c r="T190" s="59" t="s">
        <v>116</v>
      </c>
      <c r="U190" s="59"/>
      <c r="V190" s="57" t="str">
        <f aca="false">IF($F190="","",IF(ISNUMBER(SEARCH("(externo)",$I190&amp;$J190&amp;$K190)),"Terceirizada","Interna"))</f>
        <v>Interna</v>
      </c>
      <c r="W190" s="64" t="n">
        <f aca="false">IF($O190="","",IF($S190="",$O190,(DATE(Semana!$J$3,1,4)-WEEKDAY(DATE(Semana!$J$3,1,4),3))+($S190-1)*7+IF($M190="",0,MATCH($M190,Listas!$F$5:$F$11,0)-1)))</f>
        <v>46266</v>
      </c>
      <c r="X190" s="57" t="n">
        <f aca="false">IF($F190="","",IF(OR($Q190="",$O190=""),0,IF($Q190&lt;=$O190,1,0)))</f>
        <v>0</v>
      </c>
      <c r="Y190" s="57" t="n">
        <f aca="false">IF($F190="","",IF(OR($Q190="",$W190=""),0,IF($Q190&lt;=$W190,1,0)))</f>
        <v>0</v>
      </c>
      <c r="Z190" s="57" t="str">
        <f aca="false">IF(OR($Q190="",$O190=""),"",MAX(0,$Q190-$O190))</f>
        <v/>
      </c>
      <c r="AA190" s="57" t="n">
        <f aca="false">IF($F190="","",IF(AND($S190&lt;&gt;"",$L190&lt;&gt;"",$S190&lt;&gt;$L190),1,0))</f>
        <v>0</v>
      </c>
      <c r="AB190" s="57" t="n">
        <f aca="false">IF($F190="","",IF($R190="Cancelada",0,IF(OR($Q190&lt;&gt;"",$R190="Concluída"),1,0)))</f>
        <v>0</v>
      </c>
      <c r="AC190" s="57" t="n">
        <f aca="false">IF($P190="",0,IF($P190&lt;Hoje!$L$1,1,IF(AND($P190=Hoje!$L$1,Hoje!$L$2&gt;Semana!$M$3),1,0)))</f>
        <v>0</v>
      </c>
      <c r="AD190" s="57" t="n">
        <f aca="false">IF($F190="","",IF(COUNTA($I190:$K190)=0,0,1/COUNTA($I190:$K190)))</f>
        <v>0</v>
      </c>
      <c r="AE190" s="57" t="n">
        <f aca="false">IF($AH190=0,"",SUM($AH$4:$AH190))</f>
        <v>58</v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1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>F-814|BAIXA DE PENDENCIAS|36</v>
      </c>
      <c r="AK190" s="57" t="n">
        <f aca="false">IF($AJ190="","",COUNTIF($AJ$4:$AJ190,$AJ190))</f>
        <v>8</v>
      </c>
      <c r="AL190" s="57" t="n">
        <f aca="false">IF($AJ190="","",COUNTIF($AJ$4:$AJ$1004,$AJ190))</f>
        <v>11</v>
      </c>
    </row>
    <row r="191" customFormat="false" ht="16.5" hidden="false" customHeight="true" outlineLevel="0" collapsed="false">
      <c r="A191" s="56" t="n">
        <f aca="false">IF($F191="","",COUNTA($F$4:$F191))</f>
        <v>187</v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execução</v>
      </c>
      <c r="C191" s="58" t="s">
        <v>480</v>
      </c>
      <c r="D191" s="59" t="s">
        <v>170</v>
      </c>
      <c r="E191" s="59" t="s">
        <v>456</v>
      </c>
      <c r="F191" s="59" t="s">
        <v>481</v>
      </c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 t="s">
        <v>117</v>
      </c>
      <c r="N191" s="62" t="n">
        <v>2</v>
      </c>
      <c r="O191" s="64" t="n">
        <f aca="false">IF(OR($L191="",$M191=""),"",(DATE(Semana!$J$3,1,4)-WEEKDAY(DATE(Semana!$J$3,1,4),3))+($L191-1)*7+MATCH($M191,Listas!$F$5:$F$11,0)-1)</f>
        <v>46266</v>
      </c>
      <c r="P191" s="64" t="n">
        <f aca="false">IF($O191="","",$O191+MAX(0,ROUNDUP($AK191*MAX(1,IF($N191="",1,$N191))/MAX(1,$AL191),0)-1))</f>
        <v>46267</v>
      </c>
      <c r="Q191" s="65"/>
      <c r="R191" s="60"/>
      <c r="S191" s="66"/>
      <c r="T191" s="59" t="s">
        <v>116</v>
      </c>
      <c r="U191" s="59"/>
      <c r="V191" s="57" t="str">
        <f aca="false">IF($F191="","",IF(ISNUMBER(SEARCH("(externo)",$I191&amp;$J191&amp;$K191)),"Terceirizada","Interna"))</f>
        <v>Interna</v>
      </c>
      <c r="W191" s="64" t="n">
        <f aca="false">IF($O191="","",IF($S191="",$O191,(DATE(Semana!$J$3,1,4)-WEEKDAY(DATE(Semana!$J$3,1,4),3))+($S191-1)*7+IF($M191="",0,MATCH($M191,Listas!$F$5:$F$11,0)-1)))</f>
        <v>46266</v>
      </c>
      <c r="X191" s="57" t="n">
        <f aca="false">IF($F191="","",IF(OR($Q191="",$O191=""),0,IF($Q191&lt;=$O191,1,0)))</f>
        <v>0</v>
      </c>
      <c r="Y191" s="57" t="n">
        <f aca="false">IF($F191="","",IF(OR($Q191="",$W191=""),0,IF($Q191&lt;=$W191,1,0)))</f>
        <v>0</v>
      </c>
      <c r="Z191" s="57" t="str">
        <f aca="false">IF(OR($Q191="",$O191=""),"",MAX(0,$Q191-$O191))</f>
        <v/>
      </c>
      <c r="AA191" s="57" t="n">
        <f aca="false">IF($F191="","",IF(AND($S191&lt;&gt;"",$L191&lt;&gt;"",$S191&lt;&gt;$L191),1,0))</f>
        <v>0</v>
      </c>
      <c r="AB191" s="57" t="n">
        <f aca="false">IF($F191="","",IF($R191="Cancelada",0,IF(OR($Q191&lt;&gt;"",$R191="Concluída"),1,0)))</f>
        <v>0</v>
      </c>
      <c r="AC191" s="57" t="n">
        <f aca="false">IF($P191="",0,IF($P191&lt;Hoje!$L$1,1,IF(AND($P191=Hoje!$L$1,Hoje!$L$2&gt;Semana!$M$3),1,0)))</f>
        <v>0</v>
      </c>
      <c r="AD191" s="57" t="n">
        <f aca="false">IF($F191="","",IF(COUNTA($I191:$K191)=0,0,1/COUNTA($I191:$K191)))</f>
        <v>0</v>
      </c>
      <c r="AE191" s="57" t="n">
        <f aca="false">IF($AH191=0,"",SUM($AH$4:$AH191))</f>
        <v>59</v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1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>F-814|BAIXA DE PENDENCIAS|36</v>
      </c>
      <c r="AK191" s="57" t="n">
        <f aca="false">IF($AJ191="","",COUNTIF($AJ$4:$AJ191,$AJ191))</f>
        <v>9</v>
      </c>
      <c r="AL191" s="57" t="n">
        <f aca="false">IF($AJ191="","",COUNTIF($AJ$4:$AJ$1004,$AJ191))</f>
        <v>11</v>
      </c>
    </row>
    <row r="192" customFormat="false" ht="16.5" hidden="false" customHeight="true" outlineLevel="0" collapsed="false">
      <c r="A192" s="56" t="n">
        <f aca="false">IF($F192="","",COUNTA($F$4:$F192))</f>
        <v>188</v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Em execução</v>
      </c>
      <c r="C192" s="58" t="s">
        <v>482</v>
      </c>
      <c r="D192" s="59" t="s">
        <v>170</v>
      </c>
      <c r="E192" s="59" t="s">
        <v>456</v>
      </c>
      <c r="F192" s="59" t="s">
        <v>483</v>
      </c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 t="s">
        <v>117</v>
      </c>
      <c r="N192" s="62" t="n">
        <v>2</v>
      </c>
      <c r="O192" s="64" t="n">
        <f aca="false">IF(OR($L192="",$M192=""),"",(DATE(Semana!$J$3,1,4)-WEEKDAY(DATE(Semana!$J$3,1,4),3))+($L192-1)*7+MATCH($M192,Listas!$F$5:$F$11,0)-1)</f>
        <v>46266</v>
      </c>
      <c r="P192" s="64" t="n">
        <f aca="false">IF($O192="","",$O192+MAX(0,ROUNDUP($AK192*MAX(1,IF($N192="",1,$N192))/MAX(1,$AL192),0)-1))</f>
        <v>46267</v>
      </c>
      <c r="Q192" s="65"/>
      <c r="R192" s="60"/>
      <c r="S192" s="66"/>
      <c r="T192" s="59" t="s">
        <v>116</v>
      </c>
      <c r="U192" s="59"/>
      <c r="V192" s="57" t="str">
        <f aca="false">IF($F192="","",IF(ISNUMBER(SEARCH("(externo)",$I192&amp;$J192&amp;$K192)),"Terceirizada","Interna"))</f>
        <v>Interna</v>
      </c>
      <c r="W192" s="64" t="n">
        <f aca="false">IF($O192="","",IF($S192="",$O192,(DATE(Semana!$J$3,1,4)-WEEKDAY(DATE(Semana!$J$3,1,4),3))+($S192-1)*7+IF($M192="",0,MATCH($M192,Listas!$F$5:$F$11,0)-1)))</f>
        <v>46266</v>
      </c>
      <c r="X192" s="57" t="n">
        <f aca="false">IF($F192="","",IF(OR($Q192="",$O192=""),0,IF($Q192&lt;=$O192,1,0)))</f>
        <v>0</v>
      </c>
      <c r="Y192" s="57" t="n">
        <f aca="false">IF($F192="","",IF(OR($Q192="",$W192=""),0,IF($Q192&lt;=$W192,1,0)))</f>
        <v>0</v>
      </c>
      <c r="Z192" s="57" t="str">
        <f aca="false">IF(OR($Q192="",$O192=""),"",MAX(0,$Q192-$O192))</f>
        <v/>
      </c>
      <c r="AA192" s="57" t="n">
        <f aca="false">IF($F192="","",IF(AND($S192&lt;&gt;"",$L192&lt;&gt;"",$S192&lt;&gt;$L192),1,0))</f>
        <v>0</v>
      </c>
      <c r="AB192" s="57" t="n">
        <f aca="false">IF($F192="","",IF($R192="Cancelada",0,IF(OR($Q192&lt;&gt;"",$R192="Concluída"),1,0)))</f>
        <v>0</v>
      </c>
      <c r="AC192" s="57" t="n">
        <f aca="false">IF($P192="",0,IF($P192&lt;Hoje!$L$1,1,IF(AND($P192=Hoje!$L$1,Hoje!$L$2&gt;Semana!$M$3),1,0)))</f>
        <v>0</v>
      </c>
      <c r="AD192" s="57" t="n">
        <f aca="false">IF($F192="","",IF(COUNTA($I192:$K192)=0,0,1/COUNTA($I192:$K192)))</f>
        <v>0</v>
      </c>
      <c r="AE192" s="57" t="n">
        <f aca="false">IF($AH192=0,"",SUM($AH$4:$AH192))</f>
        <v>60</v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1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>F-814|BAIXA DE PENDENCIAS|36</v>
      </c>
      <c r="AK192" s="57" t="n">
        <f aca="false">IF($AJ192="","",COUNTIF($AJ$4:$AJ192,$AJ192))</f>
        <v>10</v>
      </c>
      <c r="AL192" s="57" t="n">
        <f aca="false">IF($AJ192="","",COUNTIF($AJ$4:$AJ$1004,$AJ192))</f>
        <v>11</v>
      </c>
    </row>
    <row r="193" customFormat="false" ht="16.5" hidden="false" customHeight="true" outlineLevel="0" collapsed="false">
      <c r="A193" s="56" t="n">
        <f aca="false">IF($F193="","",COUNTA($F$4:$F193))</f>
        <v>189</v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Em execução</v>
      </c>
      <c r="C193" s="58" t="s">
        <v>484</v>
      </c>
      <c r="D193" s="59" t="s">
        <v>170</v>
      </c>
      <c r="E193" s="59" t="s">
        <v>456</v>
      </c>
      <c r="F193" s="59" t="s">
        <v>485</v>
      </c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 t="s">
        <v>117</v>
      </c>
      <c r="N193" s="62" t="n">
        <v>2</v>
      </c>
      <c r="O193" s="64" t="n">
        <f aca="false">IF(OR($L193="",$M193=""),"",(DATE(Semana!$J$3,1,4)-WEEKDAY(DATE(Semana!$J$3,1,4),3))+($L193-1)*7+MATCH($M193,Listas!$F$5:$F$11,0)-1)</f>
        <v>46266</v>
      </c>
      <c r="P193" s="64" t="n">
        <f aca="false">IF($O193="","",$O193+MAX(0,ROUNDUP($AK193*MAX(1,IF($N193="",1,$N193))/MAX(1,$AL193),0)-1))</f>
        <v>46267</v>
      </c>
      <c r="Q193" s="65"/>
      <c r="R193" s="60"/>
      <c r="S193" s="66"/>
      <c r="T193" s="59" t="s">
        <v>116</v>
      </c>
      <c r="U193" s="59"/>
      <c r="V193" s="57" t="str">
        <f aca="false">IF($F193="","",IF(ISNUMBER(SEARCH("(externo)",$I193&amp;$J193&amp;$K193)),"Terceirizada","Interna"))</f>
        <v>Interna</v>
      </c>
      <c r="W193" s="64" t="n">
        <f aca="false">IF($O193="","",IF($S193="",$O193,(DATE(Semana!$J$3,1,4)-WEEKDAY(DATE(Semana!$J$3,1,4),3))+($S193-1)*7+IF($M193="",0,MATCH($M193,Listas!$F$5:$F$11,0)-1)))</f>
        <v>46266</v>
      </c>
      <c r="X193" s="57" t="n">
        <f aca="false">IF($F193="","",IF(OR($Q193="",$O193=""),0,IF($Q193&lt;=$O193,1,0)))</f>
        <v>0</v>
      </c>
      <c r="Y193" s="57" t="n">
        <f aca="false">IF($F193="","",IF(OR($Q193="",$W193=""),0,IF($Q193&lt;=$W193,1,0)))</f>
        <v>0</v>
      </c>
      <c r="Z193" s="57" t="str">
        <f aca="false">IF(OR($Q193="",$O193=""),"",MAX(0,$Q193-$O193))</f>
        <v/>
      </c>
      <c r="AA193" s="57" t="n">
        <f aca="false">IF($F193="","",IF(AND($S193&lt;&gt;"",$L193&lt;&gt;"",$S193&lt;&gt;$L193),1,0))</f>
        <v>0</v>
      </c>
      <c r="AB193" s="57" t="n">
        <f aca="false">IF($F193="","",IF($R193="Cancelada",0,IF(OR($Q193&lt;&gt;"",$R193="Concluída"),1,0)))</f>
        <v>0</v>
      </c>
      <c r="AC193" s="57" t="n">
        <f aca="false">IF($P193="",0,IF($P193&lt;Hoje!$L$1,1,IF(AND($P193=Hoje!$L$1,Hoje!$L$2&gt;Semana!$M$3),1,0)))</f>
        <v>0</v>
      </c>
      <c r="AD193" s="57" t="n">
        <f aca="false">IF($F193="","",IF(COUNTA($I193:$K193)=0,0,1/COUNTA($I193:$K193)))</f>
        <v>0</v>
      </c>
      <c r="AE193" s="57" t="n">
        <f aca="false">IF($AH193=0,"",SUM($AH$4:$AH193))</f>
        <v>61</v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1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>F-814|BAIXA DE PENDENCIAS|36</v>
      </c>
      <c r="AK193" s="57" t="n">
        <f aca="false">IF($AJ193="","",COUNTIF($AJ$4:$AJ193,$AJ193))</f>
        <v>11</v>
      </c>
      <c r="AL193" s="57" t="n">
        <f aca="false">IF($AJ193="","",COUNTIF($AJ$4:$AJ$1004,$AJ193))</f>
        <v>11</v>
      </c>
    </row>
    <row r="194" customFormat="false" ht="16.5" hidden="false" customHeight="true" outlineLevel="0" collapsed="false">
      <c r="A194" s="56" t="n">
        <f aca="false">IF($F194="","",COUNTA($F$4:$F194))</f>
        <v>190</v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VENCIDA</v>
      </c>
      <c r="C194" s="58" t="s">
        <v>486</v>
      </c>
      <c r="D194" s="59" t="s">
        <v>166</v>
      </c>
      <c r="E194" s="59" t="s">
        <v>487</v>
      </c>
      <c r="F194" s="59" t="s">
        <v>488</v>
      </c>
      <c r="G194" s="60" t="s">
        <v>110</v>
      </c>
      <c r="H194" s="60" t="s">
        <v>220</v>
      </c>
      <c r="I194" s="61" t="s">
        <v>123</v>
      </c>
      <c r="J194" s="61"/>
      <c r="K194" s="61"/>
      <c r="L194" s="62" t="n">
        <v>36</v>
      </c>
      <c r="M194" s="63" t="s">
        <v>112</v>
      </c>
      <c r="N194" s="62" t="n">
        <v>1</v>
      </c>
      <c r="O194" s="64" t="n">
        <f aca="false">IF(OR($L194="",$M194=""),"",(DATE(Semana!$J$3,1,4)-WEEKDAY(DATE(Semana!$J$3,1,4),3))+($L194-1)*7+MATCH($M194,Listas!$F$5:$F$11,0)-1)</f>
        <v>46265</v>
      </c>
      <c r="P194" s="64" t="n">
        <f aca="false">IF($O194="","",$O194+MAX(0,ROUNDUP($AK194*MAX(1,IF($N194="",1,$N194))/MAX(1,$AL194),0)-1))</f>
        <v>46265</v>
      </c>
      <c r="Q194" s="65"/>
      <c r="R194" s="60"/>
      <c r="S194" s="66"/>
      <c r="T194" s="59"/>
      <c r="U194" s="59"/>
      <c r="V194" s="57" t="str">
        <f aca="false">IF($F194="","",IF(ISNUMBER(SEARCH("(externo)",$I194&amp;$J194&amp;$K194)),"Terceirizada","Interna"))</f>
        <v>Interna</v>
      </c>
      <c r="W194" s="64" t="n">
        <f aca="false">IF($O194="","",IF($S194="",$O194,(DATE(Semana!$J$3,1,4)-WEEKDAY(DATE(Semana!$J$3,1,4),3))+($S194-1)*7+IF($M194="",0,MATCH($M194,Listas!$F$5:$F$11,0)-1)))</f>
        <v>46265</v>
      </c>
      <c r="X194" s="57" t="n">
        <f aca="false">IF($F194="","",IF(OR($Q194="",$O194=""),0,IF($Q194&lt;=$O194,1,0)))</f>
        <v>0</v>
      </c>
      <c r="Y194" s="57" t="n">
        <f aca="false">IF($F194="","",IF(OR($Q194="",$W194=""),0,IF($Q194&lt;=$W194,1,0)))</f>
        <v>0</v>
      </c>
      <c r="Z194" s="57" t="str">
        <f aca="false">IF(OR($Q194="",$O194=""),"",MAX(0,$Q194-$O194))</f>
        <v/>
      </c>
      <c r="AA194" s="57" t="n">
        <f aca="false">IF($F194="","",IF(AND($S194&lt;&gt;"",$L194&lt;&gt;"",$S194&lt;&gt;$L194),1,0))</f>
        <v>0</v>
      </c>
      <c r="AB194" s="57" t="n">
        <f aca="false">IF($F194="","",IF($R194="Cancelada",0,IF(OR($Q194&lt;&gt;"",$R194="Concluída"),1,0)))</f>
        <v>0</v>
      </c>
      <c r="AC194" s="57" t="n">
        <f aca="false">IF($P194="",0,IF($P194&lt;Hoje!$L$1,1,IF(AND($P194=Hoje!$L$1,Hoje!$L$2&gt;Semana!$M$3),1,0)))</f>
        <v>1</v>
      </c>
      <c r="AD194" s="57" t="n">
        <f aca="false">IF($F194="","",IF(COUNTA($I194:$K194)=0,0,1/COUNTA($I194:$K194)))</f>
        <v>1</v>
      </c>
      <c r="AE194" s="57" t="str">
        <f aca="false">IF($AH194=0,"",SUM($AH$4:$AH194))</f>
        <v/>
      </c>
      <c r="AF194" s="57" t="n">
        <f aca="false">IF($AI194=0,"",SUM($AI$4:$AI194))</f>
        <v>16</v>
      </c>
      <c r="AG194" s="67" t="str">
        <f aca="false">IF($F194="","",$I194&amp;IF($J194="",""," · "&amp;$J194)&amp;IF($K194="",""," · "&amp;$K194))</f>
        <v>Gabriel</v>
      </c>
      <c r="AH194" s="57" t="n">
        <f aca="false">IF(AND($F194&lt;&gt;"",$O194&lt;&gt;"",$O194&lt;=Hoje!$C$3,$P194&gt;=Hoje!$C$3,$R194&lt;&gt;"Cancelada"),1,0)</f>
        <v>0</v>
      </c>
      <c r="AI194" s="57" t="n">
        <f aca="false">IF(AND($F194&lt;&gt;"",$P194&lt;&gt;"",$P194&lt;Hoje!$C$3,$AB194=0,$R194&lt;&gt;"Cancelada"),1,0)</f>
        <v>1</v>
      </c>
      <c r="AJ194" s="67" t="str">
        <f aca="false">IF($F194="","",$D194&amp;"|"&amp;$E194&amp;"|"&amp;$L194)</f>
        <v>F-711|Substituir filtro|36</v>
      </c>
      <c r="AK194" s="57" t="n">
        <f aca="false">IF($AJ194="","",COUNTIF($AJ$4:$AJ194,$AJ194))</f>
        <v>1</v>
      </c>
      <c r="AL194" s="57" t="n">
        <f aca="false">IF($AJ194="","",COUNTIF($AJ$4:$AJ$1004,$AJ194))</f>
        <v>1</v>
      </c>
    </row>
    <row r="195" customFormat="false" ht="16.5" hidden="false" customHeight="true" outlineLevel="0" collapsed="false">
      <c r="A195" s="56" t="n">
        <f aca="false">IF($F195="","",COUNTA($F$4:$F195))</f>
        <v>191</v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Concluída</v>
      </c>
      <c r="C195" s="58"/>
      <c r="D195" s="59" t="s">
        <v>160</v>
      </c>
      <c r="E195" s="59" t="s">
        <v>489</v>
      </c>
      <c r="F195" s="59" t="s">
        <v>490</v>
      </c>
      <c r="G195" s="60" t="s">
        <v>110</v>
      </c>
      <c r="H195" s="60" t="s">
        <v>88</v>
      </c>
      <c r="I195" s="61" t="s">
        <v>113</v>
      </c>
      <c r="J195" s="61" t="s">
        <v>137</v>
      </c>
      <c r="K195" s="61"/>
      <c r="L195" s="62" t="n">
        <v>35</v>
      </c>
      <c r="M195" s="63" t="s">
        <v>132</v>
      </c>
      <c r="N195" s="62" t="n">
        <v>1</v>
      </c>
      <c r="O195" s="64" t="n">
        <f aca="false">IF(OR($L195="",$M195=""),"",(DATE(Semana!$J$3,1,4)-WEEKDAY(DATE(Semana!$J$3,1,4),3))+($L195-1)*7+MATCH($M195,Listas!$F$5:$F$11,0)-1)</f>
        <v>46262</v>
      </c>
      <c r="P195" s="64" t="n">
        <f aca="false">IF($O195="","",$O195+MAX(0,ROUNDUP($AK195*MAX(1,IF($N195="",1,$N195))/MAX(1,$AL195),0)-1))</f>
        <v>46262</v>
      </c>
      <c r="Q195" s="65" t="n">
        <v>46262</v>
      </c>
      <c r="R195" s="60" t="s">
        <v>82</v>
      </c>
      <c r="S195" s="66"/>
      <c r="T195" s="59"/>
      <c r="U195" s="59" t="s">
        <v>491</v>
      </c>
      <c r="V195" s="57" t="str">
        <f aca="false">IF($F195="","",IF(ISNUMBER(SEARCH("(externo)",$I195&amp;$J195&amp;$K195)),"Terceirizada","Interna"))</f>
        <v>Interna</v>
      </c>
      <c r="W195" s="64" t="n">
        <f aca="false">IF($O195="","",IF($S195="",$O195,(DATE(Semana!$J$3,1,4)-WEEKDAY(DATE(Semana!$J$3,1,4),3))+($S195-1)*7+IF($M195="",0,MATCH($M195,Listas!$F$5:$F$11,0)-1)))</f>
        <v>46262</v>
      </c>
      <c r="X195" s="57" t="n">
        <f aca="false">IF($F195="","",IF(OR($Q195="",$O195=""),0,IF($Q195&lt;=$O195,1,0)))</f>
        <v>1</v>
      </c>
      <c r="Y195" s="57" t="n">
        <f aca="false">IF($F195="","",IF(OR($Q195="",$W195=""),0,IF($Q195&lt;=$W195,1,0)))</f>
        <v>1</v>
      </c>
      <c r="Z195" s="57" t="n">
        <f aca="false">IF(OR($Q195="",$O195=""),"",MAX(0,$Q195-$O195))</f>
        <v>0</v>
      </c>
      <c r="AA195" s="57" t="n">
        <f aca="false">IF($F195="","",IF(AND($S195&lt;&gt;"",$L195&lt;&gt;"",$S195&lt;&gt;$L195),1,0))</f>
        <v>0</v>
      </c>
      <c r="AB195" s="57" t="n">
        <f aca="false">IF($F195="","",IF($R195="Cancelada",0,IF(OR($Q195&lt;&gt;"",$R195="Concluída"),1,0)))</f>
        <v>1</v>
      </c>
      <c r="AC195" s="57" t="n">
        <f aca="false">IF($P195="",0,IF($P195&lt;Hoje!$L$1,1,IF(AND($P195=Hoje!$L$1,Hoje!$L$2&gt;Semana!$M$3),1,0)))</f>
        <v>1</v>
      </c>
      <c r="AD195" s="57" t="n">
        <f aca="false">IF($F195="","",IF(COUNTA($I195:$K195)=0,0,1/COUNTA($I195:$K195)))</f>
        <v>0.5</v>
      </c>
      <c r="AE195" s="57" t="str">
        <f aca="false">IF($AH195=0,"",SUM($AH$4:$AH195))</f>
        <v/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>Airton · Luiz Paulo</v>
      </c>
      <c r="AH195" s="57" t="n">
        <f aca="false">IF(AND($F195&lt;&gt;"",$O195&lt;&gt;"",$O195&lt;=Hoje!$C$3,$P195&gt;=Hoje!$C$3,$R195&lt;&gt;"Cancelada"),1,0)</f>
        <v>0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>F-616|TROCAR E FERRAR PNEUS|35</v>
      </c>
      <c r="AK195" s="57" t="n">
        <f aca="false">IF($AJ195="","",COUNTIF($AJ$4:$AJ195,$AJ195))</f>
        <v>1</v>
      </c>
      <c r="AL195" s="57" t="n">
        <f aca="false">IF($AJ195="","",COUNTIF($AJ$4:$AJ$1004,$AJ195))</f>
        <v>1</v>
      </c>
    </row>
    <row r="196" customFormat="false" ht="16.5" hidden="false" customHeight="true" outlineLevel="0" collapsed="false">
      <c r="A196" s="56" t="n">
        <f aca="false">IF($F196="","",COUNTA($F$4:$F196))</f>
        <v>192</v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58" t="s">
        <v>492</v>
      </c>
      <c r="D196" s="59" t="s">
        <v>109</v>
      </c>
      <c r="E196" s="59" t="s">
        <v>493</v>
      </c>
      <c r="F196" s="59" t="s">
        <v>494</v>
      </c>
      <c r="G196" s="60" t="s">
        <v>110</v>
      </c>
      <c r="H196" s="60" t="s">
        <v>88</v>
      </c>
      <c r="I196" s="61"/>
      <c r="J196" s="61"/>
      <c r="K196" s="61"/>
      <c r="L196" s="62"/>
      <c r="M196" s="63"/>
      <c r="N196" s="62"/>
      <c r="O196" s="64" t="str">
        <f aca="false">IF(OR($L196="",$M196=""),"",(DATE(Semana!$J$3,1,4)-WEEKDAY(DATE(Semana!$J$3,1,4),3))+($L196-1)*7+MATCH($M196,Listas!$F$5:$F$11,0)-1)</f>
        <v/>
      </c>
      <c r="P196" s="64" t="str">
        <f aca="false">IF($O196="","",$O196+MAX(0,ROUNDUP($AK196*MAX(1,IF($N196="",1,$N196))/MAX(1,$AL196),0)-1))</f>
        <v/>
      </c>
      <c r="Q196" s="65"/>
      <c r="R196" s="60"/>
      <c r="S196" s="66"/>
      <c r="T196" s="59"/>
      <c r="U196" s="59" t="s">
        <v>495</v>
      </c>
      <c r="V196" s="57" t="str">
        <f aca="false">IF($F196="","",IF(ISNUMBER(SEARCH("(externo)",$I196&amp;$J196&amp;$K196)),"Terceirizada","Interna"))</f>
        <v>Interna</v>
      </c>
      <c r="W196" s="64" t="str">
        <f aca="false">IF($O196="","",IF($S196="",$O196,(DATE(Semana!$J$3,1,4)-WEEKDAY(DATE(Semana!$J$3,1,4),3))+($S196-1)*7+IF($M196="",0,MATCH($M196,Listas!$F$5:$F$11,0)-1)))</f>
        <v/>
      </c>
      <c r="X196" s="57" t="n">
        <f aca="false">IF($F196="","",IF(OR($Q196="",$O196=""),0,IF($Q196&lt;=$O196,1,0)))</f>
        <v>0</v>
      </c>
      <c r="Y196" s="57" t="n">
        <f aca="false">IF($F196="","",IF(OR($Q196="",$W196=""),0,IF($Q196&lt;=$W196,1,0)))</f>
        <v>0</v>
      </c>
      <c r="Z196" s="57" t="str">
        <f aca="false">IF(OR($Q196="",$O196=""),"",MAX(0,$Q196-$O196))</f>
        <v/>
      </c>
      <c r="AA196" s="57" t="n">
        <f aca="false">IF($F196="","",IF(AND($S196&lt;&gt;"",$L196&lt;&gt;"",$S196&lt;&gt;$L196),1,0))</f>
        <v>0</v>
      </c>
      <c r="AB196" s="57" t="n">
        <f aca="false">IF($F196="","",IF($R196="Cancelada",0,IF(OR($Q196&lt;&gt;"",$R196="Concluída"),1,0)))</f>
        <v>0</v>
      </c>
      <c r="AC196" s="57" t="n">
        <f aca="false">IF($P196="",0,IF($P196&lt;Hoje!$L$1,1,IF(AND($P196=Hoje!$L$1,Hoje!$L$2&gt;Semana!$M$3),1,0)))</f>
        <v>0</v>
      </c>
      <c r="AD196" s="57" t="n">
        <f aca="false">IF($F196="","",IF(COUNTA($I196:$K196)=0,0,1/COUNTA($I196:$K196)))</f>
        <v>0</v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/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>F-1038|Pendências de inspeção|</v>
      </c>
      <c r="AK196" s="57" t="n">
        <f aca="false">IF($AJ196="","",COUNTIF($AJ$4:$AJ196,$AJ196))</f>
        <v>1</v>
      </c>
      <c r="AL196" s="57" t="n">
        <f aca="false">IF($AJ196="","",COUNTIF($AJ$4:$AJ$1004,$AJ196))</f>
        <v>10</v>
      </c>
    </row>
    <row r="197" customFormat="false" ht="16.5" hidden="false" customHeight="true" outlineLevel="0" collapsed="false">
      <c r="A197" s="56" t="n">
        <f aca="false">IF($F197="","",COUNTA($F$4:$F197))</f>
        <v>193</v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58" t="s">
        <v>496</v>
      </c>
      <c r="D197" s="59" t="s">
        <v>109</v>
      </c>
      <c r="E197" s="59" t="s">
        <v>493</v>
      </c>
      <c r="F197" s="59" t="s">
        <v>497</v>
      </c>
      <c r="G197" s="60" t="s">
        <v>110</v>
      </c>
      <c r="H197" s="60" t="s">
        <v>88</v>
      </c>
      <c r="I197" s="61"/>
      <c r="J197" s="61"/>
      <c r="K197" s="61"/>
      <c r="L197" s="62"/>
      <c r="M197" s="63"/>
      <c r="N197" s="62"/>
      <c r="O197" s="64" t="str">
        <f aca="false">IF(OR($L197="",$M197=""),"",(DATE(Semana!$J$3,1,4)-WEEKDAY(DATE(Semana!$J$3,1,4),3))+($L197-1)*7+MATCH($M197,Listas!$F$5:$F$11,0)-1)</f>
        <v/>
      </c>
      <c r="P197" s="64" t="str">
        <f aca="false">IF($O197="","",$O197+MAX(0,ROUNDUP($AK197*MAX(1,IF($N197="",1,$N197))/MAX(1,$AL197),0)-1))</f>
        <v/>
      </c>
      <c r="Q197" s="65"/>
      <c r="R197" s="60"/>
      <c r="S197" s="66"/>
      <c r="T197" s="59"/>
      <c r="U197" s="59" t="s">
        <v>495</v>
      </c>
      <c r="V197" s="57" t="str">
        <f aca="false">IF($F197="","",IF(ISNUMBER(SEARCH("(externo)",$I197&amp;$J197&amp;$K197)),"Terceirizada","Interna"))</f>
        <v>Interna</v>
      </c>
      <c r="W197" s="64" t="str">
        <f aca="false">IF($O197="","",IF($S197="",$O197,(DATE(Semana!$J$3,1,4)-WEEKDAY(DATE(Semana!$J$3,1,4),3))+($S197-1)*7+IF($M197="",0,MATCH($M197,Listas!$F$5:$F$11,0)-1)))</f>
        <v/>
      </c>
      <c r="X197" s="57" t="n">
        <f aca="false">IF($F197="","",IF(OR($Q197="",$O197=""),0,IF($Q197&lt;=$O197,1,0)))</f>
        <v>0</v>
      </c>
      <c r="Y197" s="57" t="n">
        <f aca="false">IF($F197="","",IF(OR($Q197="",$W197=""),0,IF($Q197&lt;=$W197,1,0)))</f>
        <v>0</v>
      </c>
      <c r="Z197" s="57" t="str">
        <f aca="false">IF(OR($Q197="",$O197=""),"",MAX(0,$Q197-$O197))</f>
        <v/>
      </c>
      <c r="AA197" s="57" t="n">
        <f aca="false">IF($F197="","",IF(AND($S197&lt;&gt;"",$L197&lt;&gt;"",$S197&lt;&gt;$L197),1,0))</f>
        <v>0</v>
      </c>
      <c r="AB197" s="57" t="n">
        <f aca="false">IF($F197="","",IF($R197="Cancelada",0,IF(OR($Q197&lt;&gt;"",$R197="Concluída"),1,0)))</f>
        <v>0</v>
      </c>
      <c r="AC197" s="57" t="n">
        <f aca="false">IF($P197="",0,IF($P197&lt;Hoje!$L$1,1,IF(AND($P197=Hoje!$L$1,Hoje!$L$2&gt;Semana!$M$3),1,0)))</f>
        <v>0</v>
      </c>
      <c r="AD197" s="57" t="n">
        <f aca="false">IF($F197="","",IF(COUNTA($I197:$K197)=0,0,1/COUNTA($I197:$K197)))</f>
        <v>0</v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/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>F-1038|Pendências de inspeção|</v>
      </c>
      <c r="AK197" s="57" t="n">
        <f aca="false">IF($AJ197="","",COUNTIF($AJ$4:$AJ197,$AJ197))</f>
        <v>2</v>
      </c>
      <c r="AL197" s="57" t="n">
        <f aca="false">IF($AJ197="","",COUNTIF($AJ$4:$AJ$1004,$AJ197))</f>
        <v>10</v>
      </c>
    </row>
    <row r="198" customFormat="false" ht="16.5" hidden="false" customHeight="true" outlineLevel="0" collapsed="false">
      <c r="A198" s="56" t="n">
        <f aca="false">IF($F198="","",COUNTA($F$4:$F198))</f>
        <v>194</v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58" t="s">
        <v>498</v>
      </c>
      <c r="D198" s="59" t="s">
        <v>109</v>
      </c>
      <c r="E198" s="59" t="s">
        <v>493</v>
      </c>
      <c r="F198" s="59" t="s">
        <v>499</v>
      </c>
      <c r="G198" s="60" t="s">
        <v>110</v>
      </c>
      <c r="H198" s="60" t="s">
        <v>88</v>
      </c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 t="s">
        <v>495</v>
      </c>
      <c r="V198" s="57" t="str">
        <f aca="false">IF($F198="","",IF(ISNUMBER(SEARCH("(externo)",$I198&amp;$J198&amp;$K198)),"Terceirizada","Interna"))</f>
        <v>Interna</v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n">
        <f aca="false">IF($F198="","",IF(OR($Q198="",$O198=""),0,IF($Q198&lt;=$O198,1,0)))</f>
        <v>0</v>
      </c>
      <c r="Y198" s="57" t="n">
        <f aca="false">IF($F198="","",IF(OR($Q198="",$W198=""),0,IF($Q198&lt;=$W198,1,0)))</f>
        <v>0</v>
      </c>
      <c r="Z198" s="57" t="str">
        <f aca="false">IF(OR($Q198="",$O198=""),"",MAX(0,$Q198-$O198))</f>
        <v/>
      </c>
      <c r="AA198" s="57" t="n">
        <f aca="false">IF($F198="","",IF(AND($S198&lt;&gt;"",$L198&lt;&gt;"",$S198&lt;&gt;$L198),1,0))</f>
        <v>0</v>
      </c>
      <c r="AB198" s="57" t="n">
        <f aca="false">IF($F198="","",IF($R198="Cancelada",0,IF(OR($Q198&lt;&gt;"",$R198="Concluída"),1,0)))</f>
        <v>0</v>
      </c>
      <c r="AC198" s="57" t="n">
        <f aca="false">IF($P198="",0,IF($P198&lt;Hoje!$L$1,1,IF(AND($P198=Hoje!$L$1,Hoje!$L$2&gt;Semana!$M$3),1,0)))</f>
        <v>0</v>
      </c>
      <c r="AD198" s="57" t="n">
        <f aca="false">IF($F198="","",IF(COUNTA($I198:$K198)=0,0,1/COUNTA($I198:$K198)))</f>
        <v>0</v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>F-1038|Pendências de inspeção|</v>
      </c>
      <c r="AK198" s="57" t="n">
        <f aca="false">IF($AJ198="","",COUNTIF($AJ$4:$AJ198,$AJ198))</f>
        <v>3</v>
      </c>
      <c r="AL198" s="57" t="n">
        <f aca="false">IF($AJ198="","",COUNTIF($AJ$4:$AJ$1004,$AJ198))</f>
        <v>10</v>
      </c>
    </row>
    <row r="199" customFormat="false" ht="16.5" hidden="false" customHeight="true" outlineLevel="0" collapsed="false">
      <c r="A199" s="56" t="n">
        <f aca="false">IF($F199="","",COUNTA($F$4:$F199))</f>
        <v>195</v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58" t="s">
        <v>500</v>
      </c>
      <c r="D199" s="59" t="s">
        <v>109</v>
      </c>
      <c r="E199" s="59" t="s">
        <v>493</v>
      </c>
      <c r="F199" s="59" t="s">
        <v>501</v>
      </c>
      <c r="G199" s="60" t="s">
        <v>110</v>
      </c>
      <c r="H199" s="60" t="s">
        <v>88</v>
      </c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 t="s">
        <v>495</v>
      </c>
      <c r="V199" s="57" t="str">
        <f aca="false">IF($F199="","",IF(ISNUMBER(SEARCH("(externo)",$I199&amp;$J199&amp;$K199)),"Terceirizada","Interna"))</f>
        <v>Interna</v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n">
        <f aca="false">IF($F199="","",IF(OR($Q199="",$O199=""),0,IF($Q199&lt;=$O199,1,0)))</f>
        <v>0</v>
      </c>
      <c r="Y199" s="57" t="n">
        <f aca="false">IF($F199="","",IF(OR($Q199="",$W199=""),0,IF($Q199&lt;=$W199,1,0)))</f>
        <v>0</v>
      </c>
      <c r="Z199" s="57" t="str">
        <f aca="false">IF(OR($Q199="",$O199=""),"",MAX(0,$Q199-$O199))</f>
        <v/>
      </c>
      <c r="AA199" s="57" t="n">
        <f aca="false">IF($F199="","",IF(AND($S199&lt;&gt;"",$L199&lt;&gt;"",$S199&lt;&gt;$L199),1,0))</f>
        <v>0</v>
      </c>
      <c r="AB199" s="57" t="n">
        <f aca="false">IF($F199="","",IF($R199="Cancelada",0,IF(OR($Q199&lt;&gt;"",$R199="Concluída"),1,0)))</f>
        <v>0</v>
      </c>
      <c r="AC199" s="57" t="n">
        <f aca="false">IF($P199="",0,IF($P199&lt;Hoje!$L$1,1,IF(AND($P199=Hoje!$L$1,Hoje!$L$2&gt;Semana!$M$3),1,0)))</f>
        <v>0</v>
      </c>
      <c r="AD199" s="57" t="n">
        <f aca="false">IF($F199="","",IF(COUNTA($I199:$K199)=0,0,1/COUNTA($I199:$K199)))</f>
        <v>0</v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>F-1038|Pendências de inspeção|</v>
      </c>
      <c r="AK199" s="57" t="n">
        <f aca="false">IF($AJ199="","",COUNTIF($AJ$4:$AJ199,$AJ199))</f>
        <v>4</v>
      </c>
      <c r="AL199" s="57" t="n">
        <f aca="false">IF($AJ199="","",COUNTIF($AJ$4:$AJ$1004,$AJ199))</f>
        <v>10</v>
      </c>
    </row>
    <row r="200" customFormat="false" ht="16.5" hidden="false" customHeight="true" outlineLevel="0" collapsed="false">
      <c r="A200" s="56" t="n">
        <f aca="false">IF($F200="","",COUNTA($F$4:$F200))</f>
        <v>196</v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58" t="s">
        <v>502</v>
      </c>
      <c r="D200" s="59" t="s">
        <v>109</v>
      </c>
      <c r="E200" s="59" t="s">
        <v>493</v>
      </c>
      <c r="F200" s="59" t="s">
        <v>503</v>
      </c>
      <c r="G200" s="60" t="s">
        <v>110</v>
      </c>
      <c r="H200" s="60" t="s">
        <v>88</v>
      </c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 t="s">
        <v>495</v>
      </c>
      <c r="V200" s="57" t="str">
        <f aca="false">IF($F200="","",IF(ISNUMBER(SEARCH("(externo)",$I200&amp;$J200&amp;$K200)),"Terceirizada","Interna"))</f>
        <v>Interna</v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n">
        <f aca="false">IF($F200="","",IF(OR($Q200="",$O200=""),0,IF($Q200&lt;=$O200,1,0)))</f>
        <v>0</v>
      </c>
      <c r="Y200" s="57" t="n">
        <f aca="false">IF($F200="","",IF(OR($Q200="",$W200=""),0,IF($Q200&lt;=$W200,1,0)))</f>
        <v>0</v>
      </c>
      <c r="Z200" s="57" t="str">
        <f aca="false">IF(OR($Q200="",$O200=""),"",MAX(0,$Q200-$O200))</f>
        <v/>
      </c>
      <c r="AA200" s="57" t="n">
        <f aca="false">IF($F200="","",IF(AND($S200&lt;&gt;"",$L200&lt;&gt;"",$S200&lt;&gt;$L200),1,0))</f>
        <v>0</v>
      </c>
      <c r="AB200" s="57" t="n">
        <f aca="false">IF($F200="","",IF($R200="Cancelada",0,IF(OR($Q200&lt;&gt;"",$R200="Concluída"),1,0)))</f>
        <v>0</v>
      </c>
      <c r="AC200" s="57" t="n">
        <f aca="false">IF($P200="",0,IF($P200&lt;Hoje!$L$1,1,IF(AND($P200=Hoje!$L$1,Hoje!$L$2&gt;Semana!$M$3),1,0)))</f>
        <v>0</v>
      </c>
      <c r="AD200" s="57" t="n">
        <f aca="false">IF($F200="","",IF(COUNTA($I200:$K200)=0,0,1/COUNTA($I200:$K200)))</f>
        <v>0</v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>F-1038|Pendências de inspeção|</v>
      </c>
      <c r="AK200" s="57" t="n">
        <f aca="false">IF($AJ200="","",COUNTIF($AJ$4:$AJ200,$AJ200))</f>
        <v>5</v>
      </c>
      <c r="AL200" s="57" t="n">
        <f aca="false">IF($AJ200="","",COUNTIF($AJ$4:$AJ$1004,$AJ200))</f>
        <v>10</v>
      </c>
    </row>
    <row r="201" customFormat="false" ht="16.5" hidden="false" customHeight="true" outlineLevel="0" collapsed="false">
      <c r="A201" s="56" t="n">
        <f aca="false">IF($F201="","",COUNTA($F$4:$F201))</f>
        <v>197</v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58" t="s">
        <v>504</v>
      </c>
      <c r="D201" s="59" t="s">
        <v>109</v>
      </c>
      <c r="E201" s="59" t="s">
        <v>493</v>
      </c>
      <c r="F201" s="59" t="s">
        <v>505</v>
      </c>
      <c r="G201" s="60" t="s">
        <v>110</v>
      </c>
      <c r="H201" s="60" t="s">
        <v>88</v>
      </c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 t="s">
        <v>495</v>
      </c>
      <c r="V201" s="57" t="str">
        <f aca="false">IF($F201="","",IF(ISNUMBER(SEARCH("(externo)",$I201&amp;$J201&amp;$K201)),"Terceirizada","Interna"))</f>
        <v>Interna</v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n">
        <f aca="false">IF($F201="","",IF(OR($Q201="",$O201=""),0,IF($Q201&lt;=$O201,1,0)))</f>
        <v>0</v>
      </c>
      <c r="Y201" s="57" t="n">
        <f aca="false">IF($F201="","",IF(OR($Q201="",$W201=""),0,IF($Q201&lt;=$W201,1,0)))</f>
        <v>0</v>
      </c>
      <c r="Z201" s="57" t="str">
        <f aca="false">IF(OR($Q201="",$O201=""),"",MAX(0,$Q201-$O201))</f>
        <v/>
      </c>
      <c r="AA201" s="57" t="n">
        <f aca="false">IF($F201="","",IF(AND($S201&lt;&gt;"",$L201&lt;&gt;"",$S201&lt;&gt;$L201),1,0))</f>
        <v>0</v>
      </c>
      <c r="AB201" s="57" t="n">
        <f aca="false">IF($F201="","",IF($R201="Cancelada",0,IF(OR($Q201&lt;&gt;"",$R201="Concluída"),1,0)))</f>
        <v>0</v>
      </c>
      <c r="AC201" s="57" t="n">
        <f aca="false">IF($P201="",0,IF($P201&lt;Hoje!$L$1,1,IF(AND($P201=Hoje!$L$1,Hoje!$L$2&gt;Semana!$M$3),1,0)))</f>
        <v>0</v>
      </c>
      <c r="AD201" s="57" t="n">
        <f aca="false">IF($F201="","",IF(COUNTA($I201:$K201)=0,0,1/COUNTA($I201:$K201)))</f>
        <v>0</v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>F-1038|Pendências de inspeção|</v>
      </c>
      <c r="AK201" s="57" t="n">
        <f aca="false">IF($AJ201="","",COUNTIF($AJ$4:$AJ201,$AJ201))</f>
        <v>6</v>
      </c>
      <c r="AL201" s="57" t="n">
        <f aca="false">IF($AJ201="","",COUNTIF($AJ$4:$AJ$1004,$AJ201))</f>
        <v>10</v>
      </c>
    </row>
    <row r="202" customFormat="false" ht="16.5" hidden="false" customHeight="true" outlineLevel="0" collapsed="false">
      <c r="A202" s="56" t="n">
        <f aca="false">IF($F202="","",COUNTA($F$4:$F202))</f>
        <v>198</v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58" t="s">
        <v>506</v>
      </c>
      <c r="D202" s="59" t="s">
        <v>109</v>
      </c>
      <c r="E202" s="59" t="s">
        <v>493</v>
      </c>
      <c r="F202" s="59" t="s">
        <v>507</v>
      </c>
      <c r="G202" s="60" t="s">
        <v>110</v>
      </c>
      <c r="H202" s="60" t="s">
        <v>88</v>
      </c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 t="s">
        <v>495</v>
      </c>
      <c r="V202" s="57" t="str">
        <f aca="false">IF($F202="","",IF(ISNUMBER(SEARCH("(externo)",$I202&amp;$J202&amp;$K202)),"Terceirizada","Interna"))</f>
        <v>Interna</v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n">
        <f aca="false">IF($F202="","",IF(OR($Q202="",$O202=""),0,IF($Q202&lt;=$O202,1,0)))</f>
        <v>0</v>
      </c>
      <c r="Y202" s="57" t="n">
        <f aca="false">IF($F202="","",IF(OR($Q202="",$W202=""),0,IF($Q202&lt;=$W202,1,0)))</f>
        <v>0</v>
      </c>
      <c r="Z202" s="57" t="str">
        <f aca="false">IF(OR($Q202="",$O202=""),"",MAX(0,$Q202-$O202))</f>
        <v/>
      </c>
      <c r="AA202" s="57" t="n">
        <f aca="false">IF($F202="","",IF(AND($S202&lt;&gt;"",$L202&lt;&gt;"",$S202&lt;&gt;$L202),1,0))</f>
        <v>0</v>
      </c>
      <c r="AB202" s="57" t="n">
        <f aca="false">IF($F202="","",IF($R202="Cancelada",0,IF(OR($Q202&lt;&gt;"",$R202="Concluída"),1,0)))</f>
        <v>0</v>
      </c>
      <c r="AC202" s="57" t="n">
        <f aca="false">IF($P202="",0,IF($P202&lt;Hoje!$L$1,1,IF(AND($P202=Hoje!$L$1,Hoje!$L$2&gt;Semana!$M$3),1,0)))</f>
        <v>0</v>
      </c>
      <c r="AD202" s="57" t="n">
        <f aca="false">IF($F202="","",IF(COUNTA($I202:$K202)=0,0,1/COUNTA($I202:$K202)))</f>
        <v>0</v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>F-1038|Pendências de inspeção|</v>
      </c>
      <c r="AK202" s="57" t="n">
        <f aca="false">IF($AJ202="","",COUNTIF($AJ$4:$AJ202,$AJ202))</f>
        <v>7</v>
      </c>
      <c r="AL202" s="57" t="n">
        <f aca="false">IF($AJ202="","",COUNTIF($AJ$4:$AJ$1004,$AJ202))</f>
        <v>10</v>
      </c>
    </row>
    <row r="203" customFormat="false" ht="16.5" hidden="false" customHeight="true" outlineLevel="0" collapsed="false">
      <c r="A203" s="56" t="n">
        <f aca="false">IF($F203="","",COUNTA($F$4:$F203))</f>
        <v>199</v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58" t="s">
        <v>508</v>
      </c>
      <c r="D203" s="59" t="s">
        <v>109</v>
      </c>
      <c r="E203" s="59" t="s">
        <v>493</v>
      </c>
      <c r="F203" s="59" t="s">
        <v>509</v>
      </c>
      <c r="G203" s="60" t="s">
        <v>110</v>
      </c>
      <c r="H203" s="60" t="s">
        <v>88</v>
      </c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 t="s">
        <v>495</v>
      </c>
      <c r="V203" s="57" t="str">
        <f aca="false">IF($F203="","",IF(ISNUMBER(SEARCH("(externo)",$I203&amp;$J203&amp;$K203)),"Terceirizada","Interna"))</f>
        <v>Interna</v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n">
        <f aca="false">IF($F203="","",IF(OR($Q203="",$O203=""),0,IF($Q203&lt;=$O203,1,0)))</f>
        <v>0</v>
      </c>
      <c r="Y203" s="57" t="n">
        <f aca="false">IF($F203="","",IF(OR($Q203="",$W203=""),0,IF($Q203&lt;=$W203,1,0)))</f>
        <v>0</v>
      </c>
      <c r="Z203" s="57" t="str">
        <f aca="false">IF(OR($Q203="",$O203=""),"",MAX(0,$Q203-$O203))</f>
        <v/>
      </c>
      <c r="AA203" s="57" t="n">
        <f aca="false">IF($F203="","",IF(AND($S203&lt;&gt;"",$L203&lt;&gt;"",$S203&lt;&gt;$L203),1,0))</f>
        <v>0</v>
      </c>
      <c r="AB203" s="57" t="n">
        <f aca="false">IF($F203="","",IF($R203="Cancelada",0,IF(OR($Q203&lt;&gt;"",$R203="Concluída"),1,0)))</f>
        <v>0</v>
      </c>
      <c r="AC203" s="57" t="n">
        <f aca="false">IF($P203="",0,IF($P203&lt;Hoje!$L$1,1,IF(AND($P203=Hoje!$L$1,Hoje!$L$2&gt;Semana!$M$3),1,0)))</f>
        <v>0</v>
      </c>
      <c r="AD203" s="57" t="n">
        <f aca="false">IF($F203="","",IF(COUNTA($I203:$K203)=0,0,1/COUNTA($I203:$K203)))</f>
        <v>0</v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>F-1038|Pendências de inspeção|</v>
      </c>
      <c r="AK203" s="57" t="n">
        <f aca="false">IF($AJ203="","",COUNTIF($AJ$4:$AJ203,$AJ203))</f>
        <v>8</v>
      </c>
      <c r="AL203" s="57" t="n">
        <f aca="false">IF($AJ203="","",COUNTIF($AJ$4:$AJ$1004,$AJ203))</f>
        <v>10</v>
      </c>
    </row>
    <row r="204" customFormat="false" ht="16.5" hidden="false" customHeight="true" outlineLevel="0" collapsed="false">
      <c r="A204" s="56" t="n">
        <f aca="false">IF($F204="","",COUNTA($F$4:$F204))</f>
        <v>200</v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58" t="s">
        <v>510</v>
      </c>
      <c r="D204" s="59" t="s">
        <v>109</v>
      </c>
      <c r="E204" s="59" t="s">
        <v>493</v>
      </c>
      <c r="F204" s="59" t="s">
        <v>511</v>
      </c>
      <c r="G204" s="60" t="s">
        <v>110</v>
      </c>
      <c r="H204" s="60" t="s">
        <v>88</v>
      </c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 t="s">
        <v>495</v>
      </c>
      <c r="V204" s="57" t="str">
        <f aca="false">IF($F204="","",IF(ISNUMBER(SEARCH("(externo)",$I204&amp;$J204&amp;$K204)),"Terceirizada","Interna"))</f>
        <v>Interna</v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n">
        <f aca="false">IF($F204="","",IF(OR($Q204="",$O204=""),0,IF($Q204&lt;=$O204,1,0)))</f>
        <v>0</v>
      </c>
      <c r="Y204" s="57" t="n">
        <f aca="false">IF($F204="","",IF(OR($Q204="",$W204=""),0,IF($Q204&lt;=$W204,1,0)))</f>
        <v>0</v>
      </c>
      <c r="Z204" s="57" t="str">
        <f aca="false">IF(OR($Q204="",$O204=""),"",MAX(0,$Q204-$O204))</f>
        <v/>
      </c>
      <c r="AA204" s="57" t="n">
        <f aca="false">IF($F204="","",IF(AND($S204&lt;&gt;"",$L204&lt;&gt;"",$S204&lt;&gt;$L204),1,0))</f>
        <v>0</v>
      </c>
      <c r="AB204" s="57" t="n">
        <f aca="false">IF($F204="","",IF($R204="Cancelada",0,IF(OR($Q204&lt;&gt;"",$R204="Concluída"),1,0)))</f>
        <v>0</v>
      </c>
      <c r="AC204" s="57" t="n">
        <f aca="false">IF($P204="",0,IF($P204&lt;Hoje!$L$1,1,IF(AND($P204=Hoje!$L$1,Hoje!$L$2&gt;Semana!$M$3),1,0)))</f>
        <v>0</v>
      </c>
      <c r="AD204" s="57" t="n">
        <f aca="false">IF($F204="","",IF(COUNTA($I204:$K204)=0,0,1/COUNTA($I204:$K204)))</f>
        <v>0</v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>F-1038|Pendências de inspeção|</v>
      </c>
      <c r="AK204" s="57" t="n">
        <f aca="false">IF($AJ204="","",COUNTIF($AJ$4:$AJ204,$AJ204))</f>
        <v>9</v>
      </c>
      <c r="AL204" s="57" t="n">
        <f aca="false">IF($AJ204="","",COUNTIF($AJ$4:$AJ$1004,$AJ204))</f>
        <v>10</v>
      </c>
    </row>
    <row r="205" customFormat="false" ht="16.5" hidden="false" customHeight="true" outlineLevel="0" collapsed="false">
      <c r="A205" s="56" t="n">
        <f aca="false">IF($F205="","",COUNTA($F$4:$F205))</f>
        <v>201</v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58" t="s">
        <v>512</v>
      </c>
      <c r="D205" s="59" t="s">
        <v>109</v>
      </c>
      <c r="E205" s="59" t="s">
        <v>493</v>
      </c>
      <c r="F205" s="59" t="s">
        <v>513</v>
      </c>
      <c r="G205" s="60" t="s">
        <v>110</v>
      </c>
      <c r="H205" s="60" t="s">
        <v>88</v>
      </c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 t="s">
        <v>495</v>
      </c>
      <c r="V205" s="57" t="str">
        <f aca="false">IF($F205="","",IF(ISNUMBER(SEARCH("(externo)",$I205&amp;$J205&amp;$K205)),"Terceirizada","Interna"))</f>
        <v>Interna</v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n">
        <f aca="false">IF($F205="","",IF(OR($Q205="",$O205=""),0,IF($Q205&lt;=$O205,1,0)))</f>
        <v>0</v>
      </c>
      <c r="Y205" s="57" t="n">
        <f aca="false">IF($F205="","",IF(OR($Q205="",$W205=""),0,IF($Q205&lt;=$W205,1,0)))</f>
        <v>0</v>
      </c>
      <c r="Z205" s="57" t="str">
        <f aca="false">IF(OR($Q205="",$O205=""),"",MAX(0,$Q205-$O205))</f>
        <v/>
      </c>
      <c r="AA205" s="57" t="n">
        <f aca="false">IF($F205="","",IF(AND($S205&lt;&gt;"",$L205&lt;&gt;"",$S205&lt;&gt;$L205),1,0))</f>
        <v>0</v>
      </c>
      <c r="AB205" s="57" t="n">
        <f aca="false">IF($F205="","",IF($R205="Cancelada",0,IF(OR($Q205&lt;&gt;"",$R205="Concluída"),1,0)))</f>
        <v>0</v>
      </c>
      <c r="AC205" s="57" t="n">
        <f aca="false">IF($P205="",0,IF($P205&lt;Hoje!$L$1,1,IF(AND($P205=Hoje!$L$1,Hoje!$L$2&gt;Semana!$M$3),1,0)))</f>
        <v>0</v>
      </c>
      <c r="AD205" s="57" t="n">
        <f aca="false">IF($F205="","",IF(COUNTA($I205:$K205)=0,0,1/COUNTA($I205:$K205)))</f>
        <v>0</v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>F-1038|Pendências de inspeção|</v>
      </c>
      <c r="AK205" s="57" t="n">
        <f aca="false">IF($AJ205="","",COUNTIF($AJ$4:$AJ205,$AJ205))</f>
        <v>10</v>
      </c>
      <c r="AL205" s="57" t="n">
        <f aca="false">IF($AJ205="","",COUNTIF($AJ$4:$AJ$1004,$AJ205))</f>
        <v>10</v>
      </c>
    </row>
    <row r="206" customFormat="false" ht="16.5" hidden="false" customHeight="true" outlineLevel="0" collapsed="false">
      <c r="A206" s="56" t="n">
        <f aca="false">IF($F206="","",COUNTA($F$4:$F206))</f>
        <v>202</v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58" t="s">
        <v>514</v>
      </c>
      <c r="D206" s="59" t="s">
        <v>114</v>
      </c>
      <c r="E206" s="59" t="s">
        <v>493</v>
      </c>
      <c r="F206" s="59" t="s">
        <v>515</v>
      </c>
      <c r="G206" s="60" t="s">
        <v>110</v>
      </c>
      <c r="H206" s="60" t="s">
        <v>88</v>
      </c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 t="s">
        <v>495</v>
      </c>
      <c r="V206" s="57" t="str">
        <f aca="false">IF($F206="","",IF(ISNUMBER(SEARCH("(externo)",$I206&amp;$J206&amp;$K206)),"Terceirizada","Interna"))</f>
        <v>Interna</v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n">
        <f aca="false">IF($F206="","",IF(OR($Q206="",$O206=""),0,IF($Q206&lt;=$O206,1,0)))</f>
        <v>0</v>
      </c>
      <c r="Y206" s="57" t="n">
        <f aca="false">IF($F206="","",IF(OR($Q206="",$W206=""),0,IF($Q206&lt;=$W206,1,0)))</f>
        <v>0</v>
      </c>
      <c r="Z206" s="57" t="str">
        <f aca="false">IF(OR($Q206="",$O206=""),"",MAX(0,$Q206-$O206))</f>
        <v/>
      </c>
      <c r="AA206" s="57" t="n">
        <f aca="false">IF($F206="","",IF(AND($S206&lt;&gt;"",$L206&lt;&gt;"",$S206&lt;&gt;$L206),1,0))</f>
        <v>0</v>
      </c>
      <c r="AB206" s="57" t="n">
        <f aca="false">IF($F206="","",IF($R206="Cancelada",0,IF(OR($Q206&lt;&gt;"",$R206="Concluída"),1,0)))</f>
        <v>0</v>
      </c>
      <c r="AC206" s="57" t="n">
        <f aca="false">IF($P206="",0,IF($P206&lt;Hoje!$L$1,1,IF(AND($P206=Hoje!$L$1,Hoje!$L$2&gt;Semana!$M$3),1,0)))</f>
        <v>0</v>
      </c>
      <c r="AD206" s="57" t="n">
        <f aca="false">IF($F206="","",IF(COUNTA($I206:$K206)=0,0,1/COUNTA($I206:$K206)))</f>
        <v>0</v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>F-1039|Pendências de inspeção|</v>
      </c>
      <c r="AK206" s="57" t="n">
        <f aca="false">IF($AJ206="","",COUNTIF($AJ$4:$AJ206,$AJ206))</f>
        <v>1</v>
      </c>
      <c r="AL206" s="57" t="n">
        <f aca="false">IF($AJ206="","",COUNTIF($AJ$4:$AJ$1004,$AJ206))</f>
        <v>9</v>
      </c>
    </row>
    <row r="207" customFormat="false" ht="16.5" hidden="false" customHeight="true" outlineLevel="0" collapsed="false">
      <c r="A207" s="56" t="n">
        <f aca="false">IF($F207="","",COUNTA($F$4:$F207))</f>
        <v>203</v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58" t="s">
        <v>516</v>
      </c>
      <c r="D207" s="59" t="s">
        <v>114</v>
      </c>
      <c r="E207" s="59" t="s">
        <v>493</v>
      </c>
      <c r="F207" s="59" t="s">
        <v>517</v>
      </c>
      <c r="G207" s="60" t="s">
        <v>110</v>
      </c>
      <c r="H207" s="60" t="s">
        <v>88</v>
      </c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 t="s">
        <v>495</v>
      </c>
      <c r="V207" s="57" t="str">
        <f aca="false">IF($F207="","",IF(ISNUMBER(SEARCH("(externo)",$I207&amp;$J207&amp;$K207)),"Terceirizada","Interna"))</f>
        <v>Interna</v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n">
        <f aca="false">IF($F207="","",IF(OR($Q207="",$O207=""),0,IF($Q207&lt;=$O207,1,0)))</f>
        <v>0</v>
      </c>
      <c r="Y207" s="57" t="n">
        <f aca="false">IF($F207="","",IF(OR($Q207="",$W207=""),0,IF($Q207&lt;=$W207,1,0)))</f>
        <v>0</v>
      </c>
      <c r="Z207" s="57" t="str">
        <f aca="false">IF(OR($Q207="",$O207=""),"",MAX(0,$Q207-$O207))</f>
        <v/>
      </c>
      <c r="AA207" s="57" t="n">
        <f aca="false">IF($F207="","",IF(AND($S207&lt;&gt;"",$L207&lt;&gt;"",$S207&lt;&gt;$L207),1,0))</f>
        <v>0</v>
      </c>
      <c r="AB207" s="57" t="n">
        <f aca="false">IF($F207="","",IF($R207="Cancelada",0,IF(OR($Q207&lt;&gt;"",$R207="Concluída"),1,0)))</f>
        <v>0</v>
      </c>
      <c r="AC207" s="57" t="n">
        <f aca="false">IF($P207="",0,IF($P207&lt;Hoje!$L$1,1,IF(AND($P207=Hoje!$L$1,Hoje!$L$2&gt;Semana!$M$3),1,0)))</f>
        <v>0</v>
      </c>
      <c r="AD207" s="57" t="n">
        <f aca="false">IF($F207="","",IF(COUNTA($I207:$K207)=0,0,1/COUNTA($I207:$K207)))</f>
        <v>0</v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>F-1039|Pendências de inspeção|</v>
      </c>
      <c r="AK207" s="57" t="n">
        <f aca="false">IF($AJ207="","",COUNTIF($AJ$4:$AJ207,$AJ207))</f>
        <v>2</v>
      </c>
      <c r="AL207" s="57" t="n">
        <f aca="false">IF($AJ207="","",COUNTIF($AJ$4:$AJ$1004,$AJ207))</f>
        <v>9</v>
      </c>
    </row>
    <row r="208" customFormat="false" ht="16.5" hidden="false" customHeight="true" outlineLevel="0" collapsed="false">
      <c r="A208" s="56" t="n">
        <f aca="false">IF($F208="","",COUNTA($F$4:$F208))</f>
        <v>204</v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58" t="s">
        <v>518</v>
      </c>
      <c r="D208" s="59" t="s">
        <v>114</v>
      </c>
      <c r="E208" s="59" t="s">
        <v>493</v>
      </c>
      <c r="F208" s="59" t="s">
        <v>519</v>
      </c>
      <c r="G208" s="60" t="s">
        <v>110</v>
      </c>
      <c r="H208" s="60" t="s">
        <v>88</v>
      </c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 t="s">
        <v>495</v>
      </c>
      <c r="V208" s="57" t="str">
        <f aca="false">IF($F208="","",IF(ISNUMBER(SEARCH("(externo)",$I208&amp;$J208&amp;$K208)),"Terceirizada","Interna"))</f>
        <v>Interna</v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n">
        <f aca="false">IF($F208="","",IF(OR($Q208="",$O208=""),0,IF($Q208&lt;=$O208,1,0)))</f>
        <v>0</v>
      </c>
      <c r="Y208" s="57" t="n">
        <f aca="false">IF($F208="","",IF(OR($Q208="",$W208=""),0,IF($Q208&lt;=$W208,1,0)))</f>
        <v>0</v>
      </c>
      <c r="Z208" s="57" t="str">
        <f aca="false">IF(OR($Q208="",$O208=""),"",MAX(0,$Q208-$O208))</f>
        <v/>
      </c>
      <c r="AA208" s="57" t="n">
        <f aca="false">IF($F208="","",IF(AND($S208&lt;&gt;"",$L208&lt;&gt;"",$S208&lt;&gt;$L208),1,0))</f>
        <v>0</v>
      </c>
      <c r="AB208" s="57" t="n">
        <f aca="false">IF($F208="","",IF($R208="Cancelada",0,IF(OR($Q208&lt;&gt;"",$R208="Concluída"),1,0)))</f>
        <v>0</v>
      </c>
      <c r="AC208" s="57" t="n">
        <f aca="false">IF($P208="",0,IF($P208&lt;Hoje!$L$1,1,IF(AND($P208=Hoje!$L$1,Hoje!$L$2&gt;Semana!$M$3),1,0)))</f>
        <v>0</v>
      </c>
      <c r="AD208" s="57" t="n">
        <f aca="false">IF($F208="","",IF(COUNTA($I208:$K208)=0,0,1/COUNTA($I208:$K208)))</f>
        <v>0</v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>F-1039|Pendências de inspeção|</v>
      </c>
      <c r="AK208" s="57" t="n">
        <f aca="false">IF($AJ208="","",COUNTIF($AJ$4:$AJ208,$AJ208))</f>
        <v>3</v>
      </c>
      <c r="AL208" s="57" t="n">
        <f aca="false">IF($AJ208="","",COUNTIF($AJ$4:$AJ$1004,$AJ208))</f>
        <v>9</v>
      </c>
    </row>
    <row r="209" customFormat="false" ht="16.5" hidden="false" customHeight="true" outlineLevel="0" collapsed="false">
      <c r="A209" s="56" t="n">
        <f aca="false">IF($F209="","",COUNTA($F$4:$F209))</f>
        <v>205</v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58" t="s">
        <v>520</v>
      </c>
      <c r="D209" s="59" t="s">
        <v>114</v>
      </c>
      <c r="E209" s="59" t="s">
        <v>493</v>
      </c>
      <c r="F209" s="59" t="s">
        <v>521</v>
      </c>
      <c r="G209" s="60" t="s">
        <v>110</v>
      </c>
      <c r="H209" s="60" t="s">
        <v>88</v>
      </c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 t="s">
        <v>495</v>
      </c>
      <c r="V209" s="57" t="str">
        <f aca="false">IF($F209="","",IF(ISNUMBER(SEARCH("(externo)",$I209&amp;$J209&amp;$K209)),"Terceirizada","Interna"))</f>
        <v>Interna</v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n">
        <f aca="false">IF($F209="","",IF(OR($Q209="",$O209=""),0,IF($Q209&lt;=$O209,1,0)))</f>
        <v>0</v>
      </c>
      <c r="Y209" s="57" t="n">
        <f aca="false">IF($F209="","",IF(OR($Q209="",$W209=""),0,IF($Q209&lt;=$W209,1,0)))</f>
        <v>0</v>
      </c>
      <c r="Z209" s="57" t="str">
        <f aca="false">IF(OR($Q209="",$O209=""),"",MAX(0,$Q209-$O209))</f>
        <v/>
      </c>
      <c r="AA209" s="57" t="n">
        <f aca="false">IF($F209="","",IF(AND($S209&lt;&gt;"",$L209&lt;&gt;"",$S209&lt;&gt;$L209),1,0))</f>
        <v>0</v>
      </c>
      <c r="AB209" s="57" t="n">
        <f aca="false">IF($F209="","",IF($R209="Cancelada",0,IF(OR($Q209&lt;&gt;"",$R209="Concluída"),1,0)))</f>
        <v>0</v>
      </c>
      <c r="AC209" s="57" t="n">
        <f aca="false">IF($P209="",0,IF($P209&lt;Hoje!$L$1,1,IF(AND($P209=Hoje!$L$1,Hoje!$L$2&gt;Semana!$M$3),1,0)))</f>
        <v>0</v>
      </c>
      <c r="AD209" s="57" t="n">
        <f aca="false">IF($F209="","",IF(COUNTA($I209:$K209)=0,0,1/COUNTA($I209:$K209)))</f>
        <v>0</v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>F-1039|Pendências de inspeção|</v>
      </c>
      <c r="AK209" s="57" t="n">
        <f aca="false">IF($AJ209="","",COUNTIF($AJ$4:$AJ209,$AJ209))</f>
        <v>4</v>
      </c>
      <c r="AL209" s="57" t="n">
        <f aca="false">IF($AJ209="","",COUNTIF($AJ$4:$AJ$1004,$AJ209))</f>
        <v>9</v>
      </c>
    </row>
    <row r="210" customFormat="false" ht="16.5" hidden="false" customHeight="true" outlineLevel="0" collapsed="false">
      <c r="A210" s="56" t="n">
        <f aca="false">IF($F210="","",COUNTA($F$4:$F210))</f>
        <v>206</v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58" t="s">
        <v>522</v>
      </c>
      <c r="D210" s="59" t="s">
        <v>114</v>
      </c>
      <c r="E210" s="59" t="s">
        <v>493</v>
      </c>
      <c r="F210" s="59" t="s">
        <v>523</v>
      </c>
      <c r="G210" s="60" t="s">
        <v>110</v>
      </c>
      <c r="H210" s="60" t="s">
        <v>88</v>
      </c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 t="s">
        <v>495</v>
      </c>
      <c r="V210" s="57" t="str">
        <f aca="false">IF($F210="","",IF(ISNUMBER(SEARCH("(externo)",$I210&amp;$J210&amp;$K210)),"Terceirizada","Interna"))</f>
        <v>Interna</v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n">
        <f aca="false">IF($F210="","",IF(OR($Q210="",$O210=""),0,IF($Q210&lt;=$O210,1,0)))</f>
        <v>0</v>
      </c>
      <c r="Y210" s="57" t="n">
        <f aca="false">IF($F210="","",IF(OR($Q210="",$W210=""),0,IF($Q210&lt;=$W210,1,0)))</f>
        <v>0</v>
      </c>
      <c r="Z210" s="57" t="str">
        <f aca="false">IF(OR($Q210="",$O210=""),"",MAX(0,$Q210-$O210))</f>
        <v/>
      </c>
      <c r="AA210" s="57" t="n">
        <f aca="false">IF($F210="","",IF(AND($S210&lt;&gt;"",$L210&lt;&gt;"",$S210&lt;&gt;$L210),1,0))</f>
        <v>0</v>
      </c>
      <c r="AB210" s="57" t="n">
        <f aca="false">IF($F210="","",IF($R210="Cancelada",0,IF(OR($Q210&lt;&gt;"",$R210="Concluída"),1,0)))</f>
        <v>0</v>
      </c>
      <c r="AC210" s="57" t="n">
        <f aca="false">IF($P210="",0,IF($P210&lt;Hoje!$L$1,1,IF(AND($P210=Hoje!$L$1,Hoje!$L$2&gt;Semana!$M$3),1,0)))</f>
        <v>0</v>
      </c>
      <c r="AD210" s="57" t="n">
        <f aca="false">IF($F210="","",IF(COUNTA($I210:$K210)=0,0,1/COUNTA($I210:$K210)))</f>
        <v>0</v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>F-1039|Pendências de inspeção|</v>
      </c>
      <c r="AK210" s="57" t="n">
        <f aca="false">IF($AJ210="","",COUNTIF($AJ$4:$AJ210,$AJ210))</f>
        <v>5</v>
      </c>
      <c r="AL210" s="57" t="n">
        <f aca="false">IF($AJ210="","",COUNTIF($AJ$4:$AJ$1004,$AJ210))</f>
        <v>9</v>
      </c>
    </row>
    <row r="211" customFormat="false" ht="16.5" hidden="false" customHeight="true" outlineLevel="0" collapsed="false">
      <c r="A211" s="56" t="n">
        <f aca="false">IF($F211="","",COUNTA($F$4:$F211))</f>
        <v>207</v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58" t="s">
        <v>524</v>
      </c>
      <c r="D211" s="59" t="s">
        <v>114</v>
      </c>
      <c r="E211" s="59" t="s">
        <v>493</v>
      </c>
      <c r="F211" s="59" t="s">
        <v>525</v>
      </c>
      <c r="G211" s="60" t="s">
        <v>110</v>
      </c>
      <c r="H211" s="60" t="s">
        <v>88</v>
      </c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 t="s">
        <v>495</v>
      </c>
      <c r="V211" s="57" t="str">
        <f aca="false">IF($F211="","",IF(ISNUMBER(SEARCH("(externo)",$I211&amp;$J211&amp;$K211)),"Terceirizada","Interna"))</f>
        <v>Interna</v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n">
        <f aca="false">IF($F211="","",IF(OR($Q211="",$O211=""),0,IF($Q211&lt;=$O211,1,0)))</f>
        <v>0</v>
      </c>
      <c r="Y211" s="57" t="n">
        <f aca="false">IF($F211="","",IF(OR($Q211="",$W211=""),0,IF($Q211&lt;=$W211,1,0)))</f>
        <v>0</v>
      </c>
      <c r="Z211" s="57" t="str">
        <f aca="false">IF(OR($Q211="",$O211=""),"",MAX(0,$Q211-$O211))</f>
        <v/>
      </c>
      <c r="AA211" s="57" t="n">
        <f aca="false">IF($F211="","",IF(AND($S211&lt;&gt;"",$L211&lt;&gt;"",$S211&lt;&gt;$L211),1,0))</f>
        <v>0</v>
      </c>
      <c r="AB211" s="57" t="n">
        <f aca="false">IF($F211="","",IF($R211="Cancelada",0,IF(OR($Q211&lt;&gt;"",$R211="Concluída"),1,0)))</f>
        <v>0</v>
      </c>
      <c r="AC211" s="57" t="n">
        <f aca="false">IF($P211="",0,IF($P211&lt;Hoje!$L$1,1,IF(AND($P211=Hoje!$L$1,Hoje!$L$2&gt;Semana!$M$3),1,0)))</f>
        <v>0</v>
      </c>
      <c r="AD211" s="57" t="n">
        <f aca="false">IF($F211="","",IF(COUNTA($I211:$K211)=0,0,1/COUNTA($I211:$K211)))</f>
        <v>0</v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>F-1039|Pendências de inspeção|</v>
      </c>
      <c r="AK211" s="57" t="n">
        <f aca="false">IF($AJ211="","",COUNTIF($AJ$4:$AJ211,$AJ211))</f>
        <v>6</v>
      </c>
      <c r="AL211" s="57" t="n">
        <f aca="false">IF($AJ211="","",COUNTIF($AJ$4:$AJ$1004,$AJ211))</f>
        <v>9</v>
      </c>
    </row>
    <row r="212" customFormat="false" ht="16.5" hidden="false" customHeight="true" outlineLevel="0" collapsed="false">
      <c r="A212" s="56" t="n">
        <f aca="false">IF($F212="","",COUNTA($F$4:$F212))</f>
        <v>208</v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58" t="s">
        <v>526</v>
      </c>
      <c r="D212" s="59" t="s">
        <v>114</v>
      </c>
      <c r="E212" s="59" t="s">
        <v>493</v>
      </c>
      <c r="F212" s="59" t="s">
        <v>527</v>
      </c>
      <c r="G212" s="60" t="s">
        <v>110</v>
      </c>
      <c r="H212" s="60" t="s">
        <v>88</v>
      </c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 t="s">
        <v>495</v>
      </c>
      <c r="V212" s="57" t="str">
        <f aca="false">IF($F212="","",IF(ISNUMBER(SEARCH("(externo)",$I212&amp;$J212&amp;$K212)),"Terceirizada","Interna"))</f>
        <v>Interna</v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n">
        <f aca="false">IF($F212="","",IF(OR($Q212="",$O212=""),0,IF($Q212&lt;=$O212,1,0)))</f>
        <v>0</v>
      </c>
      <c r="Y212" s="57" t="n">
        <f aca="false">IF($F212="","",IF(OR($Q212="",$W212=""),0,IF($Q212&lt;=$W212,1,0)))</f>
        <v>0</v>
      </c>
      <c r="Z212" s="57" t="str">
        <f aca="false">IF(OR($Q212="",$O212=""),"",MAX(0,$Q212-$O212))</f>
        <v/>
      </c>
      <c r="AA212" s="57" t="n">
        <f aca="false">IF($F212="","",IF(AND($S212&lt;&gt;"",$L212&lt;&gt;"",$S212&lt;&gt;$L212),1,0))</f>
        <v>0</v>
      </c>
      <c r="AB212" s="57" t="n">
        <f aca="false">IF($F212="","",IF($R212="Cancelada",0,IF(OR($Q212&lt;&gt;"",$R212="Concluída"),1,0)))</f>
        <v>0</v>
      </c>
      <c r="AC212" s="57" t="n">
        <f aca="false">IF($P212="",0,IF($P212&lt;Hoje!$L$1,1,IF(AND($P212=Hoje!$L$1,Hoje!$L$2&gt;Semana!$M$3),1,0)))</f>
        <v>0</v>
      </c>
      <c r="AD212" s="57" t="n">
        <f aca="false">IF($F212="","",IF(COUNTA($I212:$K212)=0,0,1/COUNTA($I212:$K212)))</f>
        <v>0</v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>F-1039|Pendências de inspeção|</v>
      </c>
      <c r="AK212" s="57" t="n">
        <f aca="false">IF($AJ212="","",COUNTIF($AJ$4:$AJ212,$AJ212))</f>
        <v>7</v>
      </c>
      <c r="AL212" s="57" t="n">
        <f aca="false">IF($AJ212="","",COUNTIF($AJ$4:$AJ$1004,$AJ212))</f>
        <v>9</v>
      </c>
    </row>
    <row r="213" customFormat="false" ht="16.5" hidden="false" customHeight="true" outlineLevel="0" collapsed="false">
      <c r="A213" s="56" t="n">
        <f aca="false">IF($F213="","",COUNTA($F$4:$F213))</f>
        <v>209</v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58" t="s">
        <v>528</v>
      </c>
      <c r="D213" s="59" t="s">
        <v>114</v>
      </c>
      <c r="E213" s="59" t="s">
        <v>493</v>
      </c>
      <c r="F213" s="59" t="s">
        <v>529</v>
      </c>
      <c r="G213" s="60" t="s">
        <v>110</v>
      </c>
      <c r="H213" s="60" t="s">
        <v>88</v>
      </c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 t="s">
        <v>495</v>
      </c>
      <c r="V213" s="57" t="str">
        <f aca="false">IF($F213="","",IF(ISNUMBER(SEARCH("(externo)",$I213&amp;$J213&amp;$K213)),"Terceirizada","Interna"))</f>
        <v>Interna</v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n">
        <f aca="false">IF($F213="","",IF(OR($Q213="",$O213=""),0,IF($Q213&lt;=$O213,1,0)))</f>
        <v>0</v>
      </c>
      <c r="Y213" s="57" t="n">
        <f aca="false">IF($F213="","",IF(OR($Q213="",$W213=""),0,IF($Q213&lt;=$W213,1,0)))</f>
        <v>0</v>
      </c>
      <c r="Z213" s="57" t="str">
        <f aca="false">IF(OR($Q213="",$O213=""),"",MAX(0,$Q213-$O213))</f>
        <v/>
      </c>
      <c r="AA213" s="57" t="n">
        <f aca="false">IF($F213="","",IF(AND($S213&lt;&gt;"",$L213&lt;&gt;"",$S213&lt;&gt;$L213),1,0))</f>
        <v>0</v>
      </c>
      <c r="AB213" s="57" t="n">
        <f aca="false">IF($F213="","",IF($R213="Cancelada",0,IF(OR($Q213&lt;&gt;"",$R213="Concluída"),1,0)))</f>
        <v>0</v>
      </c>
      <c r="AC213" s="57" t="n">
        <f aca="false">IF($P213="",0,IF($P213&lt;Hoje!$L$1,1,IF(AND($P213=Hoje!$L$1,Hoje!$L$2&gt;Semana!$M$3),1,0)))</f>
        <v>0</v>
      </c>
      <c r="AD213" s="57" t="n">
        <f aca="false">IF($F213="","",IF(COUNTA($I213:$K213)=0,0,1/COUNTA($I213:$K213)))</f>
        <v>0</v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>F-1039|Pendências de inspeção|</v>
      </c>
      <c r="AK213" s="57" t="n">
        <f aca="false">IF($AJ213="","",COUNTIF($AJ$4:$AJ213,$AJ213))</f>
        <v>8</v>
      </c>
      <c r="AL213" s="57" t="n">
        <f aca="false">IF($AJ213="","",COUNTIF($AJ$4:$AJ$1004,$AJ213))</f>
        <v>9</v>
      </c>
    </row>
    <row r="214" customFormat="false" ht="16.5" hidden="false" customHeight="true" outlineLevel="0" collapsed="false">
      <c r="A214" s="56" t="n">
        <f aca="false">IF($F214="","",COUNTA($F$4:$F214))</f>
        <v>210</v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58" t="s">
        <v>530</v>
      </c>
      <c r="D214" s="59" t="s">
        <v>114</v>
      </c>
      <c r="E214" s="59" t="s">
        <v>493</v>
      </c>
      <c r="F214" s="59" t="s">
        <v>531</v>
      </c>
      <c r="G214" s="60" t="s">
        <v>110</v>
      </c>
      <c r="H214" s="60" t="s">
        <v>88</v>
      </c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 t="s">
        <v>495</v>
      </c>
      <c r="V214" s="57" t="str">
        <f aca="false">IF($F214="","",IF(ISNUMBER(SEARCH("(externo)",$I214&amp;$J214&amp;$K214)),"Terceirizada","Interna"))</f>
        <v>Interna</v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n">
        <f aca="false">IF($F214="","",IF(OR($Q214="",$O214=""),0,IF($Q214&lt;=$O214,1,0)))</f>
        <v>0</v>
      </c>
      <c r="Y214" s="57" t="n">
        <f aca="false">IF($F214="","",IF(OR($Q214="",$W214=""),0,IF($Q214&lt;=$W214,1,0)))</f>
        <v>0</v>
      </c>
      <c r="Z214" s="57" t="str">
        <f aca="false">IF(OR($Q214="",$O214=""),"",MAX(0,$Q214-$O214))</f>
        <v/>
      </c>
      <c r="AA214" s="57" t="n">
        <f aca="false">IF($F214="","",IF(AND($S214&lt;&gt;"",$L214&lt;&gt;"",$S214&lt;&gt;$L214),1,0))</f>
        <v>0</v>
      </c>
      <c r="AB214" s="57" t="n">
        <f aca="false">IF($F214="","",IF($R214="Cancelada",0,IF(OR($Q214&lt;&gt;"",$R214="Concluída"),1,0)))</f>
        <v>0</v>
      </c>
      <c r="AC214" s="57" t="n">
        <f aca="false">IF($P214="",0,IF($P214&lt;Hoje!$L$1,1,IF(AND($P214=Hoje!$L$1,Hoje!$L$2&gt;Semana!$M$3),1,0)))</f>
        <v>0</v>
      </c>
      <c r="AD214" s="57" t="n">
        <f aca="false">IF($F214="","",IF(COUNTA($I214:$K214)=0,0,1/COUNTA($I214:$K214)))</f>
        <v>0</v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>F-1039|Pendências de inspeção|</v>
      </c>
      <c r="AK214" s="57" t="n">
        <f aca="false">IF($AJ214="","",COUNTIF($AJ$4:$AJ214,$AJ214))</f>
        <v>9</v>
      </c>
      <c r="AL214" s="57" t="n">
        <f aca="false">IF($AJ214="","",COUNTIF($AJ$4:$AJ$1004,$AJ214))</f>
        <v>9</v>
      </c>
    </row>
    <row r="215" customFormat="false" ht="16.5" hidden="false" customHeight="true" outlineLevel="0" collapsed="false">
      <c r="A215" s="56" t="n">
        <f aca="false">IF($F215="","",COUNTA($F$4:$F215))</f>
        <v>211</v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58" t="s">
        <v>532</v>
      </c>
      <c r="D215" s="59" t="s">
        <v>173</v>
      </c>
      <c r="E215" s="59" t="s">
        <v>493</v>
      </c>
      <c r="F215" s="59" t="s">
        <v>533</v>
      </c>
      <c r="G215" s="60" t="s">
        <v>110</v>
      </c>
      <c r="H215" s="60" t="s">
        <v>88</v>
      </c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 t="s">
        <v>495</v>
      </c>
      <c r="V215" s="57" t="str">
        <f aca="false">IF($F215="","",IF(ISNUMBER(SEARCH("(externo)",$I215&amp;$J215&amp;$K215)),"Terceirizada","Interna"))</f>
        <v>Interna</v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n">
        <f aca="false">IF($F215="","",IF(OR($Q215="",$O215=""),0,IF($Q215&lt;=$O215,1,0)))</f>
        <v>0</v>
      </c>
      <c r="Y215" s="57" t="n">
        <f aca="false">IF($F215="","",IF(OR($Q215="",$W215=""),0,IF($Q215&lt;=$W215,1,0)))</f>
        <v>0</v>
      </c>
      <c r="Z215" s="57" t="str">
        <f aca="false">IF(OR($Q215="",$O215=""),"",MAX(0,$Q215-$O215))</f>
        <v/>
      </c>
      <c r="AA215" s="57" t="n">
        <f aca="false">IF($F215="","",IF(AND($S215&lt;&gt;"",$L215&lt;&gt;"",$S215&lt;&gt;$L215),1,0))</f>
        <v>0</v>
      </c>
      <c r="AB215" s="57" t="n">
        <f aca="false">IF($F215="","",IF($R215="Cancelada",0,IF(OR($Q215&lt;&gt;"",$R215="Concluída"),1,0)))</f>
        <v>0</v>
      </c>
      <c r="AC215" s="57" t="n">
        <f aca="false">IF($P215="",0,IF($P215&lt;Hoje!$L$1,1,IF(AND($P215=Hoje!$L$1,Hoje!$L$2&gt;Semana!$M$3),1,0)))</f>
        <v>0</v>
      </c>
      <c r="AD215" s="57" t="n">
        <f aca="false">IF($F215="","",IF(COUNTA($I215:$K215)=0,0,1/COUNTA($I215:$K215)))</f>
        <v>0</v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>F-818|Pendências de inspeção|</v>
      </c>
      <c r="AK215" s="57" t="n">
        <f aca="false">IF($AJ215="","",COUNTIF($AJ$4:$AJ215,$AJ215))</f>
        <v>1</v>
      </c>
      <c r="AL215" s="57" t="n">
        <f aca="false">IF($AJ215="","",COUNTIF($AJ$4:$AJ$1004,$AJ215))</f>
        <v>26</v>
      </c>
    </row>
    <row r="216" customFormat="false" ht="16.5" hidden="false" customHeight="true" outlineLevel="0" collapsed="false">
      <c r="A216" s="56" t="n">
        <f aca="false">IF($F216="","",COUNTA($F$4:$F216))</f>
        <v>212</v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58" t="s">
        <v>534</v>
      </c>
      <c r="D216" s="59" t="s">
        <v>173</v>
      </c>
      <c r="E216" s="59" t="s">
        <v>493</v>
      </c>
      <c r="F216" s="59" t="s">
        <v>535</v>
      </c>
      <c r="G216" s="60" t="s">
        <v>110</v>
      </c>
      <c r="H216" s="60" t="s">
        <v>88</v>
      </c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 t="s">
        <v>495</v>
      </c>
      <c r="V216" s="57" t="str">
        <f aca="false">IF($F216="","",IF(ISNUMBER(SEARCH("(externo)",$I216&amp;$J216&amp;$K216)),"Terceirizada","Interna"))</f>
        <v>Interna</v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n">
        <f aca="false">IF($F216="","",IF(OR($Q216="",$O216=""),0,IF($Q216&lt;=$O216,1,0)))</f>
        <v>0</v>
      </c>
      <c r="Y216" s="57" t="n">
        <f aca="false">IF($F216="","",IF(OR($Q216="",$W216=""),0,IF($Q216&lt;=$W216,1,0)))</f>
        <v>0</v>
      </c>
      <c r="Z216" s="57" t="str">
        <f aca="false">IF(OR($Q216="",$O216=""),"",MAX(0,$Q216-$O216))</f>
        <v/>
      </c>
      <c r="AA216" s="57" t="n">
        <f aca="false">IF($F216="","",IF(AND($S216&lt;&gt;"",$L216&lt;&gt;"",$S216&lt;&gt;$L216),1,0))</f>
        <v>0</v>
      </c>
      <c r="AB216" s="57" t="n">
        <f aca="false">IF($F216="","",IF($R216="Cancelada",0,IF(OR($Q216&lt;&gt;"",$R216="Concluída"),1,0)))</f>
        <v>0</v>
      </c>
      <c r="AC216" s="57" t="n">
        <f aca="false">IF($P216="",0,IF($P216&lt;Hoje!$L$1,1,IF(AND($P216=Hoje!$L$1,Hoje!$L$2&gt;Semana!$M$3),1,0)))</f>
        <v>0</v>
      </c>
      <c r="AD216" s="57" t="n">
        <f aca="false">IF($F216="","",IF(COUNTA($I216:$K216)=0,0,1/COUNTA($I216:$K216)))</f>
        <v>0</v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>F-818|Pendências de inspeção|</v>
      </c>
      <c r="AK216" s="57" t="n">
        <f aca="false">IF($AJ216="","",COUNTIF($AJ$4:$AJ216,$AJ216))</f>
        <v>2</v>
      </c>
      <c r="AL216" s="57" t="n">
        <f aca="false">IF($AJ216="","",COUNTIF($AJ$4:$AJ$1004,$AJ216))</f>
        <v>26</v>
      </c>
    </row>
    <row r="217" customFormat="false" ht="16.5" hidden="false" customHeight="true" outlineLevel="0" collapsed="false">
      <c r="A217" s="56" t="n">
        <f aca="false">IF($F217="","",COUNTA($F$4:$F217))</f>
        <v>213</v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58" t="s">
        <v>536</v>
      </c>
      <c r="D217" s="59" t="s">
        <v>173</v>
      </c>
      <c r="E217" s="59" t="s">
        <v>493</v>
      </c>
      <c r="F217" s="59" t="s">
        <v>537</v>
      </c>
      <c r="G217" s="60" t="s">
        <v>110</v>
      </c>
      <c r="H217" s="60" t="s">
        <v>88</v>
      </c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 t="s">
        <v>495</v>
      </c>
      <c r="V217" s="57" t="str">
        <f aca="false">IF($F217="","",IF(ISNUMBER(SEARCH("(externo)",$I217&amp;$J217&amp;$K217)),"Terceirizada","Interna"))</f>
        <v>Interna</v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n">
        <f aca="false">IF($F217="","",IF(OR($Q217="",$O217=""),0,IF($Q217&lt;=$O217,1,0)))</f>
        <v>0</v>
      </c>
      <c r="Y217" s="57" t="n">
        <f aca="false">IF($F217="","",IF(OR($Q217="",$W217=""),0,IF($Q217&lt;=$W217,1,0)))</f>
        <v>0</v>
      </c>
      <c r="Z217" s="57" t="str">
        <f aca="false">IF(OR($Q217="",$O217=""),"",MAX(0,$Q217-$O217))</f>
        <v/>
      </c>
      <c r="AA217" s="57" t="n">
        <f aca="false">IF($F217="","",IF(AND($S217&lt;&gt;"",$L217&lt;&gt;"",$S217&lt;&gt;$L217),1,0))</f>
        <v>0</v>
      </c>
      <c r="AB217" s="57" t="n">
        <f aca="false">IF($F217="","",IF($R217="Cancelada",0,IF(OR($Q217&lt;&gt;"",$R217="Concluída"),1,0)))</f>
        <v>0</v>
      </c>
      <c r="AC217" s="57" t="n">
        <f aca="false">IF($P217="",0,IF($P217&lt;Hoje!$L$1,1,IF(AND($P217=Hoje!$L$1,Hoje!$L$2&gt;Semana!$M$3),1,0)))</f>
        <v>0</v>
      </c>
      <c r="AD217" s="57" t="n">
        <f aca="false">IF($F217="","",IF(COUNTA($I217:$K217)=0,0,1/COUNTA($I217:$K217)))</f>
        <v>0</v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>F-818|Pendências de inspeção|</v>
      </c>
      <c r="AK217" s="57" t="n">
        <f aca="false">IF($AJ217="","",COUNTIF($AJ$4:$AJ217,$AJ217))</f>
        <v>3</v>
      </c>
      <c r="AL217" s="57" t="n">
        <f aca="false">IF($AJ217="","",COUNTIF($AJ$4:$AJ$1004,$AJ217))</f>
        <v>26</v>
      </c>
    </row>
    <row r="218" customFormat="false" ht="16.5" hidden="false" customHeight="true" outlineLevel="0" collapsed="false">
      <c r="A218" s="56" t="n">
        <f aca="false">IF($F218="","",COUNTA($F$4:$F218))</f>
        <v>214</v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58" t="s">
        <v>538</v>
      </c>
      <c r="D218" s="59" t="s">
        <v>173</v>
      </c>
      <c r="E218" s="59" t="s">
        <v>493</v>
      </c>
      <c r="F218" s="59" t="s">
        <v>539</v>
      </c>
      <c r="G218" s="60" t="s">
        <v>110</v>
      </c>
      <c r="H218" s="60" t="s">
        <v>88</v>
      </c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 t="s">
        <v>495</v>
      </c>
      <c r="V218" s="57" t="str">
        <f aca="false">IF($F218="","",IF(ISNUMBER(SEARCH("(externo)",$I218&amp;$J218&amp;$K218)),"Terceirizada","Interna"))</f>
        <v>Interna</v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n">
        <f aca="false">IF($F218="","",IF(OR($Q218="",$O218=""),0,IF($Q218&lt;=$O218,1,0)))</f>
        <v>0</v>
      </c>
      <c r="Y218" s="57" t="n">
        <f aca="false">IF($F218="","",IF(OR($Q218="",$W218=""),0,IF($Q218&lt;=$W218,1,0)))</f>
        <v>0</v>
      </c>
      <c r="Z218" s="57" t="str">
        <f aca="false">IF(OR($Q218="",$O218=""),"",MAX(0,$Q218-$O218))</f>
        <v/>
      </c>
      <c r="AA218" s="57" t="n">
        <f aca="false">IF($F218="","",IF(AND($S218&lt;&gt;"",$L218&lt;&gt;"",$S218&lt;&gt;$L218),1,0))</f>
        <v>0</v>
      </c>
      <c r="AB218" s="57" t="n">
        <f aca="false">IF($F218="","",IF($R218="Cancelada",0,IF(OR($Q218&lt;&gt;"",$R218="Concluída"),1,0)))</f>
        <v>0</v>
      </c>
      <c r="AC218" s="57" t="n">
        <f aca="false">IF($P218="",0,IF($P218&lt;Hoje!$L$1,1,IF(AND($P218=Hoje!$L$1,Hoje!$L$2&gt;Semana!$M$3),1,0)))</f>
        <v>0</v>
      </c>
      <c r="AD218" s="57" t="n">
        <f aca="false">IF($F218="","",IF(COUNTA($I218:$K218)=0,0,1/COUNTA($I218:$K218)))</f>
        <v>0</v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>F-818|Pendências de inspeção|</v>
      </c>
      <c r="AK218" s="57" t="n">
        <f aca="false">IF($AJ218="","",COUNTIF($AJ$4:$AJ218,$AJ218))</f>
        <v>4</v>
      </c>
      <c r="AL218" s="57" t="n">
        <f aca="false">IF($AJ218="","",COUNTIF($AJ$4:$AJ$1004,$AJ218))</f>
        <v>26</v>
      </c>
    </row>
    <row r="219" customFormat="false" ht="16.5" hidden="false" customHeight="true" outlineLevel="0" collapsed="false">
      <c r="A219" s="56" t="n">
        <f aca="false">IF($F219="","",COUNTA($F$4:$F219))</f>
        <v>215</v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58" t="s">
        <v>540</v>
      </c>
      <c r="D219" s="59" t="s">
        <v>173</v>
      </c>
      <c r="E219" s="59" t="s">
        <v>493</v>
      </c>
      <c r="F219" s="59" t="s">
        <v>541</v>
      </c>
      <c r="G219" s="60" t="s">
        <v>110</v>
      </c>
      <c r="H219" s="60" t="s">
        <v>88</v>
      </c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 t="s">
        <v>495</v>
      </c>
      <c r="V219" s="57" t="str">
        <f aca="false">IF($F219="","",IF(ISNUMBER(SEARCH("(externo)",$I219&amp;$J219&amp;$K219)),"Terceirizada","Interna"))</f>
        <v>Interna</v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n">
        <f aca="false">IF($F219="","",IF(OR($Q219="",$O219=""),0,IF($Q219&lt;=$O219,1,0)))</f>
        <v>0</v>
      </c>
      <c r="Y219" s="57" t="n">
        <f aca="false">IF($F219="","",IF(OR($Q219="",$W219=""),0,IF($Q219&lt;=$W219,1,0)))</f>
        <v>0</v>
      </c>
      <c r="Z219" s="57" t="str">
        <f aca="false">IF(OR($Q219="",$O219=""),"",MAX(0,$Q219-$O219))</f>
        <v/>
      </c>
      <c r="AA219" s="57" t="n">
        <f aca="false">IF($F219="","",IF(AND($S219&lt;&gt;"",$L219&lt;&gt;"",$S219&lt;&gt;$L219),1,0))</f>
        <v>0</v>
      </c>
      <c r="AB219" s="57" t="n">
        <f aca="false">IF($F219="","",IF($R219="Cancelada",0,IF(OR($Q219&lt;&gt;"",$R219="Concluída"),1,0)))</f>
        <v>0</v>
      </c>
      <c r="AC219" s="57" t="n">
        <f aca="false">IF($P219="",0,IF($P219&lt;Hoje!$L$1,1,IF(AND($P219=Hoje!$L$1,Hoje!$L$2&gt;Semana!$M$3),1,0)))</f>
        <v>0</v>
      </c>
      <c r="AD219" s="57" t="n">
        <f aca="false">IF($F219="","",IF(COUNTA($I219:$K219)=0,0,1/COUNTA($I219:$K219)))</f>
        <v>0</v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>F-818|Pendências de inspeção|</v>
      </c>
      <c r="AK219" s="57" t="n">
        <f aca="false">IF($AJ219="","",COUNTIF($AJ$4:$AJ219,$AJ219))</f>
        <v>5</v>
      </c>
      <c r="AL219" s="57" t="n">
        <f aca="false">IF($AJ219="","",COUNTIF($AJ$4:$AJ$1004,$AJ219))</f>
        <v>26</v>
      </c>
    </row>
    <row r="220" customFormat="false" ht="16.5" hidden="false" customHeight="true" outlineLevel="0" collapsed="false">
      <c r="A220" s="56" t="n">
        <f aca="false">IF($F220="","",COUNTA($F$4:$F220))</f>
        <v>216</v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58" t="s">
        <v>542</v>
      </c>
      <c r="D220" s="59" t="s">
        <v>173</v>
      </c>
      <c r="E220" s="59" t="s">
        <v>493</v>
      </c>
      <c r="F220" s="59" t="s">
        <v>543</v>
      </c>
      <c r="G220" s="60" t="s">
        <v>110</v>
      </c>
      <c r="H220" s="60" t="s">
        <v>88</v>
      </c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 t="s">
        <v>495</v>
      </c>
      <c r="V220" s="57" t="str">
        <f aca="false">IF($F220="","",IF(ISNUMBER(SEARCH("(externo)",$I220&amp;$J220&amp;$K220)),"Terceirizada","Interna"))</f>
        <v>Interna</v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n">
        <f aca="false">IF($F220="","",IF(OR($Q220="",$O220=""),0,IF($Q220&lt;=$O220,1,0)))</f>
        <v>0</v>
      </c>
      <c r="Y220" s="57" t="n">
        <f aca="false">IF($F220="","",IF(OR($Q220="",$W220=""),0,IF($Q220&lt;=$W220,1,0)))</f>
        <v>0</v>
      </c>
      <c r="Z220" s="57" t="str">
        <f aca="false">IF(OR($Q220="",$O220=""),"",MAX(0,$Q220-$O220))</f>
        <v/>
      </c>
      <c r="AA220" s="57" t="n">
        <f aca="false">IF($F220="","",IF(AND($S220&lt;&gt;"",$L220&lt;&gt;"",$S220&lt;&gt;$L220),1,0))</f>
        <v>0</v>
      </c>
      <c r="AB220" s="57" t="n">
        <f aca="false">IF($F220="","",IF($R220="Cancelada",0,IF(OR($Q220&lt;&gt;"",$R220="Concluída"),1,0)))</f>
        <v>0</v>
      </c>
      <c r="AC220" s="57" t="n">
        <f aca="false">IF($P220="",0,IF($P220&lt;Hoje!$L$1,1,IF(AND($P220=Hoje!$L$1,Hoje!$L$2&gt;Semana!$M$3),1,0)))</f>
        <v>0</v>
      </c>
      <c r="AD220" s="57" t="n">
        <f aca="false">IF($F220="","",IF(COUNTA($I220:$K220)=0,0,1/COUNTA($I220:$K220)))</f>
        <v>0</v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>F-818|Pendências de inspeção|</v>
      </c>
      <c r="AK220" s="57" t="n">
        <f aca="false">IF($AJ220="","",COUNTIF($AJ$4:$AJ220,$AJ220))</f>
        <v>6</v>
      </c>
      <c r="AL220" s="57" t="n">
        <f aca="false">IF($AJ220="","",COUNTIF($AJ$4:$AJ$1004,$AJ220))</f>
        <v>26</v>
      </c>
    </row>
    <row r="221" customFormat="false" ht="16.5" hidden="false" customHeight="true" outlineLevel="0" collapsed="false">
      <c r="A221" s="56" t="n">
        <f aca="false">IF($F221="","",COUNTA($F$4:$F221))</f>
        <v>217</v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58" t="s">
        <v>544</v>
      </c>
      <c r="D221" s="59" t="s">
        <v>173</v>
      </c>
      <c r="E221" s="59" t="s">
        <v>493</v>
      </c>
      <c r="F221" s="59" t="s">
        <v>545</v>
      </c>
      <c r="G221" s="60" t="s">
        <v>110</v>
      </c>
      <c r="H221" s="60" t="s">
        <v>88</v>
      </c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 t="s">
        <v>495</v>
      </c>
      <c r="V221" s="57" t="str">
        <f aca="false">IF($F221="","",IF(ISNUMBER(SEARCH("(externo)",$I221&amp;$J221&amp;$K221)),"Terceirizada","Interna"))</f>
        <v>Interna</v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n">
        <f aca="false">IF($F221="","",IF(OR($Q221="",$O221=""),0,IF($Q221&lt;=$O221,1,0)))</f>
        <v>0</v>
      </c>
      <c r="Y221" s="57" t="n">
        <f aca="false">IF($F221="","",IF(OR($Q221="",$W221=""),0,IF($Q221&lt;=$W221,1,0)))</f>
        <v>0</v>
      </c>
      <c r="Z221" s="57" t="str">
        <f aca="false">IF(OR($Q221="",$O221=""),"",MAX(0,$Q221-$O221))</f>
        <v/>
      </c>
      <c r="AA221" s="57" t="n">
        <f aca="false">IF($F221="","",IF(AND($S221&lt;&gt;"",$L221&lt;&gt;"",$S221&lt;&gt;$L221),1,0))</f>
        <v>0</v>
      </c>
      <c r="AB221" s="57" t="n">
        <f aca="false">IF($F221="","",IF($R221="Cancelada",0,IF(OR($Q221&lt;&gt;"",$R221="Concluída"),1,0)))</f>
        <v>0</v>
      </c>
      <c r="AC221" s="57" t="n">
        <f aca="false">IF($P221="",0,IF($P221&lt;Hoje!$L$1,1,IF(AND($P221=Hoje!$L$1,Hoje!$L$2&gt;Semana!$M$3),1,0)))</f>
        <v>0</v>
      </c>
      <c r="AD221" s="57" t="n">
        <f aca="false">IF($F221="","",IF(COUNTA($I221:$K221)=0,0,1/COUNTA($I221:$K221)))</f>
        <v>0</v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>F-818|Pendências de inspeção|</v>
      </c>
      <c r="AK221" s="57" t="n">
        <f aca="false">IF($AJ221="","",COUNTIF($AJ$4:$AJ221,$AJ221))</f>
        <v>7</v>
      </c>
      <c r="AL221" s="57" t="n">
        <f aca="false">IF($AJ221="","",COUNTIF($AJ$4:$AJ$1004,$AJ221))</f>
        <v>26</v>
      </c>
    </row>
    <row r="222" customFormat="false" ht="16.5" hidden="false" customHeight="true" outlineLevel="0" collapsed="false">
      <c r="A222" s="56" t="n">
        <f aca="false">IF($F222="","",COUNTA($F$4:$F222))</f>
        <v>218</v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58" t="s">
        <v>546</v>
      </c>
      <c r="D222" s="59" t="s">
        <v>173</v>
      </c>
      <c r="E222" s="59" t="s">
        <v>493</v>
      </c>
      <c r="F222" s="59" t="s">
        <v>547</v>
      </c>
      <c r="G222" s="60" t="s">
        <v>110</v>
      </c>
      <c r="H222" s="60" t="s">
        <v>88</v>
      </c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 t="s">
        <v>495</v>
      </c>
      <c r="V222" s="57" t="str">
        <f aca="false">IF($F222="","",IF(ISNUMBER(SEARCH("(externo)",$I222&amp;$J222&amp;$K222)),"Terceirizada","Interna"))</f>
        <v>Interna</v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n">
        <f aca="false">IF($F222="","",IF(OR($Q222="",$O222=""),0,IF($Q222&lt;=$O222,1,0)))</f>
        <v>0</v>
      </c>
      <c r="Y222" s="57" t="n">
        <f aca="false">IF($F222="","",IF(OR($Q222="",$W222=""),0,IF($Q222&lt;=$W222,1,0)))</f>
        <v>0</v>
      </c>
      <c r="Z222" s="57" t="str">
        <f aca="false">IF(OR($Q222="",$O222=""),"",MAX(0,$Q222-$O222))</f>
        <v/>
      </c>
      <c r="AA222" s="57" t="n">
        <f aca="false">IF($F222="","",IF(AND($S222&lt;&gt;"",$L222&lt;&gt;"",$S222&lt;&gt;$L222),1,0))</f>
        <v>0</v>
      </c>
      <c r="AB222" s="57" t="n">
        <f aca="false">IF($F222="","",IF($R222="Cancelada",0,IF(OR($Q222&lt;&gt;"",$R222="Concluída"),1,0)))</f>
        <v>0</v>
      </c>
      <c r="AC222" s="57" t="n">
        <f aca="false">IF($P222="",0,IF($P222&lt;Hoje!$L$1,1,IF(AND($P222=Hoje!$L$1,Hoje!$L$2&gt;Semana!$M$3),1,0)))</f>
        <v>0</v>
      </c>
      <c r="AD222" s="57" t="n">
        <f aca="false">IF($F222="","",IF(COUNTA($I222:$K222)=0,0,1/COUNTA($I222:$K222)))</f>
        <v>0</v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>F-818|Pendências de inspeção|</v>
      </c>
      <c r="AK222" s="57" t="n">
        <f aca="false">IF($AJ222="","",COUNTIF($AJ$4:$AJ222,$AJ222))</f>
        <v>8</v>
      </c>
      <c r="AL222" s="57" t="n">
        <f aca="false">IF($AJ222="","",COUNTIF($AJ$4:$AJ$1004,$AJ222))</f>
        <v>26</v>
      </c>
    </row>
    <row r="223" customFormat="false" ht="16.5" hidden="false" customHeight="true" outlineLevel="0" collapsed="false">
      <c r="A223" s="56" t="n">
        <f aca="false">IF($F223="","",COUNTA($F$4:$F223))</f>
        <v>219</v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58" t="s">
        <v>548</v>
      </c>
      <c r="D223" s="59" t="s">
        <v>173</v>
      </c>
      <c r="E223" s="59" t="s">
        <v>493</v>
      </c>
      <c r="F223" s="59" t="s">
        <v>549</v>
      </c>
      <c r="G223" s="60" t="s">
        <v>110</v>
      </c>
      <c r="H223" s="60" t="s">
        <v>88</v>
      </c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 t="s">
        <v>495</v>
      </c>
      <c r="V223" s="57" t="str">
        <f aca="false">IF($F223="","",IF(ISNUMBER(SEARCH("(externo)",$I223&amp;$J223&amp;$K223)),"Terceirizada","Interna"))</f>
        <v>Interna</v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n">
        <f aca="false">IF($F223="","",IF(OR($Q223="",$O223=""),0,IF($Q223&lt;=$O223,1,0)))</f>
        <v>0</v>
      </c>
      <c r="Y223" s="57" t="n">
        <f aca="false">IF($F223="","",IF(OR($Q223="",$W223=""),0,IF($Q223&lt;=$W223,1,0)))</f>
        <v>0</v>
      </c>
      <c r="Z223" s="57" t="str">
        <f aca="false">IF(OR($Q223="",$O223=""),"",MAX(0,$Q223-$O223))</f>
        <v/>
      </c>
      <c r="AA223" s="57" t="n">
        <f aca="false">IF($F223="","",IF(AND($S223&lt;&gt;"",$L223&lt;&gt;"",$S223&lt;&gt;$L223),1,0))</f>
        <v>0</v>
      </c>
      <c r="AB223" s="57" t="n">
        <f aca="false">IF($F223="","",IF($R223="Cancelada",0,IF(OR($Q223&lt;&gt;"",$R223="Concluída"),1,0)))</f>
        <v>0</v>
      </c>
      <c r="AC223" s="57" t="n">
        <f aca="false">IF($P223="",0,IF($P223&lt;Hoje!$L$1,1,IF(AND($P223=Hoje!$L$1,Hoje!$L$2&gt;Semana!$M$3),1,0)))</f>
        <v>0</v>
      </c>
      <c r="AD223" s="57" t="n">
        <f aca="false">IF($F223="","",IF(COUNTA($I223:$K223)=0,0,1/COUNTA($I223:$K223)))</f>
        <v>0</v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>F-818|Pendências de inspeção|</v>
      </c>
      <c r="AK223" s="57" t="n">
        <f aca="false">IF($AJ223="","",COUNTIF($AJ$4:$AJ223,$AJ223))</f>
        <v>9</v>
      </c>
      <c r="AL223" s="57" t="n">
        <f aca="false">IF($AJ223="","",COUNTIF($AJ$4:$AJ$1004,$AJ223))</f>
        <v>26</v>
      </c>
    </row>
    <row r="224" customFormat="false" ht="16.5" hidden="false" customHeight="true" outlineLevel="0" collapsed="false">
      <c r="A224" s="56" t="n">
        <f aca="false">IF($F224="","",COUNTA($F$4:$F224))</f>
        <v>220</v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58" t="s">
        <v>550</v>
      </c>
      <c r="D224" s="59" t="s">
        <v>173</v>
      </c>
      <c r="E224" s="59" t="s">
        <v>493</v>
      </c>
      <c r="F224" s="59" t="s">
        <v>551</v>
      </c>
      <c r="G224" s="60" t="s">
        <v>110</v>
      </c>
      <c r="H224" s="60" t="s">
        <v>88</v>
      </c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 t="s">
        <v>495</v>
      </c>
      <c r="V224" s="57" t="str">
        <f aca="false">IF($F224="","",IF(ISNUMBER(SEARCH("(externo)",$I224&amp;$J224&amp;$K224)),"Terceirizada","Interna"))</f>
        <v>Interna</v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n">
        <f aca="false">IF($F224="","",IF(OR($Q224="",$O224=""),0,IF($Q224&lt;=$O224,1,0)))</f>
        <v>0</v>
      </c>
      <c r="Y224" s="57" t="n">
        <f aca="false">IF($F224="","",IF(OR($Q224="",$W224=""),0,IF($Q224&lt;=$W224,1,0)))</f>
        <v>0</v>
      </c>
      <c r="Z224" s="57" t="str">
        <f aca="false">IF(OR($Q224="",$O224=""),"",MAX(0,$Q224-$O224))</f>
        <v/>
      </c>
      <c r="AA224" s="57" t="n">
        <f aca="false">IF($F224="","",IF(AND($S224&lt;&gt;"",$L224&lt;&gt;"",$S224&lt;&gt;$L224),1,0))</f>
        <v>0</v>
      </c>
      <c r="AB224" s="57" t="n">
        <f aca="false">IF($F224="","",IF($R224="Cancelada",0,IF(OR($Q224&lt;&gt;"",$R224="Concluída"),1,0)))</f>
        <v>0</v>
      </c>
      <c r="AC224" s="57" t="n">
        <f aca="false">IF($P224="",0,IF($P224&lt;Hoje!$L$1,1,IF(AND($P224=Hoje!$L$1,Hoje!$L$2&gt;Semana!$M$3),1,0)))</f>
        <v>0</v>
      </c>
      <c r="AD224" s="57" t="n">
        <f aca="false">IF($F224="","",IF(COUNTA($I224:$K224)=0,0,1/COUNTA($I224:$K224)))</f>
        <v>0</v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>F-818|Pendências de inspeção|</v>
      </c>
      <c r="AK224" s="57" t="n">
        <f aca="false">IF($AJ224="","",COUNTIF($AJ$4:$AJ224,$AJ224))</f>
        <v>10</v>
      </c>
      <c r="AL224" s="57" t="n">
        <f aca="false">IF($AJ224="","",COUNTIF($AJ$4:$AJ$1004,$AJ224))</f>
        <v>26</v>
      </c>
    </row>
    <row r="225" customFormat="false" ht="16.5" hidden="false" customHeight="true" outlineLevel="0" collapsed="false">
      <c r="A225" s="56" t="n">
        <f aca="false">IF($F225="","",COUNTA($F$4:$F225))</f>
        <v>221</v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58" t="s">
        <v>552</v>
      </c>
      <c r="D225" s="59" t="s">
        <v>173</v>
      </c>
      <c r="E225" s="59" t="s">
        <v>493</v>
      </c>
      <c r="F225" s="59" t="s">
        <v>553</v>
      </c>
      <c r="G225" s="60" t="s">
        <v>110</v>
      </c>
      <c r="H225" s="60" t="s">
        <v>88</v>
      </c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 t="s">
        <v>495</v>
      </c>
      <c r="V225" s="57" t="str">
        <f aca="false">IF($F225="","",IF(ISNUMBER(SEARCH("(externo)",$I225&amp;$J225&amp;$K225)),"Terceirizada","Interna"))</f>
        <v>Interna</v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n">
        <f aca="false">IF($F225="","",IF(OR($Q225="",$O225=""),0,IF($Q225&lt;=$O225,1,0)))</f>
        <v>0</v>
      </c>
      <c r="Y225" s="57" t="n">
        <f aca="false">IF($F225="","",IF(OR($Q225="",$W225=""),0,IF($Q225&lt;=$W225,1,0)))</f>
        <v>0</v>
      </c>
      <c r="Z225" s="57" t="str">
        <f aca="false">IF(OR($Q225="",$O225=""),"",MAX(0,$Q225-$O225))</f>
        <v/>
      </c>
      <c r="AA225" s="57" t="n">
        <f aca="false">IF($F225="","",IF(AND($S225&lt;&gt;"",$L225&lt;&gt;"",$S225&lt;&gt;$L225),1,0))</f>
        <v>0</v>
      </c>
      <c r="AB225" s="57" t="n">
        <f aca="false">IF($F225="","",IF($R225="Cancelada",0,IF(OR($Q225&lt;&gt;"",$R225="Concluída"),1,0)))</f>
        <v>0</v>
      </c>
      <c r="AC225" s="57" t="n">
        <f aca="false">IF($P225="",0,IF($P225&lt;Hoje!$L$1,1,IF(AND($P225=Hoje!$L$1,Hoje!$L$2&gt;Semana!$M$3),1,0)))</f>
        <v>0</v>
      </c>
      <c r="AD225" s="57" t="n">
        <f aca="false">IF($F225="","",IF(COUNTA($I225:$K225)=0,0,1/COUNTA($I225:$K225)))</f>
        <v>0</v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>F-818|Pendências de inspeção|</v>
      </c>
      <c r="AK225" s="57" t="n">
        <f aca="false">IF($AJ225="","",COUNTIF($AJ$4:$AJ225,$AJ225))</f>
        <v>11</v>
      </c>
      <c r="AL225" s="57" t="n">
        <f aca="false">IF($AJ225="","",COUNTIF($AJ$4:$AJ$1004,$AJ225))</f>
        <v>26</v>
      </c>
    </row>
    <row r="226" customFormat="false" ht="16.5" hidden="false" customHeight="true" outlineLevel="0" collapsed="false">
      <c r="A226" s="56" t="n">
        <f aca="false">IF($F226="","",COUNTA($F$4:$F226))</f>
        <v>222</v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58" t="s">
        <v>554</v>
      </c>
      <c r="D226" s="59" t="s">
        <v>173</v>
      </c>
      <c r="E226" s="59" t="s">
        <v>493</v>
      </c>
      <c r="F226" s="59" t="s">
        <v>555</v>
      </c>
      <c r="G226" s="60" t="s">
        <v>110</v>
      </c>
      <c r="H226" s="60" t="s">
        <v>88</v>
      </c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 t="s">
        <v>495</v>
      </c>
      <c r="V226" s="57" t="str">
        <f aca="false">IF($F226="","",IF(ISNUMBER(SEARCH("(externo)",$I226&amp;$J226&amp;$K226)),"Terceirizada","Interna"))</f>
        <v>Interna</v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n">
        <f aca="false">IF($F226="","",IF(OR($Q226="",$O226=""),0,IF($Q226&lt;=$O226,1,0)))</f>
        <v>0</v>
      </c>
      <c r="Y226" s="57" t="n">
        <f aca="false">IF($F226="","",IF(OR($Q226="",$W226=""),0,IF($Q226&lt;=$W226,1,0)))</f>
        <v>0</v>
      </c>
      <c r="Z226" s="57" t="str">
        <f aca="false">IF(OR($Q226="",$O226=""),"",MAX(0,$Q226-$O226))</f>
        <v/>
      </c>
      <c r="AA226" s="57" t="n">
        <f aca="false">IF($F226="","",IF(AND($S226&lt;&gt;"",$L226&lt;&gt;"",$S226&lt;&gt;$L226),1,0))</f>
        <v>0</v>
      </c>
      <c r="AB226" s="57" t="n">
        <f aca="false">IF($F226="","",IF($R226="Cancelada",0,IF(OR($Q226&lt;&gt;"",$R226="Concluída"),1,0)))</f>
        <v>0</v>
      </c>
      <c r="AC226" s="57" t="n">
        <f aca="false">IF($P226="",0,IF($P226&lt;Hoje!$L$1,1,IF(AND($P226=Hoje!$L$1,Hoje!$L$2&gt;Semana!$M$3),1,0)))</f>
        <v>0</v>
      </c>
      <c r="AD226" s="57" t="n">
        <f aca="false">IF($F226="","",IF(COUNTA($I226:$K226)=0,0,1/COUNTA($I226:$K226)))</f>
        <v>0</v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>F-818|Pendências de inspeção|</v>
      </c>
      <c r="AK226" s="57" t="n">
        <f aca="false">IF($AJ226="","",COUNTIF($AJ$4:$AJ226,$AJ226))</f>
        <v>12</v>
      </c>
      <c r="AL226" s="57" t="n">
        <f aca="false">IF($AJ226="","",COUNTIF($AJ$4:$AJ$1004,$AJ226))</f>
        <v>26</v>
      </c>
    </row>
    <row r="227" customFormat="false" ht="16.5" hidden="false" customHeight="true" outlineLevel="0" collapsed="false">
      <c r="A227" s="56" t="n">
        <f aca="false">IF($F227="","",COUNTA($F$4:$F227))</f>
        <v>223</v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58" t="s">
        <v>556</v>
      </c>
      <c r="D227" s="59" t="s">
        <v>173</v>
      </c>
      <c r="E227" s="59" t="s">
        <v>493</v>
      </c>
      <c r="F227" s="59" t="s">
        <v>557</v>
      </c>
      <c r="G227" s="60" t="s">
        <v>110</v>
      </c>
      <c r="H227" s="60" t="s">
        <v>88</v>
      </c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 t="s">
        <v>495</v>
      </c>
      <c r="V227" s="57" t="str">
        <f aca="false">IF($F227="","",IF(ISNUMBER(SEARCH("(externo)",$I227&amp;$J227&amp;$K227)),"Terceirizada","Interna"))</f>
        <v>Interna</v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n">
        <f aca="false">IF($F227="","",IF(OR($Q227="",$O227=""),0,IF($Q227&lt;=$O227,1,0)))</f>
        <v>0</v>
      </c>
      <c r="Y227" s="57" t="n">
        <f aca="false">IF($F227="","",IF(OR($Q227="",$W227=""),0,IF($Q227&lt;=$W227,1,0)))</f>
        <v>0</v>
      </c>
      <c r="Z227" s="57" t="str">
        <f aca="false">IF(OR($Q227="",$O227=""),"",MAX(0,$Q227-$O227))</f>
        <v/>
      </c>
      <c r="AA227" s="57" t="n">
        <f aca="false">IF($F227="","",IF(AND($S227&lt;&gt;"",$L227&lt;&gt;"",$S227&lt;&gt;$L227),1,0))</f>
        <v>0</v>
      </c>
      <c r="AB227" s="57" t="n">
        <f aca="false">IF($F227="","",IF($R227="Cancelada",0,IF(OR($Q227&lt;&gt;"",$R227="Concluída"),1,0)))</f>
        <v>0</v>
      </c>
      <c r="AC227" s="57" t="n">
        <f aca="false">IF($P227="",0,IF($P227&lt;Hoje!$L$1,1,IF(AND($P227=Hoje!$L$1,Hoje!$L$2&gt;Semana!$M$3),1,0)))</f>
        <v>0</v>
      </c>
      <c r="AD227" s="57" t="n">
        <f aca="false">IF($F227="","",IF(COUNTA($I227:$K227)=0,0,1/COUNTA($I227:$K227)))</f>
        <v>0</v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>F-818|Pendências de inspeção|</v>
      </c>
      <c r="AK227" s="57" t="n">
        <f aca="false">IF($AJ227="","",COUNTIF($AJ$4:$AJ227,$AJ227))</f>
        <v>13</v>
      </c>
      <c r="AL227" s="57" t="n">
        <f aca="false">IF($AJ227="","",COUNTIF($AJ$4:$AJ$1004,$AJ227))</f>
        <v>26</v>
      </c>
    </row>
    <row r="228" customFormat="false" ht="16.5" hidden="false" customHeight="true" outlineLevel="0" collapsed="false">
      <c r="A228" s="56" t="n">
        <f aca="false">IF($F228="","",COUNTA($F$4:$F228))</f>
        <v>224</v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58" t="s">
        <v>558</v>
      </c>
      <c r="D228" s="59" t="s">
        <v>173</v>
      </c>
      <c r="E228" s="59" t="s">
        <v>493</v>
      </c>
      <c r="F228" s="59" t="s">
        <v>559</v>
      </c>
      <c r="G228" s="60" t="s">
        <v>110</v>
      </c>
      <c r="H228" s="60" t="s">
        <v>88</v>
      </c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 t="s">
        <v>495</v>
      </c>
      <c r="V228" s="57" t="str">
        <f aca="false">IF($F228="","",IF(ISNUMBER(SEARCH("(externo)",$I228&amp;$J228&amp;$K228)),"Terceirizada","Interna"))</f>
        <v>Interna</v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n">
        <f aca="false">IF($F228="","",IF(OR($Q228="",$O228=""),0,IF($Q228&lt;=$O228,1,0)))</f>
        <v>0</v>
      </c>
      <c r="Y228" s="57" t="n">
        <f aca="false">IF($F228="","",IF(OR($Q228="",$W228=""),0,IF($Q228&lt;=$W228,1,0)))</f>
        <v>0</v>
      </c>
      <c r="Z228" s="57" t="str">
        <f aca="false">IF(OR($Q228="",$O228=""),"",MAX(0,$Q228-$O228))</f>
        <v/>
      </c>
      <c r="AA228" s="57" t="n">
        <f aca="false">IF($F228="","",IF(AND($S228&lt;&gt;"",$L228&lt;&gt;"",$S228&lt;&gt;$L228),1,0))</f>
        <v>0</v>
      </c>
      <c r="AB228" s="57" t="n">
        <f aca="false">IF($F228="","",IF($R228="Cancelada",0,IF(OR($Q228&lt;&gt;"",$R228="Concluída"),1,0)))</f>
        <v>0</v>
      </c>
      <c r="AC228" s="57" t="n">
        <f aca="false">IF($P228="",0,IF($P228&lt;Hoje!$L$1,1,IF(AND($P228=Hoje!$L$1,Hoje!$L$2&gt;Semana!$M$3),1,0)))</f>
        <v>0</v>
      </c>
      <c r="AD228" s="57" t="n">
        <f aca="false">IF($F228="","",IF(COUNTA($I228:$K228)=0,0,1/COUNTA($I228:$K228)))</f>
        <v>0</v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>F-818|Pendências de inspeção|</v>
      </c>
      <c r="AK228" s="57" t="n">
        <f aca="false">IF($AJ228="","",COUNTIF($AJ$4:$AJ228,$AJ228))</f>
        <v>14</v>
      </c>
      <c r="AL228" s="57" t="n">
        <f aca="false">IF($AJ228="","",COUNTIF($AJ$4:$AJ$1004,$AJ228))</f>
        <v>26</v>
      </c>
    </row>
    <row r="229" customFormat="false" ht="16.5" hidden="false" customHeight="true" outlineLevel="0" collapsed="false">
      <c r="A229" s="56" t="n">
        <f aca="false">IF($F229="","",COUNTA($F$4:$F229))</f>
        <v>225</v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58" t="s">
        <v>560</v>
      </c>
      <c r="D229" s="59" t="s">
        <v>173</v>
      </c>
      <c r="E229" s="59" t="s">
        <v>493</v>
      </c>
      <c r="F229" s="59" t="s">
        <v>561</v>
      </c>
      <c r="G229" s="60" t="s">
        <v>110</v>
      </c>
      <c r="H229" s="60" t="s">
        <v>88</v>
      </c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 t="s">
        <v>495</v>
      </c>
      <c r="V229" s="57" t="str">
        <f aca="false">IF($F229="","",IF(ISNUMBER(SEARCH("(externo)",$I229&amp;$J229&amp;$K229)),"Terceirizada","Interna"))</f>
        <v>Interna</v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n">
        <f aca="false">IF($F229="","",IF(OR($Q229="",$O229=""),0,IF($Q229&lt;=$O229,1,0)))</f>
        <v>0</v>
      </c>
      <c r="Y229" s="57" t="n">
        <f aca="false">IF($F229="","",IF(OR($Q229="",$W229=""),0,IF($Q229&lt;=$W229,1,0)))</f>
        <v>0</v>
      </c>
      <c r="Z229" s="57" t="str">
        <f aca="false">IF(OR($Q229="",$O229=""),"",MAX(0,$Q229-$O229))</f>
        <v/>
      </c>
      <c r="AA229" s="57" t="n">
        <f aca="false">IF($F229="","",IF(AND($S229&lt;&gt;"",$L229&lt;&gt;"",$S229&lt;&gt;$L229),1,0))</f>
        <v>0</v>
      </c>
      <c r="AB229" s="57" t="n">
        <f aca="false">IF($F229="","",IF($R229="Cancelada",0,IF(OR($Q229&lt;&gt;"",$R229="Concluída"),1,0)))</f>
        <v>0</v>
      </c>
      <c r="AC229" s="57" t="n">
        <f aca="false">IF($P229="",0,IF($P229&lt;Hoje!$L$1,1,IF(AND($P229=Hoje!$L$1,Hoje!$L$2&gt;Semana!$M$3),1,0)))</f>
        <v>0</v>
      </c>
      <c r="AD229" s="57" t="n">
        <f aca="false">IF($F229="","",IF(COUNTA($I229:$K229)=0,0,1/COUNTA($I229:$K229)))</f>
        <v>0</v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>F-818|Pendências de inspeção|</v>
      </c>
      <c r="AK229" s="57" t="n">
        <f aca="false">IF($AJ229="","",COUNTIF($AJ$4:$AJ229,$AJ229))</f>
        <v>15</v>
      </c>
      <c r="AL229" s="57" t="n">
        <f aca="false">IF($AJ229="","",COUNTIF($AJ$4:$AJ$1004,$AJ229))</f>
        <v>26</v>
      </c>
    </row>
    <row r="230" customFormat="false" ht="16.5" hidden="false" customHeight="true" outlineLevel="0" collapsed="false">
      <c r="A230" s="56" t="n">
        <f aca="false">IF($F230="","",COUNTA($F$4:$F230))</f>
        <v>226</v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58" t="s">
        <v>562</v>
      </c>
      <c r="D230" s="59" t="s">
        <v>173</v>
      </c>
      <c r="E230" s="59" t="s">
        <v>493</v>
      </c>
      <c r="F230" s="59" t="s">
        <v>563</v>
      </c>
      <c r="G230" s="60" t="s">
        <v>110</v>
      </c>
      <c r="H230" s="60" t="s">
        <v>88</v>
      </c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 t="s">
        <v>495</v>
      </c>
      <c r="V230" s="57" t="str">
        <f aca="false">IF($F230="","",IF(ISNUMBER(SEARCH("(externo)",$I230&amp;$J230&amp;$K230)),"Terceirizada","Interna"))</f>
        <v>Interna</v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n">
        <f aca="false">IF($F230="","",IF(OR($Q230="",$O230=""),0,IF($Q230&lt;=$O230,1,0)))</f>
        <v>0</v>
      </c>
      <c r="Y230" s="57" t="n">
        <f aca="false">IF($F230="","",IF(OR($Q230="",$W230=""),0,IF($Q230&lt;=$W230,1,0)))</f>
        <v>0</v>
      </c>
      <c r="Z230" s="57" t="str">
        <f aca="false">IF(OR($Q230="",$O230=""),"",MAX(0,$Q230-$O230))</f>
        <v/>
      </c>
      <c r="AA230" s="57" t="n">
        <f aca="false">IF($F230="","",IF(AND($S230&lt;&gt;"",$L230&lt;&gt;"",$S230&lt;&gt;$L230),1,0))</f>
        <v>0</v>
      </c>
      <c r="AB230" s="57" t="n">
        <f aca="false">IF($F230="","",IF($R230="Cancelada",0,IF(OR($Q230&lt;&gt;"",$R230="Concluída"),1,0)))</f>
        <v>0</v>
      </c>
      <c r="AC230" s="57" t="n">
        <f aca="false">IF($P230="",0,IF($P230&lt;Hoje!$L$1,1,IF(AND($P230=Hoje!$L$1,Hoje!$L$2&gt;Semana!$M$3),1,0)))</f>
        <v>0</v>
      </c>
      <c r="AD230" s="57" t="n">
        <f aca="false">IF($F230="","",IF(COUNTA($I230:$K230)=0,0,1/COUNTA($I230:$K230)))</f>
        <v>0</v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>F-818|Pendências de inspeção|</v>
      </c>
      <c r="AK230" s="57" t="n">
        <f aca="false">IF($AJ230="","",COUNTIF($AJ$4:$AJ230,$AJ230))</f>
        <v>16</v>
      </c>
      <c r="AL230" s="57" t="n">
        <f aca="false">IF($AJ230="","",COUNTIF($AJ$4:$AJ$1004,$AJ230))</f>
        <v>26</v>
      </c>
    </row>
    <row r="231" customFormat="false" ht="16.5" hidden="false" customHeight="true" outlineLevel="0" collapsed="false">
      <c r="A231" s="56" t="n">
        <f aca="false">IF($F231="","",COUNTA($F$4:$F231))</f>
        <v>227</v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58" t="s">
        <v>564</v>
      </c>
      <c r="D231" s="59" t="s">
        <v>173</v>
      </c>
      <c r="E231" s="59" t="s">
        <v>493</v>
      </c>
      <c r="F231" s="59" t="s">
        <v>565</v>
      </c>
      <c r="G231" s="60" t="s">
        <v>110</v>
      </c>
      <c r="H231" s="60" t="s">
        <v>88</v>
      </c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 t="s">
        <v>495</v>
      </c>
      <c r="V231" s="57" t="str">
        <f aca="false">IF($F231="","",IF(ISNUMBER(SEARCH("(externo)",$I231&amp;$J231&amp;$K231)),"Terceirizada","Interna"))</f>
        <v>Interna</v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n">
        <f aca="false">IF($F231="","",IF(OR($Q231="",$O231=""),0,IF($Q231&lt;=$O231,1,0)))</f>
        <v>0</v>
      </c>
      <c r="Y231" s="57" t="n">
        <f aca="false">IF($F231="","",IF(OR($Q231="",$W231=""),0,IF($Q231&lt;=$W231,1,0)))</f>
        <v>0</v>
      </c>
      <c r="Z231" s="57" t="str">
        <f aca="false">IF(OR($Q231="",$O231=""),"",MAX(0,$Q231-$O231))</f>
        <v/>
      </c>
      <c r="AA231" s="57" t="n">
        <f aca="false">IF($F231="","",IF(AND($S231&lt;&gt;"",$L231&lt;&gt;"",$S231&lt;&gt;$L231),1,0))</f>
        <v>0</v>
      </c>
      <c r="AB231" s="57" t="n">
        <f aca="false">IF($F231="","",IF($R231="Cancelada",0,IF(OR($Q231&lt;&gt;"",$R231="Concluída"),1,0)))</f>
        <v>0</v>
      </c>
      <c r="AC231" s="57" t="n">
        <f aca="false">IF($P231="",0,IF($P231&lt;Hoje!$L$1,1,IF(AND($P231=Hoje!$L$1,Hoje!$L$2&gt;Semana!$M$3),1,0)))</f>
        <v>0</v>
      </c>
      <c r="AD231" s="57" t="n">
        <f aca="false">IF($F231="","",IF(COUNTA($I231:$K231)=0,0,1/COUNTA($I231:$K231)))</f>
        <v>0</v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>F-818|Pendências de inspeção|</v>
      </c>
      <c r="AK231" s="57" t="n">
        <f aca="false">IF($AJ231="","",COUNTIF($AJ$4:$AJ231,$AJ231))</f>
        <v>17</v>
      </c>
      <c r="AL231" s="57" t="n">
        <f aca="false">IF($AJ231="","",COUNTIF($AJ$4:$AJ$1004,$AJ231))</f>
        <v>26</v>
      </c>
    </row>
    <row r="232" customFormat="false" ht="16.5" hidden="false" customHeight="true" outlineLevel="0" collapsed="false">
      <c r="A232" s="56" t="n">
        <f aca="false">IF($F232="","",COUNTA($F$4:$F232))</f>
        <v>228</v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58" t="s">
        <v>566</v>
      </c>
      <c r="D232" s="59" t="s">
        <v>173</v>
      </c>
      <c r="E232" s="59" t="s">
        <v>493</v>
      </c>
      <c r="F232" s="59" t="s">
        <v>567</v>
      </c>
      <c r="G232" s="60" t="s">
        <v>110</v>
      </c>
      <c r="H232" s="60" t="s">
        <v>88</v>
      </c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 t="s">
        <v>495</v>
      </c>
      <c r="V232" s="57" t="str">
        <f aca="false">IF($F232="","",IF(ISNUMBER(SEARCH("(externo)",$I232&amp;$J232&amp;$K232)),"Terceirizada","Interna"))</f>
        <v>Interna</v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n">
        <f aca="false">IF($F232="","",IF(OR($Q232="",$O232=""),0,IF($Q232&lt;=$O232,1,0)))</f>
        <v>0</v>
      </c>
      <c r="Y232" s="57" t="n">
        <f aca="false">IF($F232="","",IF(OR($Q232="",$W232=""),0,IF($Q232&lt;=$W232,1,0)))</f>
        <v>0</v>
      </c>
      <c r="Z232" s="57" t="str">
        <f aca="false">IF(OR($Q232="",$O232=""),"",MAX(0,$Q232-$O232))</f>
        <v/>
      </c>
      <c r="AA232" s="57" t="n">
        <f aca="false">IF($F232="","",IF(AND($S232&lt;&gt;"",$L232&lt;&gt;"",$S232&lt;&gt;$L232),1,0))</f>
        <v>0</v>
      </c>
      <c r="AB232" s="57" t="n">
        <f aca="false">IF($F232="","",IF($R232="Cancelada",0,IF(OR($Q232&lt;&gt;"",$R232="Concluída"),1,0)))</f>
        <v>0</v>
      </c>
      <c r="AC232" s="57" t="n">
        <f aca="false">IF($P232="",0,IF($P232&lt;Hoje!$L$1,1,IF(AND($P232=Hoje!$L$1,Hoje!$L$2&gt;Semana!$M$3),1,0)))</f>
        <v>0</v>
      </c>
      <c r="AD232" s="57" t="n">
        <f aca="false">IF($F232="","",IF(COUNTA($I232:$K232)=0,0,1/COUNTA($I232:$K232)))</f>
        <v>0</v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>F-818|Pendências de inspeção|</v>
      </c>
      <c r="AK232" s="57" t="n">
        <f aca="false">IF($AJ232="","",COUNTIF($AJ$4:$AJ232,$AJ232))</f>
        <v>18</v>
      </c>
      <c r="AL232" s="57" t="n">
        <f aca="false">IF($AJ232="","",COUNTIF($AJ$4:$AJ$1004,$AJ232))</f>
        <v>26</v>
      </c>
    </row>
    <row r="233" customFormat="false" ht="16.5" hidden="false" customHeight="true" outlineLevel="0" collapsed="false">
      <c r="A233" s="56" t="n">
        <f aca="false">IF($F233="","",COUNTA($F$4:$F233))</f>
        <v>229</v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58" t="s">
        <v>568</v>
      </c>
      <c r="D233" s="59" t="s">
        <v>173</v>
      </c>
      <c r="E233" s="59" t="s">
        <v>493</v>
      </c>
      <c r="F233" s="59" t="s">
        <v>569</v>
      </c>
      <c r="G233" s="60" t="s">
        <v>110</v>
      </c>
      <c r="H233" s="60" t="s">
        <v>88</v>
      </c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 t="s">
        <v>495</v>
      </c>
      <c r="V233" s="57" t="str">
        <f aca="false">IF($F233="","",IF(ISNUMBER(SEARCH("(externo)",$I233&amp;$J233&amp;$K233)),"Terceirizada","Interna"))</f>
        <v>Interna</v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n">
        <f aca="false">IF($F233="","",IF(OR($Q233="",$O233=""),0,IF($Q233&lt;=$O233,1,0)))</f>
        <v>0</v>
      </c>
      <c r="Y233" s="57" t="n">
        <f aca="false">IF($F233="","",IF(OR($Q233="",$W233=""),0,IF($Q233&lt;=$W233,1,0)))</f>
        <v>0</v>
      </c>
      <c r="Z233" s="57" t="str">
        <f aca="false">IF(OR($Q233="",$O233=""),"",MAX(0,$Q233-$O233))</f>
        <v/>
      </c>
      <c r="AA233" s="57" t="n">
        <f aca="false">IF($F233="","",IF(AND($S233&lt;&gt;"",$L233&lt;&gt;"",$S233&lt;&gt;$L233),1,0))</f>
        <v>0</v>
      </c>
      <c r="AB233" s="57" t="n">
        <f aca="false">IF($F233="","",IF($R233="Cancelada",0,IF(OR($Q233&lt;&gt;"",$R233="Concluída"),1,0)))</f>
        <v>0</v>
      </c>
      <c r="AC233" s="57" t="n">
        <f aca="false">IF($P233="",0,IF($P233&lt;Hoje!$L$1,1,IF(AND($P233=Hoje!$L$1,Hoje!$L$2&gt;Semana!$M$3),1,0)))</f>
        <v>0</v>
      </c>
      <c r="AD233" s="57" t="n">
        <f aca="false">IF($F233="","",IF(COUNTA($I233:$K233)=0,0,1/COUNTA($I233:$K233)))</f>
        <v>0</v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>F-818|Pendências de inspeção|</v>
      </c>
      <c r="AK233" s="57" t="n">
        <f aca="false">IF($AJ233="","",COUNTIF($AJ$4:$AJ233,$AJ233))</f>
        <v>19</v>
      </c>
      <c r="AL233" s="57" t="n">
        <f aca="false">IF($AJ233="","",COUNTIF($AJ$4:$AJ$1004,$AJ233))</f>
        <v>26</v>
      </c>
    </row>
    <row r="234" customFormat="false" ht="16.5" hidden="false" customHeight="true" outlineLevel="0" collapsed="false">
      <c r="A234" s="56" t="n">
        <f aca="false">IF($F234="","",COUNTA($F$4:$F234))</f>
        <v>230</v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58" t="s">
        <v>570</v>
      </c>
      <c r="D234" s="59" t="s">
        <v>173</v>
      </c>
      <c r="E234" s="59" t="s">
        <v>493</v>
      </c>
      <c r="F234" s="59" t="s">
        <v>571</v>
      </c>
      <c r="G234" s="60" t="s">
        <v>110</v>
      </c>
      <c r="H234" s="60" t="s">
        <v>88</v>
      </c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 t="s">
        <v>495</v>
      </c>
      <c r="V234" s="57" t="str">
        <f aca="false">IF($F234="","",IF(ISNUMBER(SEARCH("(externo)",$I234&amp;$J234&amp;$K234)),"Terceirizada","Interna"))</f>
        <v>Interna</v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n">
        <f aca="false">IF($F234="","",IF(OR($Q234="",$O234=""),0,IF($Q234&lt;=$O234,1,0)))</f>
        <v>0</v>
      </c>
      <c r="Y234" s="57" t="n">
        <f aca="false">IF($F234="","",IF(OR($Q234="",$W234=""),0,IF($Q234&lt;=$W234,1,0)))</f>
        <v>0</v>
      </c>
      <c r="Z234" s="57" t="str">
        <f aca="false">IF(OR($Q234="",$O234=""),"",MAX(0,$Q234-$O234))</f>
        <v/>
      </c>
      <c r="AA234" s="57" t="n">
        <f aca="false">IF($F234="","",IF(AND($S234&lt;&gt;"",$L234&lt;&gt;"",$S234&lt;&gt;$L234),1,0))</f>
        <v>0</v>
      </c>
      <c r="AB234" s="57" t="n">
        <f aca="false">IF($F234="","",IF($R234="Cancelada",0,IF(OR($Q234&lt;&gt;"",$R234="Concluída"),1,0)))</f>
        <v>0</v>
      </c>
      <c r="AC234" s="57" t="n">
        <f aca="false">IF($P234="",0,IF($P234&lt;Hoje!$L$1,1,IF(AND($P234=Hoje!$L$1,Hoje!$L$2&gt;Semana!$M$3),1,0)))</f>
        <v>0</v>
      </c>
      <c r="AD234" s="57" t="n">
        <f aca="false">IF($F234="","",IF(COUNTA($I234:$K234)=0,0,1/COUNTA($I234:$K234)))</f>
        <v>0</v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>F-818|Pendências de inspeção|</v>
      </c>
      <c r="AK234" s="57" t="n">
        <f aca="false">IF($AJ234="","",COUNTIF($AJ$4:$AJ234,$AJ234))</f>
        <v>20</v>
      </c>
      <c r="AL234" s="57" t="n">
        <f aca="false">IF($AJ234="","",COUNTIF($AJ$4:$AJ$1004,$AJ234))</f>
        <v>26</v>
      </c>
    </row>
    <row r="235" customFormat="false" ht="16.5" hidden="false" customHeight="true" outlineLevel="0" collapsed="false">
      <c r="A235" s="56" t="n">
        <f aca="false">IF($F235="","",COUNTA($F$4:$F235))</f>
        <v>231</v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58" t="s">
        <v>572</v>
      </c>
      <c r="D235" s="59" t="s">
        <v>173</v>
      </c>
      <c r="E235" s="59" t="s">
        <v>493</v>
      </c>
      <c r="F235" s="59" t="s">
        <v>573</v>
      </c>
      <c r="G235" s="60" t="s">
        <v>110</v>
      </c>
      <c r="H235" s="60" t="s">
        <v>88</v>
      </c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 t="s">
        <v>495</v>
      </c>
      <c r="V235" s="57" t="str">
        <f aca="false">IF($F235="","",IF(ISNUMBER(SEARCH("(externo)",$I235&amp;$J235&amp;$K235)),"Terceirizada","Interna"))</f>
        <v>Interna</v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n">
        <f aca="false">IF($F235="","",IF(OR($Q235="",$O235=""),0,IF($Q235&lt;=$O235,1,0)))</f>
        <v>0</v>
      </c>
      <c r="Y235" s="57" t="n">
        <f aca="false">IF($F235="","",IF(OR($Q235="",$W235=""),0,IF($Q235&lt;=$W235,1,0)))</f>
        <v>0</v>
      </c>
      <c r="Z235" s="57" t="str">
        <f aca="false">IF(OR($Q235="",$O235=""),"",MAX(0,$Q235-$O235))</f>
        <v/>
      </c>
      <c r="AA235" s="57" t="n">
        <f aca="false">IF($F235="","",IF(AND($S235&lt;&gt;"",$L235&lt;&gt;"",$S235&lt;&gt;$L235),1,0))</f>
        <v>0</v>
      </c>
      <c r="AB235" s="57" t="n">
        <f aca="false">IF($F235="","",IF($R235="Cancelada",0,IF(OR($Q235&lt;&gt;"",$R235="Concluída"),1,0)))</f>
        <v>0</v>
      </c>
      <c r="AC235" s="57" t="n">
        <f aca="false">IF($P235="",0,IF($P235&lt;Hoje!$L$1,1,IF(AND($P235=Hoje!$L$1,Hoje!$L$2&gt;Semana!$M$3),1,0)))</f>
        <v>0</v>
      </c>
      <c r="AD235" s="57" t="n">
        <f aca="false">IF($F235="","",IF(COUNTA($I235:$K235)=0,0,1/COUNTA($I235:$K235)))</f>
        <v>0</v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>F-818|Pendências de inspeção|</v>
      </c>
      <c r="AK235" s="57" t="n">
        <f aca="false">IF($AJ235="","",COUNTIF($AJ$4:$AJ235,$AJ235))</f>
        <v>21</v>
      </c>
      <c r="AL235" s="57" t="n">
        <f aca="false">IF($AJ235="","",COUNTIF($AJ$4:$AJ$1004,$AJ235))</f>
        <v>26</v>
      </c>
    </row>
    <row r="236" customFormat="false" ht="16.5" hidden="false" customHeight="true" outlineLevel="0" collapsed="false">
      <c r="A236" s="56" t="n">
        <f aca="false">IF($F236="","",COUNTA($F$4:$F236))</f>
        <v>232</v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58" t="s">
        <v>574</v>
      </c>
      <c r="D236" s="59" t="s">
        <v>173</v>
      </c>
      <c r="E236" s="59" t="s">
        <v>493</v>
      </c>
      <c r="F236" s="59" t="s">
        <v>575</v>
      </c>
      <c r="G236" s="60" t="s">
        <v>110</v>
      </c>
      <c r="H236" s="60" t="s">
        <v>88</v>
      </c>
      <c r="I236" s="61" t="s">
        <v>147</v>
      </c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 t="s">
        <v>576</v>
      </c>
      <c r="V236" s="57" t="str">
        <f aca="false">IF($F236="","",IF(ISNUMBER(SEARCH("(externo)",$I236&amp;$J236&amp;$K236)),"Terceirizada","Interna"))</f>
        <v>Terceirizada</v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n">
        <f aca="false">IF($F236="","",IF(OR($Q236="",$O236=""),0,IF($Q236&lt;=$O236,1,0)))</f>
        <v>0</v>
      </c>
      <c r="Y236" s="57" t="n">
        <f aca="false">IF($F236="","",IF(OR($Q236="",$W236=""),0,IF($Q236&lt;=$W236,1,0)))</f>
        <v>0</v>
      </c>
      <c r="Z236" s="57" t="str">
        <f aca="false">IF(OR($Q236="",$O236=""),"",MAX(0,$Q236-$O236))</f>
        <v/>
      </c>
      <c r="AA236" s="57" t="n">
        <f aca="false">IF($F236="","",IF(AND($S236&lt;&gt;"",$L236&lt;&gt;"",$S236&lt;&gt;$L236),1,0))</f>
        <v>0</v>
      </c>
      <c r="AB236" s="57" t="n">
        <f aca="false">IF($F236="","",IF($R236="Cancelada",0,IF(OR($Q236&lt;&gt;"",$R236="Concluída"),1,0)))</f>
        <v>0</v>
      </c>
      <c r="AC236" s="57" t="n">
        <f aca="false">IF($P236="",0,IF($P236&lt;Hoje!$L$1,1,IF(AND($P236=Hoje!$L$1,Hoje!$L$2&gt;Semana!$M$3),1,0)))</f>
        <v>0</v>
      </c>
      <c r="AD236" s="57" t="n">
        <f aca="false">IF($F236="","",IF(COUNTA($I236:$K236)=0,0,1/COUNTA($I236:$K236)))</f>
        <v>1</v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>Cardan Nordeste (externo)</v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>F-818|Pendências de inspeção|</v>
      </c>
      <c r="AK236" s="57" t="n">
        <f aca="false">IF($AJ236="","",COUNTIF($AJ$4:$AJ236,$AJ236))</f>
        <v>22</v>
      </c>
      <c r="AL236" s="57" t="n">
        <f aca="false">IF($AJ236="","",COUNTIF($AJ$4:$AJ$1004,$AJ236))</f>
        <v>26</v>
      </c>
    </row>
    <row r="237" customFormat="false" ht="16.5" hidden="false" customHeight="true" outlineLevel="0" collapsed="false">
      <c r="A237" s="56" t="n">
        <f aca="false">IF($F237="","",COUNTA($F$4:$F237))</f>
        <v>233</v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58" t="s">
        <v>574</v>
      </c>
      <c r="D237" s="59" t="s">
        <v>173</v>
      </c>
      <c r="E237" s="59" t="s">
        <v>493</v>
      </c>
      <c r="F237" s="59" t="s">
        <v>577</v>
      </c>
      <c r="G237" s="60" t="s">
        <v>110</v>
      </c>
      <c r="H237" s="60" t="s">
        <v>88</v>
      </c>
      <c r="I237" s="61" t="s">
        <v>147</v>
      </c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 t="s">
        <v>576</v>
      </c>
      <c r="V237" s="57" t="str">
        <f aca="false">IF($F237="","",IF(ISNUMBER(SEARCH("(externo)",$I237&amp;$J237&amp;$K237)),"Terceirizada","Interna"))</f>
        <v>Terceirizada</v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n">
        <f aca="false">IF($F237="","",IF(OR($Q237="",$O237=""),0,IF($Q237&lt;=$O237,1,0)))</f>
        <v>0</v>
      </c>
      <c r="Y237" s="57" t="n">
        <f aca="false">IF($F237="","",IF(OR($Q237="",$W237=""),0,IF($Q237&lt;=$W237,1,0)))</f>
        <v>0</v>
      </c>
      <c r="Z237" s="57" t="str">
        <f aca="false">IF(OR($Q237="",$O237=""),"",MAX(0,$Q237-$O237))</f>
        <v/>
      </c>
      <c r="AA237" s="57" t="n">
        <f aca="false">IF($F237="","",IF(AND($S237&lt;&gt;"",$L237&lt;&gt;"",$S237&lt;&gt;$L237),1,0))</f>
        <v>0</v>
      </c>
      <c r="AB237" s="57" t="n">
        <f aca="false">IF($F237="","",IF($R237="Cancelada",0,IF(OR($Q237&lt;&gt;"",$R237="Concluída"),1,0)))</f>
        <v>0</v>
      </c>
      <c r="AC237" s="57" t="n">
        <f aca="false">IF($P237="",0,IF($P237&lt;Hoje!$L$1,1,IF(AND($P237=Hoje!$L$1,Hoje!$L$2&gt;Semana!$M$3),1,0)))</f>
        <v>0</v>
      </c>
      <c r="AD237" s="57" t="n">
        <f aca="false">IF($F237="","",IF(COUNTA($I237:$K237)=0,0,1/COUNTA($I237:$K237)))</f>
        <v>1</v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>Cardan Nordeste (externo)</v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>F-818|Pendências de inspeção|</v>
      </c>
      <c r="AK237" s="57" t="n">
        <f aca="false">IF($AJ237="","",COUNTIF($AJ$4:$AJ237,$AJ237))</f>
        <v>23</v>
      </c>
      <c r="AL237" s="57" t="n">
        <f aca="false">IF($AJ237="","",COUNTIF($AJ$4:$AJ$1004,$AJ237))</f>
        <v>26</v>
      </c>
    </row>
    <row r="238" customFormat="false" ht="16.5" hidden="false" customHeight="true" outlineLevel="0" collapsed="false">
      <c r="A238" s="56" t="n">
        <f aca="false">IF($F238="","",COUNTA($F$4:$F238))</f>
        <v>234</v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58" t="s">
        <v>574</v>
      </c>
      <c r="D238" s="59" t="s">
        <v>173</v>
      </c>
      <c r="E238" s="59" t="s">
        <v>493</v>
      </c>
      <c r="F238" s="59" t="s">
        <v>578</v>
      </c>
      <c r="G238" s="60" t="s">
        <v>110</v>
      </c>
      <c r="H238" s="60" t="s">
        <v>88</v>
      </c>
      <c r="I238" s="61" t="s">
        <v>147</v>
      </c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 t="s">
        <v>576</v>
      </c>
      <c r="V238" s="57" t="str">
        <f aca="false">IF($F238="","",IF(ISNUMBER(SEARCH("(externo)",$I238&amp;$J238&amp;$K238)),"Terceirizada","Interna"))</f>
        <v>Terceirizada</v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n">
        <f aca="false">IF($F238="","",IF(OR($Q238="",$O238=""),0,IF($Q238&lt;=$O238,1,0)))</f>
        <v>0</v>
      </c>
      <c r="Y238" s="57" t="n">
        <f aca="false">IF($F238="","",IF(OR($Q238="",$W238=""),0,IF($Q238&lt;=$W238,1,0)))</f>
        <v>0</v>
      </c>
      <c r="Z238" s="57" t="str">
        <f aca="false">IF(OR($Q238="",$O238=""),"",MAX(0,$Q238-$O238))</f>
        <v/>
      </c>
      <c r="AA238" s="57" t="n">
        <f aca="false">IF($F238="","",IF(AND($S238&lt;&gt;"",$L238&lt;&gt;"",$S238&lt;&gt;$L238),1,0))</f>
        <v>0</v>
      </c>
      <c r="AB238" s="57" t="n">
        <f aca="false">IF($F238="","",IF($R238="Cancelada",0,IF(OR($Q238&lt;&gt;"",$R238="Concluída"),1,0)))</f>
        <v>0</v>
      </c>
      <c r="AC238" s="57" t="n">
        <f aca="false">IF($P238="",0,IF($P238&lt;Hoje!$L$1,1,IF(AND($P238=Hoje!$L$1,Hoje!$L$2&gt;Semana!$M$3),1,0)))</f>
        <v>0</v>
      </c>
      <c r="AD238" s="57" t="n">
        <f aca="false">IF($F238="","",IF(COUNTA($I238:$K238)=0,0,1/COUNTA($I238:$K238)))</f>
        <v>1</v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>Cardan Nordeste (externo)</v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>F-818|Pendências de inspeção|</v>
      </c>
      <c r="AK238" s="57" t="n">
        <f aca="false">IF($AJ238="","",COUNTIF($AJ$4:$AJ238,$AJ238))</f>
        <v>24</v>
      </c>
      <c r="AL238" s="57" t="n">
        <f aca="false">IF($AJ238="","",COUNTIF($AJ$4:$AJ$1004,$AJ238))</f>
        <v>26</v>
      </c>
    </row>
    <row r="239" customFormat="false" ht="16.5" hidden="false" customHeight="true" outlineLevel="0" collapsed="false">
      <c r="A239" s="56" t="n">
        <f aca="false">IF($F239="","",COUNTA($F$4:$F239))</f>
        <v>235</v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58" t="s">
        <v>574</v>
      </c>
      <c r="D239" s="59" t="s">
        <v>173</v>
      </c>
      <c r="E239" s="59" t="s">
        <v>493</v>
      </c>
      <c r="F239" s="59" t="s">
        <v>579</v>
      </c>
      <c r="G239" s="60" t="s">
        <v>110</v>
      </c>
      <c r="H239" s="60" t="s">
        <v>88</v>
      </c>
      <c r="I239" s="61" t="s">
        <v>147</v>
      </c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 t="s">
        <v>576</v>
      </c>
      <c r="V239" s="57" t="str">
        <f aca="false">IF($F239="","",IF(ISNUMBER(SEARCH("(externo)",$I239&amp;$J239&amp;$K239)),"Terceirizada","Interna"))</f>
        <v>Terceirizada</v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n">
        <f aca="false">IF($F239="","",IF(OR($Q239="",$O239=""),0,IF($Q239&lt;=$O239,1,0)))</f>
        <v>0</v>
      </c>
      <c r="Y239" s="57" t="n">
        <f aca="false">IF($F239="","",IF(OR($Q239="",$W239=""),0,IF($Q239&lt;=$W239,1,0)))</f>
        <v>0</v>
      </c>
      <c r="Z239" s="57" t="str">
        <f aca="false">IF(OR($Q239="",$O239=""),"",MAX(0,$Q239-$O239))</f>
        <v/>
      </c>
      <c r="AA239" s="57" t="n">
        <f aca="false">IF($F239="","",IF(AND($S239&lt;&gt;"",$L239&lt;&gt;"",$S239&lt;&gt;$L239),1,0))</f>
        <v>0</v>
      </c>
      <c r="AB239" s="57" t="n">
        <f aca="false">IF($F239="","",IF($R239="Cancelada",0,IF(OR($Q239&lt;&gt;"",$R239="Concluída"),1,0)))</f>
        <v>0</v>
      </c>
      <c r="AC239" s="57" t="n">
        <f aca="false">IF($P239="",0,IF($P239&lt;Hoje!$L$1,1,IF(AND($P239=Hoje!$L$1,Hoje!$L$2&gt;Semana!$M$3),1,0)))</f>
        <v>0</v>
      </c>
      <c r="AD239" s="57" t="n">
        <f aca="false">IF($F239="","",IF(COUNTA($I239:$K239)=0,0,1/COUNTA($I239:$K239)))</f>
        <v>1</v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>Cardan Nordeste (externo)</v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>F-818|Pendências de inspeção|</v>
      </c>
      <c r="AK239" s="57" t="n">
        <f aca="false">IF($AJ239="","",COUNTIF($AJ$4:$AJ239,$AJ239))</f>
        <v>25</v>
      </c>
      <c r="AL239" s="57" t="n">
        <f aca="false">IF($AJ239="","",COUNTIF($AJ$4:$AJ$1004,$AJ239))</f>
        <v>26</v>
      </c>
    </row>
    <row r="240" customFormat="false" ht="16.5" hidden="false" customHeight="true" outlineLevel="0" collapsed="false">
      <c r="A240" s="56" t="n">
        <f aca="false">IF($F240="","",COUNTA($F$4:$F240))</f>
        <v>236</v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58" t="s">
        <v>574</v>
      </c>
      <c r="D240" s="59" t="s">
        <v>173</v>
      </c>
      <c r="E240" s="59" t="s">
        <v>493</v>
      </c>
      <c r="F240" s="59" t="s">
        <v>580</v>
      </c>
      <c r="G240" s="60" t="s">
        <v>110</v>
      </c>
      <c r="H240" s="60" t="s">
        <v>88</v>
      </c>
      <c r="I240" s="61" t="s">
        <v>155</v>
      </c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 t="s">
        <v>581</v>
      </c>
      <c r="V240" s="57" t="str">
        <f aca="false">IF($F240="","",IF(ISNUMBER(SEARCH("(externo)",$I240&amp;$J240&amp;$K240)),"Terceirizada","Interna"))</f>
        <v>Terceirizada</v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n">
        <f aca="false">IF($F240="","",IF(OR($Q240="",$O240=""),0,IF($Q240&lt;=$O240,1,0)))</f>
        <v>0</v>
      </c>
      <c r="Y240" s="57" t="n">
        <f aca="false">IF($F240="","",IF(OR($Q240="",$W240=""),0,IF($Q240&lt;=$W240,1,0)))</f>
        <v>0</v>
      </c>
      <c r="Z240" s="57" t="str">
        <f aca="false">IF(OR($Q240="",$O240=""),"",MAX(0,$Q240-$O240))</f>
        <v/>
      </c>
      <c r="AA240" s="57" t="n">
        <f aca="false">IF($F240="","",IF(AND($S240&lt;&gt;"",$L240&lt;&gt;"",$S240&lt;&gt;$L240),1,0))</f>
        <v>0</v>
      </c>
      <c r="AB240" s="57" t="n">
        <f aca="false">IF($F240="","",IF($R240="Cancelada",0,IF(OR($Q240&lt;&gt;"",$R240="Concluída"),1,0)))</f>
        <v>0</v>
      </c>
      <c r="AC240" s="57" t="n">
        <f aca="false">IF($P240="",0,IF($P240&lt;Hoje!$L$1,1,IF(AND($P240=Hoje!$L$1,Hoje!$L$2&gt;Semana!$M$3),1,0)))</f>
        <v>0</v>
      </c>
      <c r="AD240" s="57" t="n">
        <f aca="false">IF($F240="","",IF(COUNTA($I240:$K240)=0,0,1/COUNTA($I240:$K240)))</f>
        <v>1</v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>Rodo Ceará (externo)</v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>F-818|Pendências de inspeção|</v>
      </c>
      <c r="AK240" s="57" t="n">
        <f aca="false">IF($AJ240="","",COUNTIF($AJ$4:$AJ240,$AJ240))</f>
        <v>26</v>
      </c>
      <c r="AL240" s="57" t="n">
        <f aca="false">IF($AJ240="","",COUNTIF($AJ$4:$AJ$1004,$AJ240))</f>
        <v>26</v>
      </c>
    </row>
    <row r="241" customFormat="false" ht="16.5" hidden="false" customHeight="true" outlineLevel="0" collapsed="false">
      <c r="A241" s="56" t="n">
        <f aca="false">IF($F241="","",COUNTA($F$4:$F241))</f>
        <v>237</v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58"/>
      <c r="D241" s="59" t="s">
        <v>179</v>
      </c>
      <c r="E241" s="59" t="s">
        <v>582</v>
      </c>
      <c r="F241" s="59" t="s">
        <v>583</v>
      </c>
      <c r="G241" s="60" t="s">
        <v>130</v>
      </c>
      <c r="H241" s="60" t="s">
        <v>88</v>
      </c>
      <c r="I241" s="61"/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/>
      <c r="V241" s="57" t="str">
        <f aca="false">IF($F241="","",IF(ISNUMBER(SEARCH("(externo)",$I241&amp;$J241&amp;$K241)),"Terceirizada","Interna"))</f>
        <v>Interna</v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n">
        <f aca="false">IF($F241="","",IF(OR($Q241="",$O241=""),0,IF($Q241&lt;=$O241,1,0)))</f>
        <v>0</v>
      </c>
      <c r="Y241" s="57" t="n">
        <f aca="false">IF($F241="","",IF(OR($Q241="",$W241=""),0,IF($Q241&lt;=$W241,1,0)))</f>
        <v>0</v>
      </c>
      <c r="Z241" s="57" t="str">
        <f aca="false">IF(OR($Q241="",$O241=""),"",MAX(0,$Q241-$O241))</f>
        <v/>
      </c>
      <c r="AA241" s="57" t="n">
        <f aca="false">IF($F241="","",IF(AND($S241&lt;&gt;"",$L241&lt;&gt;"",$S241&lt;&gt;$L241),1,0))</f>
        <v>0</v>
      </c>
      <c r="AB241" s="57" t="n">
        <f aca="false">IF($F241="","",IF($R241="Cancelada",0,IF(OR($Q241&lt;&gt;"",$R241="Concluída"),1,0)))</f>
        <v>0</v>
      </c>
      <c r="AC241" s="57" t="n">
        <f aca="false">IF($P241="",0,IF($P241&lt;Hoje!$L$1,1,IF(AND($P241=Hoje!$L$1,Hoje!$L$2&gt;Semana!$M$3),1,0)))</f>
        <v>0</v>
      </c>
      <c r="AD241" s="57" t="n">
        <f aca="false">IF($F241="","",IF(COUNTA($I241:$K241)=0,0,1/COUNTA($I241:$K241)))</f>
        <v>0</v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/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>F-968|Inspeção Mossoró|</v>
      </c>
      <c r="AK241" s="57" t="n">
        <f aca="false">IF($AJ241="","",COUNTIF($AJ$4:$AJ241,$AJ241))</f>
        <v>1</v>
      </c>
      <c r="AL241" s="57" t="n">
        <f aca="false">IF($AJ241="","",COUNTIF($AJ$4:$AJ$1004,$AJ241))</f>
        <v>1</v>
      </c>
    </row>
    <row r="242" customFormat="false" ht="16.5" hidden="false" customHeight="true" outlineLevel="0" collapsed="false">
      <c r="A242" s="56" t="n">
        <f aca="false">IF($F242="","",COUNTA($F$4:$F242))</f>
        <v>238</v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58"/>
      <c r="D242" s="59" t="s">
        <v>151</v>
      </c>
      <c r="E242" s="59" t="s">
        <v>584</v>
      </c>
      <c r="F242" s="59" t="s">
        <v>585</v>
      </c>
      <c r="G242" s="60" t="s">
        <v>130</v>
      </c>
      <c r="H242" s="60" t="s">
        <v>88</v>
      </c>
      <c r="I242" s="61"/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 t="s">
        <v>586</v>
      </c>
      <c r="V242" s="57" t="str">
        <f aca="false">IF($F242="","",IF(ISNUMBER(SEARCH("(externo)",$I242&amp;$J242&amp;$K242)),"Terceirizada","Interna"))</f>
        <v>Interna</v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n">
        <f aca="false">IF($F242="","",IF(OR($Q242="",$O242=""),0,IF($Q242&lt;=$O242,1,0)))</f>
        <v>0</v>
      </c>
      <c r="Y242" s="57" t="n">
        <f aca="false">IF($F242="","",IF(OR($Q242="",$W242=""),0,IF($Q242&lt;=$W242,1,0)))</f>
        <v>0</v>
      </c>
      <c r="Z242" s="57" t="str">
        <f aca="false">IF(OR($Q242="",$O242=""),"",MAX(0,$Q242-$O242))</f>
        <v/>
      </c>
      <c r="AA242" s="57" t="n">
        <f aca="false">IF($F242="","",IF(AND($S242&lt;&gt;"",$L242&lt;&gt;"",$S242&lt;&gt;$L242),1,0))</f>
        <v>0</v>
      </c>
      <c r="AB242" s="57" t="n">
        <f aca="false">IF($F242="","",IF($R242="Cancelada",0,IF(OR($Q242&lt;&gt;"",$R242="Concluída"),1,0)))</f>
        <v>0</v>
      </c>
      <c r="AC242" s="57" t="n">
        <f aca="false">IF($P242="",0,IF($P242&lt;Hoje!$L$1,1,IF(AND($P242=Hoje!$L$1,Hoje!$L$2&gt;Semana!$M$3),1,0)))</f>
        <v>0</v>
      </c>
      <c r="AD242" s="57" t="n">
        <f aca="false">IF($F242="","",IF(COUNTA($I242:$K242)=0,0,1/COUNTA($I242:$K242)))</f>
        <v>0</v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/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>F-425|Inspeção de setembro|</v>
      </c>
      <c r="AK242" s="57" t="n">
        <f aca="false">IF($AJ242="","",COUNTIF($AJ$4:$AJ242,$AJ242))</f>
        <v>1</v>
      </c>
      <c r="AL242" s="57" t="n">
        <f aca="false">IF($AJ242="","",COUNTIF($AJ$4:$AJ$1004,$AJ242))</f>
        <v>1</v>
      </c>
    </row>
    <row r="243" customFormat="false" ht="16.5" hidden="false" customHeight="true" outlineLevel="0" collapsed="false">
      <c r="A243" s="56" t="n">
        <f aca="false">IF($F243="","",COUNTA($F$4:$F243))</f>
        <v>239</v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58"/>
      <c r="D243" s="59" t="s">
        <v>162</v>
      </c>
      <c r="E243" s="59" t="s">
        <v>584</v>
      </c>
      <c r="F243" s="59" t="s">
        <v>585</v>
      </c>
      <c r="G243" s="60" t="s">
        <v>130</v>
      </c>
      <c r="H243" s="60" t="s">
        <v>88</v>
      </c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 t="s">
        <v>586</v>
      </c>
      <c r="V243" s="57" t="str">
        <f aca="false">IF($F243="","",IF(ISNUMBER(SEARCH("(externo)",$I243&amp;$J243&amp;$K243)),"Terceirizada","Interna"))</f>
        <v>Interna</v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n">
        <f aca="false">IF($F243="","",IF(OR($Q243="",$O243=""),0,IF($Q243&lt;=$O243,1,0)))</f>
        <v>0</v>
      </c>
      <c r="Y243" s="57" t="n">
        <f aca="false">IF($F243="","",IF(OR($Q243="",$W243=""),0,IF($Q243&lt;=$W243,1,0)))</f>
        <v>0</v>
      </c>
      <c r="Z243" s="57" t="str">
        <f aca="false">IF(OR($Q243="",$O243=""),"",MAX(0,$Q243-$O243))</f>
        <v/>
      </c>
      <c r="AA243" s="57" t="n">
        <f aca="false">IF($F243="","",IF(AND($S243&lt;&gt;"",$L243&lt;&gt;"",$S243&lt;&gt;$L243),1,0))</f>
        <v>0</v>
      </c>
      <c r="AB243" s="57" t="n">
        <f aca="false">IF($F243="","",IF($R243="Cancelada",0,IF(OR($Q243&lt;&gt;"",$R243="Concluída"),1,0)))</f>
        <v>0</v>
      </c>
      <c r="AC243" s="57" t="n">
        <f aca="false">IF($P243="",0,IF($P243&lt;Hoje!$L$1,1,IF(AND($P243=Hoje!$L$1,Hoje!$L$2&gt;Semana!$M$3),1,0)))</f>
        <v>0</v>
      </c>
      <c r="AD243" s="57" t="n">
        <f aca="false">IF($F243="","",IF(COUNTA($I243:$K243)=0,0,1/COUNTA($I243:$K243)))</f>
        <v>0</v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>F-621|Inspeção de setembro|</v>
      </c>
      <c r="AK243" s="57" t="n">
        <f aca="false">IF($AJ243="","",COUNTIF($AJ$4:$AJ243,$AJ243))</f>
        <v>1</v>
      </c>
      <c r="AL243" s="57" t="n">
        <f aca="false">IF($AJ243="","",COUNTIF($AJ$4:$AJ$1004,$AJ243))</f>
        <v>1</v>
      </c>
    </row>
    <row r="244" customFormat="false" ht="16.5" hidden="false" customHeight="true" outlineLevel="0" collapsed="false">
      <c r="A244" s="56" t="n">
        <f aca="false">IF($F244="","",COUNTA($F$4:$F244))</f>
        <v>240</v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58"/>
      <c r="D244" s="59" t="s">
        <v>154</v>
      </c>
      <c r="E244" s="59" t="s">
        <v>584</v>
      </c>
      <c r="F244" s="59" t="s">
        <v>585</v>
      </c>
      <c r="G244" s="60" t="s">
        <v>130</v>
      </c>
      <c r="H244" s="60" t="s">
        <v>88</v>
      </c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 t="s">
        <v>586</v>
      </c>
      <c r="V244" s="57" t="str">
        <f aca="false">IF($F244="","",IF(ISNUMBER(SEARCH("(externo)",$I244&amp;$J244&amp;$K244)),"Terceirizada","Interna"))</f>
        <v>Interna</v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n">
        <f aca="false">IF($F244="","",IF(OR($Q244="",$O244=""),0,IF($Q244&lt;=$O244,1,0)))</f>
        <v>0</v>
      </c>
      <c r="Y244" s="57" t="n">
        <f aca="false">IF($F244="","",IF(OR($Q244="",$W244=""),0,IF($Q244&lt;=$W244,1,0)))</f>
        <v>0</v>
      </c>
      <c r="Z244" s="57" t="str">
        <f aca="false">IF(OR($Q244="",$O244=""),"",MAX(0,$Q244-$O244))</f>
        <v/>
      </c>
      <c r="AA244" s="57" t="n">
        <f aca="false">IF($F244="","",IF(AND($S244&lt;&gt;"",$L244&lt;&gt;"",$S244&lt;&gt;$L244),1,0))</f>
        <v>0</v>
      </c>
      <c r="AB244" s="57" t="n">
        <f aca="false">IF($F244="","",IF($R244="Cancelada",0,IF(OR($Q244&lt;&gt;"",$R244="Concluída"),1,0)))</f>
        <v>0</v>
      </c>
      <c r="AC244" s="57" t="n">
        <f aca="false">IF($P244="",0,IF($P244&lt;Hoje!$L$1,1,IF(AND($P244=Hoje!$L$1,Hoje!$L$2&gt;Semana!$M$3),1,0)))</f>
        <v>0</v>
      </c>
      <c r="AD244" s="57" t="n">
        <f aca="false">IF($F244="","",IF(COUNTA($I244:$K244)=0,0,1/COUNTA($I244:$K244)))</f>
        <v>0</v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>F-433|Inspeção de setembro|</v>
      </c>
      <c r="AK244" s="57" t="n">
        <f aca="false">IF($AJ244="","",COUNTIF($AJ$4:$AJ244,$AJ244))</f>
        <v>1</v>
      </c>
      <c r="AL244" s="57" t="n">
        <f aca="false">IF($AJ244="","",COUNTIF($AJ$4:$AJ$1004,$AJ244))</f>
        <v>1</v>
      </c>
    </row>
    <row r="245" customFormat="false" ht="16.5" hidden="false" customHeight="true" outlineLevel="0" collapsed="false">
      <c r="A245" s="56" t="n">
        <f aca="false">IF($F245="","",COUNTA($F$4:$F245))</f>
        <v>241</v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58"/>
      <c r="D245" s="59" t="s">
        <v>172</v>
      </c>
      <c r="E245" s="59" t="s">
        <v>584</v>
      </c>
      <c r="F245" s="59" t="s">
        <v>585</v>
      </c>
      <c r="G245" s="60" t="s">
        <v>130</v>
      </c>
      <c r="H245" s="60" t="s">
        <v>88</v>
      </c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 t="s">
        <v>586</v>
      </c>
      <c r="V245" s="57" t="str">
        <f aca="false">IF($F245="","",IF(ISNUMBER(SEARCH("(externo)",$I245&amp;$J245&amp;$K245)),"Terceirizada","Interna"))</f>
        <v>Interna</v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n">
        <f aca="false">IF($F245="","",IF(OR($Q245="",$O245=""),0,IF($Q245&lt;=$O245,1,0)))</f>
        <v>0</v>
      </c>
      <c r="Y245" s="57" t="n">
        <f aca="false">IF($F245="","",IF(OR($Q245="",$W245=""),0,IF($Q245&lt;=$W245,1,0)))</f>
        <v>0</v>
      </c>
      <c r="Z245" s="57" t="str">
        <f aca="false">IF(OR($Q245="",$O245=""),"",MAX(0,$Q245-$O245))</f>
        <v/>
      </c>
      <c r="AA245" s="57" t="n">
        <f aca="false">IF($F245="","",IF(AND($S245&lt;&gt;"",$L245&lt;&gt;"",$S245&lt;&gt;$L245),1,0))</f>
        <v>0</v>
      </c>
      <c r="AB245" s="57" t="n">
        <f aca="false">IF($F245="","",IF($R245="Cancelada",0,IF(OR($Q245&lt;&gt;"",$R245="Concluída"),1,0)))</f>
        <v>0</v>
      </c>
      <c r="AC245" s="57" t="n">
        <f aca="false">IF($P245="",0,IF($P245&lt;Hoje!$L$1,1,IF(AND($P245=Hoje!$L$1,Hoje!$L$2&gt;Semana!$M$3),1,0)))</f>
        <v>0</v>
      </c>
      <c r="AD245" s="57" t="n">
        <f aca="false">IF($F245="","",IF(COUNTA($I245:$K245)=0,0,1/COUNTA($I245:$K245)))</f>
        <v>0</v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>F-817|Inspeção de setembro|</v>
      </c>
      <c r="AK245" s="57" t="n">
        <f aca="false">IF($AJ245="","",COUNTIF($AJ$4:$AJ245,$AJ245))</f>
        <v>1</v>
      </c>
      <c r="AL245" s="57" t="n">
        <f aca="false">IF($AJ245="","",COUNTIF($AJ$4:$AJ$1004,$AJ245))</f>
        <v>1</v>
      </c>
    </row>
    <row r="246" customFormat="false" ht="16.5" hidden="false" customHeight="true" outlineLevel="0" collapsed="false">
      <c r="A246" s="56" t="n">
        <f aca="false">IF($F246="","",COUNTA($F$4:$F246))</f>
        <v>242</v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58"/>
      <c r="D246" s="59" t="s">
        <v>167</v>
      </c>
      <c r="E246" s="59" t="s">
        <v>584</v>
      </c>
      <c r="F246" s="59" t="s">
        <v>585</v>
      </c>
      <c r="G246" s="60" t="s">
        <v>130</v>
      </c>
      <c r="H246" s="60" t="s">
        <v>88</v>
      </c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 t="s">
        <v>586</v>
      </c>
      <c r="V246" s="57" t="str">
        <f aca="false">IF($F246="","",IF(ISNUMBER(SEARCH("(externo)",$I246&amp;$J246&amp;$K246)),"Terceirizada","Interna"))</f>
        <v>Interna</v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n">
        <f aca="false">IF($F246="","",IF(OR($Q246="",$O246=""),0,IF($Q246&lt;=$O246,1,0)))</f>
        <v>0</v>
      </c>
      <c r="Y246" s="57" t="n">
        <f aca="false">IF($F246="","",IF(OR($Q246="",$W246=""),0,IF($Q246&lt;=$W246,1,0)))</f>
        <v>0</v>
      </c>
      <c r="Z246" s="57" t="str">
        <f aca="false">IF(OR($Q246="",$O246=""),"",MAX(0,$Q246-$O246))</f>
        <v/>
      </c>
      <c r="AA246" s="57" t="n">
        <f aca="false">IF($F246="","",IF(AND($S246&lt;&gt;"",$L246&lt;&gt;"",$S246&lt;&gt;$L246),1,0))</f>
        <v>0</v>
      </c>
      <c r="AB246" s="57" t="n">
        <f aca="false">IF($F246="","",IF($R246="Cancelada",0,IF(OR($Q246&lt;&gt;"",$R246="Concluída"),1,0)))</f>
        <v>0</v>
      </c>
      <c r="AC246" s="57" t="n">
        <f aca="false">IF($P246="",0,IF($P246&lt;Hoje!$L$1,1,IF(AND($P246=Hoje!$L$1,Hoje!$L$2&gt;Semana!$M$3),1,0)))</f>
        <v>0</v>
      </c>
      <c r="AD246" s="57" t="n">
        <f aca="false">IF($F246="","",IF(COUNTA($I246:$K246)=0,0,1/COUNTA($I246:$K246)))</f>
        <v>0</v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>F-745|Inspeção de setembro|</v>
      </c>
      <c r="AK246" s="57" t="n">
        <f aca="false">IF($AJ246="","",COUNTIF($AJ$4:$AJ246,$AJ246))</f>
        <v>1</v>
      </c>
      <c r="AL246" s="57" t="n">
        <f aca="false">IF($AJ246="","",COUNTIF($AJ$4:$AJ$1004,$AJ246))</f>
        <v>1</v>
      </c>
    </row>
    <row r="247" customFormat="false" ht="16.5" hidden="false" customHeight="true" outlineLevel="0" collapsed="false">
      <c r="A247" s="56" t="n">
        <f aca="false">IF($F247="","",COUNTA($F$4:$F247))</f>
        <v>243</v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58" t="s">
        <v>587</v>
      </c>
      <c r="D247" s="59" t="s">
        <v>176</v>
      </c>
      <c r="E247" s="59" t="s">
        <v>493</v>
      </c>
      <c r="F247" s="59" t="s">
        <v>588</v>
      </c>
      <c r="G247" s="60" t="s">
        <v>110</v>
      </c>
      <c r="H247" s="60" t="s">
        <v>88</v>
      </c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/>
      <c r="V247" s="57" t="str">
        <f aca="false">IF($F247="","",IF(ISNUMBER(SEARCH("(externo)",$I247&amp;$J247&amp;$K247)),"Terceirizada","Interna"))</f>
        <v>Interna</v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n">
        <f aca="false">IF($F247="","",IF(OR($Q247="",$O247=""),0,IF($Q247&lt;=$O247,1,0)))</f>
        <v>0</v>
      </c>
      <c r="Y247" s="57" t="n">
        <f aca="false">IF($F247="","",IF(OR($Q247="",$W247=""),0,IF($Q247&lt;=$W247,1,0)))</f>
        <v>0</v>
      </c>
      <c r="Z247" s="57" t="str">
        <f aca="false">IF(OR($Q247="",$O247=""),"",MAX(0,$Q247-$O247))</f>
        <v/>
      </c>
      <c r="AA247" s="57" t="n">
        <f aca="false">IF($F247="","",IF(AND($S247&lt;&gt;"",$L247&lt;&gt;"",$S247&lt;&gt;$L247),1,0))</f>
        <v>0</v>
      </c>
      <c r="AB247" s="57" t="n">
        <f aca="false">IF($F247="","",IF($R247="Cancelada",0,IF(OR($Q247&lt;&gt;"",$R247="Concluída"),1,0)))</f>
        <v>0</v>
      </c>
      <c r="AC247" s="57" t="n">
        <f aca="false">IF($P247="",0,IF($P247&lt;Hoje!$L$1,1,IF(AND($P247=Hoje!$L$1,Hoje!$L$2&gt;Semana!$M$3),1,0)))</f>
        <v>0</v>
      </c>
      <c r="AD247" s="57" t="n">
        <f aca="false">IF($F247="","",IF(COUNTA($I247:$K247)=0,0,1/COUNTA($I247:$K247)))</f>
        <v>0</v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>F-938|Pendências de inspeção|</v>
      </c>
      <c r="AK247" s="57" t="n">
        <f aca="false">IF($AJ247="","",COUNTIF($AJ$4:$AJ247,$AJ247))</f>
        <v>1</v>
      </c>
      <c r="AL247" s="57" t="n">
        <f aca="false">IF($AJ247="","",COUNTIF($AJ$4:$AJ$1004,$AJ247))</f>
        <v>4</v>
      </c>
    </row>
    <row r="248" customFormat="false" ht="16.5" hidden="false" customHeight="true" outlineLevel="0" collapsed="false">
      <c r="A248" s="56" t="n">
        <f aca="false">IF($F248="","",COUNTA($F$4:$F248))</f>
        <v>244</v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58" t="s">
        <v>589</v>
      </c>
      <c r="D248" s="59" t="s">
        <v>176</v>
      </c>
      <c r="E248" s="59" t="s">
        <v>493</v>
      </c>
      <c r="F248" s="59" t="s">
        <v>590</v>
      </c>
      <c r="G248" s="60" t="s">
        <v>110</v>
      </c>
      <c r="H248" s="60" t="s">
        <v>88</v>
      </c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/>
      <c r="V248" s="57" t="str">
        <f aca="false">IF($F248="","",IF(ISNUMBER(SEARCH("(externo)",$I248&amp;$J248&amp;$K248)),"Terceirizada","Interna"))</f>
        <v>Interna</v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n">
        <f aca="false">IF($F248="","",IF(OR($Q248="",$O248=""),0,IF($Q248&lt;=$O248,1,0)))</f>
        <v>0</v>
      </c>
      <c r="Y248" s="57" t="n">
        <f aca="false">IF($F248="","",IF(OR($Q248="",$W248=""),0,IF($Q248&lt;=$W248,1,0)))</f>
        <v>0</v>
      </c>
      <c r="Z248" s="57" t="str">
        <f aca="false">IF(OR($Q248="",$O248=""),"",MAX(0,$Q248-$O248))</f>
        <v/>
      </c>
      <c r="AA248" s="57" t="n">
        <f aca="false">IF($F248="","",IF(AND($S248&lt;&gt;"",$L248&lt;&gt;"",$S248&lt;&gt;$L248),1,0))</f>
        <v>0</v>
      </c>
      <c r="AB248" s="57" t="n">
        <f aca="false">IF($F248="","",IF($R248="Cancelada",0,IF(OR($Q248&lt;&gt;"",$R248="Concluída"),1,0)))</f>
        <v>0</v>
      </c>
      <c r="AC248" s="57" t="n">
        <f aca="false">IF($P248="",0,IF($P248&lt;Hoje!$L$1,1,IF(AND($P248=Hoje!$L$1,Hoje!$L$2&gt;Semana!$M$3),1,0)))</f>
        <v>0</v>
      </c>
      <c r="AD248" s="57" t="n">
        <f aca="false">IF($F248="","",IF(COUNTA($I248:$K248)=0,0,1/COUNTA($I248:$K248)))</f>
        <v>0</v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>F-938|Pendências de inspeção|</v>
      </c>
      <c r="AK248" s="57" t="n">
        <f aca="false">IF($AJ248="","",COUNTIF($AJ$4:$AJ248,$AJ248))</f>
        <v>2</v>
      </c>
      <c r="AL248" s="57" t="n">
        <f aca="false">IF($AJ248="","",COUNTIF($AJ$4:$AJ$1004,$AJ248))</f>
        <v>4</v>
      </c>
    </row>
    <row r="249" customFormat="false" ht="16.5" hidden="false" customHeight="true" outlineLevel="0" collapsed="false">
      <c r="A249" s="56" t="n">
        <f aca="false">IF($F249="","",COUNTA($F$4:$F249))</f>
        <v>245</v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Na carteira</v>
      </c>
      <c r="C249" s="58" t="s">
        <v>591</v>
      </c>
      <c r="D249" s="59" t="s">
        <v>176</v>
      </c>
      <c r="E249" s="59" t="s">
        <v>493</v>
      </c>
      <c r="F249" s="59" t="s">
        <v>592</v>
      </c>
      <c r="G249" s="60" t="s">
        <v>110</v>
      </c>
      <c r="H249" s="60" t="s">
        <v>88</v>
      </c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/>
      <c r="S249" s="66"/>
      <c r="T249" s="59"/>
      <c r="U249" s="59"/>
      <c r="V249" s="57" t="str">
        <f aca="false">IF($F249="","",IF(ISNUMBER(SEARCH("(externo)",$I249&amp;$J249&amp;$K249)),"Terceirizada","Interna"))</f>
        <v>Interna</v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n">
        <f aca="false">IF($F249="","",IF(OR($Q249="",$O249=""),0,IF($Q249&lt;=$O249,1,0)))</f>
        <v>0</v>
      </c>
      <c r="Y249" s="57" t="n">
        <f aca="false">IF($F249="","",IF(OR($Q249="",$W249=""),0,IF($Q249&lt;=$W249,1,0)))</f>
        <v>0</v>
      </c>
      <c r="Z249" s="57" t="str">
        <f aca="false">IF(OR($Q249="",$O249=""),"",MAX(0,$Q249-$O249))</f>
        <v/>
      </c>
      <c r="AA249" s="57" t="n">
        <f aca="false">IF($F249="","",IF(AND($S249&lt;&gt;"",$L249&lt;&gt;"",$S249&lt;&gt;$L249),1,0))</f>
        <v>0</v>
      </c>
      <c r="AB249" s="57" t="n">
        <f aca="false">IF($F249="","",IF($R249="Cancelada",0,IF(OR($Q249&lt;&gt;"",$R249="Concluída"),1,0)))</f>
        <v>0</v>
      </c>
      <c r="AC249" s="57" t="n">
        <f aca="false">IF($P249="",0,IF($P249&lt;Hoje!$L$1,1,IF(AND($P249=Hoje!$L$1,Hoje!$L$2&gt;Semana!$M$3),1,0)))</f>
        <v>0</v>
      </c>
      <c r="AD249" s="57" t="n">
        <f aca="false">IF($F249="","",IF(COUNTA($I249:$K249)=0,0,1/COUNTA($I249:$K249)))</f>
        <v>0</v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>F-938|Pendências de inspeção|</v>
      </c>
      <c r="AK249" s="57" t="n">
        <f aca="false">IF($AJ249="","",COUNTIF($AJ$4:$AJ249,$AJ249))</f>
        <v>3</v>
      </c>
      <c r="AL249" s="57" t="n">
        <f aca="false">IF($AJ249="","",COUNTIF($AJ$4:$AJ$1004,$AJ249))</f>
        <v>4</v>
      </c>
    </row>
    <row r="250" customFormat="false" ht="16.5" hidden="false" customHeight="true" outlineLevel="0" collapsed="false">
      <c r="A250" s="56" t="n">
        <f aca="false">IF($F250="","",COUNTA($F$4:$F250))</f>
        <v>246</v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Na carteira</v>
      </c>
      <c r="C250" s="58" t="s">
        <v>593</v>
      </c>
      <c r="D250" s="59" t="s">
        <v>176</v>
      </c>
      <c r="E250" s="59" t="s">
        <v>493</v>
      </c>
      <c r="F250" s="59" t="s">
        <v>594</v>
      </c>
      <c r="G250" s="60" t="s">
        <v>110</v>
      </c>
      <c r="H250" s="60" t="s">
        <v>88</v>
      </c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/>
      <c r="S250" s="66"/>
      <c r="T250" s="59"/>
      <c r="U250" s="59"/>
      <c r="V250" s="57" t="str">
        <f aca="false">IF($F250="","",IF(ISNUMBER(SEARCH("(externo)",$I250&amp;$J250&amp;$K250)),"Terceirizada","Interna"))</f>
        <v>Interna</v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n">
        <f aca="false">IF($F250="","",IF(OR($Q250="",$O250=""),0,IF($Q250&lt;=$O250,1,0)))</f>
        <v>0</v>
      </c>
      <c r="Y250" s="57" t="n">
        <f aca="false">IF($F250="","",IF(OR($Q250="",$W250=""),0,IF($Q250&lt;=$W250,1,0)))</f>
        <v>0</v>
      </c>
      <c r="Z250" s="57" t="str">
        <f aca="false">IF(OR($Q250="",$O250=""),"",MAX(0,$Q250-$O250))</f>
        <v/>
      </c>
      <c r="AA250" s="57" t="n">
        <f aca="false">IF($F250="","",IF(AND($S250&lt;&gt;"",$L250&lt;&gt;"",$S250&lt;&gt;$L250),1,0))</f>
        <v>0</v>
      </c>
      <c r="AB250" s="57" t="n">
        <f aca="false">IF($F250="","",IF($R250="Cancelada",0,IF(OR($Q250&lt;&gt;"",$R250="Concluída"),1,0)))</f>
        <v>0</v>
      </c>
      <c r="AC250" s="57" t="n">
        <f aca="false">IF($P250="",0,IF($P250&lt;Hoje!$L$1,1,IF(AND($P250=Hoje!$L$1,Hoje!$L$2&gt;Semana!$M$3),1,0)))</f>
        <v>0</v>
      </c>
      <c r="AD250" s="57" t="n">
        <f aca="false">IF($F250="","",IF(COUNTA($I250:$K250)=0,0,1/COUNTA($I250:$K250)))</f>
        <v>0</v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>F-938|Pendências de inspeção|</v>
      </c>
      <c r="AK250" s="57" t="n">
        <f aca="false">IF($AJ250="","",COUNTIF($AJ$4:$AJ250,$AJ250))</f>
        <v>4</v>
      </c>
      <c r="AL250" s="57" t="n">
        <f aca="false">IF($AJ250="","",COUNTIF($AJ$4:$AJ$1004,$AJ250))</f>
        <v>4</v>
      </c>
    </row>
    <row r="251" customFormat="false" ht="16.5" hidden="false" customHeight="true" outlineLevel="0" collapsed="false">
      <c r="A251" s="56" t="str">
        <f aca="false">IF($F251="","",COUNTA($F$4:$F251))</f>
        <v/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/>
      </c>
      <c r="C251" s="58"/>
      <c r="D251" s="59"/>
      <c r="E251" s="59"/>
      <c r="F251" s="59"/>
      <c r="G251" s="60"/>
      <c r="H251" s="60"/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/>
      <c r="S251" s="66"/>
      <c r="T251" s="59"/>
      <c r="U251" s="59"/>
      <c r="V251" s="57" t="str">
        <f aca="false">IF($F251="","",IF(ISNUMBER(SEARCH("(externo)",$I251&amp;$J251&amp;$K251)),"Terceirizada","Interna"))</f>
        <v/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str">
        <f aca="false">IF($F251="","",IF(OR($Q251="",$O251=""),0,IF($Q251&lt;=$O251,1,0)))</f>
        <v/>
      </c>
      <c r="Y251" s="57" t="str">
        <f aca="false">IF($F251="","",IF(OR($Q251="",$W251=""),0,IF($Q251&lt;=$W251,1,0)))</f>
        <v/>
      </c>
      <c r="Z251" s="57" t="str">
        <f aca="false">IF(OR($Q251="",$O251=""),"",MAX(0,$Q251-$O251))</f>
        <v/>
      </c>
      <c r="AA251" s="57" t="str">
        <f aca="false">IF($F251="","",IF(AND($S251&lt;&gt;"",$L251&lt;&gt;"",$S251&lt;&gt;$L251),1,0))</f>
        <v/>
      </c>
      <c r="AB251" s="57" t="str">
        <f aca="false">IF($F251="","",IF($R251="Cancelada",0,IF(OR($Q251&lt;&gt;"",$R251="Concluída"),1,0)))</f>
        <v/>
      </c>
      <c r="AC251" s="57" t="n">
        <f aca="false">IF($P251="",0,IF($P251&lt;Hoje!$L$1,1,IF(AND($P251=Hoje!$L$1,Hoje!$L$2&gt;Semana!$M$3),1,0)))</f>
        <v>0</v>
      </c>
      <c r="AD251" s="57" t="str">
        <f aca="false">IF($F251="","",IF(COUNTA($I251:$K251)=0,0,1/COUNTA($I251:$K251)))</f>
        <v/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/>
      </c>
      <c r="AK251" s="57" t="str">
        <f aca="false">IF($AJ251="","",COUNTIF($AJ$4:$AJ251,$AJ251))</f>
        <v/>
      </c>
      <c r="AL251" s="57" t="str">
        <f aca="false">IF($AJ251="","",COUNTIF($AJ$4:$AJ$1004,$AJ251))</f>
        <v/>
      </c>
    </row>
    <row r="252" customFormat="false" ht="16.5" hidden="false" customHeight="true" outlineLevel="0" collapsed="false">
      <c r="A252" s="56" t="str">
        <f aca="false">IF($F252="","",COUNTA($F$4:$F252))</f>
        <v/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/>
      </c>
      <c r="C252" s="58"/>
      <c r="D252" s="59"/>
      <c r="E252" s="59"/>
      <c r="F252" s="59"/>
      <c r="G252" s="60"/>
      <c r="H252" s="60"/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/>
      <c r="S252" s="66"/>
      <c r="T252" s="59"/>
      <c r="U252" s="59"/>
      <c r="V252" s="57" t="str">
        <f aca="false">IF($F252="","",IF(ISNUMBER(SEARCH("(externo)",$I252&amp;$J252&amp;$K252)),"Terceirizada","Interna"))</f>
        <v/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str">
        <f aca="false">IF($F252="","",IF(OR($Q252="",$O252=""),0,IF($Q252&lt;=$O252,1,0)))</f>
        <v/>
      </c>
      <c r="Y252" s="57" t="str">
        <f aca="false">IF($F252="","",IF(OR($Q252="",$W252=""),0,IF($Q252&lt;=$W252,1,0)))</f>
        <v/>
      </c>
      <c r="Z252" s="57" t="str">
        <f aca="false">IF(OR($Q252="",$O252=""),"",MAX(0,$Q252-$O252))</f>
        <v/>
      </c>
      <c r="AA252" s="57" t="str">
        <f aca="false">IF($F252="","",IF(AND($S252&lt;&gt;"",$L252&lt;&gt;"",$S252&lt;&gt;$L252),1,0))</f>
        <v/>
      </c>
      <c r="AB252" s="57" t="str">
        <f aca="false">IF($F252="","",IF($R252="Cancelada",0,IF(OR($Q252&lt;&gt;"",$R252="Concluída"),1,0)))</f>
        <v/>
      </c>
      <c r="AC252" s="57" t="n">
        <f aca="false">IF($P252="",0,IF($P252&lt;Hoje!$L$1,1,IF(AND($P252=Hoje!$L$1,Hoje!$L$2&gt;Semana!$M$3),1,0)))</f>
        <v>0</v>
      </c>
      <c r="AD252" s="57" t="str">
        <f aca="false">IF($F252="","",IF(COUNTA($I252:$K252)=0,0,1/COUNTA($I252:$K252)))</f>
        <v/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/>
      </c>
      <c r="AK252" s="57" t="str">
        <f aca="false">IF($AJ252="","",COUNTIF($AJ$4:$AJ252,$AJ252))</f>
        <v/>
      </c>
      <c r="AL252" s="57" t="str">
        <f aca="false">IF($AJ252="","",COUNTIF($AJ$4:$AJ$1004,$AJ252))</f>
        <v/>
      </c>
    </row>
    <row r="253" customFormat="false" ht="16.5" hidden="false" customHeight="true" outlineLevel="0" collapsed="false">
      <c r="A253" s="56" t="str">
        <f aca="false">IF($F253="","",COUNTA($F$4:$F253))</f>
        <v/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/>
      </c>
      <c r="C253" s="58"/>
      <c r="D253" s="59"/>
      <c r="E253" s="59"/>
      <c r="F253" s="59"/>
      <c r="G253" s="60"/>
      <c r="H253" s="60"/>
      <c r="I253" s="61"/>
      <c r="J253" s="61"/>
      <c r="K253" s="61"/>
      <c r="L253" s="62"/>
      <c r="M253" s="63"/>
      <c r="N253" s="62"/>
      <c r="O253" s="64" t="str">
        <f aca="false">IF(OR($L253="",$M253=""),"",(DATE(Semana!$J$3,1,4)-WEEKDAY(DATE(Semana!$J$3,1,4),3))+($L253-1)*7+MATCH($M253,Listas!$F$5:$F$11,0)-1)</f>
        <v/>
      </c>
      <c r="P253" s="64" t="str">
        <f aca="false">IF($O253="","",$O253+MAX(0,ROUNDUP($AK253*MAX(1,IF($N253="",1,$N253))/MAX(1,$AL253),0)-1))</f>
        <v/>
      </c>
      <c r="Q253" s="65"/>
      <c r="R253" s="60"/>
      <c r="S253" s="66"/>
      <c r="T253" s="59"/>
      <c r="U253" s="59"/>
      <c r="V253" s="57" t="str">
        <f aca="false">IF($F253="","",IF(ISNUMBER(SEARCH("(externo)",$I253&amp;$J253&amp;$K253)),"Terceirizada","Interna"))</f>
        <v/>
      </c>
      <c r="W253" s="64" t="str">
        <f aca="false">IF($O253="","",IF($S253="",$O253,(DATE(Semana!$J$3,1,4)-WEEKDAY(DATE(Semana!$J$3,1,4),3))+($S253-1)*7+IF($M253="",0,MATCH($M253,Listas!$F$5:$F$11,0)-1)))</f>
        <v/>
      </c>
      <c r="X253" s="57" t="str">
        <f aca="false">IF($F253="","",IF(OR($Q253="",$O253=""),0,IF($Q253&lt;=$O253,1,0)))</f>
        <v/>
      </c>
      <c r="Y253" s="57" t="str">
        <f aca="false">IF($F253="","",IF(OR($Q253="",$W253=""),0,IF($Q253&lt;=$W253,1,0)))</f>
        <v/>
      </c>
      <c r="Z253" s="57" t="str">
        <f aca="false">IF(OR($Q253="",$O253=""),"",MAX(0,$Q253-$O253))</f>
        <v/>
      </c>
      <c r="AA253" s="57" t="str">
        <f aca="false">IF($F253="","",IF(AND($S253&lt;&gt;"",$L253&lt;&gt;"",$S253&lt;&gt;$L253),1,0))</f>
        <v/>
      </c>
      <c r="AB253" s="57" t="str">
        <f aca="false">IF($F253="","",IF($R253="Cancelada",0,IF(OR($Q253&lt;&gt;"",$R253="Concluída"),1,0)))</f>
        <v/>
      </c>
      <c r="AC253" s="57" t="n">
        <f aca="false">IF($P253="",0,IF($P253&lt;Hoje!$L$1,1,IF(AND($P253=Hoje!$L$1,Hoje!$L$2&gt;Semana!$M$3),1,0)))</f>
        <v>0</v>
      </c>
      <c r="AD253" s="57" t="str">
        <f aca="false">IF($F253="","",IF(COUNTA($I253:$K253)=0,0,1/COUNTA($I253:$K253)))</f>
        <v/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/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/>
      </c>
      <c r="AK253" s="57" t="str">
        <f aca="false">IF($AJ253="","",COUNTIF($AJ$4:$AJ253,$AJ253))</f>
        <v/>
      </c>
      <c r="AL253" s="57" t="str">
        <f aca="false">IF($AJ253="","",COUNTIF($AJ$4:$AJ$1004,$AJ253))</f>
        <v/>
      </c>
    </row>
    <row r="254" customFormat="false" ht="16.5" hidden="false" customHeight="true" outlineLevel="0" collapsed="false">
      <c r="A254" s="56" t="str">
        <f aca="false">IF($F254="","",COUNTA($F$4:$F254))</f>
        <v/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/>
      </c>
      <c r="C254" s="58"/>
      <c r="D254" s="59"/>
      <c r="E254" s="59"/>
      <c r="F254" s="59"/>
      <c r="G254" s="60"/>
      <c r="H254" s="60"/>
      <c r="I254" s="61"/>
      <c r="J254" s="61"/>
      <c r="K254" s="61"/>
      <c r="L254" s="62"/>
      <c r="M254" s="63"/>
      <c r="N254" s="62"/>
      <c r="O254" s="64" t="str">
        <f aca="false">IF(OR($L254="",$M254=""),"",(DATE(Semana!$J$3,1,4)-WEEKDAY(DATE(Semana!$J$3,1,4),3))+($L254-1)*7+MATCH($M254,Listas!$F$5:$F$11,0)-1)</f>
        <v/>
      </c>
      <c r="P254" s="64" t="str">
        <f aca="false">IF($O254="","",$O254+MAX(0,ROUNDUP($AK254*MAX(1,IF($N254="",1,$N254))/MAX(1,$AL254),0)-1))</f>
        <v/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/>
      </c>
      <c r="W254" s="64" t="str">
        <f aca="false">IF($O254="","",IF($S254="",$O254,(DATE(Semana!$J$3,1,4)-WEEKDAY(DATE(Semana!$J$3,1,4),3))+($S254-1)*7+IF($M254="",0,MATCH($M254,Listas!$F$5:$F$11,0)-1)))</f>
        <v/>
      </c>
      <c r="X254" s="57" t="str">
        <f aca="false">IF($F254="","",IF(OR($Q254="",$O254=""),0,IF($Q254&lt;=$O254,1,0)))</f>
        <v/>
      </c>
      <c r="Y254" s="57" t="str">
        <f aca="false">IF($F254="","",IF(OR($Q254="",$W254=""),0,IF($Q254&lt;=$W254,1,0)))</f>
        <v/>
      </c>
      <c r="Z254" s="57" t="str">
        <f aca="false">IF(OR($Q254="",$O254=""),"",MAX(0,$Q254-$O254))</f>
        <v/>
      </c>
      <c r="AA254" s="57" t="str">
        <f aca="false">IF($F254="","",IF(AND($S254&lt;&gt;"",$L254&lt;&gt;"",$S254&lt;&gt;$L254),1,0))</f>
        <v/>
      </c>
      <c r="AB254" s="57" t="str">
        <f aca="false">IF($F254="","",IF($R254="Cancelada",0,IF(OR($Q254&lt;&gt;"",$R254="Concluída"),1,0)))</f>
        <v/>
      </c>
      <c r="AC254" s="57" t="n">
        <f aca="false">IF($P254="",0,IF($P254&lt;Hoje!$L$1,1,IF(AND($P254=Hoje!$L$1,Hoje!$L$2&gt;Semana!$M$3),1,0)))</f>
        <v>0</v>
      </c>
      <c r="AD254" s="57" t="str">
        <f aca="false">IF($F254="","",IF(COUNTA($I254:$K254)=0,0,1/COUNTA($I254:$K254)))</f>
        <v/>
      </c>
      <c r="AE254" s="57" t="str">
        <f aca="false">IF($AH254=0,"",SUM($AH$4:$AH254))</f>
        <v/>
      </c>
      <c r="AF254" s="57" t="str">
        <f aca="false">IF($AI254=0,"",SUM($AI$4:$AI254))</f>
        <v/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0</v>
      </c>
      <c r="AJ254" s="67" t="str">
        <f aca="false">IF($F254="","",$D254&amp;"|"&amp;$E254&amp;"|"&amp;$L254)</f>
        <v/>
      </c>
      <c r="AK254" s="57" t="str">
        <f aca="false">IF($AJ254="","",COUNTIF($AJ$4:$AJ254,$AJ254))</f>
        <v/>
      </c>
      <c r="AL254" s="57" t="str">
        <f aca="false">IF($AJ254="","",COUNTIF($AJ$4:$AJ$1004,$AJ254))</f>
        <v/>
      </c>
    </row>
    <row r="255" customFormat="false" ht="16.5" hidden="false" customHeight="true" outlineLevel="0" collapsed="false">
      <c r="A255" s="56" t="str">
        <f aca="false">IF($F255="","",COUNTA($F$4:$F255))</f>
        <v/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/>
      </c>
      <c r="C255" s="58"/>
      <c r="D255" s="59"/>
      <c r="E255" s="59"/>
      <c r="F255" s="59"/>
      <c r="G255" s="60"/>
      <c r="H255" s="60"/>
      <c r="I255" s="61"/>
      <c r="J255" s="61"/>
      <c r="K255" s="61"/>
      <c r="L255" s="62"/>
      <c r="M255" s="63"/>
      <c r="N255" s="62"/>
      <c r="O255" s="64" t="str">
        <f aca="false">IF(OR($L255="",$M255=""),"",(DATE(Semana!$J$3,1,4)-WEEKDAY(DATE(Semana!$J$3,1,4),3))+($L255-1)*7+MATCH($M255,Listas!$F$5:$F$11,0)-1)</f>
        <v/>
      </c>
      <c r="P255" s="64" t="str">
        <f aca="false">IF($O255="","",$O255+MAX(0,ROUNDUP($AK255*MAX(1,IF($N255="",1,$N255))/MAX(1,$AL255),0)-1))</f>
        <v/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/>
      </c>
      <c r="W255" s="64" t="str">
        <f aca="false">IF($O255="","",IF($S255="",$O255,(DATE(Semana!$J$3,1,4)-WEEKDAY(DATE(Semana!$J$3,1,4),3))+($S255-1)*7+IF($M255="",0,MATCH($M255,Listas!$F$5:$F$11,0)-1)))</f>
        <v/>
      </c>
      <c r="X255" s="57" t="str">
        <f aca="false">IF($F255="","",IF(OR($Q255="",$O255=""),0,IF($Q255&lt;=$O255,1,0)))</f>
        <v/>
      </c>
      <c r="Y255" s="57" t="str">
        <f aca="false">IF($F255="","",IF(OR($Q255="",$W255=""),0,IF($Q255&lt;=$W255,1,0)))</f>
        <v/>
      </c>
      <c r="Z255" s="57" t="str">
        <f aca="false">IF(OR($Q255="",$O255=""),"",MAX(0,$Q255-$O255))</f>
        <v/>
      </c>
      <c r="AA255" s="57" t="str">
        <f aca="false">IF($F255="","",IF(AND($S255&lt;&gt;"",$L255&lt;&gt;"",$S255&lt;&gt;$L255),1,0))</f>
        <v/>
      </c>
      <c r="AB255" s="57" t="str">
        <f aca="false">IF($F255="","",IF($R255="Cancelada",0,IF(OR($Q255&lt;&gt;"",$R255="Concluída"),1,0)))</f>
        <v/>
      </c>
      <c r="AC255" s="57" t="n">
        <f aca="false">IF($P255="",0,IF($P255&lt;Hoje!$L$1,1,IF(AND($P255=Hoje!$L$1,Hoje!$L$2&gt;Semana!$M$3),1,0)))</f>
        <v>0</v>
      </c>
      <c r="AD255" s="57" t="str">
        <f aca="false">IF($F255="","",IF(COUNTA($I255:$K255)=0,0,1/COUNTA($I255:$K255)))</f>
        <v/>
      </c>
      <c r="AE255" s="57" t="str">
        <f aca="false">IF($AH255=0,"",SUM($AH$4:$AH255))</f>
        <v/>
      </c>
      <c r="AF255" s="57" t="str">
        <f aca="false">IF($AI255=0,"",SUM($AI$4:$AI255))</f>
        <v/>
      </c>
      <c r="AG255" s="67" t="str">
        <f aca="false">IF($F255="","",$I255&amp;IF($J255="",""," · "&amp;$J255)&amp;IF($K255="",""," · "&amp;$K255))</f>
        <v/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0</v>
      </c>
      <c r="AJ255" s="67" t="str">
        <f aca="false">IF($F255="","",$D255&amp;"|"&amp;$E255&amp;"|"&amp;$L255)</f>
        <v/>
      </c>
      <c r="AK255" s="57" t="str">
        <f aca="false">IF($AJ255="","",COUNTIF($AJ$4:$AJ255,$AJ255))</f>
        <v/>
      </c>
      <c r="AL255" s="57" t="str">
        <f aca="false">IF($AJ255="","",COUNTIF($AJ$4:$AJ$1004,$AJ255))</f>
        <v/>
      </c>
    </row>
    <row r="256" customFormat="false" ht="16.5" hidden="false" customHeight="true" outlineLevel="0" collapsed="false">
      <c r="A256" s="56" t="str">
        <f aca="false">IF($F256="","",COUNTA($F$4:$F256))</f>
        <v/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/>
      </c>
      <c r="C256" s="58"/>
      <c r="D256" s="59"/>
      <c r="E256" s="59"/>
      <c r="F256" s="59"/>
      <c r="G256" s="60"/>
      <c r="H256" s="60"/>
      <c r="I256" s="61"/>
      <c r="J256" s="61"/>
      <c r="K256" s="61"/>
      <c r="L256" s="62"/>
      <c r="M256" s="63"/>
      <c r="N256" s="62"/>
      <c r="O256" s="64" t="str">
        <f aca="false">IF(OR($L256="",$M256=""),"",(DATE(Semana!$J$3,1,4)-WEEKDAY(DATE(Semana!$J$3,1,4),3))+($L256-1)*7+MATCH($M256,Listas!$F$5:$F$11,0)-1)</f>
        <v/>
      </c>
      <c r="P256" s="64" t="str">
        <f aca="false">IF($O256="","",$O256+MAX(0,ROUNDUP($AK256*MAX(1,IF($N256="",1,$N256))/MAX(1,$AL256),0)-1))</f>
        <v/>
      </c>
      <c r="Q256" s="65"/>
      <c r="R256" s="60"/>
      <c r="S256" s="66"/>
      <c r="T256" s="59"/>
      <c r="U256" s="59"/>
      <c r="V256" s="57" t="str">
        <f aca="false">IF($F256="","",IF(ISNUMBER(SEARCH("(externo)",$I256&amp;$J256&amp;$K256)),"Terceirizada","Interna"))</f>
        <v/>
      </c>
      <c r="W256" s="64" t="str">
        <f aca="false">IF($O256="","",IF($S256="",$O256,(DATE(Semana!$J$3,1,4)-WEEKDAY(DATE(Semana!$J$3,1,4),3))+($S256-1)*7+IF($M256="",0,MATCH($M256,Listas!$F$5:$F$11,0)-1)))</f>
        <v/>
      </c>
      <c r="X256" s="57" t="str">
        <f aca="false">IF($F256="","",IF(OR($Q256="",$O256=""),0,IF($Q256&lt;=$O256,1,0)))</f>
        <v/>
      </c>
      <c r="Y256" s="57" t="str">
        <f aca="false">IF($F256="","",IF(OR($Q256="",$W256=""),0,IF($Q256&lt;=$W256,1,0)))</f>
        <v/>
      </c>
      <c r="Z256" s="57" t="str">
        <f aca="false">IF(OR($Q256="",$O256=""),"",MAX(0,$Q256-$O256))</f>
        <v/>
      </c>
      <c r="AA256" s="57" t="str">
        <f aca="false">IF($F256="","",IF(AND($S256&lt;&gt;"",$L256&lt;&gt;"",$S256&lt;&gt;$L256),1,0))</f>
        <v/>
      </c>
      <c r="AB256" s="57" t="str">
        <f aca="false">IF($F256="","",IF($R256="Cancelada",0,IF(OR($Q256&lt;&gt;"",$R256="Concluída"),1,0)))</f>
        <v/>
      </c>
      <c r="AC256" s="57" t="n">
        <f aca="false">IF($P256="",0,IF($P256&lt;Hoje!$L$1,1,IF(AND($P256=Hoje!$L$1,Hoje!$L$2&gt;Semana!$M$3),1,0)))</f>
        <v>0</v>
      </c>
      <c r="AD256" s="57" t="str">
        <f aca="false">IF($F256="","",IF(COUNTA($I256:$K256)=0,0,1/COUNTA($I256:$K256)))</f>
        <v/>
      </c>
      <c r="AE256" s="57" t="str">
        <f aca="false">IF($AH256=0,"",SUM($AH$4:$AH256))</f>
        <v/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/>
      </c>
      <c r="AH256" s="57" t="n">
        <f aca="false">IF(AND($F256&lt;&gt;"",$O256&lt;&gt;"",$O256&lt;=Hoje!$C$3,$P256&gt;=Hoje!$C$3,$R256&lt;&gt;"Cancelada"),1,0)</f>
        <v>0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/>
      </c>
      <c r="AK256" s="57" t="str">
        <f aca="false">IF($AJ256="","",COUNTIF($AJ$4:$AJ256,$AJ256))</f>
        <v/>
      </c>
      <c r="AL256" s="57" t="str">
        <f aca="false">IF($AJ256="","",COUNTIF($AJ$4:$AJ$1004,$AJ256))</f>
        <v/>
      </c>
    </row>
    <row r="257" customFormat="false" ht="16.5" hidden="false" customHeight="true" outlineLevel="0" collapsed="false">
      <c r="A257" s="56" t="str">
        <f aca="false">IF($F257="","",COUNTA($F$4:$F257))</f>
        <v/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/>
      </c>
      <c r="C257" s="58"/>
      <c r="D257" s="59"/>
      <c r="E257" s="59"/>
      <c r="F257" s="59"/>
      <c r="G257" s="60"/>
      <c r="H257" s="60"/>
      <c r="I257" s="61"/>
      <c r="J257" s="61"/>
      <c r="K257" s="61"/>
      <c r="L257" s="62"/>
      <c r="M257" s="63"/>
      <c r="N257" s="62"/>
      <c r="O257" s="64" t="str">
        <f aca="false">IF(OR($L257="",$M257=""),"",(DATE(Semana!$J$3,1,4)-WEEKDAY(DATE(Semana!$J$3,1,4),3))+($L257-1)*7+MATCH($M257,Listas!$F$5:$F$11,0)-1)</f>
        <v/>
      </c>
      <c r="P257" s="64" t="str">
        <f aca="false">IF($O257="","",$O257+MAX(0,ROUNDUP($AK257*MAX(1,IF($N257="",1,$N257))/MAX(1,$AL257),0)-1))</f>
        <v/>
      </c>
      <c r="Q257" s="65"/>
      <c r="R257" s="60"/>
      <c r="S257" s="66"/>
      <c r="T257" s="59"/>
      <c r="U257" s="59"/>
      <c r="V257" s="57" t="str">
        <f aca="false">IF($F257="","",IF(ISNUMBER(SEARCH("(externo)",$I257&amp;$J257&amp;$K257)),"Terceirizada","Interna"))</f>
        <v/>
      </c>
      <c r="W257" s="64" t="str">
        <f aca="false">IF($O257="","",IF($S257="",$O257,(DATE(Semana!$J$3,1,4)-WEEKDAY(DATE(Semana!$J$3,1,4),3))+($S257-1)*7+IF($M257="",0,MATCH($M257,Listas!$F$5:$F$11,0)-1)))</f>
        <v/>
      </c>
      <c r="X257" s="57" t="str">
        <f aca="false">IF($F257="","",IF(OR($Q257="",$O257=""),0,IF($Q257&lt;=$O257,1,0)))</f>
        <v/>
      </c>
      <c r="Y257" s="57" t="str">
        <f aca="false">IF($F257="","",IF(OR($Q257="",$W257=""),0,IF($Q257&lt;=$W257,1,0)))</f>
        <v/>
      </c>
      <c r="Z257" s="57" t="str">
        <f aca="false">IF(OR($Q257="",$O257=""),"",MAX(0,$Q257-$O257))</f>
        <v/>
      </c>
      <c r="AA257" s="57" t="str">
        <f aca="false">IF($F257="","",IF(AND($S257&lt;&gt;"",$L257&lt;&gt;"",$S257&lt;&gt;$L257),1,0))</f>
        <v/>
      </c>
      <c r="AB257" s="57" t="str">
        <f aca="false">IF($F257="","",IF($R257="Cancelada",0,IF(OR($Q257&lt;&gt;"",$R257="Concluída"),1,0)))</f>
        <v/>
      </c>
      <c r="AC257" s="57" t="n">
        <f aca="false">IF($P257="",0,IF($P257&lt;Hoje!$L$1,1,IF(AND($P257=Hoje!$L$1,Hoje!$L$2&gt;Semana!$M$3),1,0)))</f>
        <v>0</v>
      </c>
      <c r="AD257" s="57" t="str">
        <f aca="false">IF($F257="","",IF(COUNTA($I257:$K257)=0,0,1/COUNTA($I257:$K257)))</f>
        <v/>
      </c>
      <c r="AE257" s="57" t="str">
        <f aca="false">IF($AH257=0,"",SUM($AH$4:$AH257))</f>
        <v/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/>
      </c>
      <c r="AH257" s="57" t="n">
        <f aca="false">IF(AND($F257&lt;&gt;"",$O257&lt;&gt;"",$O257&lt;=Hoje!$C$3,$P257&gt;=Hoje!$C$3,$R257&lt;&gt;"Cancelada"),1,0)</f>
        <v>0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/>
      </c>
      <c r="AK257" s="57" t="str">
        <f aca="false">IF($AJ257="","",COUNTIF($AJ$4:$AJ257,$AJ257))</f>
        <v/>
      </c>
      <c r="AL257" s="57" t="str">
        <f aca="false">IF($AJ257="","",COUNTIF($AJ$4:$AJ$1004,$AJ257))</f>
        <v/>
      </c>
    </row>
    <row r="258" customFormat="false" ht="16.5" hidden="false" customHeight="true" outlineLevel="0" collapsed="false">
      <c r="A258" s="56" t="str">
        <f aca="false">IF($F258="","",COUNTA($F$4:$F258))</f>
        <v/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/>
      </c>
      <c r="C258" s="58"/>
      <c r="D258" s="59"/>
      <c r="E258" s="59"/>
      <c r="F258" s="59"/>
      <c r="G258" s="60"/>
      <c r="H258" s="60"/>
      <c r="I258" s="61"/>
      <c r="J258" s="61"/>
      <c r="K258" s="61"/>
      <c r="L258" s="62"/>
      <c r="M258" s="63"/>
      <c r="N258" s="62"/>
      <c r="O258" s="64" t="str">
        <f aca="false">IF(OR($L258="",$M258=""),"",(DATE(Semana!$J$3,1,4)-WEEKDAY(DATE(Semana!$J$3,1,4),3))+($L258-1)*7+MATCH($M258,Listas!$F$5:$F$11,0)-1)</f>
        <v/>
      </c>
      <c r="P258" s="64" t="str">
        <f aca="false">IF($O258="","",$O258+MAX(0,ROUNDUP($AK258*MAX(1,IF($N258="",1,$N258))/MAX(1,$AL258),0)-1))</f>
        <v/>
      </c>
      <c r="Q258" s="65"/>
      <c r="R258" s="60"/>
      <c r="S258" s="66"/>
      <c r="T258" s="59"/>
      <c r="U258" s="59"/>
      <c r="V258" s="57" t="str">
        <f aca="false">IF($F258="","",IF(ISNUMBER(SEARCH("(externo)",$I258&amp;$J258&amp;$K258)),"Terceirizada","Interna"))</f>
        <v/>
      </c>
      <c r="W258" s="64" t="str">
        <f aca="false">IF($O258="","",IF($S258="",$O258,(DATE(Semana!$J$3,1,4)-WEEKDAY(DATE(Semana!$J$3,1,4),3))+($S258-1)*7+IF($M258="",0,MATCH($M258,Listas!$F$5:$F$11,0)-1)))</f>
        <v/>
      </c>
      <c r="X258" s="57" t="str">
        <f aca="false">IF($F258="","",IF(OR($Q258="",$O258=""),0,IF($Q258&lt;=$O258,1,0)))</f>
        <v/>
      </c>
      <c r="Y258" s="57" t="str">
        <f aca="false">IF($F258="","",IF(OR($Q258="",$W258=""),0,IF($Q258&lt;=$W258,1,0)))</f>
        <v/>
      </c>
      <c r="Z258" s="57" t="str">
        <f aca="false">IF(OR($Q258="",$O258=""),"",MAX(0,$Q258-$O258))</f>
        <v/>
      </c>
      <c r="AA258" s="57" t="str">
        <f aca="false">IF($F258="","",IF(AND($S258&lt;&gt;"",$L258&lt;&gt;"",$S258&lt;&gt;$L258),1,0))</f>
        <v/>
      </c>
      <c r="AB258" s="57" t="str">
        <f aca="false">IF($F258="","",IF($R258="Cancelada",0,IF(OR($Q258&lt;&gt;"",$R258="Concluída"),1,0)))</f>
        <v/>
      </c>
      <c r="AC258" s="57" t="n">
        <f aca="false">IF($P258="",0,IF($P258&lt;Hoje!$L$1,1,IF(AND($P258=Hoje!$L$1,Hoje!$L$2&gt;Semana!$M$3),1,0)))</f>
        <v>0</v>
      </c>
      <c r="AD258" s="57" t="str">
        <f aca="false">IF($F258="","",IF(COUNTA($I258:$K258)=0,0,1/COUNTA($I258:$K258)))</f>
        <v/>
      </c>
      <c r="AE258" s="57" t="str">
        <f aca="false">IF($AH258=0,"",SUM($AH$4:$AH258))</f>
        <v/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/>
      </c>
      <c r="AH258" s="57" t="n">
        <f aca="false">IF(AND($F258&lt;&gt;"",$O258&lt;&gt;"",$O258&lt;=Hoje!$C$3,$P258&gt;=Hoje!$C$3,$R258&lt;&gt;"Cancelada"),1,0)</f>
        <v>0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/>
      </c>
      <c r="AK258" s="57" t="str">
        <f aca="false">IF($AJ258="","",COUNTIF($AJ$4:$AJ258,$AJ258))</f>
        <v/>
      </c>
      <c r="AL258" s="57" t="str">
        <f aca="false">IF($AJ258="","",COUNTIF($AJ$4:$AJ$1004,$AJ258))</f>
        <v/>
      </c>
    </row>
    <row r="259" customFormat="false" ht="16.5" hidden="false" customHeight="true" outlineLevel="0" collapsed="false">
      <c r="A259" s="56" t="str">
        <f aca="false">IF($F259="","",COUNTA($F$4:$F259))</f>
        <v/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/>
      </c>
      <c r="C259" s="58"/>
      <c r="D259" s="59"/>
      <c r="E259" s="59"/>
      <c r="F259" s="59"/>
      <c r="G259" s="60"/>
      <c r="H259" s="60"/>
      <c r="I259" s="61"/>
      <c r="J259" s="61"/>
      <c r="K259" s="61"/>
      <c r="L259" s="62"/>
      <c r="M259" s="63"/>
      <c r="N259" s="62"/>
      <c r="O259" s="64" t="str">
        <f aca="false">IF(OR($L259="",$M259=""),"",(DATE(Semana!$J$3,1,4)-WEEKDAY(DATE(Semana!$J$3,1,4),3))+($L259-1)*7+MATCH($M259,Listas!$F$5:$F$11,0)-1)</f>
        <v/>
      </c>
      <c r="P259" s="64" t="str">
        <f aca="false">IF($O259="","",$O259+MAX(0,ROUNDUP($AK259*MAX(1,IF($N259="",1,$N259))/MAX(1,$AL259),0)-1))</f>
        <v/>
      </c>
      <c r="Q259" s="65"/>
      <c r="R259" s="60"/>
      <c r="S259" s="66"/>
      <c r="T259" s="59"/>
      <c r="U259" s="59"/>
      <c r="V259" s="57" t="str">
        <f aca="false">IF($F259="","",IF(ISNUMBER(SEARCH("(externo)",$I259&amp;$J259&amp;$K259)),"Terceirizada","Interna"))</f>
        <v/>
      </c>
      <c r="W259" s="64" t="str">
        <f aca="false">IF($O259="","",IF($S259="",$O259,(DATE(Semana!$J$3,1,4)-WEEKDAY(DATE(Semana!$J$3,1,4),3))+($S259-1)*7+IF($M259="",0,MATCH($M259,Listas!$F$5:$F$11,0)-1)))</f>
        <v/>
      </c>
      <c r="X259" s="57" t="str">
        <f aca="false">IF($F259="","",IF(OR($Q259="",$O259=""),0,IF($Q259&lt;=$O259,1,0)))</f>
        <v/>
      </c>
      <c r="Y259" s="57" t="str">
        <f aca="false">IF($F259="","",IF(OR($Q259="",$W259=""),0,IF($Q259&lt;=$W259,1,0)))</f>
        <v/>
      </c>
      <c r="Z259" s="57" t="str">
        <f aca="false">IF(OR($Q259="",$O259=""),"",MAX(0,$Q259-$O259))</f>
        <v/>
      </c>
      <c r="AA259" s="57" t="str">
        <f aca="false">IF($F259="","",IF(AND($S259&lt;&gt;"",$L259&lt;&gt;"",$S259&lt;&gt;$L259),1,0))</f>
        <v/>
      </c>
      <c r="AB259" s="57" t="str">
        <f aca="false">IF($F259="","",IF($R259="Cancelada",0,IF(OR($Q259&lt;&gt;"",$R259="Concluída"),1,0)))</f>
        <v/>
      </c>
      <c r="AC259" s="57" t="n">
        <f aca="false">IF($P259="",0,IF($P259&lt;Hoje!$L$1,1,IF(AND($P259=Hoje!$L$1,Hoje!$L$2&gt;Semana!$M$3),1,0)))</f>
        <v>0</v>
      </c>
      <c r="AD259" s="57" t="str">
        <f aca="false">IF($F259="","",IF(COUNTA($I259:$K259)=0,0,1/COUNTA($I259:$K259)))</f>
        <v/>
      </c>
      <c r="AE259" s="57" t="str">
        <f aca="false">IF($AH259=0,"",SUM($AH$4:$AH259))</f>
        <v/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/>
      </c>
      <c r="AH259" s="57" t="n">
        <f aca="false">IF(AND($F259&lt;&gt;"",$O259&lt;&gt;"",$O259&lt;=Hoje!$C$3,$P259&gt;=Hoje!$C$3,$R259&lt;&gt;"Cancelada"),1,0)</f>
        <v>0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/>
      </c>
      <c r="AK259" s="57" t="str">
        <f aca="false">IF($AJ259="","",COUNTIF($AJ$4:$AJ259,$AJ259))</f>
        <v/>
      </c>
      <c r="AL259" s="57" t="str">
        <f aca="false">IF($AJ259="","",COUNTIF($AJ$4:$AJ$1004,$AJ259))</f>
        <v/>
      </c>
    </row>
    <row r="260" customFormat="false" ht="16.5" hidden="false" customHeight="true" outlineLevel="0" collapsed="false">
      <c r="A260" s="56" t="str">
        <f aca="false">IF($F260="","",COUNTA($F$4:$F260))</f>
        <v/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/>
      </c>
      <c r="C260" s="58"/>
      <c r="D260" s="59"/>
      <c r="E260" s="59"/>
      <c r="F260" s="59"/>
      <c r="G260" s="60"/>
      <c r="H260" s="60"/>
      <c r="I260" s="61"/>
      <c r="J260" s="61"/>
      <c r="K260" s="61"/>
      <c r="L260" s="62"/>
      <c r="M260" s="63"/>
      <c r="N260" s="62"/>
      <c r="O260" s="64" t="str">
        <f aca="false">IF(OR($L260="",$M260=""),"",(DATE(Semana!$J$3,1,4)-WEEKDAY(DATE(Semana!$J$3,1,4),3))+($L260-1)*7+MATCH($M260,Listas!$F$5:$F$11,0)-1)</f>
        <v/>
      </c>
      <c r="P260" s="64" t="str">
        <f aca="false">IF($O260="","",$O260+MAX(0,ROUNDUP($AK260*MAX(1,IF($N260="",1,$N260))/MAX(1,$AL260),0)-1))</f>
        <v/>
      </c>
      <c r="Q260" s="65"/>
      <c r="R260" s="60"/>
      <c r="S260" s="66"/>
      <c r="T260" s="59"/>
      <c r="U260" s="59"/>
      <c r="V260" s="57" t="str">
        <f aca="false">IF($F260="","",IF(ISNUMBER(SEARCH("(externo)",$I260&amp;$J260&amp;$K260)),"Terceirizada","Interna"))</f>
        <v/>
      </c>
      <c r="W260" s="64" t="str">
        <f aca="false">IF($O260="","",IF($S260="",$O260,(DATE(Semana!$J$3,1,4)-WEEKDAY(DATE(Semana!$J$3,1,4),3))+($S260-1)*7+IF($M260="",0,MATCH($M260,Listas!$F$5:$F$11,0)-1)))</f>
        <v/>
      </c>
      <c r="X260" s="57" t="str">
        <f aca="false">IF($F260="","",IF(OR($Q260="",$O260=""),0,IF($Q260&lt;=$O260,1,0)))</f>
        <v/>
      </c>
      <c r="Y260" s="57" t="str">
        <f aca="false">IF($F260="","",IF(OR($Q260="",$W260=""),0,IF($Q260&lt;=$W260,1,0)))</f>
        <v/>
      </c>
      <c r="Z260" s="57" t="str">
        <f aca="false">IF(OR($Q260="",$O260=""),"",MAX(0,$Q260-$O260))</f>
        <v/>
      </c>
      <c r="AA260" s="57" t="str">
        <f aca="false">IF($F260="","",IF(AND($S260&lt;&gt;"",$L260&lt;&gt;"",$S260&lt;&gt;$L260),1,0))</f>
        <v/>
      </c>
      <c r="AB260" s="57" t="str">
        <f aca="false">IF($F260="","",IF($R260="Cancelada",0,IF(OR($Q260&lt;&gt;"",$R260="Concluída"),1,0)))</f>
        <v/>
      </c>
      <c r="AC260" s="57" t="n">
        <f aca="false">IF($P260="",0,IF($P260&lt;Hoje!$L$1,1,IF(AND($P260=Hoje!$L$1,Hoje!$L$2&gt;Semana!$M$3),1,0)))</f>
        <v>0</v>
      </c>
      <c r="AD260" s="57" t="str">
        <f aca="false">IF($F260="","",IF(COUNTA($I260:$K260)=0,0,1/COUNTA($I260:$K260)))</f>
        <v/>
      </c>
      <c r="AE260" s="57" t="str">
        <f aca="false">IF($AH260=0,"",SUM($AH$4:$AH260))</f>
        <v/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/>
      </c>
      <c r="AH260" s="57" t="n">
        <f aca="false">IF(AND($F260&lt;&gt;"",$O260&lt;&gt;"",$O260&lt;=Hoje!$C$3,$P260&gt;=Hoje!$C$3,$R260&lt;&gt;"Cancelada"),1,0)</f>
        <v>0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/>
      </c>
      <c r="AK260" s="57" t="str">
        <f aca="false">IF($AJ260="","",COUNTIF($AJ$4:$AJ260,$AJ260))</f>
        <v/>
      </c>
      <c r="AL260" s="57" t="str">
        <f aca="false">IF($AJ260="","",COUNTIF($AJ$4:$AJ$1004,$AJ260))</f>
        <v/>
      </c>
    </row>
    <row r="261" customFormat="false" ht="16.5" hidden="false" customHeight="true" outlineLevel="0" collapsed="false">
      <c r="A261" s="56" t="str">
        <f aca="false">IF($F261="","",COUNTA($F$4:$F261))</f>
        <v/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/>
      </c>
      <c r="C261" s="58"/>
      <c r="D261" s="59"/>
      <c r="E261" s="59"/>
      <c r="F261" s="59"/>
      <c r="G261" s="60"/>
      <c r="H261" s="60"/>
      <c r="I261" s="61"/>
      <c r="J261" s="61"/>
      <c r="K261" s="61"/>
      <c r="L261" s="62"/>
      <c r="M261" s="63"/>
      <c r="N261" s="62"/>
      <c r="O261" s="64" t="str">
        <f aca="false">IF(OR($L261="",$M261=""),"",(DATE(Semana!$J$3,1,4)-WEEKDAY(DATE(Semana!$J$3,1,4),3))+($L261-1)*7+MATCH($M261,Listas!$F$5:$F$11,0)-1)</f>
        <v/>
      </c>
      <c r="P261" s="64" t="str">
        <f aca="false">IF($O261="","",$O261+MAX(0,ROUNDUP($AK261*MAX(1,IF($N261="",1,$N261))/MAX(1,$AL261),0)-1))</f>
        <v/>
      </c>
      <c r="Q261" s="65"/>
      <c r="R261" s="60"/>
      <c r="S261" s="66"/>
      <c r="T261" s="59"/>
      <c r="U261" s="59"/>
      <c r="V261" s="57" t="str">
        <f aca="false">IF($F261="","",IF(ISNUMBER(SEARCH("(externo)",$I261&amp;$J261&amp;$K261)),"Terceirizada","Interna"))</f>
        <v/>
      </c>
      <c r="W261" s="64" t="str">
        <f aca="false">IF($O261="","",IF($S261="",$O261,(DATE(Semana!$J$3,1,4)-WEEKDAY(DATE(Semana!$J$3,1,4),3))+($S261-1)*7+IF($M261="",0,MATCH($M261,Listas!$F$5:$F$11,0)-1)))</f>
        <v/>
      </c>
      <c r="X261" s="57" t="str">
        <f aca="false">IF($F261="","",IF(OR($Q261="",$O261=""),0,IF($Q261&lt;=$O261,1,0)))</f>
        <v/>
      </c>
      <c r="Y261" s="57" t="str">
        <f aca="false">IF($F261="","",IF(OR($Q261="",$W261=""),0,IF($Q261&lt;=$W261,1,0)))</f>
        <v/>
      </c>
      <c r="Z261" s="57" t="str">
        <f aca="false">IF(OR($Q261="",$O261=""),"",MAX(0,$Q261-$O261))</f>
        <v/>
      </c>
      <c r="AA261" s="57" t="str">
        <f aca="false">IF($F261="","",IF(AND($S261&lt;&gt;"",$L261&lt;&gt;"",$S261&lt;&gt;$L261),1,0))</f>
        <v/>
      </c>
      <c r="AB261" s="57" t="str">
        <f aca="false">IF($F261="","",IF($R261="Cancelada",0,IF(OR($Q261&lt;&gt;"",$R261="Concluída"),1,0)))</f>
        <v/>
      </c>
      <c r="AC261" s="57" t="n">
        <f aca="false">IF($P261="",0,IF($P261&lt;Hoje!$L$1,1,IF(AND($P261=Hoje!$L$1,Hoje!$L$2&gt;Semana!$M$3),1,0)))</f>
        <v>0</v>
      </c>
      <c r="AD261" s="57" t="str">
        <f aca="false">IF($F261="","",IF(COUNTA($I261:$K261)=0,0,1/COUNTA($I261:$K261)))</f>
        <v/>
      </c>
      <c r="AE261" s="57" t="str">
        <f aca="false">IF($AH261=0,"",SUM($AH$4:$AH261))</f>
        <v/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/>
      </c>
      <c r="AH261" s="57" t="n">
        <f aca="false">IF(AND($F261&lt;&gt;"",$O261&lt;&gt;"",$O261&lt;=Hoje!$C$3,$P261&gt;=Hoje!$C$3,$R261&lt;&gt;"Cancelada"),1,0)</f>
        <v>0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/>
      </c>
      <c r="AK261" s="57" t="str">
        <f aca="false">IF($AJ261="","",COUNTIF($AJ$4:$AJ261,$AJ261))</f>
        <v/>
      </c>
      <c r="AL261" s="57" t="str">
        <f aca="false">IF($AJ261="","",COUNTIF($AJ$4:$AJ$1004,$AJ261))</f>
        <v/>
      </c>
    </row>
    <row r="262" customFormat="false" ht="16.5" hidden="false" customHeight="true" outlineLevel="0" collapsed="false">
      <c r="A262" s="56" t="str">
        <f aca="false">IF($F262="","",COUNTA($F$4:$F262))</f>
        <v/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/>
      </c>
      <c r="C262" s="58"/>
      <c r="D262" s="59"/>
      <c r="E262" s="59"/>
      <c r="F262" s="59"/>
      <c r="G262" s="60"/>
      <c r="H262" s="60"/>
      <c r="I262" s="61"/>
      <c r="J262" s="61"/>
      <c r="K262" s="61"/>
      <c r="L262" s="62"/>
      <c r="M262" s="63"/>
      <c r="N262" s="62"/>
      <c r="O262" s="64" t="str">
        <f aca="false">IF(OR($L262="",$M262=""),"",(DATE(Semana!$J$3,1,4)-WEEKDAY(DATE(Semana!$J$3,1,4),3))+($L262-1)*7+MATCH($M262,Listas!$F$5:$F$11,0)-1)</f>
        <v/>
      </c>
      <c r="P262" s="64" t="str">
        <f aca="false">IF($O262="","",$O262+MAX(0,ROUNDUP($AK262*MAX(1,IF($N262="",1,$N262))/MAX(1,$AL262),0)-1))</f>
        <v/>
      </c>
      <c r="Q262" s="65"/>
      <c r="R262" s="60"/>
      <c r="S262" s="66"/>
      <c r="T262" s="59"/>
      <c r="U262" s="59"/>
      <c r="V262" s="57" t="str">
        <f aca="false">IF($F262="","",IF(ISNUMBER(SEARCH("(externo)",$I262&amp;$J262&amp;$K262)),"Terceirizada","Interna"))</f>
        <v/>
      </c>
      <c r="W262" s="64" t="str">
        <f aca="false">IF($O262="","",IF($S262="",$O262,(DATE(Semana!$J$3,1,4)-WEEKDAY(DATE(Semana!$J$3,1,4),3))+($S262-1)*7+IF($M262="",0,MATCH($M262,Listas!$F$5:$F$11,0)-1)))</f>
        <v/>
      </c>
      <c r="X262" s="57" t="str">
        <f aca="false">IF($F262="","",IF(OR($Q262="",$O262=""),0,IF($Q262&lt;=$O262,1,0)))</f>
        <v/>
      </c>
      <c r="Y262" s="57" t="str">
        <f aca="false">IF($F262="","",IF(OR($Q262="",$W262=""),0,IF($Q262&lt;=$W262,1,0)))</f>
        <v/>
      </c>
      <c r="Z262" s="57" t="str">
        <f aca="false">IF(OR($Q262="",$O262=""),"",MAX(0,$Q262-$O262))</f>
        <v/>
      </c>
      <c r="AA262" s="57" t="str">
        <f aca="false">IF($F262="","",IF(AND($S262&lt;&gt;"",$L262&lt;&gt;"",$S262&lt;&gt;$L262),1,0))</f>
        <v/>
      </c>
      <c r="AB262" s="57" t="str">
        <f aca="false">IF($F262="","",IF($R262="Cancelada",0,IF(OR($Q262&lt;&gt;"",$R262="Concluída"),1,0)))</f>
        <v/>
      </c>
      <c r="AC262" s="57" t="n">
        <f aca="false">IF($P262="",0,IF($P262&lt;Hoje!$L$1,1,IF(AND($P262=Hoje!$L$1,Hoje!$L$2&gt;Semana!$M$3),1,0)))</f>
        <v>0</v>
      </c>
      <c r="AD262" s="57" t="str">
        <f aca="false">IF($F262="","",IF(COUNTA($I262:$K262)=0,0,1/COUNTA($I262:$K262)))</f>
        <v/>
      </c>
      <c r="AE262" s="57" t="str">
        <f aca="false">IF($AH262=0,"",SUM($AH$4:$AH262))</f>
        <v/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/>
      </c>
      <c r="AH262" s="57" t="n">
        <f aca="false">IF(AND($F262&lt;&gt;"",$O262&lt;&gt;"",$O262&lt;=Hoje!$C$3,$P262&gt;=Hoje!$C$3,$R262&lt;&gt;"Cancelada"),1,0)</f>
        <v>0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/>
      </c>
      <c r="AK262" s="57" t="str">
        <f aca="false">IF($AJ262="","",COUNTIF($AJ$4:$AJ262,$AJ262))</f>
        <v/>
      </c>
      <c r="AL262" s="57" t="str">
        <f aca="false">IF($AJ262="","",COUNTIF($AJ$4:$AJ$1004,$AJ262))</f>
        <v/>
      </c>
    </row>
    <row r="263" customFormat="false" ht="16.5" hidden="false" customHeight="true" outlineLevel="0" collapsed="false">
      <c r="A263" s="56" t="str">
        <f aca="false">IF($F263="","",COUNTA($F$4:$F263))</f>
        <v/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/>
      </c>
      <c r="C263" s="58"/>
      <c r="D263" s="59"/>
      <c r="E263" s="59"/>
      <c r="F263" s="59"/>
      <c r="G263" s="60"/>
      <c r="H263" s="60"/>
      <c r="I263" s="61"/>
      <c r="J263" s="61"/>
      <c r="K263" s="61"/>
      <c r="L263" s="62"/>
      <c r="M263" s="63"/>
      <c r="N263" s="62"/>
      <c r="O263" s="64" t="str">
        <f aca="false">IF(OR($L263="",$M263=""),"",(DATE(Semana!$J$3,1,4)-WEEKDAY(DATE(Semana!$J$3,1,4),3))+($L263-1)*7+MATCH($M263,Listas!$F$5:$F$11,0)-1)</f>
        <v/>
      </c>
      <c r="P263" s="64" t="str">
        <f aca="false">IF($O263="","",$O263+MAX(0,ROUNDUP($AK263*MAX(1,IF($N263="",1,$N263))/MAX(1,$AL263),0)-1))</f>
        <v/>
      </c>
      <c r="Q263" s="65"/>
      <c r="R263" s="60"/>
      <c r="S263" s="66"/>
      <c r="T263" s="59"/>
      <c r="U263" s="59"/>
      <c r="V263" s="57" t="str">
        <f aca="false">IF($F263="","",IF(ISNUMBER(SEARCH("(externo)",$I263&amp;$J263&amp;$K263)),"Terceirizada","Interna"))</f>
        <v/>
      </c>
      <c r="W263" s="64" t="str">
        <f aca="false">IF($O263="","",IF($S263="",$O263,(DATE(Semana!$J$3,1,4)-WEEKDAY(DATE(Semana!$J$3,1,4),3))+($S263-1)*7+IF($M263="",0,MATCH($M263,Listas!$F$5:$F$11,0)-1)))</f>
        <v/>
      </c>
      <c r="X263" s="57" t="str">
        <f aca="false">IF($F263="","",IF(OR($Q263="",$O263=""),0,IF($Q263&lt;=$O263,1,0)))</f>
        <v/>
      </c>
      <c r="Y263" s="57" t="str">
        <f aca="false">IF($F263="","",IF(OR($Q263="",$W263=""),0,IF($Q263&lt;=$W263,1,0)))</f>
        <v/>
      </c>
      <c r="Z263" s="57" t="str">
        <f aca="false">IF(OR($Q263="",$O263=""),"",MAX(0,$Q263-$O263))</f>
        <v/>
      </c>
      <c r="AA263" s="57" t="str">
        <f aca="false">IF($F263="","",IF(AND($S263&lt;&gt;"",$L263&lt;&gt;"",$S263&lt;&gt;$L263),1,0))</f>
        <v/>
      </c>
      <c r="AB263" s="57" t="str">
        <f aca="false">IF($F263="","",IF($R263="Cancelada",0,IF(OR($Q263&lt;&gt;"",$R263="Concluída"),1,0)))</f>
        <v/>
      </c>
      <c r="AC263" s="57" t="n">
        <f aca="false">IF($P263="",0,IF($P263&lt;Hoje!$L$1,1,IF(AND($P263=Hoje!$L$1,Hoje!$L$2&gt;Semana!$M$3),1,0)))</f>
        <v>0</v>
      </c>
      <c r="AD263" s="57" t="str">
        <f aca="false">IF($F263="","",IF(COUNTA($I263:$K263)=0,0,1/COUNTA($I263:$K263)))</f>
        <v/>
      </c>
      <c r="AE263" s="57" t="str">
        <f aca="false">IF($AH263=0,"",SUM($AH$4:$AH263))</f>
        <v/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/>
      </c>
      <c r="AH263" s="57" t="n">
        <f aca="false">IF(AND($F263&lt;&gt;"",$O263&lt;&gt;"",$O263&lt;=Hoje!$C$3,$P263&gt;=Hoje!$C$3,$R263&lt;&gt;"Cancelada"),1,0)</f>
        <v>0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/>
      </c>
      <c r="AK263" s="57" t="str">
        <f aca="false">IF($AJ263="","",COUNTIF($AJ$4:$AJ263,$AJ263))</f>
        <v/>
      </c>
      <c r="AL263" s="57" t="str">
        <f aca="false">IF($AJ263="","",COUNTIF($AJ$4:$AJ$1004,$AJ263))</f>
        <v/>
      </c>
    </row>
    <row r="264" customFormat="false" ht="16.5" hidden="false" customHeight="true" outlineLevel="0" collapsed="false">
      <c r="A264" s="56" t="str">
        <f aca="false">IF($F264="","",COUNTA($F$4:$F264))</f>
        <v/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/>
      </c>
      <c r="C264" s="58"/>
      <c r="D264" s="59"/>
      <c r="E264" s="59"/>
      <c r="F264" s="59"/>
      <c r="G264" s="60"/>
      <c r="H264" s="60"/>
      <c r="I264" s="61"/>
      <c r="J264" s="61"/>
      <c r="K264" s="61"/>
      <c r="L264" s="62"/>
      <c r="M264" s="63"/>
      <c r="N264" s="62"/>
      <c r="O264" s="64" t="str">
        <f aca="false">IF(OR($L264="",$M264=""),"",(DATE(Semana!$J$3,1,4)-WEEKDAY(DATE(Semana!$J$3,1,4),3))+($L264-1)*7+MATCH($M264,Listas!$F$5:$F$11,0)-1)</f>
        <v/>
      </c>
      <c r="P264" s="64" t="str">
        <f aca="false">IF($O264="","",$O264+MAX(0,ROUNDUP($AK264*MAX(1,IF($N264="",1,$N264))/MAX(1,$AL264),0)-1))</f>
        <v/>
      </c>
      <c r="Q264" s="65"/>
      <c r="R264" s="60"/>
      <c r="S264" s="66"/>
      <c r="T264" s="59"/>
      <c r="U264" s="59"/>
      <c r="V264" s="57" t="str">
        <f aca="false">IF($F264="","",IF(ISNUMBER(SEARCH("(externo)",$I264&amp;$J264&amp;$K264)),"Terceirizada","Interna"))</f>
        <v/>
      </c>
      <c r="W264" s="64" t="str">
        <f aca="false">IF($O264="","",IF($S264="",$O264,(DATE(Semana!$J$3,1,4)-WEEKDAY(DATE(Semana!$J$3,1,4),3))+($S264-1)*7+IF($M264="",0,MATCH($M264,Listas!$F$5:$F$11,0)-1)))</f>
        <v/>
      </c>
      <c r="X264" s="57" t="str">
        <f aca="false">IF($F264="","",IF(OR($Q264="",$O264=""),0,IF($Q264&lt;=$O264,1,0)))</f>
        <v/>
      </c>
      <c r="Y264" s="57" t="str">
        <f aca="false">IF($F264="","",IF(OR($Q264="",$W264=""),0,IF($Q264&lt;=$W264,1,0)))</f>
        <v/>
      </c>
      <c r="Z264" s="57" t="str">
        <f aca="false">IF(OR($Q264="",$O264=""),"",MAX(0,$Q264-$O264))</f>
        <v/>
      </c>
      <c r="AA264" s="57" t="str">
        <f aca="false">IF($F264="","",IF(AND($S264&lt;&gt;"",$L264&lt;&gt;"",$S264&lt;&gt;$L264),1,0))</f>
        <v/>
      </c>
      <c r="AB264" s="57" t="str">
        <f aca="false">IF($F264="","",IF($R264="Cancelada",0,IF(OR($Q264&lt;&gt;"",$R264="Concluída"),1,0)))</f>
        <v/>
      </c>
      <c r="AC264" s="57" t="n">
        <f aca="false">IF($P264="",0,IF($P264&lt;Hoje!$L$1,1,IF(AND($P264=Hoje!$L$1,Hoje!$L$2&gt;Semana!$M$3),1,0)))</f>
        <v>0</v>
      </c>
      <c r="AD264" s="57" t="str">
        <f aca="false">IF($F264="","",IF(COUNTA($I264:$K264)=0,0,1/COUNTA($I264:$K264)))</f>
        <v/>
      </c>
      <c r="AE264" s="57" t="str">
        <f aca="false">IF($AH264=0,"",SUM($AH$4:$AH264))</f>
        <v/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/>
      </c>
      <c r="AH264" s="57" t="n">
        <f aca="false">IF(AND($F264&lt;&gt;"",$O264&lt;&gt;"",$O264&lt;=Hoje!$C$3,$P264&gt;=Hoje!$C$3,$R264&lt;&gt;"Cancelada"),1,0)</f>
        <v>0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/>
      </c>
      <c r="AK264" s="57" t="str">
        <f aca="false">IF($AJ264="","",COUNTIF($AJ$4:$AJ264,$AJ264))</f>
        <v/>
      </c>
      <c r="AL264" s="57" t="str">
        <f aca="false">IF($AJ264="","",COUNTIF($AJ$4:$AJ$1004,$AJ264))</f>
        <v/>
      </c>
    </row>
    <row r="265" customFormat="false" ht="16.5" hidden="false" customHeight="true" outlineLevel="0" collapsed="false">
      <c r="A265" s="56" t="str">
        <f aca="false">IF($F265="","",COUNTA($F$4:$F265))</f>
        <v/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/>
      </c>
      <c r="C265" s="58"/>
      <c r="D265" s="59"/>
      <c r="E265" s="59"/>
      <c r="F265" s="59"/>
      <c r="G265" s="60"/>
      <c r="H265" s="60"/>
      <c r="I265" s="61"/>
      <c r="J265" s="61"/>
      <c r="K265" s="61"/>
      <c r="L265" s="62"/>
      <c r="M265" s="63"/>
      <c r="N265" s="62"/>
      <c r="O265" s="64" t="str">
        <f aca="false">IF(OR($L265="",$M265=""),"",(DATE(Semana!$J$3,1,4)-WEEKDAY(DATE(Semana!$J$3,1,4),3))+($L265-1)*7+MATCH($M265,Listas!$F$5:$F$11,0)-1)</f>
        <v/>
      </c>
      <c r="P265" s="64" t="str">
        <f aca="false">IF($O265="","",$O265+MAX(0,ROUNDUP($AK265*MAX(1,IF($N265="",1,$N265))/MAX(1,$AL265),0)-1))</f>
        <v/>
      </c>
      <c r="Q265" s="65"/>
      <c r="R265" s="60"/>
      <c r="S265" s="66"/>
      <c r="T265" s="59"/>
      <c r="U265" s="59"/>
      <c r="V265" s="57" t="str">
        <f aca="false">IF($F265="","",IF(ISNUMBER(SEARCH("(externo)",$I265&amp;$J265&amp;$K265)),"Terceirizada","Interna"))</f>
        <v/>
      </c>
      <c r="W265" s="64" t="str">
        <f aca="false">IF($O265="","",IF($S265="",$O265,(DATE(Semana!$J$3,1,4)-WEEKDAY(DATE(Semana!$J$3,1,4),3))+($S265-1)*7+IF($M265="",0,MATCH($M265,Listas!$F$5:$F$11,0)-1)))</f>
        <v/>
      </c>
      <c r="X265" s="57" t="str">
        <f aca="false">IF($F265="","",IF(OR($Q265="",$O265=""),0,IF($Q265&lt;=$O265,1,0)))</f>
        <v/>
      </c>
      <c r="Y265" s="57" t="str">
        <f aca="false">IF($F265="","",IF(OR($Q265="",$W265=""),0,IF($Q265&lt;=$W265,1,0)))</f>
        <v/>
      </c>
      <c r="Z265" s="57" t="str">
        <f aca="false">IF(OR($Q265="",$O265=""),"",MAX(0,$Q265-$O265))</f>
        <v/>
      </c>
      <c r="AA265" s="57" t="str">
        <f aca="false">IF($F265="","",IF(AND($S265&lt;&gt;"",$L265&lt;&gt;"",$S265&lt;&gt;$L265),1,0))</f>
        <v/>
      </c>
      <c r="AB265" s="57" t="str">
        <f aca="false">IF($F265="","",IF($R265="Cancelada",0,IF(OR($Q265&lt;&gt;"",$R265="Concluída"),1,0)))</f>
        <v/>
      </c>
      <c r="AC265" s="57" t="n">
        <f aca="false">IF($P265="",0,IF($P265&lt;Hoje!$L$1,1,IF(AND($P265=Hoje!$L$1,Hoje!$L$2&gt;Semana!$M$3),1,0)))</f>
        <v>0</v>
      </c>
      <c r="AD265" s="57" t="str">
        <f aca="false">IF($F265="","",IF(COUNTA($I265:$K265)=0,0,1/COUNTA($I265:$K265)))</f>
        <v/>
      </c>
      <c r="AE265" s="57" t="str">
        <f aca="false">IF($AH265=0,"",SUM($AH$4:$AH265))</f>
        <v/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/>
      </c>
      <c r="AH265" s="57" t="n">
        <f aca="false">IF(AND($F265&lt;&gt;"",$O265&lt;&gt;"",$O265&lt;=Hoje!$C$3,$P265&gt;=Hoje!$C$3,$R265&lt;&gt;"Cancelada"),1,0)</f>
        <v>0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/>
      </c>
      <c r="AK265" s="57" t="str">
        <f aca="false">IF($AJ265="","",COUNTIF($AJ$4:$AJ265,$AJ265))</f>
        <v/>
      </c>
      <c r="AL265" s="57" t="str">
        <f aca="false">IF($AJ265="","",COUNTIF($AJ$4:$AJ$1004,$AJ265))</f>
        <v/>
      </c>
    </row>
    <row r="266" customFormat="false" ht="16.5" hidden="false" customHeight="true" outlineLevel="0" collapsed="false">
      <c r="A266" s="56" t="str">
        <f aca="false">IF($F266="","",COUNTA($F$4:$F266))</f>
        <v/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/>
      </c>
      <c r="C266" s="58"/>
      <c r="D266" s="59"/>
      <c r="E266" s="59"/>
      <c r="F266" s="59"/>
      <c r="G266" s="60"/>
      <c r="H266" s="60"/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IF($O266="","",$O266+MAX(0,ROUNDUP($AK266*MAX(1,IF($N266="",1,$N266))/MAX(1,$AL266),0)-1))</f>
        <v/>
      </c>
      <c r="Q266" s="65"/>
      <c r="R266" s="60"/>
      <c r="S266" s="66"/>
      <c r="T266" s="59"/>
      <c r="U266" s="59"/>
      <c r="V266" s="57" t="str">
        <f aca="false">IF($F266="","",IF(ISNUMBER(SEARCH("(externo)",$I266&amp;$J266&amp;$K266)),"Terceirizada","Interna"))</f>
        <v/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str">
        <f aca="false">IF($F266="","",IF(OR($Q266="",$O266=""),0,IF($Q266&lt;=$O266,1,0)))</f>
        <v/>
      </c>
      <c r="Y266" s="57" t="str">
        <f aca="false">IF($F266="","",IF(OR($Q266="",$W266=""),0,IF($Q266&lt;=$W266,1,0)))</f>
        <v/>
      </c>
      <c r="Z266" s="57" t="str">
        <f aca="false">IF(OR($Q266="",$O266=""),"",MAX(0,$Q266-$O266))</f>
        <v/>
      </c>
      <c r="AA266" s="57" t="str">
        <f aca="false">IF($F266="","",IF(AND($S266&lt;&gt;"",$L266&lt;&gt;"",$S266&lt;&gt;$L266),1,0))</f>
        <v/>
      </c>
      <c r="AB266" s="57" t="str">
        <f aca="false">IF($F266="","",IF($R266="Cancelada",0,IF(OR($Q266&lt;&gt;"",$R266="Concluída"),1,0)))</f>
        <v/>
      </c>
      <c r="AC266" s="57" t="n">
        <f aca="false">IF($P266="",0,IF($P266&lt;Hoje!$L$1,1,IF(AND($P266=Hoje!$L$1,Hoje!$L$2&gt;Semana!$M$3),1,0)))</f>
        <v>0</v>
      </c>
      <c r="AD266" s="57" t="str">
        <f aca="false">IF($F266="","",IF(COUNTA($I266:$K266)=0,0,1/COUNTA($I266:$K266)))</f>
        <v/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/>
      </c>
      <c r="AK266" s="57" t="str">
        <f aca="false">IF($AJ266="","",COUNTIF($AJ$4:$AJ266,$AJ266))</f>
        <v/>
      </c>
      <c r="AL266" s="57" t="str">
        <f aca="false">IF($AJ266="","",COUNTIF($AJ$4:$AJ$1004,$AJ266))</f>
        <v/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4">
      <formula>$B5="Falta a atividade"</formula>
    </cfRule>
    <cfRule type="expression" priority="6" aboveAverage="0" equalAverage="0" bottom="0" percent="0" rank="0" text="" dxfId="35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6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7">
      <formula>$B5="Programada"</formula>
    </cfRule>
    <cfRule type="expression" priority="11" aboveAverage="0" equalAverage="0" bottom="0" percent="0" rank="0" text="" dxfId="38">
      <formula>$B5="Na carteira"</formula>
    </cfRule>
    <cfRule type="expression" priority="12" aboveAverage="0" equalAverage="0" bottom="0" percent="0" rank="0" text="" dxfId="39">
      <formula>$B5="Cancelada"</formula>
    </cfRule>
  </conditionalFormatting>
  <conditionalFormatting sqref="C5:H1004">
    <cfRule type="expression" priority="13" aboveAverage="0" equalAverage="0" bottom="0" percent="0" rank="0" text="" dxfId="40">
      <formula>$B5="Cancelada"</formula>
    </cfRule>
  </conditionalFormatting>
  <conditionalFormatting sqref="H5:H1004">
    <cfRule type="expression" priority="14" aboveAverage="0" equalAverage="0" bottom="0" percent="0" rank="0" text="" dxfId="41">
      <formula>$H5="Extra"</formula>
    </cfRule>
  </conditionalFormatting>
  <conditionalFormatting sqref="A5:A1004">
    <cfRule type="expression" priority="15" aboveAverage="0" equalAverage="0" bottom="0" percent="0" rank="0" text="" dxfId="42">
      <formula>$H5="Extra"</formula>
    </cfRule>
  </conditionalFormatting>
  <conditionalFormatting sqref="O5:P1004">
    <cfRule type="expression" priority="16" aboveAverage="0" equalAverage="0" bottom="0" percent="0" rank="0" text="" dxfId="43">
      <formula>$B5="VENCIDA"</formula>
    </cfRule>
    <cfRule type="expression" priority="17" aboveAverage="0" equalAverage="0" bottom="0" percent="0" rank="0" text="" dxfId="44">
      <formula>$B5="Fecha hoje"</formula>
    </cfRule>
    <cfRule type="expression" priority="18" aboveAverage="0" equalAverage="0" bottom="0" percent="0" rank="0" text="" dxfId="45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6">
      <formula>$T5&lt;&gt;""</formula>
    </cfRule>
  </conditionalFormatting>
  <conditionalFormatting sqref="A5:AL1004">
    <cfRule type="expression" priority="21" aboveAverage="0" equalAverage="0" bottom="0" percent="0" rank="0" text="" dxfId="47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595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596</v>
      </c>
      <c r="B3" s="68"/>
      <c r="C3" s="69" t="n">
        <v>36</v>
      </c>
      <c r="D3" s="70" t="s">
        <v>597</v>
      </c>
      <c r="E3" s="71" t="n">
        <f aca="false">(DATE(Semana!$J$3,1,4)-WEEKDAY(DATE(Semana!$J$3,1,4),3))+($C$3-1)*7</f>
        <v>46265</v>
      </c>
      <c r="F3" s="70" t="s">
        <v>598</v>
      </c>
      <c r="G3" s="71" t="n">
        <f aca="false">$E$3+6</f>
        <v>46271</v>
      </c>
      <c r="I3" s="72" t="s">
        <v>599</v>
      </c>
      <c r="J3" s="73" t="n">
        <v>2026</v>
      </c>
      <c r="K3" s="74" t="s">
        <v>600</v>
      </c>
      <c r="L3" s="74"/>
      <c r="M3" s="75" t="n">
        <v>0.75</v>
      </c>
    </row>
    <row r="4" customFormat="false" ht="19.5" hidden="false" customHeight="true" outlineLevel="0" collapsed="false">
      <c r="A4" s="76" t="s">
        <v>601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602</v>
      </c>
      <c r="B5" s="12"/>
      <c r="C5" s="12"/>
      <c r="D5" s="12" t="s">
        <v>603</v>
      </c>
      <c r="E5" s="12"/>
      <c r="F5" s="12" t="s">
        <v>604</v>
      </c>
      <c r="G5" s="12"/>
      <c r="H5" s="12" t="s">
        <v>605</v>
      </c>
      <c r="I5" s="12"/>
      <c r="J5" s="12" t="s">
        <v>606</v>
      </c>
      <c r="K5" s="12"/>
      <c r="L5" s="12" t="s">
        <v>607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82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22</v>
      </c>
      <c r="E6" s="78"/>
      <c r="F6" s="79" t="n">
        <f aca="false">IF($A$6=0,"",$D$6/$A$6)</f>
        <v>0.268292682926829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0.244444444444444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8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16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91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608</v>
      </c>
      <c r="B9" s="76"/>
      <c r="C9" s="76"/>
      <c r="D9" s="48" t="s">
        <v>609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610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611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56</v>
      </c>
      <c r="I11" s="88" t="n">
        <f aca="false">COUNTIFS(Programação!$L$5:$L$1004,I$10,Programação!$F$5:$F$1004,"&lt;&gt;",Programação!$R$5:$R$1004,"&lt;&gt;Cancelada")</f>
        <v>90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612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613</v>
      </c>
      <c r="J13" s="19" t="s">
        <v>195</v>
      </c>
      <c r="K13" s="19" t="s">
        <v>614</v>
      </c>
      <c r="L13" s="19" t="s">
        <v>615</v>
      </c>
      <c r="M13" s="19" t="s">
        <v>616</v>
      </c>
      <c r="N13" s="19" t="s">
        <v>617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8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5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22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59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0.181818181818182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6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11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1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2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5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1</v>
      </c>
      <c r="L15" s="92" t="n">
        <f aca="false">IF(OR($A15="",$I15=0),"",$K15/$I15)</f>
        <v>0.5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1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4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2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0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6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12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6</v>
      </c>
      <c r="L16" s="92" t="n">
        <f aca="false">IF(OR($A16="",$I16=0),"",$K16/$I16)</f>
        <v>1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6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9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5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23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60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92" t="n">
        <f aca="false">IF(OR($A17="",$I17=0),"",$K17/$I17)</f>
        <v>0.173913043478261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7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12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4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1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8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24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4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9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0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1" t="n">
        <f aca="false">IF($A19="","",SUM($B19:$H19))</f>
        <v>16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32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11</v>
      </c>
      <c r="L19" s="92" t="n">
        <f aca="false">IF(OR($A19="",$I19=0),"",$K19/$I19)</f>
        <v>0.6875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16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1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1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2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5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1</v>
      </c>
      <c r="L20" s="92" t="n">
        <f aca="false">IF(OR($A20="",$I20=0),"",$K20/$I20)</f>
        <v>0.5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1</v>
      </c>
    </row>
    <row r="21" customFormat="false" ht="16.5" hidden="false" customHeight="true" outlineLevel="0" collapsed="false">
      <c r="A21" s="21" t="str">
        <f aca="false">IF(Listas!A12="","",Listas!A12)</f>
        <v>Thawan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0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92" t="str">
        <f aca="false">IF(OR($A21="",$I21=0),"",$K21/$I21)</f>
        <v/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ASX (externo)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0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str">
        <f aca="false">IF(OR($A22="",$I22=0),"",$K22/$I22)</f>
        <v/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Cardan Nordeste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Eduardo da sticker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Molas Pinheiro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Rodo Ceará (externo)</v>
      </c>
      <c r="B26" s="9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1" t="n">
        <f aca="false">IF($A26="","",SUM($B26:$H26))</f>
        <v>0</v>
      </c>
      <c r="J26" s="9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2" t="str">
        <f aca="false">IF(OR($A26="",$I26=0),"",$K26/$I26)</f>
        <v/>
      </c>
      <c r="M26" s="9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/>
      </c>
      <c r="B27" s="90" t="str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/>
      </c>
      <c r="C27" s="90" t="str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/>
      </c>
      <c r="D27" s="90" t="str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/>
      </c>
      <c r="E27" s="90" t="str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/>
      </c>
      <c r="F27" s="90" t="str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/>
      </c>
      <c r="G27" s="90" t="str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/>
      </c>
      <c r="H27" s="90" t="str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/>
      </c>
      <c r="I27" s="91" t="str">
        <f aca="false">IF($A27="","",SUM($B27:$H27))</f>
        <v/>
      </c>
      <c r="J27" s="91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91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92" t="str">
        <f aca="false">IF(OR($A27="",$I27=0),"",$K27/$I27)</f>
        <v/>
      </c>
      <c r="M27" s="91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93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1" t="str">
        <f aca="false">IF($A30="","",SUM($B30:$H30))</f>
        <v/>
      </c>
      <c r="J30" s="9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2" t="str">
        <f aca="false">IF(OR($A30="",$I30=0),"",$K30/$I30)</f>
        <v/>
      </c>
      <c r="M30" s="9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94" t="s">
        <v>618</v>
      </c>
      <c r="B31" s="91" t="n">
        <f aca="false">COUNTIFS(Programação!$I$5:$I$1004,"",Programação!$F$5:$F$1004,"&lt;&gt;",Programação!$P$5:$P$1004,B$13,Programação!$R$5:$R$1004,"&lt;&gt;Cancelada")</f>
        <v>5</v>
      </c>
      <c r="C31" s="91" t="n">
        <f aca="false">COUNTIFS(Programação!$I$5:$I$1004,"",Programação!$F$5:$F$1004,"&lt;&gt;",Programação!$P$5:$P$1004,C$13,Programação!$R$5:$R$1004,"&lt;&gt;Cancelada")</f>
        <v>13</v>
      </c>
      <c r="D31" s="91" t="n">
        <f aca="false">COUNTIFS(Programação!$I$5:$I$1004,"",Programação!$F$5:$F$1004,"&lt;&gt;",Programação!$P$5:$P$1004,D$13,Programação!$R$5:$R$1004,"&lt;&gt;Cancelada")</f>
        <v>17</v>
      </c>
      <c r="E31" s="91" t="n">
        <f aca="false">COUNTIFS(Programação!$I$5:$I$1004,"",Programação!$F$5:$F$1004,"&lt;&gt;",Programação!$P$5:$P$1004,E$13,Programação!$R$5:$R$1004,"&lt;&gt;Cancelada")</f>
        <v>0</v>
      </c>
      <c r="F31" s="91" t="n">
        <f aca="false">COUNTIFS(Programação!$I$5:$I$1004,"",Programação!$F$5:$F$1004,"&lt;&gt;",Programação!$P$5:$P$1004,F$13,Programação!$R$5:$R$1004,"&lt;&gt;Cancelada")</f>
        <v>0</v>
      </c>
      <c r="G31" s="91" t="n">
        <f aca="false">COUNTIFS(Programação!$I$5:$I$1004,"",Programação!$F$5:$F$1004,"&lt;&gt;",Programação!$P$5:$P$1004,G$13,Programação!$R$5:$R$1004,"&lt;&gt;Cancelada")</f>
        <v>0</v>
      </c>
      <c r="H31" s="91" t="n">
        <f aca="false">COUNTIFS(Programação!$I$5:$I$1004,"",Programação!$F$5:$F$1004,"&lt;&gt;",Programação!$P$5:$P$1004,H$13,Programação!$R$5:$R$1004,"&lt;&gt;Cancelada")</f>
        <v>0</v>
      </c>
      <c r="I31" s="91" t="n">
        <f aca="false">SUM($B31:$H31)</f>
        <v>35</v>
      </c>
      <c r="J31" s="91" t="n">
        <f aca="false">SUMIFS(Programação!$N$5:$N$1004,Programação!$I$5:$I$1004,"",Programação!$O$5:$O$1004,"&gt;="&amp;$E$3,Programação!$O$5:$O$1004,"&lt;="&amp;$G$3,Programação!$R$5:$R$1004,"&lt;&gt;Cancelada")</f>
        <v>94</v>
      </c>
      <c r="K31" s="91" t="n">
        <f aca="false">SUMIFS(Programação!$AB$5:$AB$1004,Programação!$I$5:$I$1004,"",Programação!$O$5:$O$1004,"&gt;="&amp;$E$3,Programação!$O$5:$O$1004,"&lt;="&amp;$G$3)</f>
        <v>0</v>
      </c>
      <c r="L31" s="92" t="n">
        <f aca="false">IF($I31=0,"",$K31/$I31)</f>
        <v>0</v>
      </c>
      <c r="M31" s="91" t="n">
        <f aca="false">COUNTIFS(Programação!$I$5:$I$1004,"",Programação!$B$5:$B$1004,"VENCIDA",Programação!$O$5:$O$1004,"&gt;="&amp;$E$3,Programação!$O$5:$O$1004,"&lt;="&amp;$G$3)</f>
        <v>5</v>
      </c>
      <c r="N31" s="93" t="n">
        <f aca="false">COUNTIFS(Programação!$I$5:$I$1004,"",Programação!$F$5:$F$1004,"&lt;&gt;",Programação!$O$5:$O$1004,"&gt;="&amp;$E$3,Programação!$O$5:$O$1004,"&lt;="&amp;$G$3,Programação!$R$5:$R$1004,"&lt;&gt;Cancelada")</f>
        <v>35</v>
      </c>
    </row>
    <row r="32" customFormat="false" ht="16.5" hidden="false" customHeight="true" outlineLevel="0" collapsed="false">
      <c r="A32" s="95" t="s">
        <v>619</v>
      </c>
      <c r="B32" s="96" t="n">
        <f aca="false">COUNTIFS(Programação!$F$5:$F$1004,"&lt;&gt;",Programação!$P$5:$P$1004,B$13,Programação!$R$5:$R$1004,"&lt;&gt;Cancelada")</f>
        <v>29</v>
      </c>
      <c r="C32" s="96" t="n">
        <f aca="false">COUNTIFS(Programação!$F$5:$F$1004,"&lt;&gt;",Programação!$P$5:$P$1004,C$13,Programação!$R$5:$R$1004,"&lt;&gt;Cancelada")</f>
        <v>37</v>
      </c>
      <c r="D32" s="96" t="n">
        <f aca="false">COUNTIFS(Programação!$F$5:$F$1004,"&lt;&gt;",Programação!$P$5:$P$1004,D$13,Programação!$R$5:$R$1004,"&lt;&gt;Cancelada")</f>
        <v>24</v>
      </c>
      <c r="E32" s="96" t="n">
        <f aca="false">COUNTIFS(Programação!$F$5:$F$1004,"&lt;&gt;",Programação!$P$5:$P$1004,E$13,Programação!$R$5:$R$1004,"&lt;&gt;Cancelada")</f>
        <v>0</v>
      </c>
      <c r="F32" s="96" t="n">
        <f aca="false">COUNTIFS(Programação!$F$5:$F$1004,"&lt;&gt;",Programação!$P$5:$P$1004,F$13,Programação!$R$5:$R$1004,"&lt;&gt;Cancelada")</f>
        <v>0</v>
      </c>
      <c r="G32" s="96" t="n">
        <f aca="false">COUNTIFS(Programação!$F$5:$F$1004,"&lt;&gt;",Programação!$P$5:$P$1004,G$13,Programação!$R$5:$R$1004,"&lt;&gt;Cancelada")</f>
        <v>0</v>
      </c>
      <c r="H32" s="96" t="n">
        <f aca="false">COUNTIFS(Programação!$F$5:$F$1004,"&lt;&gt;",Programação!$P$5:$P$1004,H$13,Programação!$R$5:$R$1004,"&lt;&gt;Cancelada")</f>
        <v>0</v>
      </c>
      <c r="I32" s="96" t="n">
        <f aca="false">COUNTIFS(Programação!$O$5:$O$1004,"&gt;="&amp;$E$3,Programação!$O$5:$O$1004,"&lt;="&amp;$G$3,Programação!$F$5:$F$1004,"&lt;&gt;",Programação!$R$5:$R$1004,"&lt;&gt;Cancelada")</f>
        <v>90</v>
      </c>
      <c r="J32" s="96" t="n">
        <f aca="false">SUMIFS(Programação!$N$5:$N$1004,Programação!$O$5:$O$1004,"&gt;="&amp;$E$3,Programação!$O$5:$O$1004,"&lt;="&amp;$G$3,Programação!$R$5:$R$1004,"&lt;&gt;Cancelada")</f>
        <v>227</v>
      </c>
      <c r="K32" s="96" t="n">
        <f aca="false">SUMIFS(Programação!$AB$5:$AB$1004,Programação!$O$5:$O$1004,"&gt;="&amp;$E$3,Programação!$O$5:$O$1004,"&lt;="&amp;$G$3)</f>
        <v>22</v>
      </c>
      <c r="L32" s="97" t="n">
        <f aca="false">IF($I32=0,"",$K32/$I32)</f>
        <v>0.244444444444444</v>
      </c>
      <c r="M32" s="96" t="n">
        <f aca="false">COUNTIFS(Programação!$B$5:$B$1004,"VENCIDA",Programação!$O$5:$O$1004,"&gt;="&amp;$E$3,Programação!$O$5:$O$1004,"&lt;="&amp;$G$3)</f>
        <v>16</v>
      </c>
      <c r="N32" s="98" t="n">
        <f aca="false">SUM($N14:$N31)</f>
        <v>90</v>
      </c>
    </row>
    <row r="34" customFormat="false" ht="19.5" hidden="false" customHeight="true" outlineLevel="0" collapsed="false">
      <c r="A34" s="76" t="s">
        <v>620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</row>
    <row r="35" customFormat="false" ht="16.5" hidden="false" customHeight="true" outlineLevel="0" collapsed="false">
      <c r="A35" s="22" t="s">
        <v>621</v>
      </c>
      <c r="B35" s="99" t="n">
        <f aca="false">COUNTIFS(Programação!$P$5:$P$1004,B$13,Programação!$F$5:$F$1004,"&lt;&gt;",Programação!$R$5:$R$1004,"&lt;&gt;Cancelada",Programação!$V$5:$V$1004,"Interna")</f>
        <v>29</v>
      </c>
      <c r="C35" s="99" t="n">
        <f aca="false">COUNTIFS(Programação!$P$5:$P$1004,C$13,Programação!$F$5:$F$1004,"&lt;&gt;",Programação!$R$5:$R$1004,"&lt;&gt;Cancelada",Programação!$V$5:$V$1004,"Interna")</f>
        <v>37</v>
      </c>
      <c r="D35" s="99" t="n">
        <f aca="false">COUNTIFS(Programação!$P$5:$P$1004,D$13,Programação!$F$5:$F$1004,"&lt;&gt;",Programação!$R$5:$R$1004,"&lt;&gt;Cancelada",Programação!$V$5:$V$1004,"Interna")</f>
        <v>24</v>
      </c>
      <c r="E35" s="99" t="n">
        <f aca="false">COUNTIFS(Programação!$P$5:$P$1004,E$13,Programação!$F$5:$F$1004,"&lt;&gt;",Programação!$R$5:$R$1004,"&lt;&gt;Cancelada",Programação!$V$5:$V$1004,"Interna")</f>
        <v>0</v>
      </c>
      <c r="F35" s="99" t="n">
        <f aca="false">COUNTIFS(Programação!$P$5:$P$1004,F$13,Programação!$F$5:$F$1004,"&lt;&gt;",Programação!$R$5:$R$1004,"&lt;&gt;Cancelada",Programação!$V$5:$V$1004,"Interna")</f>
        <v>0</v>
      </c>
      <c r="G35" s="99" t="n">
        <f aca="false">COUNTIFS(Programação!$P$5:$P$1004,G$13,Programação!$F$5:$F$1004,"&lt;&gt;",Programação!$R$5:$R$1004,"&lt;&gt;Cancelada",Programação!$V$5:$V$1004,"Interna")</f>
        <v>0</v>
      </c>
      <c r="H35" s="99" t="n">
        <f aca="false">COUNTIFS(Programação!$P$5:$P$1004,H$13,Programação!$F$5:$F$1004,"&lt;&gt;",Programação!$R$5:$R$1004,"&lt;&gt;Cancelada",Programação!$V$5:$V$1004,"Interna")</f>
        <v>0</v>
      </c>
      <c r="I35" s="99" t="n">
        <f aca="false">SUM($B35:$H35)</f>
        <v>90</v>
      </c>
    </row>
    <row r="36" customFormat="false" ht="16.5" hidden="false" customHeight="true" outlineLevel="0" collapsed="false">
      <c r="A36" s="22" t="s">
        <v>622</v>
      </c>
      <c r="B36" s="99" t="n">
        <f aca="false">SUMIFS(Programação!$AB$5:$AB$1004,Programação!$P$5:$P$1004,B$13,Programação!$R$5:$R$1004,"&lt;&gt;Cancelada",Programação!$V$5:$V$1004,"Interna")</f>
        <v>13</v>
      </c>
      <c r="C36" s="99" t="n">
        <f aca="false">SUMIFS(Programação!$AB$5:$AB$1004,Programação!$P$5:$P$1004,C$13,Programação!$R$5:$R$1004,"&lt;&gt;Cancelada",Programação!$V$5:$V$1004,"Interna")</f>
        <v>9</v>
      </c>
      <c r="D36" s="99" t="n">
        <f aca="false">SUMIFS(Programação!$AB$5:$AB$1004,Programação!$P$5:$P$1004,D$13,Programação!$R$5:$R$1004,"&lt;&gt;Cancelada",Programação!$V$5:$V$1004,"Interna")</f>
        <v>0</v>
      </c>
      <c r="E36" s="99" t="n">
        <f aca="false">SUMIFS(Programação!$AB$5:$AB$1004,Programação!$P$5:$P$1004,E$13,Programação!$R$5:$R$1004,"&lt;&gt;Cancelada",Programação!$V$5:$V$1004,"Interna")</f>
        <v>0</v>
      </c>
      <c r="F36" s="99" t="n">
        <f aca="false">SUMIFS(Programação!$AB$5:$AB$1004,Programação!$P$5:$P$1004,F$13,Programação!$R$5:$R$1004,"&lt;&gt;Cancelada",Programação!$V$5:$V$1004,"Interna")</f>
        <v>0</v>
      </c>
      <c r="G36" s="99" t="n">
        <f aca="false">SUMIFS(Programação!$AB$5:$AB$1004,Programação!$P$5:$P$1004,G$13,Programação!$R$5:$R$1004,"&lt;&gt;Cancelada",Programação!$V$5:$V$1004,"Interna")</f>
        <v>0</v>
      </c>
      <c r="H36" s="99" t="n">
        <f aca="false">SUMIFS(Programação!$AB$5:$AB$1004,Programação!$P$5:$P$1004,H$13,Programação!$R$5:$R$1004,"&lt;&gt;Cancelada",Programação!$V$5:$V$1004,"Interna")</f>
        <v>0</v>
      </c>
      <c r="I36" s="99" t="n">
        <f aca="false">SUM($B36:$H36)</f>
        <v>22</v>
      </c>
    </row>
    <row r="37" customFormat="false" ht="16.5" hidden="false" customHeight="true" outlineLevel="0" collapsed="false">
      <c r="A37" s="100" t="s">
        <v>623</v>
      </c>
      <c r="B37" s="101" t="n">
        <f aca="false">IF(B35=0,"",B36/B35)</f>
        <v>0.448275862068966</v>
      </c>
      <c r="C37" s="101" t="n">
        <f aca="false">IF(C35=0,"",C36/C35)</f>
        <v>0.243243243243243</v>
      </c>
      <c r="D37" s="101" t="n">
        <f aca="false">IF(D35=0,"",D36/D35)</f>
        <v>0</v>
      </c>
      <c r="E37" s="101" t="str">
        <f aca="false">IF(E35=0,"",E36/E35)</f>
        <v/>
      </c>
      <c r="F37" s="101" t="str">
        <f aca="false">IF(F35=0,"",F36/F35)</f>
        <v/>
      </c>
      <c r="G37" s="101" t="str">
        <f aca="false">IF(G35=0,"",G36/G35)</f>
        <v/>
      </c>
      <c r="H37" s="101" t="str">
        <f aca="false">IF(H35=0,"",H36/H35)</f>
        <v/>
      </c>
      <c r="I37" s="101" t="n">
        <f aca="false">IF($I35=0,"",$I36/$I35)</f>
        <v>0.244444444444444</v>
      </c>
    </row>
    <row r="39" customFormat="false" ht="15" hidden="false" customHeight="false" outlineLevel="0" collapsed="false">
      <c r="A39" s="48" t="s">
        <v>624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4:N34"/>
    <mergeCell ref="A39:N39"/>
  </mergeCells>
  <conditionalFormatting sqref="E11:M11">
    <cfRule type="cellIs" priority="2" operator="equal" aboveAverage="0" equalAverage="0" bottom="0" percent="0" rank="0" text="" dxfId="48">
      <formula>0</formula>
    </cfRule>
  </conditionalFormatting>
  <conditionalFormatting sqref="B14:H30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{5CFDB299-7081-4A36-9883-557A107F2E36}</x14:id>
        </ext>
      </extLst>
    </cfRule>
    <cfRule type="cellIs" priority="4" operator="equal" aboveAverage="0" equalAverage="0" bottom="0" percent="0" rank="0" text="" dxfId="49">
      <formula>0</formula>
    </cfRule>
  </conditionalFormatting>
  <conditionalFormatting sqref="L14:L30">
    <cfRule type="cellIs" priority="5" operator="greaterThanOrEqual" aboveAverage="0" equalAverage="0" bottom="0" percent="0" rank="0" text="" dxfId="50">
      <formula>0.85</formula>
    </cfRule>
    <cfRule type="cellIs" priority="6" operator="lessThan" aboveAverage="0" equalAverage="0" bottom="0" percent="0" rank="0" text="" dxfId="51">
      <formula>0.6</formula>
    </cfRule>
  </conditionalFormatting>
  <conditionalFormatting sqref="M14:M31">
    <cfRule type="cellIs" priority="7" operator="greaterThan" aboveAverage="0" equalAverage="0" bottom="0" percent="0" rank="0" text="" dxfId="51">
      <formula>0</formula>
    </cfRule>
  </conditionalFormatting>
  <conditionalFormatting sqref="B37:I37">
    <cfRule type="cellIs" priority="8" operator="greaterThanOrEqual" aboveAverage="0" equalAverage="0" bottom="0" percent="0" rank="0" text="" dxfId="50">
      <formula>0.85</formula>
    </cfRule>
    <cfRule type="cellIs" priority="9" operator="lessThan" aboveAverage="0" equalAverage="0" bottom="0" percent="0" rank="0" text="" dxfId="51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FDB299-7081-4A36-9883-557A107F2E36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625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626</v>
      </c>
      <c r="B3" s="103" t="n">
        <f aca="false">Semana!$C$3</f>
        <v>36</v>
      </c>
      <c r="C3" s="104" t="n">
        <f aca="false">Semana!$E$3</f>
        <v>46265</v>
      </c>
      <c r="D3" s="105" t="s">
        <v>598</v>
      </c>
      <c r="E3" s="104" t="n">
        <f aca="false">Semana!$G$3</f>
        <v>46271</v>
      </c>
      <c r="F3" s="48" t="s">
        <v>627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628</v>
      </c>
      <c r="B5" s="106"/>
      <c r="C5" s="106"/>
      <c r="D5" s="106"/>
      <c r="E5" s="106"/>
      <c r="F5" s="106"/>
      <c r="G5" s="106" t="s">
        <v>605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0.268292682926829</v>
      </c>
      <c r="B6" s="107"/>
      <c r="C6" s="107"/>
      <c r="D6" s="107"/>
      <c r="E6" s="107"/>
      <c r="F6" s="107"/>
      <c r="G6" s="108" t="n">
        <f aca="false">IFERROR(B18/B16,"")</f>
        <v>0.244444444444444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22 de 82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22 das 90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629</v>
      </c>
      <c r="B11" s="55" t="s">
        <v>630</v>
      </c>
      <c r="C11" s="110" t="s">
        <v>631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632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633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13" s="113" t="s">
        <v>634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8</v>
      </c>
      <c r="C14" s="113" t="s">
        <v>635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636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22</v>
      </c>
      <c r="C15" s="113" t="s">
        <v>637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638</v>
      </c>
      <c r="B16" s="112" t="n">
        <f aca="false">COUNTIFS(Programação!$O$5:$O$1004,"&gt;="&amp;$C$3,Programação!$O$5:$O$1004,"&lt;="&amp;$E$3,Programação!$R$5:$R$1004,"&lt;&gt;Cancelada",Programação!$V$5:$V$1004,"Interna")</f>
        <v>90</v>
      </c>
      <c r="C16" s="113" t="s">
        <v>639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640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641</v>
      </c>
      <c r="B18" s="112" t="n">
        <f aca="false">SUMIFS(Programação!$AB$5:$AB$1004,Programação!$O$5:$O$1004,"&gt;="&amp;$C$3,Programação!$O$5:$O$1004,"&lt;="&amp;$E$3,Programação!$V$5:$V$1004,"Interna")</f>
        <v>22</v>
      </c>
      <c r="C18" s="113" t="s">
        <v>639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642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643</v>
      </c>
      <c r="B20" s="115" t="n">
        <f aca="false">IFERROR(B15/B13,"")</f>
        <v>0.268292682926829</v>
      </c>
      <c r="C20" s="116" t="s">
        <v>644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0.244444444444444</v>
      </c>
      <c r="C21" s="116" t="s">
        <v>645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646</v>
      </c>
      <c r="B22" s="117" t="n">
        <f aca="false">IFERROR(B14/B16,"")</f>
        <v>0.0888888888888889</v>
      </c>
      <c r="C22" s="113" t="s">
        <v>647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648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5</v>
      </c>
      <c r="C23" s="113" t="s">
        <v>649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650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651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652</v>
      </c>
      <c r="B25" s="117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13" t="s">
        <v>653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654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655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616</v>
      </c>
      <c r="B27" s="112" t="n">
        <f aca="false">COUNTIFS(Programação!$B$5:$B$1004,"VENCIDA",Programação!$O$5:$O$1004,"&gt;="&amp;$C$3,Programação!$O$5:$O$1004,"&lt;="&amp;$E$3,Programação!$V$5:$V$1004,"Interna")</f>
        <v>16</v>
      </c>
      <c r="C27" s="113" t="s">
        <v>656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657</v>
      </c>
      <c r="B28" s="112" t="n">
        <f aca="false">SUMIFS(Programação!$AA$5:$AA$1004,Programação!$O$5:$O$1004,"&gt;="&amp;$C$3,Programação!$O$5:$O$1004,"&lt;="&amp;$E$3,Programação!$V$5:$V$1004,"Interna")</f>
        <v>81</v>
      </c>
      <c r="C28" s="113" t="s">
        <v>658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659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660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661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662</v>
      </c>
      <c r="B31" s="118" t="n">
        <f aca="false">IFERROR(B16/5,"")</f>
        <v>18</v>
      </c>
      <c r="C31" s="113" t="s">
        <v>663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664</v>
      </c>
      <c r="B32" s="118" t="n">
        <f aca="false">IFERROR(B18/5,"")</f>
        <v>4.4</v>
      </c>
      <c r="C32" s="113" t="s">
        <v>665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666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227</v>
      </c>
      <c r="C33" s="113" t="s">
        <v>667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668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669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670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671</v>
      </c>
      <c r="B36" s="112" t="n">
        <f aca="false">COUNTIFS(Programação!$O$5:$O$1004,"&gt;="&amp;$C$3,Programação!$O$5:$O$1004,"&lt;="&amp;$E$3,Programação!$R$5:$R$1004,"Cancelada")</f>
        <v>4</v>
      </c>
      <c r="C36" s="113" t="s">
        <v>672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673</v>
      </c>
      <c r="B37" s="112" t="n">
        <f aca="false">COUNTIFS(Programação!$O$5:$O$1004,"",Programação!$F$5:$F$1004,"&lt;&gt;",Programação!$R$5:$R$1004,"&lt;&gt;Cancelada")</f>
        <v>91</v>
      </c>
      <c r="C37" s="113" t="s">
        <v>674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675</v>
      </c>
      <c r="P39" s="119" t="s">
        <v>676</v>
      </c>
      <c r="Q39" s="119" t="s">
        <v>614</v>
      </c>
    </row>
    <row r="40" customFormat="false" ht="15" hidden="false" customHeight="false" outlineLevel="0" collapsed="false">
      <c r="O40" s="119" t="s">
        <v>677</v>
      </c>
      <c r="P40" s="120" t="n">
        <f aca="false">B13</f>
        <v>82</v>
      </c>
      <c r="Q40" s="120" t="n">
        <f aca="false">B15</f>
        <v>22</v>
      </c>
    </row>
    <row r="41" customFormat="false" ht="15" hidden="false" customHeight="false" outlineLevel="0" collapsed="false">
      <c r="O41" s="119" t="s">
        <v>55</v>
      </c>
      <c r="P41" s="120" t="n">
        <f aca="false">B14</f>
        <v>8</v>
      </c>
      <c r="Q41" s="120" t="n">
        <f aca="false">B17</f>
        <v>0</v>
      </c>
    </row>
    <row r="43" customFormat="false" ht="15" hidden="false" customHeight="false" outlineLevel="0" collapsed="false">
      <c r="O43" s="119" t="s">
        <v>20</v>
      </c>
      <c r="P43" s="119" t="s">
        <v>613</v>
      </c>
      <c r="Q43" s="119"/>
    </row>
    <row r="44" customFormat="false" ht="15" hidden="false" customHeight="false" outlineLevel="0" collapsed="false">
      <c r="O44" s="119" t="s">
        <v>614</v>
      </c>
      <c r="P44" s="120" t="n">
        <f aca="false">B18</f>
        <v>22</v>
      </c>
      <c r="Q44" s="119"/>
    </row>
    <row r="45" customFormat="false" ht="15" hidden="false" customHeight="false" outlineLevel="0" collapsed="false">
      <c r="O45" s="119" t="s">
        <v>616</v>
      </c>
      <c r="P45" s="120" t="n">
        <f aca="false">B27</f>
        <v>16</v>
      </c>
      <c r="Q45" s="119"/>
    </row>
    <row r="46" customFormat="false" ht="15" hidden="false" customHeight="false" outlineLevel="0" collapsed="false">
      <c r="O46" s="119" t="s">
        <v>678</v>
      </c>
      <c r="P46" s="119" t="n">
        <f aca="false">MAX(0,B16-B18-B27)</f>
        <v>52</v>
      </c>
      <c r="Q46" s="119"/>
    </row>
    <row r="47" customFormat="false" ht="15" hidden="false" customHeight="false" outlineLevel="0" collapsed="false">
      <c r="O47" s="119" t="s">
        <v>671</v>
      </c>
      <c r="P47" s="120" t="n">
        <f aca="false">B36</f>
        <v>4</v>
      </c>
      <c r="Q47" s="119"/>
    </row>
    <row r="48" customFormat="false" ht="15" hidden="false" customHeight="false" outlineLevel="0" collapsed="false">
      <c r="O48" s="119" t="s">
        <v>679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680</v>
      </c>
      <c r="B57" s="29"/>
      <c r="C57" s="29"/>
      <c r="D57" s="29"/>
      <c r="E57" s="29"/>
      <c r="F57" s="29"/>
      <c r="H57" s="29" t="s">
        <v>681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682</v>
      </c>
      <c r="B58" s="19" t="s">
        <v>201</v>
      </c>
      <c r="C58" s="19" t="s">
        <v>206</v>
      </c>
      <c r="D58" s="19" t="s">
        <v>683</v>
      </c>
      <c r="E58" s="19" t="s">
        <v>616</v>
      </c>
      <c r="F58" s="19" t="s">
        <v>220</v>
      </c>
      <c r="H58" s="19" t="s">
        <v>682</v>
      </c>
      <c r="I58" s="19" t="s">
        <v>201</v>
      </c>
      <c r="J58" s="19" t="s">
        <v>206</v>
      </c>
      <c r="K58" s="19" t="s">
        <v>683</v>
      </c>
      <c r="L58" s="19" t="s">
        <v>616</v>
      </c>
      <c r="M58" s="19" t="s">
        <v>220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15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0.266666666666667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6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7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2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1</v>
      </c>
      <c r="D60" s="92" t="n">
        <f aca="false">IF(OR($A60="",$B60=0),"",$C60/$B60)</f>
        <v>0.5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6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6</v>
      </c>
      <c r="D61" s="92" t="n">
        <f aca="false">IF(OR($A61="",$B61=0),"",$C61/$B61)</f>
        <v>1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15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0.266666666666667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7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8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4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16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11</v>
      </c>
      <c r="D64" s="92" t="n">
        <f aca="false">IF(OR($A64="",$B64=0),"",$C64/$B64)</f>
        <v>0.6875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str">
        <f aca="false">IF(OR($H64="",$I64=0),"",$J64/$I64)</f>
        <v/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2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1</v>
      </c>
      <c r="D65" s="92" t="n">
        <f aca="false">IF(OR($A65="",$B65=0),"",$C65/$B65)</f>
        <v>0.5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Thawan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92" t="str">
        <f aca="false">IF(OR($A66="",$B66=0),"",$C66/$B66)</f>
        <v/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3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ASX (externo)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Cardan Nordeste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16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92" t="n">
        <f aca="false">IF(OR($H68="",$I68=0),"",$J68/$I68)</f>
        <v>0.25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1" t="str">
        <f aca="false">IF(Listas!A15="","",Listas!A15)</f>
        <v>Eduardo da sticker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F-425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Molas Pinheiro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F-433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Rodo Ceará (externo)</v>
      </c>
      <c r="B71" s="91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1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2" t="str">
        <f aca="false">IF(OR($A71="",$B71=0),"",$C71/$B71)</f>
        <v/>
      </c>
      <c r="E71" s="91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1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F-457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/>
      </c>
      <c r="B72" s="91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91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92" t="str">
        <f aca="false">IF(OR($A72="",$B72=0),"",$C72/$B72)</f>
        <v/>
      </c>
      <c r="E72" s="91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91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1" t="str">
        <f aca="false">IF(Listas!B18="","",Listas!B18)</f>
        <v>F-458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F-485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str">
        <f aca="false">IF(OR($H73="",$I73=0),"",$J73/$I73)</f>
        <v/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1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1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2" t="str">
        <f aca="false">IF(OR($A74="",$B74=0),"",$C74/$B74)</f>
        <v/>
      </c>
      <c r="E74" s="91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1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F-614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121" t="s">
        <v>619</v>
      </c>
      <c r="B75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75" s="122" t="n">
        <f aca="false">SUMIFS(Programação!$AB$5:$AB$1004,Programação!$O$5:$O$1004,"&gt;="&amp;$C$3,Programação!$O$5:$O$1004,"&lt;="&amp;$E$3,Programação!$H$5:$H$1004,"&lt;&gt;Extra",Programação!$V$5:$V$1004,"Interna")</f>
        <v>22</v>
      </c>
      <c r="D75" s="123" t="n">
        <f aca="false">IF($B75=0,"",$C75/$B75)</f>
        <v>0.268292682926829</v>
      </c>
      <c r="E75" s="122" t="n">
        <f aca="false">COUNTIFS(Programação!$B$5:$B$1004,"VENCIDA",Programação!$O$5:$O$1004,"&gt;="&amp;$C$3,Programação!$O$5:$O$1004,"&lt;="&amp;$E$3,Programação!$V$5:$V$1004,"Interna")</f>
        <v>16</v>
      </c>
      <c r="F75" s="122" t="n">
        <f aca="false">COUNTIFS(Programação!$O$5:$O$1004,"&gt;="&amp;$C$3,Programação!$O$5:$O$1004,"&lt;="&amp;$E$3,Programação!$H$5:$H$1004,"Extra",Programação!$R$5:$R$1004,"&lt;&gt;Cancelada",Programação!$V$5:$V$1004,"Interna")</f>
        <v>8</v>
      </c>
      <c r="H75" s="21" t="str">
        <f aca="false">IF(Listas!B21="","",Listas!B21)</f>
        <v>F-616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str">
        <f aca="false">IF(OR($H75="",$I75=0),"",$J75/$I75)</f>
        <v/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1" t="str">
        <f aca="false">IF(Listas!B22="","",Listas!B22)</f>
        <v>F-617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23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18</v>
      </c>
      <c r="K76" s="92" t="n">
        <f aca="false">IF(OR($H76="",$I76=0),"",$J76/$I76)</f>
        <v>0.782608695652174</v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F-621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F-624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92" t="str">
        <f aca="false">IF(OR($H78="",$I78=0),"",$J78/$I78)</f>
        <v/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F-626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str">
        <f aca="false">IF(OR($H79="",$I79=0),"",$J79/$I79)</f>
        <v/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F-696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92" t="str">
        <f aca="false">IF(OR($H80="",$I80=0),"",$J80/$I80)</f>
        <v/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F-711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1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F-745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str">
        <f aca="false">IF(OR($H82="",$I82=0),"",$J82/$I82)</f>
        <v/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F-763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F-789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F-814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11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n">
        <f aca="false">IF(OR($H85="",$I85=0),"",$J85/$I85)</f>
        <v>0</v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F-815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32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n">
        <f aca="false">IF(OR($H86="",$I86=0),"",$J86/$I86)</f>
        <v>0</v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9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F-817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F-818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str">
        <f aca="false">IF(OR($H88="",$I88=0),"",$J88/$I88)</f>
        <v/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F-856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92" t="str">
        <f aca="false">IF(OR($H89="",$I89=0),"",$J89/$I89)</f>
        <v/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F-871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F-938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F-964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str">
        <f aca="false">IF(OR($H92="",$I92=0),"",$J92/$I92)</f>
        <v/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F-966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F-968</v>
      </c>
      <c r="I94" s="91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91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92" t="str">
        <f aca="false">IF(OR($H94="",$I94=0),"",$J94/$I94)</f>
        <v/>
      </c>
      <c r="L94" s="91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91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/>
      </c>
      <c r="I95" s="91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91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92" t="str">
        <f aca="false">IF(OR($H95="",$I95=0),"",$J95/$I95)</f>
        <v/>
      </c>
      <c r="L95" s="91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91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21" t="str">
        <f aca="false">IF(Listas!B42="","",Listas!B42)</f>
        <v/>
      </c>
      <c r="I96" s="91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91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92" t="str">
        <f aca="false">IF(OR($H96="",$I96=0),"",$J96/$I96)</f>
        <v/>
      </c>
      <c r="L96" s="91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91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7" customFormat="false" ht="15.75" hidden="false" customHeight="true" outlineLevel="0" collapsed="false">
      <c r="H97" s="21" t="str">
        <f aca="false">IF(Listas!B43="","",Listas!B43)</f>
        <v/>
      </c>
      <c r="I97" s="91" t="str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/>
      </c>
      <c r="J97" s="91" t="str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/>
      </c>
      <c r="K97" s="92" t="str">
        <f aca="false">IF(OR($H97="",$I97=0),"",$J97/$I97)</f>
        <v/>
      </c>
      <c r="L97" s="91" t="str">
        <f aca="false">IF($H97="","",COUNTIFS(Programação!$D$5:$D$1004,$H97,Programação!$B$5:$B$1004,"VENCIDA",Programação!$O$5:$O$1004,"&gt;="&amp;$C$3,Programação!$O$5:$O$1004,"&lt;="&amp;$E$3,Programação!$V$5:$V$1004,"Interna"))</f>
        <v/>
      </c>
      <c r="M97" s="91" t="str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/>
      </c>
    </row>
    <row r="100" customFormat="false" ht="15" hidden="false" customHeight="false" outlineLevel="0" collapsed="false">
      <c r="A100" s="29" t="s">
        <v>684</v>
      </c>
      <c r="B100" s="29"/>
      <c r="C100" s="29"/>
      <c r="D100" s="29"/>
      <c r="E100" s="29"/>
      <c r="F100" s="29"/>
    </row>
    <row r="101" customFormat="false" ht="15" hidden="false" customHeight="false" outlineLevel="0" collapsed="false">
      <c r="A101" s="19" t="s">
        <v>682</v>
      </c>
      <c r="B101" s="19" t="s">
        <v>201</v>
      </c>
      <c r="C101" s="19" t="s">
        <v>206</v>
      </c>
      <c r="D101" s="19" t="s">
        <v>683</v>
      </c>
      <c r="E101" s="19" t="s">
        <v>616</v>
      </c>
      <c r="F101" s="19" t="s">
        <v>220</v>
      </c>
    </row>
    <row r="102" customFormat="false" ht="15.75" hidden="false" customHeight="true" outlineLevel="0" collapsed="false">
      <c r="A102" s="21" t="str">
        <f aca="false">IF(Listas!C5="","",Listas!C5)</f>
        <v>Corretiva</v>
      </c>
      <c r="B102" s="91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67</v>
      </c>
      <c r="C102" s="91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18</v>
      </c>
      <c r="D102" s="92" t="n">
        <f aca="false">IF(OR($A102="",$B102=0),"",$C102/$B102)</f>
        <v>0.26865671641791</v>
      </c>
      <c r="E102" s="91" t="n">
        <f aca="false">IF($A102="","",COUNTIFS(Programação!$G$5:$G$1004,$A102,Programação!$B$5:$B$1004,"VENCIDA",Programação!$O$5:$O$1004,"&gt;="&amp;$C$3,Programação!$O$5:$O$1004,"&lt;="&amp;$E$3,Programação!$V$5:$V$1004,"Interna"))</f>
        <v>13</v>
      </c>
      <c r="F102" s="91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8</v>
      </c>
    </row>
    <row r="103" customFormat="false" ht="15.75" hidden="false" customHeight="true" outlineLevel="0" collapsed="false">
      <c r="A103" s="21" t="str">
        <f aca="false">IF(Listas!C6="","",Listas!C6)</f>
        <v>Preventiva</v>
      </c>
      <c r="B103" s="91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15</v>
      </c>
      <c r="C103" s="91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4</v>
      </c>
      <c r="D103" s="92" t="n">
        <f aca="false">IF(OR($A103="",$B103=0),"",$C103/$B103)</f>
        <v>0.266666666666667</v>
      </c>
      <c r="E103" s="91" t="n">
        <f aca="false">IF($A103="","",COUNTIFS(Programação!$G$5:$G$1004,$A103,Programação!$B$5:$B$1004,"VENCIDA",Programação!$O$5:$O$1004,"&gt;="&amp;$C$3,Programação!$O$5:$O$1004,"&lt;="&amp;$E$3,Programação!$V$5:$V$1004,"Interna"))</f>
        <v>3</v>
      </c>
      <c r="F103" s="91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21" t="str">
        <f aca="false">IF(Listas!C7="","",Listas!C7)</f>
        <v>Preditiva</v>
      </c>
      <c r="B104" s="91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91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92" t="str">
        <f aca="false">IF(OR($A104="",$B104=0),"",$C104/$B104)</f>
        <v/>
      </c>
      <c r="E104" s="91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91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21" t="str">
        <f aca="false">IF(Listas!C8="","",Listas!C8)</f>
        <v>Melhoria</v>
      </c>
      <c r="B105" s="91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91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92" t="str">
        <f aca="false">IF(OR($A105="",$B105=0),"",$C105/$B105)</f>
        <v/>
      </c>
      <c r="E105" s="91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91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21" t="str">
        <f aca="false">IF(Listas!C9="","",Listas!C9)</f>
        <v>Inspeção</v>
      </c>
      <c r="B106" s="91" t="n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>0</v>
      </c>
      <c r="C106" s="91" t="n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>0</v>
      </c>
      <c r="D106" s="92" t="str">
        <f aca="false">IF(OR($A106="",$B106=0),"",$C106/$B106)</f>
        <v/>
      </c>
      <c r="E106" s="91" t="n">
        <f aca="false">IF($A106="","",COUNTIFS(Programação!$G$5:$G$1004,$A106,Programação!$B$5:$B$1004,"VENCIDA",Programação!$O$5:$O$1004,"&gt;="&amp;$C$3,Programação!$O$5:$O$1004,"&lt;="&amp;$E$3,Programação!$V$5:$V$1004,"Interna"))</f>
        <v>0</v>
      </c>
      <c r="F106" s="91" t="n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>0</v>
      </c>
    </row>
    <row r="107" customFormat="false" ht="15.75" hidden="false" customHeight="true" outlineLevel="0" collapsed="false">
      <c r="A107" s="21" t="str">
        <f aca="false">IF(Listas!C10="","",Listas!C10)</f>
        <v/>
      </c>
      <c r="B107" s="91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91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92" t="str">
        <f aca="false">IF(OR($A107="",$B107=0),"",$C107/$B107)</f>
        <v/>
      </c>
      <c r="E107" s="91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91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  <row r="108" customFormat="false" ht="15.75" hidden="false" customHeight="true" outlineLevel="0" collapsed="false">
      <c r="A108" s="21" t="str">
        <f aca="false">IF(Listas!C11="","",Listas!C11)</f>
        <v/>
      </c>
      <c r="B108" s="91" t="str">
        <f aca="false">IF($A108="","",COUNTIFS(Programação!$G$5:$G$1004,$A108,Programação!$O$5:$O$1004,"&gt;="&amp;$C$3,Programação!$O$5:$O$1004,"&lt;="&amp;$E$3,Programação!$R$5:$R$1004,"&lt;&gt;Cancelada",Programação!$V$5:$V$1004,"Interna",Programação!$H$5:$H$1004,"&lt;&gt;Extra"))</f>
        <v/>
      </c>
      <c r="C108" s="91" t="str">
        <f aca="false">IF($A108="","",SUMIFS(Programação!$AB$5:$AB$1004,Programação!$G$5:$G$1004,$A108,Programação!$O$5:$O$1004,"&gt;="&amp;$C$3,Programação!$O$5:$O$1004,"&lt;="&amp;$E$3,Programação!$H$5:$H$1004,"&lt;&gt;Extra",Programação!$V$5:$V$1004,"Interna"))</f>
        <v/>
      </c>
      <c r="D108" s="92" t="str">
        <f aca="false">IF(OR($A108="",$B108=0),"",$C108/$B108)</f>
        <v/>
      </c>
      <c r="E108" s="91" t="str">
        <f aca="false">IF($A108="","",COUNTIFS(Programação!$G$5:$G$1004,$A108,Programação!$B$5:$B$1004,"VENCIDA",Programação!$O$5:$O$1004,"&gt;="&amp;$C$3,Programação!$O$5:$O$1004,"&lt;="&amp;$E$3,Programação!$V$5:$V$1004,"Interna"))</f>
        <v/>
      </c>
      <c r="F108" s="91" t="str">
        <f aca="false">IF($A108="","",COUNTIFS(Programação!$G$5:$G$1004,$A108,Programação!$O$5:$O$1004,"&gt;="&amp;$C$3,Programação!$O$5:$O$1004,"&lt;="&amp;$E$3,Programação!$H$5:$H$1004,"Extra",Programação!$R$5:$R$1004,"&lt;&gt;Cancelada",Programação!$V$5:$V$1004,"Interna"))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0:F100"/>
  </mergeCells>
  <conditionalFormatting sqref="B20">
    <cfRule type="cellIs" priority="2" operator="greaterThanOrEqual" aboveAverage="0" equalAverage="0" bottom="0" percent="0" rank="0" text="" dxfId="52">
      <formula>0.85</formula>
    </cfRule>
    <cfRule type="cellIs" priority="3" operator="lessThan" aboveAverage="0" equalAverage="0" bottom="0" percent="0" rank="0" text="" dxfId="53">
      <formula>0.6</formula>
    </cfRule>
  </conditionalFormatting>
  <conditionalFormatting sqref="B21">
    <cfRule type="cellIs" priority="4" operator="greaterThanOrEqual" aboveAverage="0" equalAverage="0" bottom="0" percent="0" rank="0" text="" dxfId="52">
      <formula>0.85</formula>
    </cfRule>
    <cfRule type="cellIs" priority="5" operator="lessThan" aboveAverage="0" equalAverage="0" bottom="0" percent="0" rank="0" text="" dxfId="53">
      <formula>0.6</formula>
    </cfRule>
  </conditionalFormatting>
  <conditionalFormatting sqref="B24">
    <cfRule type="cellIs" priority="6" operator="greaterThanOrEqual" aboveAverage="0" equalAverage="0" bottom="0" percent="0" rank="0" text="" dxfId="52">
      <formula>0.85</formula>
    </cfRule>
    <cfRule type="cellIs" priority="7" operator="lessThan" aboveAverage="0" equalAverage="0" bottom="0" percent="0" rank="0" text="" dxfId="53">
      <formula>0.6</formula>
    </cfRule>
  </conditionalFormatting>
  <conditionalFormatting sqref="B25">
    <cfRule type="cellIs" priority="8" operator="greaterThanOrEqual" aboveAverage="0" equalAverage="0" bottom="0" percent="0" rank="0" text="" dxfId="52">
      <formula>0.85</formula>
    </cfRule>
    <cfRule type="cellIs" priority="9" operator="lessThan" aboveAverage="0" equalAverage="0" bottom="0" percent="0" rank="0" text="" dxfId="53">
      <formula>0.6</formula>
    </cfRule>
  </conditionalFormatting>
  <conditionalFormatting sqref="B27">
    <cfRule type="cellIs" priority="10" operator="greaterThan" aboveAverage="0" equalAverage="0" bottom="0" percent="0" rank="0" text="" dxfId="54">
      <formula>0</formula>
    </cfRule>
  </conditionalFormatting>
  <conditionalFormatting sqref="B14">
    <cfRule type="cellIs" priority="11" operator="greaterThan" aboveAverage="0" equalAverage="0" bottom="0" percent="0" rank="0" text="" dxfId="55">
      <formula>0</formula>
    </cfRule>
  </conditionalFormatting>
  <conditionalFormatting sqref="B22">
    <cfRule type="cellIs" priority="12" operator="greaterThan" aboveAverage="0" equalAverage="0" bottom="0" percent="0" rank="0" text="" dxfId="55">
      <formula>0</formula>
    </cfRule>
  </conditionalFormatting>
  <conditionalFormatting sqref="A6">
    <cfRule type="cellIs" priority="13" operator="greaterThanOrEqual" aboveAverage="0" equalAverage="0" bottom="0" percent="0" rank="0" text="" dxfId="56">
      <formula>0.85</formula>
    </cfRule>
    <cfRule type="cellIs" priority="14" operator="lessThan" aboveAverage="0" equalAverage="0" bottom="0" percent="0" rank="0" text="" dxfId="57">
      <formula>0.6</formula>
    </cfRule>
  </conditionalFormatting>
  <conditionalFormatting sqref="G6">
    <cfRule type="cellIs" priority="15" operator="greaterThanOrEqual" aboveAverage="0" equalAverage="0" bottom="0" percent="0" rank="0" text="" dxfId="56">
      <formula>0.85</formula>
    </cfRule>
    <cfRule type="cellIs" priority="16" operator="lessThan" aboveAverage="0" equalAverage="0" bottom="0" percent="0" rank="0" text="" dxfId="57">
      <formula>0.6</formula>
    </cfRule>
  </conditionalFormatting>
  <conditionalFormatting sqref="F59:F74">
    <cfRule type="cellIs" priority="17" operator="greaterThan" aboveAverage="0" equalAverage="0" bottom="0" percent="0" rank="0" text="" dxfId="58">
      <formula>0</formula>
    </cfRule>
  </conditionalFormatting>
  <conditionalFormatting sqref="D59:D74">
    <cfRule type="cellIs" priority="18" operator="greaterThanOrEqual" aboveAverage="0" equalAverage="0" bottom="0" percent="0" rank="0" text="" dxfId="50">
      <formula>0.85</formula>
    </cfRule>
    <cfRule type="cellIs" priority="19" operator="lessThan" aboveAverage="0" equalAverage="0" bottom="0" percent="0" rank="0" text="" dxfId="51">
      <formula>0.6</formula>
    </cfRule>
  </conditionalFormatting>
  <conditionalFormatting sqref="E59:E74">
    <cfRule type="cellIs" priority="20" operator="greaterThan" aboveAverage="0" equalAverage="0" bottom="0" percent="0" rank="0" text="" dxfId="59">
      <formula>0</formula>
    </cfRule>
  </conditionalFormatting>
  <conditionalFormatting sqref="M59:M97">
    <cfRule type="cellIs" priority="21" operator="greaterThan" aboveAverage="0" equalAverage="0" bottom="0" percent="0" rank="0" text="" dxfId="58">
      <formula>0</formula>
    </cfRule>
  </conditionalFormatting>
  <conditionalFormatting sqref="K59:K97">
    <cfRule type="cellIs" priority="22" operator="greaterThanOrEqual" aboveAverage="0" equalAverage="0" bottom="0" percent="0" rank="0" text="" dxfId="50">
      <formula>0.85</formula>
    </cfRule>
    <cfRule type="cellIs" priority="23" operator="lessThan" aboveAverage="0" equalAverage="0" bottom="0" percent="0" rank="0" text="" dxfId="51">
      <formula>0.6</formula>
    </cfRule>
  </conditionalFormatting>
  <conditionalFormatting sqref="L59:L97">
    <cfRule type="cellIs" priority="24" operator="greaterThan" aboveAverage="0" equalAverage="0" bottom="0" percent="0" rank="0" text="" dxfId="59">
      <formula>0</formula>
    </cfRule>
  </conditionalFormatting>
  <conditionalFormatting sqref="F102:F108">
    <cfRule type="cellIs" priority="25" operator="greaterThan" aboveAverage="0" equalAverage="0" bottom="0" percent="0" rank="0" text="" dxfId="58">
      <formula>0</formula>
    </cfRule>
  </conditionalFormatting>
  <conditionalFormatting sqref="D102:D108">
    <cfRule type="cellIs" priority="26" operator="greaterThanOrEqual" aboveAverage="0" equalAverage="0" bottom="0" percent="0" rank="0" text="" dxfId="50">
      <formula>0.85</formula>
    </cfRule>
    <cfRule type="cellIs" priority="27" operator="lessThan" aboveAverage="0" equalAverage="0" bottom="0" percent="0" rank="0" text="" dxfId="51">
      <formula>0.6</formula>
    </cfRule>
  </conditionalFormatting>
  <conditionalFormatting sqref="E102:E108">
    <cfRule type="cellIs" priority="28" operator="greaterThan" aboveAverage="0" equalAverage="0" bottom="0" percent="0" rank="0" text="" dxfId="59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2026-09-01T11:21:21Z</dcterms:created>
  <dc:creator>openpyxl</dc:creator>
  <dc:description/>
  <dc:language>en-US</dc:language>
  <cp:lastModifiedBy/>
  <dcterms:modified xsi:type="dcterms:W3CDTF">2026-09-01T11:21:43Z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