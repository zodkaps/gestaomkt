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Listas" sheetId="2" state="visible" r:id="rId4"/>
    <sheet name="Programação" sheetId="3" state="visible" r:id="rId5"/>
    <sheet name="Semana" sheetId="4" state="visible" r:id="rId6"/>
    <sheet name="Aderência" sheetId="5" state="visible" r:id="rId7"/>
  </sheets>
  <definedNames>
    <definedName function="false" hidden="false" localSheetId="1" name="_xlnm.Print_Area" vbProcedure="false">Listas!$A$1:$G$84</definedName>
    <definedName function="false" hidden="false" localSheetId="2" name="_xlnm.Print_Area" vbProcedure="false">Programação!$A$1:$Y$182</definedName>
    <definedName function="false" hidden="false" localSheetId="2" name="_xlnm.Print_Titles" vbProcedure="false">Programação!$1:$3</definedName>
    <definedName function="false" hidden="true" localSheetId="2" name="_xlnm._FilterDatabase" vbProcedure="false">Programação!$A$3:$Y$1004</definedName>
    <definedName function="false" hidden="false" localSheetId="3" name="_xlnm.Print_Area" vbProcedure="false">Semana!$A$1:$L$39</definedName>
    <definedName function="false" hidden="false" localSheetId="3" name="_xlnm.Print_Titles" vbProcedure="false">Semana!$1:$12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 — mesma OS, mesmo Serviço.
A aderência é medida por aqui.</t>
        </r>
      </text>
    </comment>
    <comment ref="G3" authorId="0">
      <text>
        <r>
          <rPr>
            <sz val="10"/>
            <rFont val="Arial"/>
            <family val="2"/>
          </rPr>
          <t xml:space="preserve">Até três pessoas na mesma atividade, uma por coluna.
Na aba Semana e na Aderência, a atividade entra na carga de cada uma delas — e conta uma vez só no total.
Empresa externa: escreva o nome com “(externo)” no fim.</t>
        </r>
      </text>
    </comment>
    <comment ref="J3" authorId="0">
      <text>
        <r>
          <rPr>
            <sz val="10"/>
            <rFont val="Arial"/>
            <family val="2"/>
          </rPr>
          <t xml:space="preserve">A SEGUNDA-FEIRA da semana. Escreva numa linha e arraste para baixo.
Para repetir a semana passada: copie as linhas, cole no fim e troque só esta coluna — todas as datas andam junto.</t>
        </r>
      </text>
    </comment>
    <comment ref="K3" authorId="0">
      <text>
        <r>
          <rPr>
            <sz val="10"/>
            <rFont val="Arial"/>
            <family val="2"/>
          </rPr>
          <t xml:space="preserve">Seg, Ter, Qua, Qui, Sex, Sáb ou Dom.
Semana + Dia = Data programada.</t>
        </r>
      </text>
    </comment>
    <comment ref="M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O3" authorId="0">
      <text>
        <r>
          <rPr>
            <sz val="10"/>
            <rFont val="Arial"/>
            <family val="2"/>
          </rPr>
          <t xml:space="preserve">Só ao REPROGRAMAR: guarde aqui a data que estava antes.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Clique na célula e abra a setinha: a lista traz todas as segundas-feiras.
A grade inteira, os números e a faixa “onde tem programação” acompanham o que você escolher aqui.</t>
        </r>
      </text>
    </comment>
  </commentList>
</comments>
</file>

<file path=xl/sharedStrings.xml><?xml version="1.0" encoding="utf-8"?>
<sst xmlns="http://schemas.openxmlformats.org/spreadsheetml/2006/main" count="1645" uniqueCount="398">
  <si>
    <t xml:space="preserve">PROGRAMAÇÃO DE SERVIÇOS  ·  MAKRO TRANSPORTES</t>
  </si>
  <si>
    <t xml:space="preserve">Planejamento e Controle de Manutenção  ·  aderência medida por atividade</t>
  </si>
  <si>
    <t xml:space="preserve">TROCAR DE SEMANA — uma célula só</t>
  </si>
  <si>
    <t xml:space="preserve">►</t>
  </si>
  <si>
    <t xml:space="preserve">Na aba SEMANA, clique na célula amarela grande e abra a setinha: a lista traz todas as segundas-feiras. Escolha uma e a grade inteira acompanha — os dias no topo, os números de cada executante e o resumo.</t>
  </si>
  <si>
    <t xml:space="preserve">◄</t>
  </si>
  <si>
    <t xml:space="preserve">Logo abaixo, a faixa ONDE TEM PROGRAMAÇÃO mostra quantas atividades existem em cada uma das quatro semanas antes e depois. Assim você vê onde tem trabalho antes de trocar.</t>
  </si>
  <si>
    <t xml:space="preserve">MONTAR A PROGRAMAÇÃO DA SEMANA — quatro passos</t>
  </si>
  <si>
    <t xml:space="preserve">1</t>
  </si>
  <si>
    <t xml:space="preserve">Na aba PROGRAMAÇÃO, clique na setinha do filtro da coluna SITUAÇÃO e deixe marcado só “Na carteira”. Sobram as atividades sem dia.</t>
  </si>
  <si>
    <t xml:space="preserve">2</t>
  </si>
  <si>
    <t xml:space="preserve">Nas que você vai fazer, escreva a SEGUNDA-FEIRA na coluna SEMANA. Escreva numa linha e arraste para baixo — vale para todas.</t>
  </si>
  <si>
    <t xml:space="preserve">3</t>
  </si>
  <si>
    <t xml:space="preserve">Escolha o DIA (Seg, Ter, Qua…) e quem faz, em EXECUTANTE 1, 2 e 3. A coluna Data programada se preenche sozinha.</t>
  </si>
  <si>
    <t xml:space="preserve">4</t>
  </si>
  <si>
    <t xml:space="preserve">Tire o filtro e volte à aba SEMANA: ela mostra a carga que cada um ficou por dia, e apaga os zeros para o que tem trabalho saltar aos olhos.</t>
  </si>
  <si>
    <t xml:space="preserve">VÁRIOS EXECUTANTES NA MESMA ATIVIDADE</t>
  </si>
  <si>
    <t xml:space="preserve">São três colunas — Executante 1, 2 e 3 — cada uma com sua caixa de seleção. Serviço feito a quatro mãos entra na carga de cada um deles na aba Semana e na Aderência, e conta uma vez só no total da oficina.</t>
  </si>
  <si>
    <t xml:space="preserve">Empresa externa: escreva o nome com “(externo)” no fim, em qualquer uma das três. A coluna Oficina se marca sozinha como Terceirizada.</t>
  </si>
  <si>
    <t xml:space="preserve">REPETIR A SEMANA QUE PASSOU</t>
  </si>
  <si>
    <t xml:space="preserve">Selecione as linhas da semana passada, copie e cole no fim da lista.</t>
  </si>
  <si>
    <t xml:space="preserve">Troque só a coluna SEMANA pela nova segunda-feira. Todas as datas andam junto — é para isso que Semana e Dia são separados.</t>
  </si>
  <si>
    <t xml:space="preserve">Apague o que ficou em CONCLUÍDA EM e em MARCAR nas linhas coladas.</t>
  </si>
  <si>
    <t xml:space="preserve">O DIA A DIA</t>
  </si>
  <si>
    <t xml:space="preserve">Concluiu uma atividade?</t>
  </si>
  <si>
    <t xml:space="preserve">Escreva a data em CONCLUÍDA EM. Só isso — a situação muda sozinha e a aderência já conta.</t>
  </si>
  <si>
    <t xml:space="preserve">Vai empurrar para outro dia?</t>
  </si>
  <si>
    <t xml:space="preserve">Antes de mudar, copie a data de hoje para a coluna 1ª DATA. Depois troque o Dia (ou a Semana) e escreva o MOTIVO.</t>
  </si>
  <si>
    <t xml:space="preserve">Cancelou?</t>
  </si>
  <si>
    <t xml:space="preserve">Escolha “Cancelada” na coluna MARCAR. Sai dos dois lados da conta.</t>
  </si>
  <si>
    <t xml:space="preserve">Serviço novo sem dia ainda?</t>
  </si>
  <si>
    <t xml:space="preserve">Escreva tudo menos a Semana e o Dia. Fica na carteira até você programar.</t>
  </si>
  <si>
    <t xml:space="preserve">COMO A ADERÊNCIA É CALCULADA</t>
  </si>
  <si>
    <t xml:space="preserve">Aderência  =  atividades concluídas  ÷  atividades programadas no período</t>
  </si>
  <si>
    <t xml:space="preserve">Cada linha da aba Programação é uma ATIVIDADE. Um serviço com três atividades ocupa três linhas: se duas saírem e uma ficar, a aderência mostra 67% — nem some da conta, nem finge que fechou.</t>
  </si>
  <si>
    <t xml:space="preserve">    •  Pontualidade — das concluídas, quantas saíram até o próprio dia.</t>
  </si>
  <si>
    <t xml:space="preserve">    •  Aderência ao plano original — mede contra a 1ª data programada. É a única que não melhora quando se empurra o serviço para a frente.</t>
  </si>
  <si>
    <t xml:space="preserve">AS CORES DA ABA PROGRAMAÇÃO</t>
  </si>
  <si>
    <t xml:space="preserve">Amarelo</t>
  </si>
  <si>
    <t xml:space="preserve">o que é o serviço — preenche sempre</t>
  </si>
  <si>
    <t xml:space="preserve">Verde claro</t>
  </si>
  <si>
    <t xml:space="preserve">quem faz — até três executantes</t>
  </si>
  <si>
    <t xml:space="preserve">Azul claro</t>
  </si>
  <si>
    <t xml:space="preserve">semana e dia — é onde se programa</t>
  </si>
  <si>
    <t xml:space="preserve">Cinza claro</t>
  </si>
  <si>
    <t xml:space="preserve">só quando acontecer: concluir, cancelar, reprogramar</t>
  </si>
  <si>
    <t xml:space="preserve">Cinza</t>
  </si>
  <si>
    <t xml:space="preserve">calculado pela planilha — não digite</t>
  </si>
  <si>
    <t xml:space="preserve">A planilha veio com a semana de 24/08 a 28/08/26: 172 atividades em 26 serviços. Ficaram de fora 2 serviço(s) programados antes desta semana (F-627, F-966) e a carteira sem dia, porque você pediu só o desta semana.</t>
  </si>
  <si>
    <t xml:space="preserve">Há 1.000 linhas prontas na aba Programação, com as fórmulas das colunas cinzas já em todas elas. Para imprimir a semana: filtre a coluna Data programada pelo período e mande imprimir — sai só o que o filtro deixou visível.</t>
  </si>
  <si>
    <t xml:space="preserve">LISTAS DE APOIO</t>
  </si>
  <si>
    <t xml:space="preserve">Alimentam as caixas de seleção. Acrescente nomes aqui e as caixas acompanham. Não deixe linha em branco no meio de uma lista.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</si>
  <si>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</si>
  <si>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</si>
  <si>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</si>
  <si>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</si>
  <si>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da reprogramação</t>
  </si>
  <si>
    <t xml:space="preserve">Dia</t>
  </si>
  <si>
    <t xml:space="preserve">Semanas</t>
  </si>
  <si>
    <t xml:space="preserve">Segundas-feiras que aparecem na caixa de seleção da aba Semana. Vão de 23/02/2026 a 14/08/2028.</t>
  </si>
  <si>
    <t xml:space="preserve">Adilton</t>
  </si>
  <si>
    <t xml:space="preserve">F-1064</t>
  </si>
  <si>
    <t xml:space="preserve">Corretiva</t>
  </si>
  <si>
    <t xml:space="preserve">Concluída</t>
  </si>
  <si>
    <t xml:space="preserve">Peça não chegou</t>
  </si>
  <si>
    <t xml:space="preserve">Seg</t>
  </si>
  <si>
    <t xml:space="preserve">Airton</t>
  </si>
  <si>
    <t xml:space="preserve">F-1065</t>
  </si>
  <si>
    <t xml:space="preserve">Preventiva</t>
  </si>
  <si>
    <t xml:space="preserve">Em execução</t>
  </si>
  <si>
    <t xml:space="preserve">Frota em viagem</t>
  </si>
  <si>
    <t xml:space="preserve">Ter</t>
  </si>
  <si>
    <t xml:space="preserve">Alexandre</t>
  </si>
  <si>
    <t xml:space="preserve">F-150</t>
  </si>
  <si>
    <t xml:space="preserve">Preditiva</t>
  </si>
  <si>
    <t xml:space="preserve">Cancelada</t>
  </si>
  <si>
    <t xml:space="preserve">Falta de mão de obra</t>
  </si>
  <si>
    <t xml:space="preserve">Qua</t>
  </si>
  <si>
    <t xml:space="preserve">Gabriel</t>
  </si>
  <si>
    <t xml:space="preserve">F-246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</si>
  <si>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</si>
  <si>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</si>
  <si>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</si>
  <si>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</si>
  <si>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F-326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</si>
  <si>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</si>
  <si>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</si>
  <si>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</si>
  <si>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</si>
  <si>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F-327</t>
  </si>
  <si>
    <t xml:space="preserve">Oficina cheia</t>
  </si>
  <si>
    <t xml:space="preserve">Sáb</t>
  </si>
  <si>
    <t xml:space="preserve">Luiz Paulo</t>
  </si>
  <si>
    <t xml:space="preserve">F-328</t>
  </si>
  <si>
    <t xml:space="preserve">Aguardando terceiro</t>
  </si>
  <si>
    <t xml:space="preserve">Dom</t>
  </si>
  <si>
    <t xml:space="preserve">Thawan</t>
  </si>
  <si>
    <t xml:space="preserve">F-331</t>
  </si>
  <si>
    <t xml:space="preserve">Box bloqueado</t>
  </si>
  <si>
    <t xml:space="preserve">ASX (externo)</t>
  </si>
  <si>
    <t xml:space="preserve">F-457</t>
  </si>
  <si>
    <t xml:space="preserve">Eduardo da sticker (externo)</t>
  </si>
  <si>
    <t xml:space="preserve">F-458</t>
  </si>
  <si>
    <t xml:space="preserve">Molas Pinheiro (externo)</t>
  </si>
  <si>
    <t xml:space="preserve">F-485</t>
  </si>
  <si>
    <t xml:space="preserve">Rodo Ceará (externo)</t>
  </si>
  <si>
    <t xml:space="preserve">F-614</t>
  </si>
  <si>
    <t xml:space="preserve">F-617</t>
  </si>
  <si>
    <t xml:space="preserve">F-624</t>
  </si>
  <si>
    <t xml:space="preserve">F-626</t>
  </si>
  <si>
    <t xml:space="preserve">F-696</t>
  </si>
  <si>
    <t xml:space="preserve">F-763</t>
  </si>
  <si>
    <t xml:space="preserve">F-789</t>
  </si>
  <si>
    <t xml:space="preserve">F-815</t>
  </si>
  <si>
    <t xml:space="preserve">F-856</t>
  </si>
  <si>
    <t xml:space="preserve">F-871</t>
  </si>
  <si>
    <t xml:space="preserve">F-938</t>
  </si>
  <si>
    <t xml:space="preserve">F-964</t>
  </si>
  <si>
    <t xml:space="preserve">PROGRAMAÇÃO DE SERVIÇOS  ·  MAKRO TRANSPORTES  ·  uma linha por atividade</t>
  </si>
  <si>
    <t xml:space="preserve">1 · O QUE É O SERVIÇO</t>
  </si>
  <si>
    <t xml:space="preserve">2 · QUEM FAZ — até três</t>
  </si>
  <si>
    <t xml:space="preserve">3 · PROGRAMAR — semana e dia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</si>
  <si>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</si>
  <si>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</si>
  <si>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</si>
  <si>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</si>
  <si>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Frota</t>
  </si>
  <si>
    <t xml:space="preserve">Serviço</t>
  </si>
  <si>
    <t xml:space="preserve">Atividade</t>
  </si>
  <si>
    <t xml:space="preserve">Tipo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</si>
  <si>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</si>
  <si>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</si>
  <si>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</si>
  <si>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</si>
  <si>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Data programada</t>
  </si>
  <si>
    <t xml:space="preserve">Concluída em</t>
  </si>
  <si>
    <t xml:space="preserve">1ª data</t>
  </si>
  <si>
    <t xml:space="preserve">Motivo</t>
  </si>
  <si>
    <t xml:space="preserve">Obs.</t>
  </si>
  <si>
    <t xml:space="preserve">Situação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</si>
  <si>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</si>
  <si>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</si>
  <si>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</si>
  <si>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</si>
  <si>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</si>
  <si>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</si>
  <si>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</si>
  <si>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Enbuxamento e aperto das folgas dos tirantes</t>
  </si>
  <si>
    <t xml:space="preserve">Enbuxamento</t>
  </si>
  <si>
    <t xml:space="preserve">Aperto das folgas dos tirantes</t>
  </si>
  <si>
    <t xml:space="preserve">Calibração e troca de pneus</t>
  </si>
  <si>
    <t xml:space="preserve">Calibrar e trocar pneus</t>
  </si>
  <si>
    <t xml:space="preserve">Troca e calibração de pneus</t>
  </si>
  <si>
    <t xml:space="preserve">021188</t>
  </si>
  <si>
    <t xml:space="preserve">Realizar troca de pneus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</si>
  <si>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</si>
  <si>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</si>
  <si>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</si>
  <si>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</si>
  <si>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</si>
  <si>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Realizar adesivagem</t>
  </si>
  <si>
    <t xml:space="preserve">Adesivar frota</t>
  </si>
  <si>
    <t xml:space="preserve">Montar adesivos 327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</si>
  <si>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</si>
  <si>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</si>
  <si>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Corrigir ligação da chave geral (serviço interno Matriz)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</si>
  <si>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</si>
  <si>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</si>
  <si>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</si>
  <si>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</si>
  <si>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</si>
  <si>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</si>
  <si>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</si>
  <si>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Substituir para-sol avariado (82245535)</t>
  </si>
  <si>
    <t xml:space="preserve">Repor acabamento do cinto do banco do motorista (0586501)</t>
  </si>
  <si>
    <t xml:space="preserve">Realizar reparo no engate de marchas</t>
  </si>
  <si>
    <t xml:space="preserve">Realizar reparo na marcha ré (Dificuldade no engate)</t>
  </si>
  <si>
    <t xml:space="preserve">Mangote do arrefecimento folgado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</si>
  <si>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</si>
  <si>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</si>
  <si>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</si>
  <si>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</si>
  <si>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</si>
  <si>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</si>
  <si>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</si>
  <si>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</si>
  <si>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</si>
  <si>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</si>
  <si>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</si>
  <si>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</si>
  <si>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Verificar válvula de freio</t>
  </si>
  <si>
    <t xml:space="preserve">Sistema: Freios</t>
  </si>
  <si>
    <t xml:space="preserve">021186</t>
  </si>
  <si>
    <t xml:space="preserve">Realizar troca ou calibração dos pneus</t>
  </si>
  <si>
    <t xml:space="preserve">Mudou a prioridade trocado pela frota 1064 e 1065</t>
  </si>
  <si>
    <t xml:space="preserve">Preventiva da frota 614 João Camara RN</t>
  </si>
  <si>
    <t xml:space="preserve">Realizar troca de oleo e filtros</t>
  </si>
  <si>
    <t xml:space="preserve">Trocar pneus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</si>
  <si>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</si>
  <si>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</si>
  <si>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</si>
  <si>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</si>
  <si>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</si>
  <si>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</si>
  <si>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</si>
  <si>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</si>
  <si>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</si>
  <si>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</si>
  <si>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</si>
  <si>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</si>
  <si>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</si>
  <si>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</si>
  <si>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</si>
  <si>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</si>
  <si>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</si>
  <si>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</si>
  <si>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</si>
  <si>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</si>
  <si>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</si>
  <si>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</si>
  <si>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Tapeçaria</t>
  </si>
  <si>
    <t xml:space="preserve">Realizar tapeçaria</t>
  </si>
  <si>
    <t xml:space="preserve">Trocar o cabeçote</t>
  </si>
  <si>
    <t xml:space="preserve">Trocar cabeçote de combustível</t>
  </si>
  <si>
    <t xml:space="preserve">Bomba de combustível</t>
  </si>
  <si>
    <t xml:space="preserve">Realizar ajuste no velocímetro</t>
  </si>
  <si>
    <t xml:space="preserve">Programar a substituição das juntas do coletor de escapamento (20855371 (6 unidades))</t>
  </si>
  <si>
    <t xml:space="preserve">Programar recuperação das barras de direção curta e longa (serviço empresa especializada)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</si>
  <si>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</si>
  <si>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</si>
  <si>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</si>
  <si>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Programar substituição das mangueiras do trocador de calor da caixa de marchas devido vazamento (21818292/21818296)</t>
  </si>
  <si>
    <t xml:space="preserve">Substituir vedação do sensor de velocidade da caixa de marchas devido vazamento (serviço interno Matriz)</t>
  </si>
  <si>
    <t xml:space="preserve">Substituir vedação do tubo de enchimento de óleo no cárter devido vazamento (serviço interno Matriz)</t>
  </si>
  <si>
    <t xml:space="preserve">Repor silenciador da válvula APU (4350995)</t>
  </si>
  <si>
    <t xml:space="preserve">Corrigir esguicho do limpador LE (serviço interno Matriz)</t>
  </si>
  <si>
    <t xml:space="preserve">Realizar lavagem e verificar vazamento LE do motor, se da junta do cárter (serviço interno Matriz/20541940)</t>
  </si>
  <si>
    <t xml:space="preserve">Substituir vedação do sensor de nível de temperatura de óleo do cárter devido vazamento (serviço interno Matriz)</t>
  </si>
  <si>
    <t xml:space="preserve">Corrigir fixação carenagem frontal LE, repor parafusos (serviço interno Matriz)</t>
  </si>
  <si>
    <t xml:space="preserve">Aplicar faixas refletivas</t>
  </si>
  <si>
    <t xml:space="preserve">Aplicar faixa refletiva</t>
  </si>
  <si>
    <t xml:space="preserve">Calibrar ou trocar pneus</t>
  </si>
  <si>
    <t xml:space="preserve">Corrigir iluminação da lanterna traseira LE e LD (serviço interno Matriz)</t>
  </si>
  <si>
    <t xml:space="preserve">Corrigir iluminação das lanternas laterais LD e LE (serviço interno Matriz)</t>
  </si>
  <si>
    <t xml:space="preserve">Corrigir iluminação traseira: luz e sirene de ré (serviço interno Matriz)</t>
  </si>
  <si>
    <t xml:space="preserve">Extrair parafuso quebrado da tampa do cubo de roda primeiro eixo LD (serviço interno Matriz)</t>
  </si>
  <si>
    <t xml:space="preserve">Corrigir empeno no pé de apoio da carreta LD (serviço interno Matriz)</t>
  </si>
  <si>
    <t xml:space="preserve">Corrigir trinca na estrutura acima do primeiro eixo LE (serviço interno Matriz)</t>
  </si>
  <si>
    <t xml:space="preserve">Repor estepe do implemento (serviço interno Matriz)</t>
  </si>
  <si>
    <t xml:space="preserve">Corrigir estrutura das grades de proteção do ciclista LD (serviço empresa especializada)</t>
  </si>
  <si>
    <t xml:space="preserve">Fixar grades de proteção do ciclista LE (serviço interno Matriz)</t>
  </si>
  <si>
    <t xml:space="preserve">Baixa de pendências backlog — F-815</t>
  </si>
  <si>
    <t xml:space="preserve">Completar nível de óleo do motor e corrigir vazamentos no mesmo (OS ABRIR OS · serviço interno Matriz)</t>
  </si>
  <si>
    <t xml:space="preserve">Gerada pela importação do backlog (Cópia de 03- ACOMPANHAMENTO DE BACKLOG (Salvo automaticamente).xlsx)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</si>
  <si>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</si>
  <si>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</si>
  <si>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</si>
  <si>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</si>
  <si>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</si>
  <si>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</si>
  <si>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</si>
  <si>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</si>
  <si>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Substituir chave geral avariada (OS 7158 · 21243844)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</si>
  <si>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</si>
  <si>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</si>
  <si>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</si>
  <si>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</si>
  <si>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</si>
  <si>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</si>
  <si>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</si>
  <si>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</si>
  <si>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</si>
  <si>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</si>
  <si>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</si>
  <si>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</si>
  <si>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</si>
  <si>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</si>
  <si>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</si>
  <si>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</si>
  <si>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</si>
  <si>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</si>
  <si>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</si>
  <si>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</si>
  <si>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</si>
  <si>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</si>
  <si>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</si>
  <si>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</si>
  <si>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Sistema: Motor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</si>
  <si>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</si>
  <si>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</si>
  <si>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</si>
  <si>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</si>
  <si>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Instalar puxador e maquna doo vidro</t>
  </si>
  <si>
    <t xml:space="preserve">Instalar puxador</t>
  </si>
  <si>
    <t xml:space="preserve">Máquina do vidro</t>
  </si>
  <si>
    <t xml:space="preserve">Cabo do puxador</t>
  </si>
  <si>
    <t xml:space="preserve">PE</t>
  </si>
  <si>
    <t xml:space="preserve">Trocar palhetas do climatizador</t>
  </si>
  <si>
    <t xml:space="preserve">Limpeza do climatizador</t>
  </si>
  <si>
    <t xml:space="preserve">Alinhar</t>
  </si>
  <si>
    <t xml:space="preserve">7186 7166 7187 7189 7166 7171 7198 7199 7200 7194 7185</t>
  </si>
  <si>
    <t xml:space="preserve">inspeção backlog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</si>
  <si>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</si>
  <si>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</si>
  <si>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</si>
  <si>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</si>
  <si>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</si>
  <si>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</si>
  <si>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</si>
  <si>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</si>
  <si>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</si>
  <si>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</si>
  <si>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</si>
  <si>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</si>
  <si>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</si>
  <si>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</si>
  <si>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</si>
  <si>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</si>
  <si>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</si>
  <si>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</si>
  <si>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</si>
  <si>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</si>
  <si>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</si>
  <si>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</si>
  <si>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</si>
  <si>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</si>
  <si>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</si>
  <si>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</si>
  <si>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</si>
  <si>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</si>
  <si>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</si>
  <si>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</si>
  <si>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</si>
  <si>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</si>
  <si>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</si>
  <si>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</si>
  <si>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</si>
  <si>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GRADE DA SEMANA  ·  atividades por executante e por dia</t>
  </si>
  <si>
    <t xml:space="preserve">SEMANA:</t>
  </si>
  <si>
    <t xml:space="preserve">até</t>
  </si>
  <si>
    <t xml:space="preserve">◀  clique na seta da célula amarela e escolha a segunda-feira</t>
  </si>
  <si>
    <t xml:space="preserve">NESTA SEMANA</t>
  </si>
  <si>
    <t xml:space="preserve">PROGRAMADAS</t>
  </si>
  <si>
    <t xml:space="preserve">CONCLUÍDAS</t>
  </si>
  <si>
    <t xml:space="preserve">ADERÊNCIA</t>
  </si>
  <si>
    <t xml:space="preserve">VENCIDAS</t>
  </si>
  <si>
    <t xml:space="preserve">NA CARTEIRA</t>
  </si>
  <si>
    <t xml:space="preserve">ONDE TEM PROGRAMAÇÃO</t>
  </si>
  <si>
    <t xml:space="preserve">atividades programadas em cada semana — a do meio é a que você escolheu</t>
  </si>
  <si>
    <t xml:space="preserve">semana de</t>
  </si>
  <si>
    <t xml:space="preserve">atividades</t>
  </si>
  <si>
    <t xml:space="preserve">Executante</t>
  </si>
  <si>
    <t xml:space="preserve">Programadas</t>
  </si>
  <si>
    <t xml:space="preserve">Concluídas</t>
  </si>
  <si>
    <t xml:space="preserve">Aderência</t>
  </si>
  <si>
    <t xml:space="preserve">Vencidas</t>
  </si>
  <si>
    <t xml:space="preserve">— sem executante definido —</t>
  </si>
  <si>
    <t xml:space="preserve">TOTAL DE ATIVIDADES</t>
  </si>
  <si>
    <t xml:space="preserve">Para programar o que está na carteira: na aba Programação, filtre a coluna Situação por “Na carteira” e escreva a Semana e o Dia.</t>
  </si>
  <si>
    <t xml:space="preserve">ADERÊNCIA DA PROGRAMAÇÃO  ·  medida por atividade</t>
  </si>
  <si>
    <t xml:space="preserve">De:</t>
  </si>
  <si>
    <t xml:space="preserve">←  vem da semana escolhida na aba Semana; escreva outras datas para analisar o mês, o trimestre…</t>
  </si>
  <si>
    <t xml:space="preserve">Até:</t>
  </si>
  <si>
    <t xml:space="preserve">As atividades entram pelo dia para o qual foram PROGRAMADAS.</t>
  </si>
  <si>
    <t xml:space="preserve">Indicador</t>
  </si>
  <si>
    <t xml:space="preserve">Valor</t>
  </si>
  <si>
    <t xml:space="preserve">Como é medido</t>
  </si>
  <si>
    <t xml:space="preserve">Atividades programadas</t>
  </si>
  <si>
    <t xml:space="preserve">com data programada no período, exceto as canceladas</t>
  </si>
  <si>
    <t xml:space="preserve">com data em Concluída em, ou marcadas como Concluída</t>
  </si>
  <si>
    <t xml:space="preserve">Aderência por atividade</t>
  </si>
  <si>
    <t xml:space="preserve">concluídas ÷ programadas — o indicador principal</t>
  </si>
  <si>
    <t xml:space="preserve">Concluídas no prazo</t>
  </si>
  <si>
    <t xml:space="preserve">concluídas até o próprio dia — só conta quem tem data de conclusão</t>
  </si>
  <si>
    <t xml:space="preserve">Pontualidade</t>
  </si>
  <si>
    <t xml:space="preserve">concluídas no prazo ÷ concluídas COM data</t>
  </si>
  <si>
    <t xml:space="preserve">Programadas no plano original</t>
  </si>
  <si>
    <t xml:space="preserve">pela 1ª data programada, e não pela data de hoje</t>
  </si>
  <si>
    <t xml:space="preserve">Concluídas até a 1ª data</t>
  </si>
  <si>
    <t xml:space="preserve">entregues sem precisar empurrar o dia</t>
  </si>
  <si>
    <t xml:space="preserve">Aderência ao plano original</t>
  </si>
  <si>
    <t xml:space="preserve">não melhora quando se reprograma — mostra se a semana combinada foi cumprida</t>
  </si>
  <si>
    <t xml:space="preserve">o dia passou e a atividade não foi concluída nem cancelada</t>
  </si>
  <si>
    <t xml:space="preserve">Canceladas</t>
  </si>
  <si>
    <t xml:space="preserve">fora do cálculo da aderência</t>
  </si>
  <si>
    <t xml:space="preserve">Atividades reprogramadas</t>
  </si>
  <si>
    <t xml:space="preserve">a 1ª data programada é diferente da data de hoje</t>
  </si>
  <si>
    <t xml:space="preserve">Atraso médio, quando atrasa</t>
  </si>
  <si>
    <t xml:space="preserve">dias entre o programado e o concluído, só das que passaram do dia</t>
  </si>
  <si>
    <t xml:space="preserve">Na carteira, sem dia</t>
  </si>
  <si>
    <t xml:space="preserve">não depende do período — é o que ainda espera encaixe</t>
  </si>
  <si>
    <t xml:space="preserve">Atividades em empresa externa</t>
  </si>
  <si>
    <t xml:space="preserve">algum executante escrito com “(externo)” no fim</t>
  </si>
  <si>
    <t xml:space="preserve">POR EXECUTANTE  ·  soma as três colunas de quem faz</t>
  </si>
  <si>
    <t xml:space="preserve">POR FROTA</t>
  </si>
  <si>
    <t xml:space="preserve">Nome</t>
  </si>
  <si>
    <t xml:space="preserve">Progr.</t>
  </si>
  <si>
    <t xml:space="preserve">POR TIPO DE SERVIÇO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</si>
</sst>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General"/>
    <numFmt numFmtId="167" formatCode="0"/>
    <numFmt numFmtId="168" formatCode="0%"/>
    <numFmt numFmtId="169" formatCode="dd/mm"/>
    <numFmt numFmtId="170" formatCode="[$-416]ddd\ dd/mm;@"/>
    <numFmt numFmtId="171" formatCode="0.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.5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16B3E"/>
      <name val="Arial"/>
      <family val="0"/>
      <charset val="1"/>
    </font>
    <font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2"/>
    </font>
    <font>
      <b val="true"/>
      <sz val="14"/>
      <color rgb="FF13164E"/>
      <name val="Arial"/>
      <family val="0"/>
      <charset val="1"/>
    </font>
    <font>
      <sz val="11"/>
      <color rgb="FF4A5464"/>
      <name val="Arial"/>
      <family val="0"/>
      <charset val="1"/>
    </font>
    <font>
      <b val="true"/>
      <sz val="14"/>
      <color rgb="FF4A5464"/>
      <name val="Arial"/>
      <family val="0"/>
      <charset val="1"/>
    </font>
    <font>
      <i val="true"/>
      <sz val="10"/>
      <color rgb="FF13164E"/>
      <name val="Arial"/>
      <family val="0"/>
      <charset val="1"/>
    </font>
    <font>
      <b val="true"/>
      <sz val="9"/>
      <color rgb="FF13164E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b val="true"/>
      <sz val="18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40"/>
      <color rgb="FF13164E"/>
      <name val="Arial"/>
      <family val="0"/>
      <charset val="1"/>
    </font>
    <font>
      <sz val="12"/>
      <color rgb="FF14181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2A3170"/>
        <bgColor rgb="FF333333"/>
      </patternFill>
    </fill>
    <fill>
      <patternFill patternType="solid">
        <fgColor rgb="FFEDF1F9"/>
        <bgColor rgb="FFEEF1F7"/>
      </patternFill>
    </fill>
    <fill>
      <patternFill patternType="solid">
        <fgColor rgb="FFFFF3CF"/>
        <bgColor rgb="FFFDF0D8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EDEFF4"/>
        <bgColor rgb="FFEEF1F7"/>
      </patternFill>
    </fill>
    <fill>
      <patternFill patternType="solid">
        <fgColor rgb="FFEEF1F7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D9DEE8"/>
        <bgColor rgb="FFDCE9FA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7EEFB"/>
      </patternFill>
    </fill>
    <fill>
      <patternFill patternType="solid">
        <fgColor rgb="FFFFFFFF"/>
        <bgColor rgb="FFF6FBF5"/>
      </patternFill>
    </fill>
    <fill>
      <patternFill patternType="solid">
        <fgColor rgb="FFE7EEFB"/>
        <bgColor rgb="FFEDF1F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2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32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3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9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3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9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8A5A05"/>
        <sz val="10"/>
      </font>
      <fill>
        <patternFill>
          <bgColor rgb="FFFDF0D8"/>
        </patternFill>
      </fill>
    </dxf>
    <dxf>
      <font>
        <name val="Arial"/>
        <charset val="1"/>
        <family val="0"/>
        <b val="1"/>
        <color rgb="FF1749C4"/>
        <sz val="10"/>
      </font>
      <fill>
        <patternFill>
          <bgColor rgb="FFE7EEFB"/>
        </patternFill>
      </fill>
    </dxf>
    <dxf>
      <font>
        <name val="Arial"/>
        <charset val="1"/>
        <family val="0"/>
        <b val="1"/>
        <color rgb="FF4A5464"/>
        <sz val="10"/>
      </font>
      <fill>
        <patternFill>
          <bgColor rgb="FFD9DEE8"/>
        </patternFill>
      </fill>
    </dxf>
    <dxf>
      <font>
        <name val="Arial"/>
        <charset val="1"/>
        <family val="0"/>
        <b val="1"/>
        <color rgb="FFB00020"/>
        <sz val="10"/>
      </font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116B3E"/>
        <sz val="40"/>
      </font>
    </dxf>
    <dxf>
      <font>
        <name val="Arial"/>
        <charset val="1"/>
        <family val="0"/>
        <b val="1"/>
        <color rgb="FFB00020"/>
        <sz val="40"/>
      </font>
    </dxf>
  </dxfs>
  <colors>
    <indexedColors>
      <rgbColor rgb="FF000000"/>
      <rgbColor rgb="FFFFFFFF"/>
      <rgbColor rgb="FFFF0000"/>
      <rgbColor rgb="FF00FF00"/>
      <rgbColor rgb="FF0000FF"/>
      <rgbColor rgb="FFF6FBF5"/>
      <rgbColor rgb="FFFF00FF"/>
      <rgbColor rgb="FF00FFFF"/>
      <rgbColor rgb="FFB00020"/>
      <rgbColor rgb="FF116B3E"/>
      <rgbColor rgb="FF13164E"/>
      <rgbColor rgb="FF8A5A05"/>
      <rgbColor rgb="FF800080"/>
      <rgbColor rgb="FF008080"/>
      <rgbColor rgb="FFB9C2D0"/>
      <rgbColor rgb="FF808080"/>
      <rgbColor rgb="FFE7EEFB"/>
      <rgbColor rgb="FF993366"/>
      <rgbColor rgb="FFFFF3CF"/>
      <rgbColor rgb="FFE3F5EA"/>
      <rgbColor rgb="FF660066"/>
      <rgbColor rgb="FFFF8080"/>
      <rgbColor rgb="FF1749C4"/>
      <rgbColor rgb="FFC8D0DE"/>
      <rgbColor rgb="FF000080"/>
      <rgbColor rgb="FFFF00FF"/>
      <rgbColor rgb="FFEEF1F7"/>
      <rgbColor rgb="FF00FFFF"/>
      <rgbColor rgb="FF800080"/>
      <rgbColor rgb="FF800000"/>
      <rgbColor rgb="FF008080"/>
      <rgbColor rgb="FF0000FF"/>
      <rgbColor rgb="FF00CCFF"/>
      <rgbColor rgb="FFDCE9FA"/>
      <rgbColor rgb="FFE9F3E6"/>
      <rgbColor rgb="FFFDF0D8"/>
      <rgbColor rgb="FFC3CBD8"/>
      <rgbColor rgb="FFEDEFF4"/>
      <rgbColor rgb="FFD9DEE8"/>
      <rgbColor rgb="FFFDE4E7"/>
      <rgbColor rgb="FF3366FF"/>
      <rgbColor rgb="FF33CCCC"/>
      <rgbColor rgb="FF99CC00"/>
      <rgbColor rgb="FFEDF1F9"/>
      <rgbColor rgb="FFFF9900"/>
      <rgbColor rgb="FFFF6600"/>
      <rgbColor rgb="FF4A5464"/>
      <rgbColor rgb="FFF4F9FF"/>
      <rgbColor rgb="FF003366"/>
      <rgbColor rgb="FF339966"/>
      <rgbColor rgb="FF14181F"/>
      <rgbColor rgb="FF333300"/>
      <rgbColor rgb="FF9933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3.7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</row>
    <row r="6" customFormat="false" ht="33.75" hidden="false" customHeight="true" outlineLevel="0" collapsed="false">
      <c r="A6" s="4" t="s">
        <v>5</v>
      </c>
      <c r="B6" s="5" t="s">
        <v>6</v>
      </c>
      <c r="C6" s="5"/>
      <c r="D6" s="5"/>
      <c r="E6" s="5"/>
      <c r="F6" s="5"/>
      <c r="G6" s="5"/>
      <c r="H6" s="5"/>
    </row>
    <row r="8" customFormat="false" ht="24" hidden="false" customHeight="true" outlineLevel="0" collapsed="false">
      <c r="A8" s="3" t="s">
        <v>7</v>
      </c>
      <c r="B8" s="3"/>
      <c r="C8" s="3"/>
      <c r="D8" s="3"/>
      <c r="E8" s="3"/>
      <c r="F8" s="3"/>
      <c r="G8" s="3"/>
      <c r="H8" s="3"/>
    </row>
    <row r="9" customFormat="false" ht="33.75" hidden="false" customHeight="true" outlineLevel="0" collapsed="false">
      <c r="A9" s="6" t="s">
        <v>8</v>
      </c>
      <c r="B9" s="5" t="s">
        <v>9</v>
      </c>
      <c r="C9" s="5"/>
      <c r="D9" s="5"/>
      <c r="E9" s="5"/>
      <c r="F9" s="5"/>
      <c r="G9" s="5"/>
      <c r="H9" s="5"/>
    </row>
    <row r="10" customFormat="false" ht="33.75" hidden="false" customHeight="true" outlineLevel="0" collapsed="false">
      <c r="A10" s="6" t="s">
        <v>10</v>
      </c>
      <c r="B10" s="5" t="s">
        <v>11</v>
      </c>
      <c r="C10" s="5"/>
      <c r="D10" s="5"/>
      <c r="E10" s="5"/>
      <c r="F10" s="5"/>
      <c r="G10" s="5"/>
      <c r="H10" s="5"/>
    </row>
    <row r="11" customFormat="false" ht="33.75" hidden="false" customHeight="true" outlineLevel="0" collapsed="false">
      <c r="A11" s="6" t="s">
        <v>12</v>
      </c>
      <c r="B11" s="5" t="s">
        <v>13</v>
      </c>
      <c r="C11" s="5"/>
      <c r="D11" s="5"/>
      <c r="E11" s="5"/>
      <c r="F11" s="5"/>
      <c r="G11" s="5"/>
      <c r="H11" s="5"/>
    </row>
    <row r="12" customFormat="false" ht="33.75" hidden="false" customHeight="true" outlineLevel="0" collapsed="false">
      <c r="A12" s="6" t="s">
        <v>14</v>
      </c>
      <c r="B12" s="5" t="s">
        <v>15</v>
      </c>
      <c r="C12" s="5"/>
      <c r="D12" s="5"/>
      <c r="E12" s="5"/>
      <c r="F12" s="5"/>
      <c r="G12" s="5"/>
      <c r="H12" s="5"/>
    </row>
    <row r="14" customFormat="false" ht="24" hidden="false" customHeight="true" outlineLevel="0" collapsed="false">
      <c r="A14" s="3" t="s">
        <v>16</v>
      </c>
      <c r="B14" s="3"/>
      <c r="C14" s="3"/>
      <c r="D14" s="3"/>
      <c r="E14" s="3"/>
      <c r="F14" s="3"/>
      <c r="G14" s="3"/>
      <c r="H14" s="3"/>
    </row>
    <row r="15" customFormat="false" ht="31.5" hidden="false" customHeight="true" outlineLevel="0" collapsed="false">
      <c r="A15" s="7" t="s">
        <v>17</v>
      </c>
      <c r="B15" s="7"/>
      <c r="C15" s="7"/>
      <c r="D15" s="7"/>
      <c r="E15" s="7"/>
      <c r="F15" s="7"/>
      <c r="G15" s="7"/>
      <c r="H15" s="7"/>
    </row>
    <row r="16" customFormat="false" ht="27.75" hidden="false" customHeight="true" outlineLevel="0" collapsed="false">
      <c r="A16" s="7" t="s">
        <v>18</v>
      </c>
      <c r="B16" s="7"/>
      <c r="C16" s="7"/>
      <c r="D16" s="7"/>
      <c r="E16" s="7"/>
      <c r="F16" s="7"/>
      <c r="G16" s="7"/>
      <c r="H16" s="7"/>
    </row>
    <row r="18" customFormat="false" ht="24" hidden="false" customHeight="true" outlineLevel="0" collapsed="false">
      <c r="A18" s="3" t="s">
        <v>19</v>
      </c>
      <c r="B18" s="3"/>
      <c r="C18" s="3"/>
      <c r="D18" s="3"/>
      <c r="E18" s="3"/>
      <c r="F18" s="3"/>
      <c r="G18" s="3"/>
      <c r="H18" s="3"/>
    </row>
    <row r="19" customFormat="false" ht="33.75" hidden="false" customHeight="true" outlineLevel="0" collapsed="false">
      <c r="A19" s="4" t="s">
        <v>8</v>
      </c>
      <c r="B19" s="5" t="s">
        <v>20</v>
      </c>
      <c r="C19" s="5"/>
      <c r="D19" s="5"/>
      <c r="E19" s="5"/>
      <c r="F19" s="5"/>
      <c r="G19" s="5"/>
      <c r="H19" s="5"/>
    </row>
    <row r="20" customFormat="false" ht="33.75" hidden="false" customHeight="true" outlineLevel="0" collapsed="false">
      <c r="A20" s="4" t="s">
        <v>10</v>
      </c>
      <c r="B20" s="5" t="s">
        <v>21</v>
      </c>
      <c r="C20" s="5"/>
      <c r="D20" s="5"/>
      <c r="E20" s="5"/>
      <c r="F20" s="5"/>
      <c r="G20" s="5"/>
      <c r="H20" s="5"/>
    </row>
    <row r="21" customFormat="false" ht="33.75" hidden="false" customHeight="true" outlineLevel="0" collapsed="false">
      <c r="A21" s="4" t="s">
        <v>12</v>
      </c>
      <c r="B21" s="5" t="s">
        <v>22</v>
      </c>
      <c r="C21" s="5"/>
      <c r="D21" s="5"/>
      <c r="E21" s="5"/>
      <c r="F21" s="5"/>
      <c r="G21" s="5"/>
      <c r="H21" s="5"/>
    </row>
    <row r="23" customFormat="false" ht="24" hidden="false" customHeight="true" outlineLevel="0" collapsed="false">
      <c r="A23" s="3" t="s">
        <v>23</v>
      </c>
      <c r="B23" s="3"/>
      <c r="C23" s="3"/>
      <c r="D23" s="3"/>
      <c r="E23" s="3"/>
      <c r="F23" s="3"/>
      <c r="G23" s="3"/>
      <c r="H23" s="3"/>
    </row>
    <row r="24" customFormat="false" ht="30" hidden="false" customHeight="true" outlineLevel="0" collapsed="false">
      <c r="A24" s="8" t="s">
        <v>24</v>
      </c>
      <c r="B24" s="8"/>
      <c r="C24" s="9" t="s">
        <v>25</v>
      </c>
      <c r="D24" s="9"/>
      <c r="E24" s="9"/>
      <c r="F24" s="9"/>
      <c r="G24" s="9"/>
      <c r="H24" s="9"/>
    </row>
    <row r="25" customFormat="false" ht="30" hidden="false" customHeight="true" outlineLevel="0" collapsed="false">
      <c r="A25" s="8" t="s">
        <v>26</v>
      </c>
      <c r="B25" s="8"/>
      <c r="C25" s="9" t="s">
        <v>27</v>
      </c>
      <c r="D25" s="9"/>
      <c r="E25" s="9"/>
      <c r="F25" s="9"/>
      <c r="G25" s="9"/>
      <c r="H25" s="9"/>
    </row>
    <row r="26" customFormat="false" ht="30" hidden="false" customHeight="true" outlineLevel="0" collapsed="false">
      <c r="A26" s="8" t="s">
        <v>28</v>
      </c>
      <c r="B26" s="8"/>
      <c r="C26" s="9" t="s">
        <v>29</v>
      </c>
      <c r="D26" s="9"/>
      <c r="E26" s="9"/>
      <c r="F26" s="9"/>
      <c r="G26" s="9"/>
      <c r="H26" s="9"/>
    </row>
    <row r="27" customFormat="false" ht="30" hidden="false" customHeight="true" outlineLevel="0" collapsed="false">
      <c r="A27" s="8" t="s">
        <v>30</v>
      </c>
      <c r="B27" s="8"/>
      <c r="C27" s="9" t="s">
        <v>31</v>
      </c>
      <c r="D27" s="9"/>
      <c r="E27" s="9"/>
      <c r="F27" s="9"/>
      <c r="G27" s="9"/>
      <c r="H27" s="9"/>
    </row>
    <row r="29" customFormat="false" ht="24" hidden="false" customHeight="true" outlineLevel="0" collapsed="false">
      <c r="A29" s="3" t="s">
        <v>32</v>
      </c>
      <c r="B29" s="3"/>
      <c r="C29" s="3"/>
      <c r="D29" s="3"/>
      <c r="E29" s="3"/>
      <c r="F29" s="3"/>
      <c r="G29" s="3"/>
      <c r="H29" s="3"/>
    </row>
    <row r="30" customFormat="false" ht="25.5" hidden="false" customHeight="true" outlineLevel="0" collapsed="false">
      <c r="A30" s="10" t="s">
        <v>33</v>
      </c>
      <c r="B30" s="10"/>
      <c r="C30" s="10"/>
      <c r="D30" s="10"/>
      <c r="E30" s="10"/>
      <c r="F30" s="10"/>
      <c r="G30" s="10"/>
      <c r="H30" s="10"/>
    </row>
    <row r="31" customFormat="false" ht="30" hidden="false" customHeight="true" outlineLevel="0" collapsed="false">
      <c r="A31" s="7" t="s">
        <v>34</v>
      </c>
      <c r="B31" s="7"/>
      <c r="C31" s="7"/>
      <c r="D31" s="7"/>
      <c r="E31" s="7"/>
      <c r="F31" s="7"/>
      <c r="G31" s="7"/>
      <c r="H31" s="7"/>
    </row>
    <row r="32" customFormat="false" ht="15.75" hidden="false" customHeight="true" outlineLevel="0" collapsed="false">
      <c r="A32" s="7" t="s">
        <v>35</v>
      </c>
      <c r="B32" s="7"/>
      <c r="C32" s="7"/>
      <c r="D32" s="7"/>
      <c r="E32" s="7"/>
      <c r="F32" s="7"/>
      <c r="G32" s="7"/>
      <c r="H32" s="7"/>
    </row>
    <row r="33" customFormat="false" ht="27.75" hidden="false" customHeight="true" outlineLevel="0" collapsed="false">
      <c r="A33" s="7" t="s">
        <v>36</v>
      </c>
      <c r="B33" s="7"/>
      <c r="C33" s="7"/>
      <c r="D33" s="7"/>
      <c r="E33" s="7"/>
      <c r="F33" s="7"/>
      <c r="G33" s="7"/>
      <c r="H33" s="7"/>
    </row>
    <row r="35" customFormat="false" ht="24" hidden="false" customHeight="true" outlineLevel="0" collapsed="false">
      <c r="A35" s="3" t="s">
        <v>37</v>
      </c>
      <c r="B35" s="3"/>
      <c r="C35" s="3"/>
      <c r="D35" s="3"/>
      <c r="E35" s="3"/>
      <c r="F35" s="3"/>
      <c r="G35" s="3"/>
      <c r="H35" s="3"/>
    </row>
    <row r="36" customFormat="false" ht="18" hidden="false" customHeight="true" outlineLevel="0" collapsed="false">
      <c r="A36" s="11" t="s">
        <v>38</v>
      </c>
      <c r="B36" s="12" t="s">
        <v>39</v>
      </c>
      <c r="C36" s="12"/>
      <c r="D36" s="12"/>
      <c r="E36" s="12"/>
      <c r="F36" s="12"/>
      <c r="G36" s="12"/>
      <c r="H36" s="12"/>
    </row>
    <row r="37" customFormat="false" ht="18" hidden="false" customHeight="true" outlineLevel="0" collapsed="false">
      <c r="A37" s="13" t="s">
        <v>40</v>
      </c>
      <c r="B37" s="12" t="s">
        <v>41</v>
      </c>
      <c r="C37" s="12"/>
      <c r="D37" s="12"/>
      <c r="E37" s="12"/>
      <c r="F37" s="12"/>
      <c r="G37" s="12"/>
      <c r="H37" s="12"/>
    </row>
    <row r="38" customFormat="false" ht="18" hidden="false" customHeight="true" outlineLevel="0" collapsed="false">
      <c r="A38" s="14" t="s">
        <v>42</v>
      </c>
      <c r="B38" s="12" t="s">
        <v>43</v>
      </c>
      <c r="C38" s="12"/>
      <c r="D38" s="12"/>
      <c r="E38" s="12"/>
      <c r="F38" s="12"/>
      <c r="G38" s="12"/>
      <c r="H38" s="12"/>
    </row>
    <row r="39" customFormat="false" ht="18" hidden="false" customHeight="true" outlineLevel="0" collapsed="false">
      <c r="A39" s="15" t="s">
        <v>44</v>
      </c>
      <c r="B39" s="12" t="s">
        <v>45</v>
      </c>
      <c r="C39" s="12"/>
      <c r="D39" s="12"/>
      <c r="E39" s="12"/>
      <c r="F39" s="12"/>
      <c r="G39" s="12"/>
      <c r="H39" s="12"/>
    </row>
    <row r="40" customFormat="false" ht="18" hidden="false" customHeight="true" outlineLevel="0" collapsed="false">
      <c r="A40" s="16" t="s">
        <v>46</v>
      </c>
      <c r="B40" s="12" t="s">
        <v>47</v>
      </c>
      <c r="C40" s="12"/>
      <c r="D40" s="12"/>
      <c r="E40" s="12"/>
      <c r="F40" s="12"/>
      <c r="G40" s="12"/>
      <c r="H40" s="12"/>
    </row>
    <row r="42" customFormat="false" ht="42" hidden="false" customHeight="true" outlineLevel="0" collapsed="false">
      <c r="A42" s="17" t="s">
        <v>48</v>
      </c>
      <c r="B42" s="17"/>
      <c r="C42" s="17"/>
      <c r="D42" s="17"/>
      <c r="E42" s="17"/>
      <c r="F42" s="17"/>
      <c r="G42" s="17"/>
      <c r="H42" s="17"/>
    </row>
    <row r="44" customFormat="false" ht="31.5" hidden="false" customHeight="true" outlineLevel="0" collapsed="false">
      <c r="A44" s="18" t="s">
        <v>49</v>
      </c>
      <c r="B44" s="18"/>
      <c r="C44" s="18"/>
      <c r="D44" s="18"/>
      <c r="E44" s="18"/>
      <c r="F44" s="18"/>
      <c r="G44" s="18"/>
      <c r="H44" s="18"/>
    </row>
  </sheetData>
  <mergeCells count="39">
    <mergeCell ref="A1:H1"/>
    <mergeCell ref="A2:H2"/>
    <mergeCell ref="A4:H4"/>
    <mergeCell ref="B5:H5"/>
    <mergeCell ref="B6:H6"/>
    <mergeCell ref="A8:H8"/>
    <mergeCell ref="B9:H9"/>
    <mergeCell ref="B10:H10"/>
    <mergeCell ref="B11:H11"/>
    <mergeCell ref="B12:H12"/>
    <mergeCell ref="A14:H14"/>
    <mergeCell ref="A15:H15"/>
    <mergeCell ref="A16:H16"/>
    <mergeCell ref="A18:H18"/>
    <mergeCell ref="B19:H19"/>
    <mergeCell ref="B20:H20"/>
    <mergeCell ref="B21:H21"/>
    <mergeCell ref="A23:H23"/>
    <mergeCell ref="A24:B24"/>
    <mergeCell ref="C24:H24"/>
    <mergeCell ref="A25:B25"/>
    <mergeCell ref="C25:H25"/>
    <mergeCell ref="A26:B26"/>
    <mergeCell ref="C26:H26"/>
    <mergeCell ref="A27:B27"/>
    <mergeCell ref="C27:H27"/>
    <mergeCell ref="A29:H29"/>
    <mergeCell ref="A30:H30"/>
    <mergeCell ref="A31:H31"/>
    <mergeCell ref="A32:H32"/>
    <mergeCell ref="A33:H33"/>
    <mergeCell ref="A35:H35"/>
    <mergeCell ref="B36:H36"/>
    <mergeCell ref="B37:H37"/>
    <mergeCell ref="B38:H38"/>
    <mergeCell ref="B39:H39"/>
    <mergeCell ref="B40:H40"/>
    <mergeCell ref="A42:H42"/>
    <mergeCell ref="A44:H4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1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8"/>
    <col collapsed="false" customWidth="true" hidden="false" outlineLevel="0" max="7" min="7" style="0" width="13"/>
  </cols>
  <sheetData>
    <row r="1" customFormat="false" ht="24" hidden="false" customHeight="true" outlineLevel="0" collapsed="false">
      <c r="A1" s="19" t="s">
        <v>50</v>
      </c>
      <c r="B1" s="19"/>
      <c r="C1" s="19"/>
      <c r="D1" s="19"/>
      <c r="E1" s="19"/>
      <c r="F1" s="19"/>
      <c r="G1" s="19"/>
    </row>
    <row r="2" customFormat="false" ht="15" hidden="false" customHeight="false" outlineLevel="0" collapsed="false">
      <c r="A2" s="20" t="s">
        <v>51</v>
      </c>
      <c r="B2" s="20"/>
      <c r="C2" s="20"/>
      <c r="D2" s="20"/>
      <c r="E2" s="20"/>
      <c r="F2" s="20"/>
      <c r="G2" s="20"/>
    </row>
    <row r="4" customFormat="false" ht="15" hidden="false" customHeight="false" outlineLevel="0" collapsed="false">
      <c r="A4" s="21" t="s">
        <v>52</v>
      </c>
      <c r="B4" s="21" t="s">
        <v>53</v>
      </c>
      <c r="C4" s="21" t="s">
        <v>54</v>
      </c>
      <c r="D4" s="21" t="s">
        <v>55</v>
      </c>
      <c r="E4" s="21" t="s">
        <v>56</v>
      </c>
      <c r="F4" s="21" t="s">
        <v>57</v>
      </c>
      <c r="G4" s="21" t="s">
        <v>58</v>
      </c>
      <c r="I4" s="22" t="s">
        <v>59</v>
      </c>
    </row>
    <row r="5" customFormat="false" ht="15" hidden="false" customHeight="false" outlineLevel="0" collapsed="false">
      <c r="A5" s="23" t="s">
        <v>60</v>
      </c>
      <c r="B5" s="23" t="s">
        <v>61</v>
      </c>
      <c r="C5" s="23" t="s">
        <v>62</v>
      </c>
      <c r="D5" s="23" t="s">
        <v>63</v>
      </c>
      <c r="E5" s="23" t="s">
        <v>64</v>
      </c>
      <c r="F5" s="23" t="s">
        <v>65</v>
      </c>
      <c r="G5" s="24" t="n">
        <v>46076</v>
      </c>
    </row>
    <row r="6" customFormat="false" ht="15" hidden="false" customHeight="false" outlineLevel="0" collapsed="false">
      <c r="A6" s="23" t="s">
        <v>66</v>
      </c>
      <c r="B6" s="23" t="s">
        <v>67</v>
      </c>
      <c r="C6" s="23" t="s">
        <v>68</v>
      </c>
      <c r="D6" s="23" t="s">
        <v>69</v>
      </c>
      <c r="E6" s="23" t="s">
        <v>70</v>
      </c>
      <c r="F6" s="23" t="s">
        <v>71</v>
      </c>
      <c r="G6" s="24" t="n">
        <v>46083</v>
      </c>
    </row>
    <row r="7" customFormat="false" ht="15" hidden="false" customHeight="false" outlineLevel="0" collapsed="false">
      <c r="A7" s="23" t="s">
        <v>72</v>
      </c>
      <c r="B7" s="23" t="s">
        <v>73</v>
      </c>
      <c r="C7" s="23" t="s">
        <v>74</v>
      </c>
      <c r="D7" s="23" t="s">
        <v>75</v>
      </c>
      <c r="E7" s="23" t="s">
        <v>76</v>
      </c>
      <c r="F7" s="23" t="s">
        <v>77</v>
      </c>
      <c r="G7" s="24" t="n">
        <v>46090</v>
      </c>
    </row>
    <row r="8" customFormat="false" ht="15" hidden="false" customHeight="false" outlineLevel="0" collapsed="false">
      <c r="A8" s="23" t="s">
        <v>78</v>
      </c>
      <c r="B8" s="23" t="s">
        <v>79</v>
      </c>
      <c r="C8" s="23" t="s">
        <v>80</v>
      </c>
      <c r="D8" s="23"/>
      <c r="E8" s="23" t="s">
        <v>81</v>
      </c>
      <c r="F8" s="23" t="s">
        <v>82</v>
      </c>
      <c r="G8" s="24" t="n">
        <v>46097</v>
      </c>
    </row>
    <row r="9" customFormat="false" ht="15" hidden="false" customHeight="false" outlineLevel="0" collapsed="false">
      <c r="A9" s="23" t="s">
        <v>83</v>
      </c>
      <c r="B9" s="23" t="s">
        <v>84</v>
      </c>
      <c r="C9" s="23" t="s">
        <v>85</v>
      </c>
      <c r="D9" s="23"/>
      <c r="E9" s="23" t="s">
        <v>86</v>
      </c>
      <c r="F9" s="23" t="s">
        <v>87</v>
      </c>
      <c r="G9" s="24" t="n">
        <v>46104</v>
      </c>
    </row>
    <row r="10" customFormat="false" ht="15" hidden="false" customHeight="false" outlineLevel="0" collapsed="false">
      <c r="A10" s="23" t="s">
        <v>88</v>
      </c>
      <c r="B10" s="23" t="s">
        <v>89</v>
      </c>
      <c r="C10" s="23"/>
      <c r="D10" s="23"/>
      <c r="E10" s="23" t="s">
        <v>90</v>
      </c>
      <c r="F10" s="23" t="s">
        <v>91</v>
      </c>
      <c r="G10" s="24" t="n">
        <v>46111</v>
      </c>
    </row>
    <row r="11" customFormat="false" ht="15" hidden="false" customHeight="false" outlineLevel="0" collapsed="false">
      <c r="A11" s="23" t="s">
        <v>92</v>
      </c>
      <c r="B11" s="23" t="s">
        <v>93</v>
      </c>
      <c r="C11" s="23"/>
      <c r="D11" s="23"/>
      <c r="E11" s="23" t="s">
        <v>94</v>
      </c>
      <c r="F11" s="23" t="s">
        <v>95</v>
      </c>
      <c r="G11" s="24" t="n">
        <v>46118</v>
      </c>
    </row>
    <row r="12" customFormat="false" ht="15" hidden="false" customHeight="false" outlineLevel="0" collapsed="false">
      <c r="A12" s="23" t="s">
        <v>96</v>
      </c>
      <c r="B12" s="23" t="s">
        <v>97</v>
      </c>
      <c r="C12" s="23"/>
      <c r="D12" s="23"/>
      <c r="E12" s="23" t="s">
        <v>98</v>
      </c>
      <c r="F12" s="23"/>
      <c r="G12" s="24" t="n">
        <v>46125</v>
      </c>
    </row>
    <row r="13" customFormat="false" ht="15" hidden="false" customHeight="false" outlineLevel="0" collapsed="false">
      <c r="A13" s="23" t="s">
        <v>99</v>
      </c>
      <c r="B13" s="23" t="s">
        <v>100</v>
      </c>
      <c r="C13" s="23"/>
      <c r="D13" s="23"/>
      <c r="E13" s="23"/>
      <c r="F13" s="23"/>
      <c r="G13" s="24" t="n">
        <v>46132</v>
      </c>
    </row>
    <row r="14" customFormat="false" ht="15" hidden="false" customHeight="false" outlineLevel="0" collapsed="false">
      <c r="A14" s="23" t="s">
        <v>101</v>
      </c>
      <c r="B14" s="23" t="s">
        <v>102</v>
      </c>
      <c r="C14" s="23"/>
      <c r="D14" s="23"/>
      <c r="E14" s="23"/>
      <c r="F14" s="23"/>
      <c r="G14" s="24" t="n">
        <v>46139</v>
      </c>
    </row>
    <row r="15" customFormat="false" ht="15" hidden="false" customHeight="false" outlineLevel="0" collapsed="false">
      <c r="A15" s="23" t="s">
        <v>103</v>
      </c>
      <c r="B15" s="23" t="s">
        <v>104</v>
      </c>
      <c r="C15" s="23"/>
      <c r="D15" s="23"/>
      <c r="E15" s="23"/>
      <c r="F15" s="23"/>
      <c r="G15" s="24" t="n">
        <v>46146</v>
      </c>
    </row>
    <row r="16" customFormat="false" ht="15" hidden="false" customHeight="false" outlineLevel="0" collapsed="false">
      <c r="A16" s="23" t="s">
        <v>105</v>
      </c>
      <c r="B16" s="23" t="s">
        <v>106</v>
      </c>
      <c r="C16" s="23"/>
      <c r="D16" s="23"/>
      <c r="E16" s="23"/>
      <c r="F16" s="23"/>
      <c r="G16" s="24" t="n">
        <v>46153</v>
      </c>
    </row>
    <row r="17" customFormat="false" ht="15" hidden="false" customHeight="false" outlineLevel="0" collapsed="false">
      <c r="A17" s="23"/>
      <c r="B17" s="23" t="s">
        <v>107</v>
      </c>
      <c r="C17" s="23"/>
      <c r="D17" s="23"/>
      <c r="E17" s="23"/>
      <c r="F17" s="23"/>
      <c r="G17" s="24" t="n">
        <v>46160</v>
      </c>
    </row>
    <row r="18" customFormat="false" ht="15" hidden="false" customHeight="false" outlineLevel="0" collapsed="false">
      <c r="A18" s="23"/>
      <c r="B18" s="23" t="s">
        <v>108</v>
      </c>
      <c r="C18" s="23"/>
      <c r="D18" s="23"/>
      <c r="E18" s="23"/>
      <c r="F18" s="23"/>
      <c r="G18" s="24" t="n">
        <v>46167</v>
      </c>
    </row>
    <row r="19" customFormat="false" ht="15" hidden="false" customHeight="false" outlineLevel="0" collapsed="false">
      <c r="A19" s="23"/>
      <c r="B19" s="23" t="s">
        <v>109</v>
      </c>
      <c r="C19" s="23"/>
      <c r="D19" s="23"/>
      <c r="E19" s="23"/>
      <c r="F19" s="23"/>
      <c r="G19" s="24" t="n">
        <v>46174</v>
      </c>
    </row>
    <row r="20" customFormat="false" ht="15" hidden="false" customHeight="false" outlineLevel="0" collapsed="false">
      <c r="A20" s="23"/>
      <c r="B20" s="23" t="s">
        <v>110</v>
      </c>
      <c r="C20" s="23"/>
      <c r="D20" s="23"/>
      <c r="E20" s="23"/>
      <c r="F20" s="23"/>
      <c r="G20" s="24" t="n">
        <v>46181</v>
      </c>
    </row>
    <row r="21" customFormat="false" ht="15" hidden="false" customHeight="false" outlineLevel="0" collapsed="false">
      <c r="A21" s="23"/>
      <c r="B21" s="23" t="s">
        <v>111</v>
      </c>
      <c r="C21" s="23"/>
      <c r="D21" s="23"/>
      <c r="E21" s="23"/>
      <c r="F21" s="23"/>
      <c r="G21" s="24" t="n">
        <v>46188</v>
      </c>
    </row>
    <row r="22" customFormat="false" ht="15" hidden="false" customHeight="false" outlineLevel="0" collapsed="false">
      <c r="A22" s="23"/>
      <c r="B22" s="23" t="s">
        <v>112</v>
      </c>
      <c r="C22" s="23"/>
      <c r="D22" s="23"/>
      <c r="E22" s="23"/>
      <c r="F22" s="23"/>
      <c r="G22" s="24" t="n">
        <v>46195</v>
      </c>
    </row>
    <row r="23" customFormat="false" ht="15" hidden="false" customHeight="false" outlineLevel="0" collapsed="false">
      <c r="A23" s="23"/>
      <c r="B23" s="23" t="s">
        <v>113</v>
      </c>
      <c r="C23" s="23"/>
      <c r="D23" s="23"/>
      <c r="E23" s="23"/>
      <c r="F23" s="23"/>
      <c r="G23" s="24" t="n">
        <v>46202</v>
      </c>
    </row>
    <row r="24" customFormat="false" ht="15" hidden="false" customHeight="false" outlineLevel="0" collapsed="false">
      <c r="A24" s="23"/>
      <c r="B24" s="23" t="s">
        <v>114</v>
      </c>
      <c r="C24" s="23"/>
      <c r="D24" s="23"/>
      <c r="E24" s="23"/>
      <c r="F24" s="23"/>
      <c r="G24" s="24" t="n">
        <v>46209</v>
      </c>
    </row>
    <row r="25" customFormat="false" ht="15" hidden="false" customHeight="false" outlineLevel="0" collapsed="false">
      <c r="A25" s="23"/>
      <c r="B25" s="23" t="s">
        <v>115</v>
      </c>
      <c r="C25" s="23"/>
      <c r="D25" s="23"/>
      <c r="E25" s="23"/>
      <c r="F25" s="23"/>
      <c r="G25" s="24" t="n">
        <v>46216</v>
      </c>
    </row>
    <row r="26" customFormat="false" ht="15" hidden="false" customHeight="false" outlineLevel="0" collapsed="false">
      <c r="A26" s="23"/>
      <c r="B26" s="23" t="s">
        <v>116</v>
      </c>
      <c r="C26" s="23"/>
      <c r="D26" s="23"/>
      <c r="E26" s="23"/>
      <c r="F26" s="23"/>
      <c r="G26" s="24" t="n">
        <v>46223</v>
      </c>
    </row>
    <row r="27" customFormat="false" ht="15" hidden="false" customHeight="false" outlineLevel="0" collapsed="false">
      <c r="A27" s="23"/>
      <c r="B27" s="23" t="s">
        <v>117</v>
      </c>
      <c r="C27" s="23"/>
      <c r="D27" s="23"/>
      <c r="E27" s="23"/>
      <c r="F27" s="23"/>
      <c r="G27" s="24" t="n">
        <v>46230</v>
      </c>
    </row>
    <row r="28" customFormat="false" ht="15" hidden="false" customHeight="false" outlineLevel="0" collapsed="false">
      <c r="A28" s="23"/>
      <c r="B28" s="23"/>
      <c r="C28" s="23"/>
      <c r="D28" s="23"/>
      <c r="E28" s="23"/>
      <c r="F28" s="23"/>
      <c r="G28" s="24" t="n">
        <v>46237</v>
      </c>
    </row>
    <row r="29" customFormat="false" ht="15" hidden="false" customHeight="false" outlineLevel="0" collapsed="false">
      <c r="A29" s="23"/>
      <c r="B29" s="23"/>
      <c r="C29" s="23"/>
      <c r="D29" s="23"/>
      <c r="E29" s="23"/>
      <c r="F29" s="23"/>
      <c r="G29" s="24" t="n">
        <v>46244</v>
      </c>
    </row>
    <row r="30" customFormat="false" ht="15" hidden="false" customHeight="false" outlineLevel="0" collapsed="false">
      <c r="A30" s="23"/>
      <c r="B30" s="23"/>
      <c r="C30" s="23"/>
      <c r="D30" s="23"/>
      <c r="E30" s="23"/>
      <c r="F30" s="23"/>
      <c r="G30" s="24" t="n">
        <v>46251</v>
      </c>
    </row>
    <row r="31" customFormat="false" ht="15" hidden="false" customHeight="false" outlineLevel="0" collapsed="false">
      <c r="A31" s="23"/>
      <c r="B31" s="23"/>
      <c r="C31" s="23"/>
      <c r="D31" s="23"/>
      <c r="E31" s="23"/>
      <c r="F31" s="23"/>
      <c r="G31" s="24" t="n">
        <v>46258</v>
      </c>
    </row>
    <row r="32" customFormat="false" ht="15" hidden="false" customHeight="false" outlineLevel="0" collapsed="false">
      <c r="A32" s="23"/>
      <c r="B32" s="23"/>
      <c r="C32" s="23"/>
      <c r="D32" s="23"/>
      <c r="E32" s="23"/>
      <c r="F32" s="23"/>
      <c r="G32" s="24" t="n">
        <v>46265</v>
      </c>
    </row>
    <row r="33" customFormat="false" ht="15" hidden="false" customHeight="false" outlineLevel="0" collapsed="false">
      <c r="A33" s="23"/>
      <c r="B33" s="23"/>
      <c r="C33" s="23"/>
      <c r="D33" s="23"/>
      <c r="E33" s="23"/>
      <c r="F33" s="23"/>
      <c r="G33" s="24" t="n">
        <v>46272</v>
      </c>
    </row>
    <row r="34" customFormat="false" ht="15" hidden="false" customHeight="false" outlineLevel="0" collapsed="false">
      <c r="A34" s="23"/>
      <c r="B34" s="23"/>
      <c r="C34" s="23"/>
      <c r="D34" s="23"/>
      <c r="E34" s="23"/>
      <c r="F34" s="23"/>
      <c r="G34" s="24" t="n">
        <v>46279</v>
      </c>
    </row>
    <row r="35" customFormat="false" ht="15" hidden="false" customHeight="false" outlineLevel="0" collapsed="false">
      <c r="A35" s="23"/>
      <c r="B35" s="23"/>
      <c r="C35" s="23"/>
      <c r="D35" s="23"/>
      <c r="E35" s="23"/>
      <c r="F35" s="23"/>
      <c r="G35" s="24" t="n">
        <v>46286</v>
      </c>
    </row>
    <row r="36" customFormat="false" ht="15" hidden="false" customHeight="false" outlineLevel="0" collapsed="false">
      <c r="A36" s="23"/>
      <c r="B36" s="23"/>
      <c r="C36" s="23"/>
      <c r="D36" s="23"/>
      <c r="E36" s="23"/>
      <c r="F36" s="23"/>
      <c r="G36" s="24" t="n">
        <v>46293</v>
      </c>
    </row>
    <row r="37" customFormat="false" ht="15" hidden="false" customHeight="false" outlineLevel="0" collapsed="false">
      <c r="A37" s="23"/>
      <c r="B37" s="23"/>
      <c r="C37" s="23"/>
      <c r="D37" s="23"/>
      <c r="E37" s="23"/>
      <c r="F37" s="23"/>
      <c r="G37" s="24" t="n">
        <v>46300</v>
      </c>
    </row>
    <row r="38" customFormat="false" ht="15" hidden="false" customHeight="false" outlineLevel="0" collapsed="false">
      <c r="A38" s="23"/>
      <c r="B38" s="23"/>
      <c r="C38" s="23"/>
      <c r="D38" s="23"/>
      <c r="E38" s="23"/>
      <c r="F38" s="23"/>
      <c r="G38" s="24" t="n">
        <v>46307</v>
      </c>
    </row>
    <row r="39" customFormat="false" ht="15" hidden="false" customHeight="false" outlineLevel="0" collapsed="false">
      <c r="A39" s="23"/>
      <c r="B39" s="23"/>
      <c r="C39" s="23"/>
      <c r="D39" s="23"/>
      <c r="E39" s="23"/>
      <c r="F39" s="23"/>
      <c r="G39" s="24" t="n">
        <v>46314</v>
      </c>
    </row>
    <row r="40" customFormat="false" ht="15" hidden="false" customHeight="false" outlineLevel="0" collapsed="false">
      <c r="A40" s="23"/>
      <c r="B40" s="23"/>
      <c r="C40" s="23"/>
      <c r="D40" s="23"/>
      <c r="E40" s="23"/>
      <c r="F40" s="23"/>
      <c r="G40" s="24" t="n">
        <v>46321</v>
      </c>
    </row>
    <row r="41" customFormat="false" ht="15" hidden="false" customHeight="false" outlineLevel="0" collapsed="false">
      <c r="A41" s="23"/>
      <c r="B41" s="23"/>
      <c r="C41" s="23"/>
      <c r="D41" s="23"/>
      <c r="E41" s="23"/>
      <c r="F41" s="23"/>
      <c r="G41" s="24" t="n">
        <v>46328</v>
      </c>
    </row>
    <row r="42" customFormat="false" ht="15" hidden="false" customHeight="false" outlineLevel="0" collapsed="false">
      <c r="A42" s="23"/>
      <c r="B42" s="23"/>
      <c r="C42" s="23"/>
      <c r="D42" s="23"/>
      <c r="E42" s="23"/>
      <c r="F42" s="23"/>
      <c r="G42" s="24" t="n">
        <v>46335</v>
      </c>
    </row>
    <row r="43" customFormat="false" ht="15" hidden="false" customHeight="false" outlineLevel="0" collapsed="false">
      <c r="A43" s="23"/>
      <c r="B43" s="23"/>
      <c r="C43" s="23"/>
      <c r="D43" s="23"/>
      <c r="E43" s="23"/>
      <c r="F43" s="23"/>
      <c r="G43" s="24" t="n">
        <v>46342</v>
      </c>
    </row>
    <row r="44" customFormat="false" ht="15" hidden="false" customHeight="false" outlineLevel="0" collapsed="false">
      <c r="A44" s="23"/>
      <c r="B44" s="23"/>
      <c r="C44" s="23"/>
      <c r="D44" s="23"/>
      <c r="E44" s="23"/>
      <c r="F44" s="23"/>
      <c r="G44" s="24" t="n">
        <v>46349</v>
      </c>
    </row>
    <row r="45" customFormat="false" ht="15" hidden="false" customHeight="false" outlineLevel="0" collapsed="false">
      <c r="A45" s="23"/>
      <c r="B45" s="23"/>
      <c r="C45" s="23"/>
      <c r="D45" s="23"/>
      <c r="E45" s="23"/>
      <c r="F45" s="23"/>
      <c r="G45" s="24" t="n">
        <v>46356</v>
      </c>
    </row>
    <row r="46" customFormat="false" ht="15" hidden="false" customHeight="false" outlineLevel="0" collapsed="false">
      <c r="A46" s="23"/>
      <c r="B46" s="23"/>
      <c r="C46" s="23"/>
      <c r="D46" s="23"/>
      <c r="E46" s="23"/>
      <c r="F46" s="23"/>
      <c r="G46" s="24" t="n">
        <v>46363</v>
      </c>
    </row>
    <row r="47" customFormat="false" ht="15" hidden="false" customHeight="false" outlineLevel="0" collapsed="false">
      <c r="A47" s="23"/>
      <c r="B47" s="23"/>
      <c r="C47" s="23"/>
      <c r="D47" s="23"/>
      <c r="E47" s="23"/>
      <c r="F47" s="23"/>
      <c r="G47" s="24" t="n">
        <v>46370</v>
      </c>
    </row>
    <row r="48" customFormat="false" ht="15" hidden="false" customHeight="false" outlineLevel="0" collapsed="false">
      <c r="A48" s="23"/>
      <c r="B48" s="23"/>
      <c r="C48" s="23"/>
      <c r="D48" s="23"/>
      <c r="E48" s="23"/>
      <c r="F48" s="23"/>
      <c r="G48" s="24" t="n">
        <v>46377</v>
      </c>
    </row>
    <row r="49" customFormat="false" ht="15" hidden="false" customHeight="false" outlineLevel="0" collapsed="false">
      <c r="A49" s="23"/>
      <c r="B49" s="23"/>
      <c r="C49" s="23"/>
      <c r="D49" s="23"/>
      <c r="E49" s="23"/>
      <c r="F49" s="23"/>
      <c r="G49" s="24" t="n">
        <v>46384</v>
      </c>
    </row>
    <row r="50" customFormat="false" ht="15" hidden="false" customHeight="false" outlineLevel="0" collapsed="false">
      <c r="A50" s="23"/>
      <c r="B50" s="23"/>
      <c r="C50" s="23"/>
      <c r="D50" s="23"/>
      <c r="E50" s="23"/>
      <c r="F50" s="23"/>
      <c r="G50" s="24" t="n">
        <v>46391</v>
      </c>
    </row>
    <row r="51" customFormat="false" ht="15" hidden="false" customHeight="false" outlineLevel="0" collapsed="false">
      <c r="A51" s="23"/>
      <c r="B51" s="23"/>
      <c r="C51" s="23"/>
      <c r="D51" s="23"/>
      <c r="E51" s="23"/>
      <c r="F51" s="23"/>
      <c r="G51" s="24" t="n">
        <v>46398</v>
      </c>
    </row>
    <row r="52" customFormat="false" ht="15" hidden="false" customHeight="false" outlineLevel="0" collapsed="false">
      <c r="A52" s="23"/>
      <c r="B52" s="23"/>
      <c r="C52" s="23"/>
      <c r="D52" s="23"/>
      <c r="E52" s="23"/>
      <c r="F52" s="23"/>
      <c r="G52" s="24" t="n">
        <v>46405</v>
      </c>
    </row>
    <row r="53" customFormat="false" ht="15" hidden="false" customHeight="false" outlineLevel="0" collapsed="false">
      <c r="A53" s="23"/>
      <c r="B53" s="23"/>
      <c r="C53" s="23"/>
      <c r="D53" s="23"/>
      <c r="E53" s="23"/>
      <c r="F53" s="23"/>
      <c r="G53" s="24" t="n">
        <v>46412</v>
      </c>
    </row>
    <row r="54" customFormat="false" ht="15" hidden="false" customHeight="false" outlineLevel="0" collapsed="false">
      <c r="A54" s="23"/>
      <c r="B54" s="23"/>
      <c r="C54" s="23"/>
      <c r="D54" s="23"/>
      <c r="E54" s="23"/>
      <c r="F54" s="23"/>
      <c r="G54" s="24" t="n">
        <v>46419</v>
      </c>
    </row>
    <row r="55" customFormat="false" ht="15" hidden="false" customHeight="false" outlineLevel="0" collapsed="false">
      <c r="A55" s="23"/>
      <c r="B55" s="23"/>
      <c r="C55" s="23"/>
      <c r="D55" s="23"/>
      <c r="E55" s="23"/>
      <c r="F55" s="23"/>
      <c r="G55" s="24" t="n">
        <v>46426</v>
      </c>
    </row>
    <row r="56" customFormat="false" ht="15" hidden="false" customHeight="false" outlineLevel="0" collapsed="false">
      <c r="A56" s="23"/>
      <c r="B56" s="23"/>
      <c r="C56" s="23"/>
      <c r="D56" s="23"/>
      <c r="E56" s="23"/>
      <c r="F56" s="23"/>
      <c r="G56" s="24" t="n">
        <v>46433</v>
      </c>
    </row>
    <row r="57" customFormat="false" ht="15" hidden="false" customHeight="false" outlineLevel="0" collapsed="false">
      <c r="A57" s="23"/>
      <c r="B57" s="23"/>
      <c r="C57" s="23"/>
      <c r="D57" s="23"/>
      <c r="E57" s="23"/>
      <c r="F57" s="23"/>
      <c r="G57" s="24" t="n">
        <v>46440</v>
      </c>
    </row>
    <row r="58" customFormat="false" ht="15" hidden="false" customHeight="false" outlineLevel="0" collapsed="false">
      <c r="A58" s="23"/>
      <c r="B58" s="23"/>
      <c r="C58" s="23"/>
      <c r="D58" s="23"/>
      <c r="E58" s="23"/>
      <c r="F58" s="23"/>
      <c r="G58" s="24" t="n">
        <v>46447</v>
      </c>
    </row>
    <row r="59" customFormat="false" ht="15" hidden="false" customHeight="false" outlineLevel="0" collapsed="false">
      <c r="A59" s="23"/>
      <c r="B59" s="23"/>
      <c r="C59" s="23"/>
      <c r="D59" s="23"/>
      <c r="E59" s="23"/>
      <c r="F59" s="23"/>
      <c r="G59" s="24" t="n">
        <v>46454</v>
      </c>
    </row>
    <row r="60" customFormat="false" ht="15" hidden="false" customHeight="false" outlineLevel="0" collapsed="false">
      <c r="A60" s="23"/>
      <c r="B60" s="23"/>
      <c r="C60" s="23"/>
      <c r="D60" s="23"/>
      <c r="E60" s="23"/>
      <c r="F60" s="23"/>
      <c r="G60" s="24" t="n">
        <v>46461</v>
      </c>
    </row>
    <row r="61" customFormat="false" ht="15" hidden="false" customHeight="false" outlineLevel="0" collapsed="false">
      <c r="A61" s="23"/>
      <c r="B61" s="23"/>
      <c r="C61" s="23"/>
      <c r="D61" s="23"/>
      <c r="E61" s="23"/>
      <c r="F61" s="23"/>
      <c r="G61" s="24" t="n">
        <v>46468</v>
      </c>
    </row>
    <row r="62" customFormat="false" ht="15" hidden="false" customHeight="false" outlineLevel="0" collapsed="false">
      <c r="A62" s="23"/>
      <c r="B62" s="23"/>
      <c r="C62" s="23"/>
      <c r="D62" s="23"/>
      <c r="E62" s="23"/>
      <c r="F62" s="23"/>
      <c r="G62" s="24" t="n">
        <v>46475</v>
      </c>
    </row>
    <row r="63" customFormat="false" ht="15" hidden="false" customHeight="false" outlineLevel="0" collapsed="false">
      <c r="A63" s="23"/>
      <c r="B63" s="23"/>
      <c r="C63" s="23"/>
      <c r="D63" s="23"/>
      <c r="E63" s="23"/>
      <c r="F63" s="23"/>
      <c r="G63" s="24" t="n">
        <v>46482</v>
      </c>
    </row>
    <row r="64" customFormat="false" ht="15" hidden="false" customHeight="false" outlineLevel="0" collapsed="false">
      <c r="A64" s="23"/>
      <c r="B64" s="23"/>
      <c r="C64" s="23"/>
      <c r="D64" s="23"/>
      <c r="E64" s="23"/>
      <c r="F64" s="23"/>
      <c r="G64" s="24" t="n">
        <v>46489</v>
      </c>
    </row>
    <row r="65" customFormat="false" ht="15" hidden="false" customHeight="false" outlineLevel="0" collapsed="false">
      <c r="A65" s="23"/>
      <c r="B65" s="23"/>
      <c r="C65" s="23"/>
      <c r="D65" s="23"/>
      <c r="E65" s="23"/>
      <c r="F65" s="23"/>
      <c r="G65" s="24" t="n">
        <v>46496</v>
      </c>
    </row>
    <row r="66" customFormat="false" ht="15" hidden="false" customHeight="false" outlineLevel="0" collapsed="false">
      <c r="A66" s="23"/>
      <c r="B66" s="23"/>
      <c r="C66" s="23"/>
      <c r="D66" s="23"/>
      <c r="E66" s="23"/>
      <c r="F66" s="23"/>
      <c r="G66" s="24" t="n">
        <v>46503</v>
      </c>
    </row>
    <row r="67" customFormat="false" ht="15" hidden="false" customHeight="false" outlineLevel="0" collapsed="false">
      <c r="A67" s="23"/>
      <c r="B67" s="23"/>
      <c r="C67" s="23"/>
      <c r="D67" s="23"/>
      <c r="E67" s="23"/>
      <c r="F67" s="23"/>
      <c r="G67" s="24" t="n">
        <v>46510</v>
      </c>
    </row>
    <row r="68" customFormat="false" ht="15" hidden="false" customHeight="false" outlineLevel="0" collapsed="false">
      <c r="A68" s="23"/>
      <c r="B68" s="23"/>
      <c r="C68" s="23"/>
      <c r="D68" s="23"/>
      <c r="E68" s="23"/>
      <c r="F68" s="23"/>
      <c r="G68" s="24" t="n">
        <v>46517</v>
      </c>
    </row>
    <row r="69" customFormat="false" ht="15" hidden="false" customHeight="false" outlineLevel="0" collapsed="false">
      <c r="A69" s="23"/>
      <c r="B69" s="23"/>
      <c r="C69" s="23"/>
      <c r="D69" s="23"/>
      <c r="E69" s="23"/>
      <c r="F69" s="23"/>
      <c r="G69" s="24" t="n">
        <v>46524</v>
      </c>
    </row>
    <row r="70" customFormat="false" ht="15" hidden="false" customHeight="false" outlineLevel="0" collapsed="false">
      <c r="A70" s="23"/>
      <c r="B70" s="23"/>
      <c r="C70" s="23"/>
      <c r="D70" s="23"/>
      <c r="E70" s="23"/>
      <c r="F70" s="23"/>
      <c r="G70" s="24" t="n">
        <v>46531</v>
      </c>
    </row>
    <row r="71" customFormat="false" ht="15" hidden="false" customHeight="false" outlineLevel="0" collapsed="false">
      <c r="A71" s="23"/>
      <c r="B71" s="23"/>
      <c r="C71" s="23"/>
      <c r="D71" s="23"/>
      <c r="E71" s="23"/>
      <c r="F71" s="23"/>
      <c r="G71" s="24" t="n">
        <v>46538</v>
      </c>
    </row>
    <row r="72" customFormat="false" ht="15" hidden="false" customHeight="false" outlineLevel="0" collapsed="false">
      <c r="A72" s="23"/>
      <c r="B72" s="23"/>
      <c r="C72" s="23"/>
      <c r="D72" s="23"/>
      <c r="E72" s="23"/>
      <c r="F72" s="23"/>
      <c r="G72" s="24" t="n">
        <v>46545</v>
      </c>
    </row>
    <row r="73" customFormat="false" ht="15" hidden="false" customHeight="false" outlineLevel="0" collapsed="false">
      <c r="A73" s="23"/>
      <c r="B73" s="23"/>
      <c r="C73" s="23"/>
      <c r="D73" s="23"/>
      <c r="E73" s="23"/>
      <c r="F73" s="23"/>
      <c r="G73" s="24" t="n">
        <v>46552</v>
      </c>
    </row>
    <row r="74" customFormat="false" ht="15" hidden="false" customHeight="false" outlineLevel="0" collapsed="false">
      <c r="A74" s="23"/>
      <c r="B74" s="23"/>
      <c r="C74" s="23"/>
      <c r="D74" s="23"/>
      <c r="E74" s="23"/>
      <c r="F74" s="23"/>
      <c r="G74" s="24" t="n">
        <v>46559</v>
      </c>
    </row>
    <row r="75" customFormat="false" ht="15" hidden="false" customHeight="false" outlineLevel="0" collapsed="false">
      <c r="A75" s="23"/>
      <c r="B75" s="23"/>
      <c r="C75" s="23"/>
      <c r="D75" s="23"/>
      <c r="E75" s="23"/>
      <c r="F75" s="23"/>
      <c r="G75" s="24" t="n">
        <v>46566</v>
      </c>
    </row>
    <row r="76" customFormat="false" ht="15" hidden="false" customHeight="false" outlineLevel="0" collapsed="false">
      <c r="A76" s="23"/>
      <c r="B76" s="23"/>
      <c r="C76" s="23"/>
      <c r="D76" s="23"/>
      <c r="E76" s="23"/>
      <c r="F76" s="23"/>
      <c r="G76" s="24" t="n">
        <v>46573</v>
      </c>
    </row>
    <row r="77" customFormat="false" ht="15" hidden="false" customHeight="false" outlineLevel="0" collapsed="false">
      <c r="A77" s="23"/>
      <c r="B77" s="23"/>
      <c r="C77" s="23"/>
      <c r="D77" s="23"/>
      <c r="E77" s="23"/>
      <c r="F77" s="23"/>
      <c r="G77" s="24" t="n">
        <v>46580</v>
      </c>
    </row>
    <row r="78" customFormat="false" ht="15" hidden="false" customHeight="false" outlineLevel="0" collapsed="false">
      <c r="A78" s="23"/>
      <c r="B78" s="23"/>
      <c r="C78" s="23"/>
      <c r="D78" s="23"/>
      <c r="E78" s="23"/>
      <c r="F78" s="23"/>
      <c r="G78" s="24" t="n">
        <v>46587</v>
      </c>
    </row>
    <row r="79" customFormat="false" ht="15" hidden="false" customHeight="false" outlineLevel="0" collapsed="false">
      <c r="A79" s="23"/>
      <c r="B79" s="23"/>
      <c r="C79" s="23"/>
      <c r="D79" s="23"/>
      <c r="E79" s="23"/>
      <c r="F79" s="23"/>
      <c r="G79" s="24" t="n">
        <v>46594</v>
      </c>
    </row>
    <row r="80" customFormat="false" ht="15" hidden="false" customHeight="false" outlineLevel="0" collapsed="false">
      <c r="A80" s="23"/>
      <c r="B80" s="23"/>
      <c r="C80" s="23"/>
      <c r="D80" s="23"/>
      <c r="E80" s="23"/>
      <c r="F80" s="23"/>
      <c r="G80" s="24" t="n">
        <v>46601</v>
      </c>
    </row>
    <row r="81" customFormat="false" ht="15" hidden="false" customHeight="false" outlineLevel="0" collapsed="false">
      <c r="A81" s="23"/>
      <c r="B81" s="23"/>
      <c r="C81" s="23"/>
      <c r="D81" s="23"/>
      <c r="E81" s="23"/>
      <c r="F81" s="23"/>
      <c r="G81" s="24" t="n">
        <v>46608</v>
      </c>
    </row>
    <row r="82" customFormat="false" ht="15" hidden="false" customHeight="false" outlineLevel="0" collapsed="false">
      <c r="A82" s="23"/>
      <c r="B82" s="23"/>
      <c r="C82" s="23"/>
      <c r="D82" s="23"/>
      <c r="E82" s="23"/>
      <c r="F82" s="23"/>
      <c r="G82" s="24" t="n">
        <v>46615</v>
      </c>
    </row>
    <row r="83" customFormat="false" ht="15" hidden="false" customHeight="false" outlineLevel="0" collapsed="false">
      <c r="A83" s="23"/>
      <c r="B83" s="23"/>
      <c r="C83" s="23"/>
      <c r="D83" s="23"/>
      <c r="E83" s="23"/>
      <c r="F83" s="23"/>
      <c r="G83" s="24" t="n">
        <v>46622</v>
      </c>
    </row>
    <row r="84" customFormat="false" ht="15" hidden="false" customHeight="false" outlineLevel="0" collapsed="false">
      <c r="A84" s="23"/>
      <c r="B84" s="23"/>
      <c r="C84" s="23"/>
      <c r="D84" s="23"/>
      <c r="E84" s="23"/>
      <c r="F84" s="23"/>
      <c r="G84" s="24" t="n">
        <v>46629</v>
      </c>
    </row>
    <row r="85" customFormat="false" ht="15" hidden="false" customHeight="false" outlineLevel="0" collapsed="false">
      <c r="G85" s="24" t="n">
        <v>46636</v>
      </c>
    </row>
    <row r="86" customFormat="false" ht="15" hidden="false" customHeight="false" outlineLevel="0" collapsed="false">
      <c r="G86" s="24" t="n">
        <v>46643</v>
      </c>
    </row>
    <row r="87" customFormat="false" ht="15" hidden="false" customHeight="false" outlineLevel="0" collapsed="false">
      <c r="G87" s="24" t="n">
        <v>46650</v>
      </c>
    </row>
    <row r="88" customFormat="false" ht="15" hidden="false" customHeight="false" outlineLevel="0" collapsed="false">
      <c r="G88" s="24" t="n">
        <v>46657</v>
      </c>
    </row>
    <row r="89" customFormat="false" ht="15" hidden="false" customHeight="false" outlineLevel="0" collapsed="false">
      <c r="G89" s="24" t="n">
        <v>46664</v>
      </c>
    </row>
    <row r="90" customFormat="false" ht="15" hidden="false" customHeight="false" outlineLevel="0" collapsed="false">
      <c r="G90" s="24" t="n">
        <v>46671</v>
      </c>
    </row>
    <row r="91" customFormat="false" ht="15" hidden="false" customHeight="false" outlineLevel="0" collapsed="false">
      <c r="G91" s="24" t="n">
        <v>46678</v>
      </c>
    </row>
    <row r="92" customFormat="false" ht="15" hidden="false" customHeight="false" outlineLevel="0" collapsed="false">
      <c r="G92" s="24" t="n">
        <v>46685</v>
      </c>
    </row>
    <row r="93" customFormat="false" ht="15" hidden="false" customHeight="false" outlineLevel="0" collapsed="false">
      <c r="G93" s="24" t="n">
        <v>46692</v>
      </c>
    </row>
    <row r="94" customFormat="false" ht="15" hidden="false" customHeight="false" outlineLevel="0" collapsed="false">
      <c r="G94" s="24" t="n">
        <v>46699</v>
      </c>
    </row>
    <row r="95" customFormat="false" ht="15" hidden="false" customHeight="false" outlineLevel="0" collapsed="false">
      <c r="G95" s="24" t="n">
        <v>46706</v>
      </c>
    </row>
    <row r="96" customFormat="false" ht="15" hidden="false" customHeight="false" outlineLevel="0" collapsed="false">
      <c r="G96" s="24" t="n">
        <v>46713</v>
      </c>
    </row>
    <row r="97" customFormat="false" ht="15" hidden="false" customHeight="false" outlineLevel="0" collapsed="false">
      <c r="G97" s="24" t="n">
        <v>46720</v>
      </c>
    </row>
    <row r="98" customFormat="false" ht="15" hidden="false" customHeight="false" outlineLevel="0" collapsed="false">
      <c r="G98" s="24" t="n">
        <v>46727</v>
      </c>
    </row>
    <row r="99" customFormat="false" ht="15" hidden="false" customHeight="false" outlineLevel="0" collapsed="false">
      <c r="G99" s="24" t="n">
        <v>46734</v>
      </c>
    </row>
    <row r="100" customFormat="false" ht="15" hidden="false" customHeight="false" outlineLevel="0" collapsed="false">
      <c r="G100" s="24" t="n">
        <v>46741</v>
      </c>
    </row>
    <row r="101" customFormat="false" ht="15" hidden="false" customHeight="false" outlineLevel="0" collapsed="false">
      <c r="G101" s="24" t="n">
        <v>46748</v>
      </c>
    </row>
    <row r="102" customFormat="false" ht="15" hidden="false" customHeight="false" outlineLevel="0" collapsed="false">
      <c r="G102" s="24" t="n">
        <v>46755</v>
      </c>
    </row>
    <row r="103" customFormat="false" ht="15" hidden="false" customHeight="false" outlineLevel="0" collapsed="false">
      <c r="G103" s="24" t="n">
        <v>46762</v>
      </c>
    </row>
    <row r="104" customFormat="false" ht="15" hidden="false" customHeight="false" outlineLevel="0" collapsed="false">
      <c r="G104" s="24" t="n">
        <v>46769</v>
      </c>
    </row>
    <row r="105" customFormat="false" ht="15" hidden="false" customHeight="false" outlineLevel="0" collapsed="false">
      <c r="G105" s="24" t="n">
        <v>46776</v>
      </c>
    </row>
    <row r="106" customFormat="false" ht="15" hidden="false" customHeight="false" outlineLevel="0" collapsed="false">
      <c r="G106" s="24" t="n">
        <v>46783</v>
      </c>
    </row>
    <row r="107" customFormat="false" ht="15" hidden="false" customHeight="false" outlineLevel="0" collapsed="false">
      <c r="G107" s="24" t="n">
        <v>46790</v>
      </c>
    </row>
    <row r="108" customFormat="false" ht="15" hidden="false" customHeight="false" outlineLevel="0" collapsed="false">
      <c r="G108" s="24" t="n">
        <v>46797</v>
      </c>
    </row>
    <row r="109" customFormat="false" ht="15" hidden="false" customHeight="false" outlineLevel="0" collapsed="false">
      <c r="G109" s="24" t="n">
        <v>46804</v>
      </c>
    </row>
    <row r="110" customFormat="false" ht="15" hidden="false" customHeight="false" outlineLevel="0" collapsed="false">
      <c r="G110" s="24" t="n">
        <v>46811</v>
      </c>
    </row>
    <row r="111" customFormat="false" ht="15" hidden="false" customHeight="false" outlineLevel="0" collapsed="false">
      <c r="G111" s="24" t="n">
        <v>46818</v>
      </c>
    </row>
    <row r="112" customFormat="false" ht="15" hidden="false" customHeight="false" outlineLevel="0" collapsed="false">
      <c r="G112" s="24" t="n">
        <v>46825</v>
      </c>
    </row>
    <row r="113" customFormat="false" ht="15" hidden="false" customHeight="false" outlineLevel="0" collapsed="false">
      <c r="G113" s="24" t="n">
        <v>46832</v>
      </c>
    </row>
    <row r="114" customFormat="false" ht="15" hidden="false" customHeight="false" outlineLevel="0" collapsed="false">
      <c r="G114" s="24" t="n">
        <v>46839</v>
      </c>
    </row>
    <row r="115" customFormat="false" ht="15" hidden="false" customHeight="false" outlineLevel="0" collapsed="false">
      <c r="G115" s="24" t="n">
        <v>46846</v>
      </c>
    </row>
    <row r="116" customFormat="false" ht="15" hidden="false" customHeight="false" outlineLevel="0" collapsed="false">
      <c r="G116" s="24" t="n">
        <v>46853</v>
      </c>
    </row>
    <row r="117" customFormat="false" ht="15" hidden="false" customHeight="false" outlineLevel="0" collapsed="false">
      <c r="G117" s="24" t="n">
        <v>46860</v>
      </c>
    </row>
    <row r="118" customFormat="false" ht="15" hidden="false" customHeight="false" outlineLevel="0" collapsed="false">
      <c r="G118" s="24" t="n">
        <v>46867</v>
      </c>
    </row>
    <row r="119" customFormat="false" ht="15" hidden="false" customHeight="false" outlineLevel="0" collapsed="false">
      <c r="G119" s="24" t="n">
        <v>46874</v>
      </c>
    </row>
    <row r="120" customFormat="false" ht="15" hidden="false" customHeight="false" outlineLevel="0" collapsed="false">
      <c r="G120" s="24" t="n">
        <v>46881</v>
      </c>
    </row>
    <row r="121" customFormat="false" ht="15" hidden="false" customHeight="false" outlineLevel="0" collapsed="false">
      <c r="G121" s="24" t="n">
        <v>46888</v>
      </c>
    </row>
    <row r="122" customFormat="false" ht="15" hidden="false" customHeight="false" outlineLevel="0" collapsed="false">
      <c r="G122" s="24" t="n">
        <v>46895</v>
      </c>
    </row>
    <row r="123" customFormat="false" ht="15" hidden="false" customHeight="false" outlineLevel="0" collapsed="false">
      <c r="G123" s="24" t="n">
        <v>46902</v>
      </c>
    </row>
    <row r="124" customFormat="false" ht="15" hidden="false" customHeight="false" outlineLevel="0" collapsed="false">
      <c r="G124" s="24" t="n">
        <v>46909</v>
      </c>
    </row>
    <row r="125" customFormat="false" ht="15" hidden="false" customHeight="false" outlineLevel="0" collapsed="false">
      <c r="G125" s="24" t="n">
        <v>46916</v>
      </c>
    </row>
    <row r="126" customFormat="false" ht="15" hidden="false" customHeight="false" outlineLevel="0" collapsed="false">
      <c r="G126" s="24" t="n">
        <v>46923</v>
      </c>
    </row>
    <row r="127" customFormat="false" ht="15" hidden="false" customHeight="false" outlineLevel="0" collapsed="false">
      <c r="G127" s="24" t="n">
        <v>46930</v>
      </c>
    </row>
    <row r="128" customFormat="false" ht="15" hidden="false" customHeight="false" outlineLevel="0" collapsed="false">
      <c r="G128" s="24" t="n">
        <v>46937</v>
      </c>
    </row>
    <row r="129" customFormat="false" ht="15" hidden="false" customHeight="false" outlineLevel="0" collapsed="false">
      <c r="G129" s="24" t="n">
        <v>46944</v>
      </c>
    </row>
    <row r="130" customFormat="false" ht="15" hidden="false" customHeight="false" outlineLevel="0" collapsed="false">
      <c r="G130" s="24" t="n">
        <v>46951</v>
      </c>
    </row>
    <row r="131" customFormat="false" ht="15" hidden="false" customHeight="false" outlineLevel="0" collapsed="false">
      <c r="G131" s="24" t="n">
        <v>46958</v>
      </c>
    </row>
    <row r="132" customFormat="false" ht="15" hidden="false" customHeight="false" outlineLevel="0" collapsed="false">
      <c r="G132" s="24" t="n">
        <v>46965</v>
      </c>
    </row>
    <row r="133" customFormat="false" ht="15" hidden="false" customHeight="false" outlineLevel="0" collapsed="false">
      <c r="G133" s="24" t="n">
        <v>46972</v>
      </c>
    </row>
    <row r="134" customFormat="false" ht="15" hidden="false" customHeight="false" outlineLevel="0" collapsed="false">
      <c r="G134" s="24" t="n">
        <v>46979</v>
      </c>
    </row>
  </sheetData>
  <mergeCells count="2">
    <mergeCell ref="A1:G1"/>
    <mergeCell ref="A2:G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Y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28"/>
    <col collapsed="false" customWidth="true" hidden="false" outlineLevel="0" max="5" min="5" style="0" width="44"/>
    <col collapsed="false" customWidth="true" hidden="false" outlineLevel="0" max="6" min="6" style="0" width="11"/>
    <col collapsed="false" customWidth="true" hidden="false" outlineLevel="0" max="9" min="7" style="0" width="18"/>
    <col collapsed="false" customWidth="true" hidden="false" outlineLevel="0" max="10" min="10" style="0" width="11"/>
    <col collapsed="false" customWidth="true" hidden="false" outlineLevel="0" max="11" min="11" style="0" width="7"/>
    <col collapsed="false" customWidth="true" hidden="false" outlineLevel="0" max="12" min="12" style="0" width="14"/>
    <col collapsed="false" customWidth="true" hidden="false" outlineLevel="0" max="14" min="13" style="0" width="13"/>
    <col collapsed="false" customWidth="true" hidden="false" outlineLevel="0" max="15" min="15" style="0" width="11"/>
    <col collapsed="false" customWidth="true" hidden="false" outlineLevel="0" max="16" min="16" style="0" width="22"/>
    <col collapsed="false" customWidth="true" hidden="false" outlineLevel="0" max="17" min="17" style="0" width="24"/>
    <col collapsed="false" customWidth="true" hidden="false" outlineLevel="0" max="18" min="18" style="0" width="19"/>
    <col collapsed="false" customWidth="true" hidden="false" outlineLevel="0" max="19" min="19" style="0" width="12"/>
    <col collapsed="false" customWidth="true" hidden="false" outlineLevel="0" max="20" min="20" style="0" width="11"/>
    <col collapsed="false" customWidth="true" hidden="false" outlineLevel="0" max="25" min="21" style="0" width="8"/>
  </cols>
  <sheetData>
    <row r="1" customFormat="false" ht="30" hidden="false" customHeight="true" outlineLevel="0" collapsed="false">
      <c r="A1" s="25" t="s">
        <v>118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</row>
    <row r="2" customFormat="false" ht="18" hidden="false" customHeight="true" outlineLevel="0" collapsed="false">
      <c r="A2" s="26"/>
      <c r="B2" s="27" t="s">
        <v>119</v>
      </c>
      <c r="C2" s="27"/>
      <c r="D2" s="27"/>
      <c r="E2" s="27"/>
      <c r="F2" s="27"/>
      <c r="G2" s="28" t="s">
        <v>120</v>
      </c>
      <c r="H2" s="28"/>
      <c r="I2" s="28"/>
      <c r="J2" s="29" t="s">
        <v>121</v>
      </c>
      <c r="K2" s="29"/>
      <c r="L2" s="29"/>
      <c r="M2" s="30" t="s">
        <v>122</v>
      </c>
      <c r="N2" s="30"/>
      <c r="O2" s="30"/>
      <c r="P2" s="30"/>
      <c r="Q2" s="30"/>
      <c r="R2" s="31" t="s">
        <v>123</v>
      </c>
      <c r="S2" s="31"/>
      <c r="T2" s="31"/>
      <c r="U2" s="31"/>
      <c r="V2" s="31"/>
      <c r="W2" s="31"/>
      <c r="X2" s="31"/>
      <c r="Y2" s="31"/>
    </row>
    <row r="3" customFormat="false" ht="30" hidden="false" customHeight="true" outlineLevel="0" collapsed="false">
      <c r="A3" s="32" t="s">
        <v>124</v>
      </c>
      <c r="B3" s="33" t="s">
        <v>125</v>
      </c>
      <c r="C3" s="33" t="s">
        <v>126</v>
      </c>
      <c r="D3" s="33" t="s">
        <v>127</v>
      </c>
      <c r="E3" s="33" t="s">
        <v>128</v>
      </c>
      <c r="F3" s="33" t="s">
        <v>129</v>
      </c>
      <c r="G3" s="33" t="s">
        <v>130</v>
      </c>
      <c r="H3" s="33" t="s">
        <v>131</v>
      </c>
      <c r="I3" s="33" t="s">
        <v>132</v>
      </c>
      <c r="J3" s="33" t="s">
        <v>133</v>
      </c>
      <c r="K3" s="33" t="s">
        <v>57</v>
      </c>
      <c r="L3" s="32" t="s">
        <v>134</v>
      </c>
      <c r="M3" s="33" t="s">
        <v>135</v>
      </c>
      <c r="N3" s="33" t="s">
        <v>55</v>
      </c>
      <c r="O3" s="33" t="s">
        <v>136</v>
      </c>
      <c r="P3" s="33" t="s">
        <v>137</v>
      </c>
      <c r="Q3" s="33" t="s">
        <v>138</v>
      </c>
      <c r="R3" s="32" t="s">
        <v>139</v>
      </c>
      <c r="S3" s="32" t="s">
        <v>140</v>
      </c>
      <c r="T3" s="32" t="s">
        <v>141</v>
      </c>
      <c r="U3" s="32" t="s">
        <v>142</v>
      </c>
      <c r="V3" s="32" t="s">
        <v>143</v>
      </c>
      <c r="W3" s="32" t="s">
        <v>144</v>
      </c>
      <c r="X3" s="32" t="s">
        <v>145</v>
      </c>
      <c r="Y3" s="32" t="s">
        <v>146</v>
      </c>
    </row>
    <row r="5" customFormat="false" ht="15" hidden="false" customHeight="true" outlineLevel="0" collapsed="false">
      <c r="A5" s="34" t="n">
        <f aca="false">IF($E5="","",COUNTA($E$5:$E5))</f>
        <v>1</v>
      </c>
      <c r="B5" s="35"/>
      <c r="C5" s="35" t="s">
        <v>73</v>
      </c>
      <c r="D5" s="35" t="s">
        <v>147</v>
      </c>
      <c r="E5" s="35" t="s">
        <v>148</v>
      </c>
      <c r="F5" s="36" t="s">
        <v>62</v>
      </c>
      <c r="G5" s="37" t="s">
        <v>103</v>
      </c>
      <c r="H5" s="37"/>
      <c r="I5" s="37"/>
      <c r="J5" s="38" t="n">
        <v>46258</v>
      </c>
      <c r="K5" s="39" t="s">
        <v>77</v>
      </c>
      <c r="L5" s="40" t="n">
        <f aca="false">IF(OR($J5="",$K5=""),"",$J5+MATCH($K5,Listas!$F$5:$F$11,0)-1)</f>
        <v>46260</v>
      </c>
      <c r="M5" s="41"/>
      <c r="N5" s="36" t="s">
        <v>69</v>
      </c>
      <c r="O5" s="41"/>
      <c r="P5" s="35"/>
      <c r="Q5" s="35"/>
      <c r="R5" s="42" t="str">
        <f aca="true">IF($E5="","",IF($N5="Cancelada","Cancelada",IF(OR($M5&lt;&gt;"",$N5="Concluída"),IF(OR($L5="",$M5="",$M5&lt;=$L5),"Concluída","Concluída com atraso"),IF($L5="","Na carteira",IF($L5&lt;TODAY(),"VENCIDA",IF($N5="Em execução","Em execução",IF($L5=TODAY(),"Hoje","Programada")))))))</f>
        <v>VENCIDA</v>
      </c>
      <c r="S5" s="34" t="str">
        <f aca="false">IF($E5="","",IF(ISNUMBER(SEARCH("(externo)",$G5&amp;$H5&amp;$I5)),"Terceirizada","Interna"))</f>
        <v>Terceirizada</v>
      </c>
      <c r="T5" s="40" t="n">
        <f aca="false">IF($L5="","",IF($O5="",$L5,$O5))</f>
        <v>46260</v>
      </c>
      <c r="U5" s="34" t="n">
        <f aca="false">IF($E5="","",IF(OR($M5="",$L5=""),0,IF($M5&lt;=$L5,1,0)))</f>
        <v>0</v>
      </c>
      <c r="V5" s="34" t="n">
        <f aca="false">IF($E5="","",IF(OR($M5="",$T5=""),0,IF($M5&lt;=$T5,1,0)))</f>
        <v>0</v>
      </c>
      <c r="W5" s="42" t="str">
        <f aca="false">IF(OR($M5="",$L5=""),"",MAX(0,$M5-$L5))</f>
        <v/>
      </c>
      <c r="X5" s="34" t="n">
        <f aca="false">IF($E5="","",IF(AND($O5&lt;&gt;"",$L5&lt;&gt;"",$O5&lt;&gt;$L5),1,0))</f>
        <v>0</v>
      </c>
      <c r="Y5" s="34" t="n">
        <f aca="false">IF($E5="","",IF($N5="Cancelada",0,IF(OR($M5&lt;&gt;"",$N5="Concluída"),1,0)))</f>
        <v>0</v>
      </c>
    </row>
    <row r="6" customFormat="false" ht="15" hidden="false" customHeight="true" outlineLevel="0" collapsed="false">
      <c r="A6" s="34" t="n">
        <f aca="false">IF($E6="","",COUNTA($E$5:$E6))</f>
        <v>2</v>
      </c>
      <c r="B6" s="35"/>
      <c r="C6" s="35" t="s">
        <v>73</v>
      </c>
      <c r="D6" s="35" t="s">
        <v>147</v>
      </c>
      <c r="E6" s="35" t="s">
        <v>149</v>
      </c>
      <c r="F6" s="36" t="s">
        <v>62</v>
      </c>
      <c r="G6" s="37" t="s">
        <v>103</v>
      </c>
      <c r="H6" s="37"/>
      <c r="I6" s="37"/>
      <c r="J6" s="38" t="n">
        <v>46258</v>
      </c>
      <c r="K6" s="39" t="s">
        <v>82</v>
      </c>
      <c r="L6" s="40" t="n">
        <f aca="false">IF(OR($J6="",$K6=""),"",$J6+MATCH($K6,Listas!$F$5:$F$11,0)-1)</f>
        <v>46261</v>
      </c>
      <c r="M6" s="41"/>
      <c r="N6" s="36" t="s">
        <v>69</v>
      </c>
      <c r="O6" s="41"/>
      <c r="P6" s="35"/>
      <c r="Q6" s="35"/>
      <c r="R6" s="42" t="str">
        <f aca="true">IF($E6="","",IF($N6="Cancelada","Cancelada",IF(OR($M6&lt;&gt;"",$N6="Concluída"),IF(OR($L6="",$M6="",$M6&lt;=$L6),"Concluída","Concluída com atraso"),IF($L6="","Na carteira",IF($L6&lt;TODAY(),"VENCIDA",IF($N6="Em execução","Em execução",IF($L6=TODAY(),"Hoje","Programada")))))))</f>
        <v>Em execução</v>
      </c>
      <c r="S6" s="34" t="str">
        <f aca="false">IF($E6="","",IF(ISNUMBER(SEARCH("(externo)",$G6&amp;$H6&amp;$I6)),"Terceirizada","Interna"))</f>
        <v>Terceirizada</v>
      </c>
      <c r="T6" s="40" t="n">
        <f aca="false">IF($L6="","",IF($O6="",$L6,$O6))</f>
        <v>46261</v>
      </c>
      <c r="U6" s="34" t="n">
        <f aca="false">IF($E6="","",IF(OR($M6="",$L6=""),0,IF($M6&lt;=$L6,1,0)))</f>
        <v>0</v>
      </c>
      <c r="V6" s="34" t="n">
        <f aca="false">IF($E6="","",IF(OR($M6="",$T6=""),0,IF($M6&lt;=$T6,1,0)))</f>
        <v>0</v>
      </c>
      <c r="W6" s="42" t="str">
        <f aca="false">IF(OR($M6="",$L6=""),"",MAX(0,$M6-$L6))</f>
        <v/>
      </c>
      <c r="X6" s="34" t="n">
        <f aca="false">IF($E6="","",IF(AND($O6&lt;&gt;"",$L6&lt;&gt;"",$O6&lt;&gt;$L6),1,0))</f>
        <v>0</v>
      </c>
      <c r="Y6" s="34" t="n">
        <f aca="false">IF($E6="","",IF($N6="Cancelada",0,IF(OR($M6&lt;&gt;"",$N6="Concluída"),1,0)))</f>
        <v>0</v>
      </c>
    </row>
    <row r="7" customFormat="false" ht="15" hidden="false" customHeight="true" outlineLevel="0" collapsed="false">
      <c r="A7" s="34" t="n">
        <f aca="false">IF($E7="","",COUNTA($E$5:$E7))</f>
        <v>3</v>
      </c>
      <c r="B7" s="35"/>
      <c r="C7" s="35" t="s">
        <v>79</v>
      </c>
      <c r="D7" s="35" t="s">
        <v>150</v>
      </c>
      <c r="E7" s="35" t="s">
        <v>151</v>
      </c>
      <c r="F7" s="36" t="s">
        <v>62</v>
      </c>
      <c r="G7" s="37" t="s">
        <v>66</v>
      </c>
      <c r="H7" s="37" t="s">
        <v>92</v>
      </c>
      <c r="I7" s="37"/>
      <c r="J7" s="38" t="n">
        <v>46258</v>
      </c>
      <c r="K7" s="39" t="s">
        <v>82</v>
      </c>
      <c r="L7" s="40" t="n">
        <f aca="false">IF(OR($J7="",$K7=""),"",$J7+MATCH($K7,Listas!$F$5:$F$11,0)-1)</f>
        <v>46261</v>
      </c>
      <c r="M7" s="41"/>
      <c r="N7" s="36"/>
      <c r="O7" s="41"/>
      <c r="P7" s="35"/>
      <c r="Q7" s="35"/>
      <c r="R7" s="42" t="str">
        <f aca="true">IF($E7="","",IF($N7="Cancelada","Cancelada",IF(OR($M7&lt;&gt;"",$N7="Concluída"),IF(OR($L7="",$M7="",$M7&lt;=$L7),"Concluída","Concluída com atraso"),IF($L7="","Na carteira",IF($L7&lt;TODAY(),"VENCIDA",IF($N7="Em execução","Em execução",IF($L7=TODAY(),"Hoje","Programada")))))))</f>
        <v>Hoje</v>
      </c>
      <c r="S7" s="34" t="str">
        <f aca="false">IF($E7="","",IF(ISNUMBER(SEARCH("(externo)",$G7&amp;$H7&amp;$I7)),"Terceirizada","Interna"))</f>
        <v>Interna</v>
      </c>
      <c r="T7" s="40" t="n">
        <f aca="false">IF($L7="","",IF($O7="",$L7,$O7))</f>
        <v>46261</v>
      </c>
      <c r="U7" s="34" t="n">
        <f aca="false">IF($E7="","",IF(OR($M7="",$L7=""),0,IF($M7&lt;=$L7,1,0)))</f>
        <v>0</v>
      </c>
      <c r="V7" s="34" t="n">
        <f aca="false">IF($E7="","",IF(OR($M7="",$T7=""),0,IF($M7&lt;=$T7,1,0)))</f>
        <v>0</v>
      </c>
      <c r="W7" s="42" t="str">
        <f aca="false">IF(OR($M7="",$L7=""),"",MAX(0,$M7-$L7))</f>
        <v/>
      </c>
      <c r="X7" s="34" t="n">
        <f aca="false">IF($E7="","",IF(AND($O7&lt;&gt;"",$L7&lt;&gt;"",$O7&lt;&gt;$L7),1,0))</f>
        <v>0</v>
      </c>
      <c r="Y7" s="34" t="n">
        <f aca="false">IF($E7="","",IF($N7="Cancelada",0,IF(OR($M7&lt;&gt;"",$N7="Concluída"),1,0)))</f>
        <v>0</v>
      </c>
    </row>
    <row r="8" customFormat="false" ht="15" hidden="false" customHeight="true" outlineLevel="0" collapsed="false">
      <c r="A8" s="34" t="n">
        <f aca="false">IF($E8="","",COUNTA($E$5:$E8))</f>
        <v>4</v>
      </c>
      <c r="B8" s="35"/>
      <c r="C8" s="35" t="s">
        <v>79</v>
      </c>
      <c r="D8" s="35" t="s">
        <v>150</v>
      </c>
      <c r="E8" s="35" t="s">
        <v>152</v>
      </c>
      <c r="F8" s="36" t="s">
        <v>62</v>
      </c>
      <c r="G8" s="37" t="s">
        <v>66</v>
      </c>
      <c r="H8" s="37" t="s">
        <v>92</v>
      </c>
      <c r="I8" s="37"/>
      <c r="J8" s="38" t="n">
        <v>46258</v>
      </c>
      <c r="K8" s="39" t="s">
        <v>82</v>
      </c>
      <c r="L8" s="40" t="n">
        <f aca="false">IF(OR($J8="",$K8=""),"",$J8+MATCH($K8,Listas!$F$5:$F$11,0)-1)</f>
        <v>46261</v>
      </c>
      <c r="M8" s="41"/>
      <c r="N8" s="36"/>
      <c r="O8" s="41"/>
      <c r="P8" s="35"/>
      <c r="Q8" s="35"/>
      <c r="R8" s="42" t="str">
        <f aca="true">IF($E8="","",IF($N8="Cancelada","Cancelada",IF(OR($M8&lt;&gt;"",$N8="Concluída"),IF(OR($L8="",$M8="",$M8&lt;=$L8),"Concluída","Concluída com atraso"),IF($L8="","Na carteira",IF($L8&lt;TODAY(),"VENCIDA",IF($N8="Em execução","Em execução",IF($L8=TODAY(),"Hoje","Programada")))))))</f>
        <v>Hoje</v>
      </c>
      <c r="S8" s="34" t="str">
        <f aca="false">IF($E8="","",IF(ISNUMBER(SEARCH("(externo)",$G8&amp;$H8&amp;$I8)),"Terceirizada","Interna"))</f>
        <v>Interna</v>
      </c>
      <c r="T8" s="40" t="n">
        <f aca="false">IF($L8="","",IF($O8="",$L8,$O8))</f>
        <v>46261</v>
      </c>
      <c r="U8" s="34" t="n">
        <f aca="false">IF($E8="","",IF(OR($M8="",$L8=""),0,IF($M8&lt;=$L8,1,0)))</f>
        <v>0</v>
      </c>
      <c r="V8" s="34" t="n">
        <f aca="false">IF($E8="","",IF(OR($M8="",$T8=""),0,IF($M8&lt;=$T8,1,0)))</f>
        <v>0</v>
      </c>
      <c r="W8" s="42" t="str">
        <f aca="false">IF(OR($M8="",$L8=""),"",MAX(0,$M8-$L8))</f>
        <v/>
      </c>
      <c r="X8" s="34" t="n">
        <f aca="false">IF($E8="","",IF(AND($O8&lt;&gt;"",$L8&lt;&gt;"",$O8&lt;&gt;$L8),1,0))</f>
        <v>0</v>
      </c>
      <c r="Y8" s="34" t="n">
        <f aca="false">IF($E8="","",IF($N8="Cancelada",0,IF(OR($M8&lt;&gt;"",$N8="Concluída"),1,0)))</f>
        <v>0</v>
      </c>
    </row>
    <row r="9" customFormat="false" ht="15" hidden="false" customHeight="true" outlineLevel="0" collapsed="false">
      <c r="A9" s="34" t="n">
        <f aca="false">IF($E9="","",COUNTA($E$5:$E9))</f>
        <v>5</v>
      </c>
      <c r="B9" s="35" t="s">
        <v>153</v>
      </c>
      <c r="C9" s="35" t="s">
        <v>84</v>
      </c>
      <c r="D9" s="35" t="s">
        <v>150</v>
      </c>
      <c r="E9" s="35" t="s">
        <v>154</v>
      </c>
      <c r="F9" s="36" t="s">
        <v>62</v>
      </c>
      <c r="G9" s="37" t="s">
        <v>66</v>
      </c>
      <c r="H9" s="37" t="s">
        <v>92</v>
      </c>
      <c r="I9" s="37"/>
      <c r="J9" s="38" t="n">
        <v>46258</v>
      </c>
      <c r="K9" s="39" t="s">
        <v>77</v>
      </c>
      <c r="L9" s="40" t="n">
        <f aca="false">IF(OR($J9="",$K9=""),"",$J9+MATCH($K9,Listas!$F$5:$F$11,0)-1)</f>
        <v>46260</v>
      </c>
      <c r="M9" s="41"/>
      <c r="N9" s="36" t="s">
        <v>63</v>
      </c>
      <c r="O9" s="41"/>
      <c r="P9" s="35"/>
      <c r="Q9" s="35" t="s">
        <v>155</v>
      </c>
      <c r="R9" s="42" t="str">
        <f aca="true">IF($E9="","",IF($N9="Cancelada","Cancelada",IF(OR($M9&lt;&gt;"",$N9="Concluída"),IF(OR($L9="",$M9="",$M9&lt;=$L9),"Concluída","Concluída com atraso"),IF($L9="","Na carteira",IF($L9&lt;TODAY(),"VENCIDA",IF($N9="Em execução","Em execução",IF($L9=TODAY(),"Hoje","Programada")))))))</f>
        <v>Concluída</v>
      </c>
      <c r="S9" s="34" t="str">
        <f aca="false">IF($E9="","",IF(ISNUMBER(SEARCH("(externo)",$G9&amp;$H9&amp;$I9)),"Terceirizada","Interna"))</f>
        <v>Interna</v>
      </c>
      <c r="T9" s="40" t="n">
        <f aca="false">IF($L9="","",IF($O9="",$L9,$O9))</f>
        <v>46260</v>
      </c>
      <c r="U9" s="34" t="n">
        <f aca="false">IF($E9="","",IF(OR($M9="",$L9=""),0,IF($M9&lt;=$L9,1,0)))</f>
        <v>0</v>
      </c>
      <c r="V9" s="34" t="n">
        <f aca="false">IF($E9="","",IF(OR($M9="",$T9=""),0,IF($M9&lt;=$T9,1,0)))</f>
        <v>0</v>
      </c>
      <c r="W9" s="42" t="str">
        <f aca="false">IF(OR($M9="",$L9=""),"",MAX(0,$M9-$L9))</f>
        <v/>
      </c>
      <c r="X9" s="34" t="n">
        <f aca="false">IF($E9="","",IF(AND($O9&lt;&gt;"",$L9&lt;&gt;"",$O9&lt;&gt;$L9),1,0))</f>
        <v>0</v>
      </c>
      <c r="Y9" s="34" t="n">
        <f aca="false">IF($E9="","",IF($N9="Cancelada",0,IF(OR($M9&lt;&gt;"",$N9="Concluída"),1,0)))</f>
        <v>1</v>
      </c>
    </row>
    <row r="10" customFormat="false" ht="15" hidden="false" customHeight="true" outlineLevel="0" collapsed="false">
      <c r="A10" s="34" t="n">
        <f aca="false">IF($E10="","",COUNTA($E$5:$E10))</f>
        <v>6</v>
      </c>
      <c r="B10" s="35" t="s">
        <v>153</v>
      </c>
      <c r="C10" s="35" t="s">
        <v>84</v>
      </c>
      <c r="D10" s="35" t="s">
        <v>150</v>
      </c>
      <c r="E10" s="35" t="s">
        <v>156</v>
      </c>
      <c r="F10" s="36" t="s">
        <v>62</v>
      </c>
      <c r="G10" s="37" t="s">
        <v>66</v>
      </c>
      <c r="H10" s="37" t="s">
        <v>92</v>
      </c>
      <c r="I10" s="37"/>
      <c r="J10" s="38" t="n">
        <v>46258</v>
      </c>
      <c r="K10" s="39" t="s">
        <v>77</v>
      </c>
      <c r="L10" s="40" t="n">
        <f aca="false">IF(OR($J10="",$K10=""),"",$J10+MATCH($K10,Listas!$F$5:$F$11,0)-1)</f>
        <v>46260</v>
      </c>
      <c r="M10" s="41"/>
      <c r="N10" s="36" t="s">
        <v>63</v>
      </c>
      <c r="O10" s="41"/>
      <c r="P10" s="35"/>
      <c r="Q10" s="35" t="s">
        <v>155</v>
      </c>
      <c r="R10" s="42" t="str">
        <f aca="true">IF($E10="","",IF($N10="Cancelada","Cancelada",IF(OR($M10&lt;&gt;"",$N10="Concluída"),IF(OR($L10="",$M10="",$M10&lt;=$L10),"Concluída","Concluída com atraso"),IF($L10="","Na carteira",IF($L10&lt;TODAY(),"VENCIDA",IF($N10="Em execução","Em execução",IF($L10=TODAY(),"Hoje","Programada")))))))</f>
        <v>Concluída</v>
      </c>
      <c r="S10" s="34" t="str">
        <f aca="false">IF($E10="","",IF(ISNUMBER(SEARCH("(externo)",$G10&amp;$H10&amp;$I10)),"Terceirizada","Interna"))</f>
        <v>Interna</v>
      </c>
      <c r="T10" s="40" t="n">
        <f aca="false">IF($L10="","",IF($O10="",$L10,$O10))</f>
        <v>46260</v>
      </c>
      <c r="U10" s="34" t="n">
        <f aca="false">IF($E10="","",IF(OR($M10="",$L10=""),0,IF($M10&lt;=$L10,1,0)))</f>
        <v>0</v>
      </c>
      <c r="V10" s="34" t="n">
        <f aca="false">IF($E10="","",IF(OR($M10="",$T10=""),0,IF($M10&lt;=$T10,1,0)))</f>
        <v>0</v>
      </c>
      <c r="W10" s="42" t="str">
        <f aca="false">IF(OR($M10="",$L10=""),"",MAX(0,$M10-$L10))</f>
        <v/>
      </c>
      <c r="X10" s="34" t="n">
        <f aca="false">IF($E10="","",IF(AND($O10&lt;&gt;"",$L10&lt;&gt;"",$O10&lt;&gt;$L10),1,0))</f>
        <v>0</v>
      </c>
      <c r="Y10" s="34" t="n">
        <f aca="false">IF($E10="","",IF($N10="Cancelada",0,IF(OR($M10&lt;&gt;"",$N10="Concluída"),1,0)))</f>
        <v>1</v>
      </c>
    </row>
    <row r="11" customFormat="false" ht="15" hidden="false" customHeight="true" outlineLevel="0" collapsed="false">
      <c r="A11" s="34" t="n">
        <f aca="false">IF($E11="","",COUNTA($E$5:$E11))</f>
        <v>7</v>
      </c>
      <c r="B11" s="35" t="s">
        <v>153</v>
      </c>
      <c r="C11" s="35" t="s">
        <v>84</v>
      </c>
      <c r="D11" s="35" t="s">
        <v>150</v>
      </c>
      <c r="E11" s="35" t="s">
        <v>157</v>
      </c>
      <c r="F11" s="36" t="s">
        <v>62</v>
      </c>
      <c r="G11" s="37" t="s">
        <v>66</v>
      </c>
      <c r="H11" s="37" t="s">
        <v>92</v>
      </c>
      <c r="I11" s="37"/>
      <c r="J11" s="38" t="n">
        <v>46258</v>
      </c>
      <c r="K11" s="39" t="s">
        <v>77</v>
      </c>
      <c r="L11" s="40" t="n">
        <f aca="false">IF(OR($J11="",$K11=""),"",$J11+MATCH($K11,Listas!$F$5:$F$11,0)-1)</f>
        <v>46260</v>
      </c>
      <c r="M11" s="41"/>
      <c r="N11" s="36" t="s">
        <v>63</v>
      </c>
      <c r="O11" s="41"/>
      <c r="P11" s="35"/>
      <c r="Q11" s="35" t="s">
        <v>155</v>
      </c>
      <c r="R11" s="42" t="str">
        <f aca="true">IF($E11="","",IF($N11="Cancelada","Cancelada",IF(OR($M11&lt;&gt;"",$N11="Concluída"),IF(OR($L11="",$M11="",$M11&lt;=$L11),"Concluída","Concluída com atraso"),IF($L11="","Na carteira",IF($L11&lt;TODAY(),"VENCIDA",IF($N11="Em execução","Em execução",IF($L11=TODAY(),"Hoje","Programada")))))))</f>
        <v>Concluída</v>
      </c>
      <c r="S11" s="34" t="str">
        <f aca="false">IF($E11="","",IF(ISNUMBER(SEARCH("(externo)",$G11&amp;$H11&amp;$I11)),"Terceirizada","Interna"))</f>
        <v>Interna</v>
      </c>
      <c r="T11" s="40" t="n">
        <f aca="false">IF($L11="","",IF($O11="",$L11,$O11))</f>
        <v>46260</v>
      </c>
      <c r="U11" s="34" t="n">
        <f aca="false">IF($E11="","",IF(OR($M11="",$L11=""),0,IF($M11&lt;=$L11,1,0)))</f>
        <v>0</v>
      </c>
      <c r="V11" s="34" t="n">
        <f aca="false">IF($E11="","",IF(OR($M11="",$T11=""),0,IF($M11&lt;=$T11,1,0)))</f>
        <v>0</v>
      </c>
      <c r="W11" s="42" t="str">
        <f aca="false">IF(OR($M11="",$L11=""),"",MAX(0,$M11-$L11))</f>
        <v/>
      </c>
      <c r="X11" s="34" t="n">
        <f aca="false">IF($E11="","",IF(AND($O11&lt;&gt;"",$L11&lt;&gt;"",$O11&lt;&gt;$L11),1,0))</f>
        <v>0</v>
      </c>
      <c r="Y11" s="34" t="n">
        <f aca="false">IF($E11="","",IF($N11="Cancelada",0,IF(OR($M11&lt;&gt;"",$N11="Concluída"),1,0)))</f>
        <v>1</v>
      </c>
    </row>
    <row r="12" customFormat="false" ht="15" hidden="false" customHeight="true" outlineLevel="0" collapsed="false">
      <c r="A12" s="34" t="n">
        <f aca="false">IF($E12="","",COUNTA($E$5:$E12))</f>
        <v>8</v>
      </c>
      <c r="B12" s="35" t="s">
        <v>153</v>
      </c>
      <c r="C12" s="35" t="s">
        <v>84</v>
      </c>
      <c r="D12" s="35" t="s">
        <v>150</v>
      </c>
      <c r="E12" s="35" t="s">
        <v>158</v>
      </c>
      <c r="F12" s="36" t="s">
        <v>62</v>
      </c>
      <c r="G12" s="37" t="s">
        <v>66</v>
      </c>
      <c r="H12" s="37" t="s">
        <v>92</v>
      </c>
      <c r="I12" s="37"/>
      <c r="J12" s="38" t="n">
        <v>46258</v>
      </c>
      <c r="K12" s="39" t="s">
        <v>77</v>
      </c>
      <c r="L12" s="40" t="n">
        <f aca="false">IF(OR($J12="",$K12=""),"",$J12+MATCH($K12,Listas!$F$5:$F$11,0)-1)</f>
        <v>46260</v>
      </c>
      <c r="M12" s="41"/>
      <c r="N12" s="36" t="s">
        <v>63</v>
      </c>
      <c r="O12" s="41"/>
      <c r="P12" s="35"/>
      <c r="Q12" s="35" t="s">
        <v>155</v>
      </c>
      <c r="R12" s="42" t="str">
        <f aca="true">IF($E12="","",IF($N12="Cancelada","Cancelada",IF(OR($M12&lt;&gt;"",$N12="Concluída"),IF(OR($L12="",$M12="",$M12&lt;=$L12),"Concluída","Concluída com atraso"),IF($L12="","Na carteira",IF($L12&lt;TODAY(),"VENCIDA",IF($N12="Em execução","Em execução",IF($L12=TODAY(),"Hoje","Programada")))))))</f>
        <v>Concluída</v>
      </c>
      <c r="S12" s="34" t="str">
        <f aca="false">IF($E12="","",IF(ISNUMBER(SEARCH("(externo)",$G12&amp;$H12&amp;$I12)),"Terceirizada","Interna"))</f>
        <v>Interna</v>
      </c>
      <c r="T12" s="40" t="n">
        <f aca="false">IF($L12="","",IF($O12="",$L12,$O12))</f>
        <v>46260</v>
      </c>
      <c r="U12" s="34" t="n">
        <f aca="false">IF($E12="","",IF(OR($M12="",$L12=""),0,IF($M12&lt;=$L12,1,0)))</f>
        <v>0</v>
      </c>
      <c r="V12" s="34" t="n">
        <f aca="false">IF($E12="","",IF(OR($M12="",$T12=""),0,IF($M12&lt;=$T12,1,0)))</f>
        <v>0</v>
      </c>
      <c r="W12" s="42" t="str">
        <f aca="false">IF(OR($M12="",$L12=""),"",MAX(0,$M12-$L12))</f>
        <v/>
      </c>
      <c r="X12" s="34" t="n">
        <f aca="false">IF($E12="","",IF(AND($O12&lt;&gt;"",$L12&lt;&gt;"",$O12&lt;&gt;$L12),1,0))</f>
        <v>0</v>
      </c>
      <c r="Y12" s="34" t="n">
        <f aca="false">IF($E12="","",IF($N12="Cancelada",0,IF(OR($M12&lt;&gt;"",$N12="Concluída"),1,0)))</f>
        <v>1</v>
      </c>
    </row>
    <row r="13" customFormat="false" ht="15" hidden="false" customHeight="true" outlineLevel="0" collapsed="false">
      <c r="A13" s="34" t="n">
        <f aca="false">IF($E13="","",COUNTA($E$5:$E13))</f>
        <v>9</v>
      </c>
      <c r="B13" s="35" t="s">
        <v>153</v>
      </c>
      <c r="C13" s="35" t="s">
        <v>84</v>
      </c>
      <c r="D13" s="35" t="s">
        <v>150</v>
      </c>
      <c r="E13" s="35" t="s">
        <v>159</v>
      </c>
      <c r="F13" s="36" t="s">
        <v>62</v>
      </c>
      <c r="G13" s="37" t="s">
        <v>66</v>
      </c>
      <c r="H13" s="37" t="s">
        <v>92</v>
      </c>
      <c r="I13" s="37"/>
      <c r="J13" s="38" t="n">
        <v>46258</v>
      </c>
      <c r="K13" s="39" t="s">
        <v>77</v>
      </c>
      <c r="L13" s="40" t="n">
        <f aca="false">IF(OR($J13="",$K13=""),"",$J13+MATCH($K13,Listas!$F$5:$F$11,0)-1)</f>
        <v>46260</v>
      </c>
      <c r="M13" s="41"/>
      <c r="N13" s="36" t="s">
        <v>63</v>
      </c>
      <c r="O13" s="41"/>
      <c r="P13" s="35"/>
      <c r="Q13" s="35" t="s">
        <v>155</v>
      </c>
      <c r="R13" s="42" t="str">
        <f aca="true">IF($E13="","",IF($N13="Cancelada","Cancelada",IF(OR($M13&lt;&gt;"",$N13="Concluída"),IF(OR($L13="",$M13="",$M13&lt;=$L13),"Concluída","Concluída com atraso"),IF($L13="","Na carteira",IF($L13&lt;TODAY(),"VENCIDA",IF($N13="Em execução","Em execução",IF($L13=TODAY(),"Hoje","Programada")))))))</f>
        <v>Concluída</v>
      </c>
      <c r="S13" s="34" t="str">
        <f aca="false">IF($E13="","",IF(ISNUMBER(SEARCH("(externo)",$G13&amp;$H13&amp;$I13)),"Terceirizada","Interna"))</f>
        <v>Interna</v>
      </c>
      <c r="T13" s="40" t="n">
        <f aca="false">IF($L13="","",IF($O13="",$L13,$O13))</f>
        <v>46260</v>
      </c>
      <c r="U13" s="34" t="n">
        <f aca="false">IF($E13="","",IF(OR($M13="",$L13=""),0,IF($M13&lt;=$L13,1,0)))</f>
        <v>0</v>
      </c>
      <c r="V13" s="34" t="n">
        <f aca="false">IF($E13="","",IF(OR($M13="",$T13=""),0,IF($M13&lt;=$T13,1,0)))</f>
        <v>0</v>
      </c>
      <c r="W13" s="42" t="str">
        <f aca="false">IF(OR($M13="",$L13=""),"",MAX(0,$M13-$L13))</f>
        <v/>
      </c>
      <c r="X13" s="34" t="n">
        <f aca="false">IF($E13="","",IF(AND($O13&lt;&gt;"",$L13&lt;&gt;"",$O13&lt;&gt;$L13),1,0))</f>
        <v>0</v>
      </c>
      <c r="Y13" s="34" t="n">
        <f aca="false">IF($E13="","",IF($N13="Cancelada",0,IF(OR($M13&lt;&gt;"",$N13="Concluída"),1,0)))</f>
        <v>1</v>
      </c>
    </row>
    <row r="14" customFormat="false" ht="15" hidden="false" customHeight="true" outlineLevel="0" collapsed="false">
      <c r="A14" s="34" t="n">
        <f aca="false">IF($E14="","",COUNTA($E$5:$E14))</f>
        <v>10</v>
      </c>
      <c r="B14" s="35"/>
      <c r="C14" s="35" t="s">
        <v>89</v>
      </c>
      <c r="D14" s="35" t="s">
        <v>160</v>
      </c>
      <c r="E14" s="35" t="s">
        <v>161</v>
      </c>
      <c r="F14" s="36" t="s">
        <v>62</v>
      </c>
      <c r="G14" s="37" t="s">
        <v>101</v>
      </c>
      <c r="H14" s="37"/>
      <c r="I14" s="37"/>
      <c r="J14" s="38" t="n">
        <v>46258</v>
      </c>
      <c r="K14" s="39" t="s">
        <v>71</v>
      </c>
      <c r="L14" s="40" t="n">
        <f aca="false">IF(OR($J14="",$K14=""),"",$J14+MATCH($K14,Listas!$F$5:$F$11,0)-1)</f>
        <v>46259</v>
      </c>
      <c r="M14" s="41"/>
      <c r="N14" s="36" t="s">
        <v>63</v>
      </c>
      <c r="O14" s="41"/>
      <c r="P14" s="35"/>
      <c r="Q14" s="35"/>
      <c r="R14" s="42" t="str">
        <f aca="true">IF($E14="","",IF($N14="Cancelada","Cancelada",IF(OR($M14&lt;&gt;"",$N14="Concluída"),IF(OR($L14="",$M14="",$M14&lt;=$L14),"Concluída","Concluída com atraso"),IF($L14="","Na carteira",IF($L14&lt;TODAY(),"VENCIDA",IF($N14="Em execução","Em execução",IF($L14=TODAY(),"Hoje","Programada")))))))</f>
        <v>Concluída</v>
      </c>
      <c r="S14" s="34" t="str">
        <f aca="false">IF($E14="","",IF(ISNUMBER(SEARCH("(externo)",$G14&amp;$H14&amp;$I14)),"Terceirizada","Interna"))</f>
        <v>Terceirizada</v>
      </c>
      <c r="T14" s="40" t="n">
        <f aca="false">IF($L14="","",IF($O14="",$L14,$O14))</f>
        <v>46259</v>
      </c>
      <c r="U14" s="34" t="n">
        <f aca="false">IF($E14="","",IF(OR($M14="",$L14=""),0,IF($M14&lt;=$L14,1,0)))</f>
        <v>0</v>
      </c>
      <c r="V14" s="34" t="n">
        <f aca="false">IF($E14="","",IF(OR($M14="",$T14=""),0,IF($M14&lt;=$T14,1,0)))</f>
        <v>0</v>
      </c>
      <c r="W14" s="42" t="str">
        <f aca="false">IF(OR($M14="",$L14=""),"",MAX(0,$M14-$L14))</f>
        <v/>
      </c>
      <c r="X14" s="34" t="n">
        <f aca="false">IF($E14="","",IF(AND($O14&lt;&gt;"",$L14&lt;&gt;"",$O14&lt;&gt;$L14),1,0))</f>
        <v>0</v>
      </c>
      <c r="Y14" s="34" t="n">
        <f aca="false">IF($E14="","",IF($N14="Cancelada",0,IF(OR($M14&lt;&gt;"",$N14="Concluída"),1,0)))</f>
        <v>1</v>
      </c>
    </row>
    <row r="15" customFormat="false" ht="15" hidden="false" customHeight="true" outlineLevel="0" collapsed="false">
      <c r="A15" s="34" t="n">
        <f aca="false">IF($E15="","",COUNTA($E$5:$E15))</f>
        <v>11</v>
      </c>
      <c r="B15" s="35"/>
      <c r="C15" s="35" t="s">
        <v>89</v>
      </c>
      <c r="D15" s="35" t="s">
        <v>162</v>
      </c>
      <c r="E15" s="35" t="s">
        <v>163</v>
      </c>
      <c r="F15" s="36" t="s">
        <v>62</v>
      </c>
      <c r="G15" s="37" t="s">
        <v>88</v>
      </c>
      <c r="H15" s="37"/>
      <c r="I15" s="37"/>
      <c r="J15" s="38" t="n">
        <v>46258</v>
      </c>
      <c r="K15" s="39" t="s">
        <v>77</v>
      </c>
      <c r="L15" s="40" t="n">
        <f aca="false">IF(OR($J15="",$K15=""),"",$J15+MATCH($K15,Listas!$F$5:$F$11,0)-1)</f>
        <v>46260</v>
      </c>
      <c r="M15" s="41"/>
      <c r="N15" s="36" t="s">
        <v>63</v>
      </c>
      <c r="O15" s="41"/>
      <c r="P15" s="35"/>
      <c r="Q15" s="35"/>
      <c r="R15" s="42" t="str">
        <f aca="true">IF($E15="","",IF($N15="Cancelada","Cancelada",IF(OR($M15&lt;&gt;"",$N15="Concluída"),IF(OR($L15="",$M15="",$M15&lt;=$L15),"Concluída","Concluída com atraso"),IF($L15="","Na carteira",IF($L15&lt;TODAY(),"VENCIDA",IF($N15="Em execução","Em execução",IF($L15=TODAY(),"Hoje","Programada")))))))</f>
        <v>Concluída</v>
      </c>
      <c r="S15" s="34" t="str">
        <f aca="false">IF($E15="","",IF(ISNUMBER(SEARCH("(externo)",$G15&amp;$H15&amp;$I15)),"Terceirizada","Interna"))</f>
        <v>Interna</v>
      </c>
      <c r="T15" s="40" t="n">
        <f aca="false">IF($L15="","",IF($O15="",$L15,$O15))</f>
        <v>46260</v>
      </c>
      <c r="U15" s="34" t="n">
        <f aca="false">IF($E15="","",IF(OR($M15="",$L15=""),0,IF($M15&lt;=$L15,1,0)))</f>
        <v>0</v>
      </c>
      <c r="V15" s="34" t="n">
        <f aca="false">IF($E15="","",IF(OR($M15="",$T15=""),0,IF($M15&lt;=$T15,1,0)))</f>
        <v>0</v>
      </c>
      <c r="W15" s="42" t="str">
        <f aca="false">IF(OR($M15="",$L15=""),"",MAX(0,$M15-$L15))</f>
        <v/>
      </c>
      <c r="X15" s="34" t="n">
        <f aca="false">IF($E15="","",IF(AND($O15&lt;&gt;"",$L15&lt;&gt;"",$O15&lt;&gt;$L15),1,0))</f>
        <v>0</v>
      </c>
      <c r="Y15" s="34" t="n">
        <f aca="false">IF($E15="","",IF($N15="Cancelada",0,IF(OR($M15&lt;&gt;"",$N15="Concluída"),1,0)))</f>
        <v>1</v>
      </c>
    </row>
    <row r="16" customFormat="false" ht="15" hidden="false" customHeight="true" outlineLevel="0" collapsed="false">
      <c r="A16" s="34" t="n">
        <f aca="false">IF($E16="","",COUNTA($E$5:$E16))</f>
        <v>12</v>
      </c>
      <c r="B16" s="35"/>
      <c r="C16" s="35" t="s">
        <v>89</v>
      </c>
      <c r="D16" s="35" t="s">
        <v>162</v>
      </c>
      <c r="E16" s="35" t="s">
        <v>164</v>
      </c>
      <c r="F16" s="36" t="s">
        <v>62</v>
      </c>
      <c r="G16" s="37" t="s">
        <v>88</v>
      </c>
      <c r="H16" s="37"/>
      <c r="I16" s="37"/>
      <c r="J16" s="38" t="n">
        <v>46258</v>
      </c>
      <c r="K16" s="39" t="s">
        <v>77</v>
      </c>
      <c r="L16" s="40" t="n">
        <f aca="false">IF(OR($J16="",$K16=""),"",$J16+MATCH($K16,Listas!$F$5:$F$11,0)-1)</f>
        <v>46260</v>
      </c>
      <c r="M16" s="41"/>
      <c r="N16" s="36" t="s">
        <v>63</v>
      </c>
      <c r="O16" s="41"/>
      <c r="P16" s="35"/>
      <c r="Q16" s="35"/>
      <c r="R16" s="42" t="str">
        <f aca="true">IF($E16="","",IF($N16="Cancelada","Cancelada",IF(OR($M16&lt;&gt;"",$N16="Concluída"),IF(OR($L16="",$M16="",$M16&lt;=$L16),"Concluída","Concluída com atraso"),IF($L16="","Na carteira",IF($L16&lt;TODAY(),"VENCIDA",IF($N16="Em execução","Em execução",IF($L16=TODAY(),"Hoje","Programada")))))))</f>
        <v>Concluída</v>
      </c>
      <c r="S16" s="34" t="str">
        <f aca="false">IF($E16="","",IF(ISNUMBER(SEARCH("(externo)",$G16&amp;$H16&amp;$I16)),"Terceirizada","Interna"))</f>
        <v>Interna</v>
      </c>
      <c r="T16" s="40" t="n">
        <f aca="false">IF($L16="","",IF($O16="",$L16,$O16))</f>
        <v>46260</v>
      </c>
      <c r="U16" s="34" t="n">
        <f aca="false">IF($E16="","",IF(OR($M16="",$L16=""),0,IF($M16&lt;=$L16,1,0)))</f>
        <v>0</v>
      </c>
      <c r="V16" s="34" t="n">
        <f aca="false">IF($E16="","",IF(OR($M16="",$T16=""),0,IF($M16&lt;=$T16,1,0)))</f>
        <v>0</v>
      </c>
      <c r="W16" s="42" t="str">
        <f aca="false">IF(OR($M16="",$L16=""),"",MAX(0,$M16-$L16))</f>
        <v/>
      </c>
      <c r="X16" s="34" t="n">
        <f aca="false">IF($E16="","",IF(AND($O16&lt;&gt;"",$L16&lt;&gt;"",$O16&lt;&gt;$L16),1,0))</f>
        <v>0</v>
      </c>
      <c r="Y16" s="34" t="n">
        <f aca="false">IF($E16="","",IF($N16="Cancelada",0,IF(OR($M16&lt;&gt;"",$N16="Concluída"),1,0)))</f>
        <v>1</v>
      </c>
    </row>
    <row r="17" customFormat="false" ht="15" hidden="false" customHeight="true" outlineLevel="0" collapsed="false">
      <c r="A17" s="34" t="n">
        <f aca="false">IF($E17="","",COUNTA($E$5:$E17))</f>
        <v>13</v>
      </c>
      <c r="B17" s="35"/>
      <c r="C17" s="35" t="s">
        <v>89</v>
      </c>
      <c r="D17" s="35" t="s">
        <v>162</v>
      </c>
      <c r="E17" s="35" t="s">
        <v>165</v>
      </c>
      <c r="F17" s="36" t="s">
        <v>62</v>
      </c>
      <c r="G17" s="37" t="s">
        <v>88</v>
      </c>
      <c r="H17" s="37"/>
      <c r="I17" s="37"/>
      <c r="J17" s="38" t="n">
        <v>46258</v>
      </c>
      <c r="K17" s="39" t="s">
        <v>77</v>
      </c>
      <c r="L17" s="40" t="n">
        <f aca="false">IF(OR($J17="",$K17=""),"",$J17+MATCH($K17,Listas!$F$5:$F$11,0)-1)</f>
        <v>46260</v>
      </c>
      <c r="M17" s="41"/>
      <c r="N17" s="36" t="s">
        <v>63</v>
      </c>
      <c r="O17" s="41"/>
      <c r="P17" s="35"/>
      <c r="Q17" s="35"/>
      <c r="R17" s="42" t="str">
        <f aca="true">IF($E17="","",IF($N17="Cancelada","Cancelada",IF(OR($M17&lt;&gt;"",$N17="Concluída"),IF(OR($L17="",$M17="",$M17&lt;=$L17),"Concluída","Concluída com atraso"),IF($L17="","Na carteira",IF($L17&lt;TODAY(),"VENCIDA",IF($N17="Em execução","Em execução",IF($L17=TODAY(),"Hoje","Programada")))))))</f>
        <v>Concluída</v>
      </c>
      <c r="S17" s="34" t="str">
        <f aca="false">IF($E17="","",IF(ISNUMBER(SEARCH("(externo)",$G17&amp;$H17&amp;$I17)),"Terceirizada","Interna"))</f>
        <v>Interna</v>
      </c>
      <c r="T17" s="40" t="n">
        <f aca="false">IF($L17="","",IF($O17="",$L17,$O17))</f>
        <v>46260</v>
      </c>
      <c r="U17" s="34" t="n">
        <f aca="false">IF($E17="","",IF(OR($M17="",$L17=""),0,IF($M17&lt;=$L17,1,0)))</f>
        <v>0</v>
      </c>
      <c r="V17" s="34" t="n">
        <f aca="false">IF($E17="","",IF(OR($M17="",$T17=""),0,IF($M17&lt;=$T17,1,0)))</f>
        <v>0</v>
      </c>
      <c r="W17" s="42" t="str">
        <f aca="false">IF(OR($M17="",$L17=""),"",MAX(0,$M17-$L17))</f>
        <v/>
      </c>
      <c r="X17" s="34" t="n">
        <f aca="false">IF($E17="","",IF(AND($O17&lt;&gt;"",$L17&lt;&gt;"",$O17&lt;&gt;$L17),1,0))</f>
        <v>0</v>
      </c>
      <c r="Y17" s="34" t="n">
        <f aca="false">IF($E17="","",IF($N17="Cancelada",0,IF(OR($M17&lt;&gt;"",$N17="Concluída"),1,0)))</f>
        <v>1</v>
      </c>
    </row>
    <row r="18" customFormat="false" ht="15" hidden="false" customHeight="true" outlineLevel="0" collapsed="false">
      <c r="A18" s="34" t="n">
        <f aca="false">IF($E18="","",COUNTA($E$5:$E18))</f>
        <v>14</v>
      </c>
      <c r="B18" s="35"/>
      <c r="C18" s="35" t="s">
        <v>89</v>
      </c>
      <c r="D18" s="35" t="s">
        <v>162</v>
      </c>
      <c r="E18" s="35" t="s">
        <v>166</v>
      </c>
      <c r="F18" s="36" t="s">
        <v>62</v>
      </c>
      <c r="G18" s="37" t="s">
        <v>88</v>
      </c>
      <c r="H18" s="37"/>
      <c r="I18" s="37"/>
      <c r="J18" s="38" t="n">
        <v>46258</v>
      </c>
      <c r="K18" s="39" t="s">
        <v>77</v>
      </c>
      <c r="L18" s="40" t="n">
        <f aca="false">IF(OR($J18="",$K18=""),"",$J18+MATCH($K18,Listas!$F$5:$F$11,0)-1)</f>
        <v>46260</v>
      </c>
      <c r="M18" s="41"/>
      <c r="N18" s="36" t="s">
        <v>63</v>
      </c>
      <c r="O18" s="41"/>
      <c r="P18" s="35"/>
      <c r="Q18" s="35"/>
      <c r="R18" s="42" t="str">
        <f aca="true">IF($E18="","",IF($N18="Cancelada","Cancelada",IF(OR($M18&lt;&gt;"",$N18="Concluída"),IF(OR($L18="",$M18="",$M18&lt;=$L18),"Concluída","Concluída com atraso"),IF($L18="","Na carteira",IF($L18&lt;TODAY(),"VENCIDA",IF($N18="Em execução","Em execução",IF($L18=TODAY(),"Hoje","Programada")))))))</f>
        <v>Concluída</v>
      </c>
      <c r="S18" s="34" t="str">
        <f aca="false">IF($E18="","",IF(ISNUMBER(SEARCH("(externo)",$G18&amp;$H18&amp;$I18)),"Terceirizada","Interna"))</f>
        <v>Interna</v>
      </c>
      <c r="T18" s="40" t="n">
        <f aca="false">IF($L18="","",IF($O18="",$L18,$O18))</f>
        <v>46260</v>
      </c>
      <c r="U18" s="34" t="n">
        <f aca="false">IF($E18="","",IF(OR($M18="",$L18=""),0,IF($M18&lt;=$L18,1,0)))</f>
        <v>0</v>
      </c>
      <c r="V18" s="34" t="n">
        <f aca="false">IF($E18="","",IF(OR($M18="",$T18=""),0,IF($M18&lt;=$T18,1,0)))</f>
        <v>0</v>
      </c>
      <c r="W18" s="42" t="str">
        <f aca="false">IF(OR($M18="",$L18=""),"",MAX(0,$M18-$L18))</f>
        <v/>
      </c>
      <c r="X18" s="34" t="n">
        <f aca="false">IF($E18="","",IF(AND($O18&lt;&gt;"",$L18&lt;&gt;"",$O18&lt;&gt;$L18),1,0))</f>
        <v>0</v>
      </c>
      <c r="Y18" s="34" t="n">
        <f aca="false">IF($E18="","",IF($N18="Cancelada",0,IF(OR($M18&lt;&gt;"",$N18="Concluída"),1,0)))</f>
        <v>1</v>
      </c>
    </row>
    <row r="19" customFormat="false" ht="15" hidden="false" customHeight="true" outlineLevel="0" collapsed="false">
      <c r="A19" s="34" t="n">
        <f aca="false">IF($E19="","",COUNTA($E$5:$E19))</f>
        <v>15</v>
      </c>
      <c r="B19" s="35"/>
      <c r="C19" s="35" t="s">
        <v>89</v>
      </c>
      <c r="D19" s="35" t="s">
        <v>162</v>
      </c>
      <c r="E19" s="35" t="s">
        <v>167</v>
      </c>
      <c r="F19" s="36" t="s">
        <v>62</v>
      </c>
      <c r="G19" s="37" t="s">
        <v>88</v>
      </c>
      <c r="H19" s="37"/>
      <c r="I19" s="37"/>
      <c r="J19" s="38" t="n">
        <v>46258</v>
      </c>
      <c r="K19" s="39" t="s">
        <v>77</v>
      </c>
      <c r="L19" s="40" t="n">
        <f aca="false">IF(OR($J19="",$K19=""),"",$J19+MATCH($K19,Listas!$F$5:$F$11,0)-1)</f>
        <v>46260</v>
      </c>
      <c r="M19" s="41"/>
      <c r="N19" s="36" t="s">
        <v>63</v>
      </c>
      <c r="O19" s="41"/>
      <c r="P19" s="35"/>
      <c r="Q19" s="35"/>
      <c r="R19" s="42" t="str">
        <f aca="true">IF($E19="","",IF($N19="Cancelada","Cancelada",IF(OR($M19&lt;&gt;"",$N19="Concluída"),IF(OR($L19="",$M19="",$M19&lt;=$L19),"Concluída","Concluída com atraso"),IF($L19="","Na carteira",IF($L19&lt;TODAY(),"VENCIDA",IF($N19="Em execução","Em execução",IF($L19=TODAY(),"Hoje","Programada")))))))</f>
        <v>Concluída</v>
      </c>
      <c r="S19" s="34" t="str">
        <f aca="false">IF($E19="","",IF(ISNUMBER(SEARCH("(externo)",$G19&amp;$H19&amp;$I19)),"Terceirizada","Interna"))</f>
        <v>Interna</v>
      </c>
      <c r="T19" s="40" t="n">
        <f aca="false">IF($L19="","",IF($O19="",$L19,$O19))</f>
        <v>46260</v>
      </c>
      <c r="U19" s="34" t="n">
        <f aca="false">IF($E19="","",IF(OR($M19="",$L19=""),0,IF($M19&lt;=$L19,1,0)))</f>
        <v>0</v>
      </c>
      <c r="V19" s="34" t="n">
        <f aca="false">IF($E19="","",IF(OR($M19="",$T19=""),0,IF($M19&lt;=$T19,1,0)))</f>
        <v>0</v>
      </c>
      <c r="W19" s="42" t="str">
        <f aca="false">IF(OR($M19="",$L19=""),"",MAX(0,$M19-$L19))</f>
        <v/>
      </c>
      <c r="X19" s="34" t="n">
        <f aca="false">IF($E19="","",IF(AND($O19&lt;&gt;"",$L19&lt;&gt;"",$O19&lt;&gt;$L19),1,0))</f>
        <v>0</v>
      </c>
      <c r="Y19" s="34" t="n">
        <f aca="false">IF($E19="","",IF($N19="Cancelada",0,IF(OR($M19&lt;&gt;"",$N19="Concluída"),1,0)))</f>
        <v>1</v>
      </c>
    </row>
    <row r="20" customFormat="false" ht="15" hidden="false" customHeight="true" outlineLevel="0" collapsed="false">
      <c r="A20" s="34" t="n">
        <f aca="false">IF($E20="","",COUNTA($E$5:$E20))</f>
        <v>16</v>
      </c>
      <c r="B20" s="35"/>
      <c r="C20" s="35" t="s">
        <v>89</v>
      </c>
      <c r="D20" s="35" t="s">
        <v>162</v>
      </c>
      <c r="E20" s="35" t="s">
        <v>168</v>
      </c>
      <c r="F20" s="36" t="s">
        <v>62</v>
      </c>
      <c r="G20" s="37" t="s">
        <v>88</v>
      </c>
      <c r="H20" s="37"/>
      <c r="I20" s="37"/>
      <c r="J20" s="38" t="n">
        <v>46258</v>
      </c>
      <c r="K20" s="39" t="s">
        <v>77</v>
      </c>
      <c r="L20" s="40" t="n">
        <f aca="false">IF(OR($J20="",$K20=""),"",$J20+MATCH($K20,Listas!$F$5:$F$11,0)-1)</f>
        <v>46260</v>
      </c>
      <c r="M20" s="41"/>
      <c r="N20" s="36" t="s">
        <v>63</v>
      </c>
      <c r="O20" s="41"/>
      <c r="P20" s="35"/>
      <c r="Q20" s="35"/>
      <c r="R20" s="42" t="str">
        <f aca="true">IF($E20="","",IF($N20="Cancelada","Cancelada",IF(OR($M20&lt;&gt;"",$N20="Concluída"),IF(OR($L20="",$M20="",$M20&lt;=$L20),"Concluída","Concluída com atraso"),IF($L20="","Na carteira",IF($L20&lt;TODAY(),"VENCIDA",IF($N20="Em execução","Em execução",IF($L20=TODAY(),"Hoje","Programada")))))))</f>
        <v>Concluída</v>
      </c>
      <c r="S20" s="34" t="str">
        <f aca="false">IF($E20="","",IF(ISNUMBER(SEARCH("(externo)",$G20&amp;$H20&amp;$I20)),"Terceirizada","Interna"))</f>
        <v>Interna</v>
      </c>
      <c r="T20" s="40" t="n">
        <f aca="false">IF($L20="","",IF($O20="",$L20,$O20))</f>
        <v>46260</v>
      </c>
      <c r="U20" s="34" t="n">
        <f aca="false">IF($E20="","",IF(OR($M20="",$L20=""),0,IF($M20&lt;=$L20,1,0)))</f>
        <v>0</v>
      </c>
      <c r="V20" s="34" t="n">
        <f aca="false">IF($E20="","",IF(OR($M20="",$T20=""),0,IF($M20&lt;=$T20,1,0)))</f>
        <v>0</v>
      </c>
      <c r="W20" s="42" t="str">
        <f aca="false">IF(OR($M20="",$L20=""),"",MAX(0,$M20-$L20))</f>
        <v/>
      </c>
      <c r="X20" s="34" t="n">
        <f aca="false">IF($E20="","",IF(AND($O20&lt;&gt;"",$L20&lt;&gt;"",$O20&lt;&gt;$L20),1,0))</f>
        <v>0</v>
      </c>
      <c r="Y20" s="34" t="n">
        <f aca="false">IF($E20="","",IF($N20="Cancelada",0,IF(OR($M20&lt;&gt;"",$N20="Concluída"),1,0)))</f>
        <v>1</v>
      </c>
    </row>
    <row r="21" customFormat="false" ht="15" hidden="false" customHeight="true" outlineLevel="0" collapsed="false">
      <c r="A21" s="34" t="n">
        <f aca="false">IF($E21="","",COUNTA($E$5:$E21))</f>
        <v>17</v>
      </c>
      <c r="B21" s="35"/>
      <c r="C21" s="35" t="s">
        <v>89</v>
      </c>
      <c r="D21" s="35" t="s">
        <v>162</v>
      </c>
      <c r="E21" s="35" t="s">
        <v>169</v>
      </c>
      <c r="F21" s="36" t="s">
        <v>62</v>
      </c>
      <c r="G21" s="37" t="s">
        <v>88</v>
      </c>
      <c r="H21" s="37"/>
      <c r="I21" s="37"/>
      <c r="J21" s="38" t="n">
        <v>46258</v>
      </c>
      <c r="K21" s="39" t="s">
        <v>77</v>
      </c>
      <c r="L21" s="40" t="n">
        <f aca="false">IF(OR($J21="",$K21=""),"",$J21+MATCH($K21,Listas!$F$5:$F$11,0)-1)</f>
        <v>46260</v>
      </c>
      <c r="M21" s="41"/>
      <c r="N21" s="36" t="s">
        <v>63</v>
      </c>
      <c r="O21" s="41"/>
      <c r="P21" s="35"/>
      <c r="Q21" s="35"/>
      <c r="R21" s="42" t="str">
        <f aca="true">IF($E21="","",IF($N21="Cancelada","Cancelada",IF(OR($M21&lt;&gt;"",$N21="Concluída"),IF(OR($L21="",$M21="",$M21&lt;=$L21),"Concluída","Concluída com atraso"),IF($L21="","Na carteira",IF($L21&lt;TODAY(),"VENCIDA",IF($N21="Em execução","Em execução",IF($L21=TODAY(),"Hoje","Programada")))))))</f>
        <v>Concluída</v>
      </c>
      <c r="S21" s="34" t="str">
        <f aca="false">IF($E21="","",IF(ISNUMBER(SEARCH("(externo)",$G21&amp;$H21&amp;$I21)),"Terceirizada","Interna"))</f>
        <v>Interna</v>
      </c>
      <c r="T21" s="40" t="n">
        <f aca="false">IF($L21="","",IF($O21="",$L21,$O21))</f>
        <v>46260</v>
      </c>
      <c r="U21" s="34" t="n">
        <f aca="false">IF($E21="","",IF(OR($M21="",$L21=""),0,IF($M21&lt;=$L21,1,0)))</f>
        <v>0</v>
      </c>
      <c r="V21" s="34" t="n">
        <f aca="false">IF($E21="","",IF(OR($M21="",$T21=""),0,IF($M21&lt;=$T21,1,0)))</f>
        <v>0</v>
      </c>
      <c r="W21" s="42" t="str">
        <f aca="false">IF(OR($M21="",$L21=""),"",MAX(0,$M21-$L21))</f>
        <v/>
      </c>
      <c r="X21" s="34" t="n">
        <f aca="false">IF($E21="","",IF(AND($O21&lt;&gt;"",$L21&lt;&gt;"",$O21&lt;&gt;$L21),1,0))</f>
        <v>0</v>
      </c>
      <c r="Y21" s="34" t="n">
        <f aca="false">IF($E21="","",IF($N21="Cancelada",0,IF(OR($M21&lt;&gt;"",$N21="Concluída"),1,0)))</f>
        <v>1</v>
      </c>
    </row>
    <row r="22" customFormat="false" ht="15" hidden="false" customHeight="true" outlineLevel="0" collapsed="false">
      <c r="A22" s="34" t="n">
        <f aca="false">IF($E22="","",COUNTA($E$5:$E22))</f>
        <v>18</v>
      </c>
      <c r="B22" s="35"/>
      <c r="C22" s="35" t="s">
        <v>89</v>
      </c>
      <c r="D22" s="35" t="s">
        <v>162</v>
      </c>
      <c r="E22" s="35" t="s">
        <v>170</v>
      </c>
      <c r="F22" s="36" t="s">
        <v>62</v>
      </c>
      <c r="G22" s="37" t="s">
        <v>88</v>
      </c>
      <c r="H22" s="37"/>
      <c r="I22" s="37"/>
      <c r="J22" s="38" t="n">
        <v>46258</v>
      </c>
      <c r="K22" s="39" t="s">
        <v>77</v>
      </c>
      <c r="L22" s="40" t="n">
        <f aca="false">IF(OR($J22="",$K22=""),"",$J22+MATCH($K22,Listas!$F$5:$F$11,0)-1)</f>
        <v>46260</v>
      </c>
      <c r="M22" s="41"/>
      <c r="N22" s="36" t="s">
        <v>63</v>
      </c>
      <c r="O22" s="41"/>
      <c r="P22" s="35"/>
      <c r="Q22" s="35"/>
      <c r="R22" s="42" t="str">
        <f aca="true">IF($E22="","",IF($N22="Cancelada","Cancelada",IF(OR($M22&lt;&gt;"",$N22="Concluída"),IF(OR($L22="",$M22="",$M22&lt;=$L22),"Concluída","Concluída com atraso"),IF($L22="","Na carteira",IF($L22&lt;TODAY(),"VENCIDA",IF($N22="Em execução","Em execução",IF($L22=TODAY(),"Hoje","Programada")))))))</f>
        <v>Concluída</v>
      </c>
      <c r="S22" s="34" t="str">
        <f aca="false">IF($E22="","",IF(ISNUMBER(SEARCH("(externo)",$G22&amp;$H22&amp;$I22)),"Terceirizada","Interna"))</f>
        <v>Interna</v>
      </c>
      <c r="T22" s="40" t="n">
        <f aca="false">IF($L22="","",IF($O22="",$L22,$O22))</f>
        <v>46260</v>
      </c>
      <c r="U22" s="34" t="n">
        <f aca="false">IF($E22="","",IF(OR($M22="",$L22=""),0,IF($M22&lt;=$L22,1,0)))</f>
        <v>0</v>
      </c>
      <c r="V22" s="34" t="n">
        <f aca="false">IF($E22="","",IF(OR($M22="",$T22=""),0,IF($M22&lt;=$T22,1,0)))</f>
        <v>0</v>
      </c>
      <c r="W22" s="42" t="str">
        <f aca="false">IF(OR($M22="",$L22=""),"",MAX(0,$M22-$L22))</f>
        <v/>
      </c>
      <c r="X22" s="34" t="n">
        <f aca="false">IF($E22="","",IF(AND($O22&lt;&gt;"",$L22&lt;&gt;"",$O22&lt;&gt;$L22),1,0))</f>
        <v>0</v>
      </c>
      <c r="Y22" s="34" t="n">
        <f aca="false">IF($E22="","",IF($N22="Cancelada",0,IF(OR($M22&lt;&gt;"",$N22="Concluída"),1,0)))</f>
        <v>1</v>
      </c>
    </row>
    <row r="23" customFormat="false" ht="15" hidden="false" customHeight="true" outlineLevel="0" collapsed="false">
      <c r="A23" s="34" t="n">
        <f aca="false">IF($E23="","",COUNTA($E$5:$E23))</f>
        <v>19</v>
      </c>
      <c r="B23" s="35"/>
      <c r="C23" s="35" t="s">
        <v>89</v>
      </c>
      <c r="D23" s="35" t="s">
        <v>162</v>
      </c>
      <c r="E23" s="35" t="s">
        <v>171</v>
      </c>
      <c r="F23" s="36" t="s">
        <v>62</v>
      </c>
      <c r="G23" s="37" t="s">
        <v>88</v>
      </c>
      <c r="H23" s="37"/>
      <c r="I23" s="37"/>
      <c r="J23" s="38" t="n">
        <v>46258</v>
      </c>
      <c r="K23" s="39" t="s">
        <v>77</v>
      </c>
      <c r="L23" s="40" t="n">
        <f aca="false">IF(OR($J23="",$K23=""),"",$J23+MATCH($K23,Listas!$F$5:$F$11,0)-1)</f>
        <v>46260</v>
      </c>
      <c r="M23" s="41"/>
      <c r="N23" s="36" t="s">
        <v>63</v>
      </c>
      <c r="O23" s="41"/>
      <c r="P23" s="35"/>
      <c r="Q23" s="35"/>
      <c r="R23" s="42" t="str">
        <f aca="true">IF($E23="","",IF($N23="Cancelada","Cancelada",IF(OR($M23&lt;&gt;"",$N23="Concluída"),IF(OR($L23="",$M23="",$M23&lt;=$L23),"Concluída","Concluída com atraso"),IF($L23="","Na carteira",IF($L23&lt;TODAY(),"VENCIDA",IF($N23="Em execução","Em execução",IF($L23=TODAY(),"Hoje","Programada")))))))</f>
        <v>Concluída</v>
      </c>
      <c r="S23" s="34" t="str">
        <f aca="false">IF($E23="","",IF(ISNUMBER(SEARCH("(externo)",$G23&amp;$H23&amp;$I23)),"Terceirizada","Interna"))</f>
        <v>Interna</v>
      </c>
      <c r="T23" s="40" t="n">
        <f aca="false">IF($L23="","",IF($O23="",$L23,$O23))</f>
        <v>46260</v>
      </c>
      <c r="U23" s="34" t="n">
        <f aca="false">IF($E23="","",IF(OR($M23="",$L23=""),0,IF($M23&lt;=$L23,1,0)))</f>
        <v>0</v>
      </c>
      <c r="V23" s="34" t="n">
        <f aca="false">IF($E23="","",IF(OR($M23="",$T23=""),0,IF($M23&lt;=$T23,1,0)))</f>
        <v>0</v>
      </c>
      <c r="W23" s="42" t="str">
        <f aca="false">IF(OR($M23="",$L23=""),"",MAX(0,$M23-$L23))</f>
        <v/>
      </c>
      <c r="X23" s="34" t="n">
        <f aca="false">IF($E23="","",IF(AND($O23&lt;&gt;"",$L23&lt;&gt;"",$O23&lt;&gt;$L23),1,0))</f>
        <v>0</v>
      </c>
      <c r="Y23" s="34" t="n">
        <f aca="false">IF($E23="","",IF($N23="Cancelada",0,IF(OR($M23&lt;&gt;"",$N23="Concluída"),1,0)))</f>
        <v>1</v>
      </c>
    </row>
    <row r="24" customFormat="false" ht="15" hidden="false" customHeight="true" outlineLevel="0" collapsed="false">
      <c r="A24" s="34" t="n">
        <f aca="false">IF($E24="","",COUNTA($E$5:$E24))</f>
        <v>20</v>
      </c>
      <c r="B24" s="35"/>
      <c r="C24" s="35" t="s">
        <v>89</v>
      </c>
      <c r="D24" s="35" t="s">
        <v>162</v>
      </c>
      <c r="E24" s="35" t="s">
        <v>172</v>
      </c>
      <c r="F24" s="36" t="s">
        <v>62</v>
      </c>
      <c r="G24" s="37" t="s">
        <v>88</v>
      </c>
      <c r="H24" s="37"/>
      <c r="I24" s="37"/>
      <c r="J24" s="38" t="n">
        <v>46258</v>
      </c>
      <c r="K24" s="39" t="s">
        <v>77</v>
      </c>
      <c r="L24" s="40" t="n">
        <f aca="false">IF(OR($J24="",$K24=""),"",$J24+MATCH($K24,Listas!$F$5:$F$11,0)-1)</f>
        <v>46260</v>
      </c>
      <c r="M24" s="41"/>
      <c r="N24" s="36" t="s">
        <v>63</v>
      </c>
      <c r="O24" s="41"/>
      <c r="P24" s="35"/>
      <c r="Q24" s="35"/>
      <c r="R24" s="42" t="str">
        <f aca="true">IF($E24="","",IF($N24="Cancelada","Cancelada",IF(OR($M24&lt;&gt;"",$N24="Concluída"),IF(OR($L24="",$M24="",$M24&lt;=$L24),"Concluída","Concluída com atraso"),IF($L24="","Na carteira",IF($L24&lt;TODAY(),"VENCIDA",IF($N24="Em execução","Em execução",IF($L24=TODAY(),"Hoje","Programada")))))))</f>
        <v>Concluída</v>
      </c>
      <c r="S24" s="34" t="str">
        <f aca="false">IF($E24="","",IF(ISNUMBER(SEARCH("(externo)",$G24&amp;$H24&amp;$I24)),"Terceirizada","Interna"))</f>
        <v>Interna</v>
      </c>
      <c r="T24" s="40" t="n">
        <f aca="false">IF($L24="","",IF($O24="",$L24,$O24))</f>
        <v>46260</v>
      </c>
      <c r="U24" s="34" t="n">
        <f aca="false">IF($E24="","",IF(OR($M24="",$L24=""),0,IF($M24&lt;=$L24,1,0)))</f>
        <v>0</v>
      </c>
      <c r="V24" s="34" t="n">
        <f aca="false">IF($E24="","",IF(OR($M24="",$T24=""),0,IF($M24&lt;=$T24,1,0)))</f>
        <v>0</v>
      </c>
      <c r="W24" s="42" t="str">
        <f aca="false">IF(OR($M24="",$L24=""),"",MAX(0,$M24-$L24))</f>
        <v/>
      </c>
      <c r="X24" s="34" t="n">
        <f aca="false">IF($E24="","",IF(AND($O24&lt;&gt;"",$L24&lt;&gt;"",$O24&lt;&gt;$L24),1,0))</f>
        <v>0</v>
      </c>
      <c r="Y24" s="34" t="n">
        <f aca="false">IF($E24="","",IF($N24="Cancelada",0,IF(OR($M24&lt;&gt;"",$N24="Concluída"),1,0)))</f>
        <v>1</v>
      </c>
    </row>
    <row r="25" customFormat="false" ht="15" hidden="false" customHeight="true" outlineLevel="0" collapsed="false">
      <c r="A25" s="34" t="n">
        <f aca="false">IF($E25="","",COUNTA($E$5:$E25))</f>
        <v>21</v>
      </c>
      <c r="B25" s="35"/>
      <c r="C25" s="35" t="s">
        <v>89</v>
      </c>
      <c r="D25" s="35" t="s">
        <v>162</v>
      </c>
      <c r="E25" s="35" t="s">
        <v>173</v>
      </c>
      <c r="F25" s="36" t="s">
        <v>62</v>
      </c>
      <c r="G25" s="37" t="s">
        <v>88</v>
      </c>
      <c r="H25" s="37"/>
      <c r="I25" s="37"/>
      <c r="J25" s="38" t="n">
        <v>46258</v>
      </c>
      <c r="K25" s="39" t="s">
        <v>77</v>
      </c>
      <c r="L25" s="40" t="n">
        <f aca="false">IF(OR($J25="",$K25=""),"",$J25+MATCH($K25,Listas!$F$5:$F$11,0)-1)</f>
        <v>46260</v>
      </c>
      <c r="M25" s="41"/>
      <c r="N25" s="36" t="s">
        <v>63</v>
      </c>
      <c r="O25" s="41"/>
      <c r="P25" s="35"/>
      <c r="Q25" s="35"/>
      <c r="R25" s="42" t="str">
        <f aca="true">IF($E25="","",IF($N25="Cancelada","Cancelada",IF(OR($M25&lt;&gt;"",$N25="Concluída"),IF(OR($L25="",$M25="",$M25&lt;=$L25),"Concluída","Concluída com atraso"),IF($L25="","Na carteira",IF($L25&lt;TODAY(),"VENCIDA",IF($N25="Em execução","Em execução",IF($L25=TODAY(),"Hoje","Programada")))))))</f>
        <v>Concluída</v>
      </c>
      <c r="S25" s="34" t="str">
        <f aca="false">IF($E25="","",IF(ISNUMBER(SEARCH("(externo)",$G25&amp;$H25&amp;$I25)),"Terceirizada","Interna"))</f>
        <v>Interna</v>
      </c>
      <c r="T25" s="40" t="n">
        <f aca="false">IF($L25="","",IF($O25="",$L25,$O25))</f>
        <v>46260</v>
      </c>
      <c r="U25" s="34" t="n">
        <f aca="false">IF($E25="","",IF(OR($M25="",$L25=""),0,IF($M25&lt;=$L25,1,0)))</f>
        <v>0</v>
      </c>
      <c r="V25" s="34" t="n">
        <f aca="false">IF($E25="","",IF(OR($M25="",$T25=""),0,IF($M25&lt;=$T25,1,0)))</f>
        <v>0</v>
      </c>
      <c r="W25" s="42" t="str">
        <f aca="false">IF(OR($M25="",$L25=""),"",MAX(0,$M25-$L25))</f>
        <v/>
      </c>
      <c r="X25" s="34" t="n">
        <f aca="false">IF($E25="","",IF(AND($O25&lt;&gt;"",$L25&lt;&gt;"",$O25&lt;&gt;$L25),1,0))</f>
        <v>0</v>
      </c>
      <c r="Y25" s="34" t="n">
        <f aca="false">IF($E25="","",IF($N25="Cancelada",0,IF(OR($M25&lt;&gt;"",$N25="Concluída"),1,0)))</f>
        <v>1</v>
      </c>
    </row>
    <row r="26" customFormat="false" ht="15" hidden="false" customHeight="true" outlineLevel="0" collapsed="false">
      <c r="A26" s="34" t="n">
        <f aca="false">IF($E26="","",COUNTA($E$5:$E26))</f>
        <v>22</v>
      </c>
      <c r="B26" s="35"/>
      <c r="C26" s="35" t="s">
        <v>89</v>
      </c>
      <c r="D26" s="35" t="s">
        <v>162</v>
      </c>
      <c r="E26" s="35" t="s">
        <v>174</v>
      </c>
      <c r="F26" s="36" t="s">
        <v>62</v>
      </c>
      <c r="G26" s="37" t="s">
        <v>88</v>
      </c>
      <c r="H26" s="37"/>
      <c r="I26" s="37"/>
      <c r="J26" s="38" t="n">
        <v>46258</v>
      </c>
      <c r="K26" s="39" t="s">
        <v>77</v>
      </c>
      <c r="L26" s="40" t="n">
        <f aca="false">IF(OR($J26="",$K26=""),"",$J26+MATCH($K26,Listas!$F$5:$F$11,0)-1)</f>
        <v>46260</v>
      </c>
      <c r="M26" s="41"/>
      <c r="N26" s="36" t="s">
        <v>63</v>
      </c>
      <c r="O26" s="41"/>
      <c r="P26" s="35"/>
      <c r="Q26" s="35"/>
      <c r="R26" s="42" t="str">
        <f aca="true">IF($E26="","",IF($N26="Cancelada","Cancelada",IF(OR($M26&lt;&gt;"",$N26="Concluída"),IF(OR($L26="",$M26="",$M26&lt;=$L26),"Concluída","Concluída com atraso"),IF($L26="","Na carteira",IF($L26&lt;TODAY(),"VENCIDA",IF($N26="Em execução","Em execução",IF($L26=TODAY(),"Hoje","Programada")))))))</f>
        <v>Concluída</v>
      </c>
      <c r="S26" s="34" t="str">
        <f aca="false">IF($E26="","",IF(ISNUMBER(SEARCH("(externo)",$G26&amp;$H26&amp;$I26)),"Terceirizada","Interna"))</f>
        <v>Interna</v>
      </c>
      <c r="T26" s="40" t="n">
        <f aca="false">IF($L26="","",IF($O26="",$L26,$O26))</f>
        <v>46260</v>
      </c>
      <c r="U26" s="34" t="n">
        <f aca="false">IF($E26="","",IF(OR($M26="",$L26=""),0,IF($M26&lt;=$L26,1,0)))</f>
        <v>0</v>
      </c>
      <c r="V26" s="34" t="n">
        <f aca="false">IF($E26="","",IF(OR($M26="",$T26=""),0,IF($M26&lt;=$T26,1,0)))</f>
        <v>0</v>
      </c>
      <c r="W26" s="42" t="str">
        <f aca="false">IF(OR($M26="",$L26=""),"",MAX(0,$M26-$L26))</f>
        <v/>
      </c>
      <c r="X26" s="34" t="n">
        <f aca="false">IF($E26="","",IF(AND($O26&lt;&gt;"",$L26&lt;&gt;"",$O26&lt;&gt;$L26),1,0))</f>
        <v>0</v>
      </c>
      <c r="Y26" s="34" t="n">
        <f aca="false">IF($E26="","",IF($N26="Cancelada",0,IF(OR($M26&lt;&gt;"",$N26="Concluída"),1,0)))</f>
        <v>1</v>
      </c>
    </row>
    <row r="27" customFormat="false" ht="15" hidden="false" customHeight="true" outlineLevel="0" collapsed="false">
      <c r="A27" s="34" t="n">
        <f aca="false">IF($E27="","",COUNTA($E$5:$E27))</f>
        <v>23</v>
      </c>
      <c r="B27" s="35"/>
      <c r="C27" s="35" t="s">
        <v>93</v>
      </c>
      <c r="D27" s="35" t="s">
        <v>175</v>
      </c>
      <c r="E27" s="35" t="s">
        <v>176</v>
      </c>
      <c r="F27" s="36" t="s">
        <v>62</v>
      </c>
      <c r="G27" s="37" t="s">
        <v>96</v>
      </c>
      <c r="H27" s="37"/>
      <c r="I27" s="37"/>
      <c r="J27" s="38" t="n">
        <v>46258</v>
      </c>
      <c r="K27" s="39" t="s">
        <v>65</v>
      </c>
      <c r="L27" s="40" t="n">
        <f aca="false">IF(OR($J27="",$K27=""),"",$J27+MATCH($K27,Listas!$F$5:$F$11,0)-1)</f>
        <v>46258</v>
      </c>
      <c r="M27" s="41"/>
      <c r="N27" s="36" t="s">
        <v>63</v>
      </c>
      <c r="O27" s="41"/>
      <c r="P27" s="35"/>
      <c r="Q27" s="35"/>
      <c r="R27" s="42" t="str">
        <f aca="true">IF($E27="","",IF($N27="Cancelada","Cancelada",IF(OR($M27&lt;&gt;"",$N27="Concluída"),IF(OR($L27="",$M27="",$M27&lt;=$L27),"Concluída","Concluída com atraso"),IF($L27="","Na carteira",IF($L27&lt;TODAY(),"VENCIDA",IF($N27="Em execução","Em execução",IF($L27=TODAY(),"Hoje","Programada")))))))</f>
        <v>Concluída</v>
      </c>
      <c r="S27" s="34" t="str">
        <f aca="false">IF($E27="","",IF(ISNUMBER(SEARCH("(externo)",$G27&amp;$H27&amp;$I27)),"Terceirizada","Interna"))</f>
        <v>Interna</v>
      </c>
      <c r="T27" s="40" t="n">
        <f aca="false">IF($L27="","",IF($O27="",$L27,$O27))</f>
        <v>46258</v>
      </c>
      <c r="U27" s="34" t="n">
        <f aca="false">IF($E27="","",IF(OR($M27="",$L27=""),0,IF($M27&lt;=$L27,1,0)))</f>
        <v>0</v>
      </c>
      <c r="V27" s="34" t="n">
        <f aca="false">IF($E27="","",IF(OR($M27="",$T27=""),0,IF($M27&lt;=$T27,1,0)))</f>
        <v>0</v>
      </c>
      <c r="W27" s="42" t="str">
        <f aca="false">IF(OR($M27="",$L27=""),"",MAX(0,$M27-$L27))</f>
        <v/>
      </c>
      <c r="X27" s="34" t="n">
        <f aca="false">IF($E27="","",IF(AND($O27&lt;&gt;"",$L27&lt;&gt;"",$O27&lt;&gt;$L27),1,0))</f>
        <v>0</v>
      </c>
      <c r="Y27" s="34" t="n">
        <f aca="false">IF($E27="","",IF($N27="Cancelada",0,IF(OR($M27&lt;&gt;"",$N27="Concluída"),1,0)))</f>
        <v>1</v>
      </c>
    </row>
    <row r="28" customFormat="false" ht="15" hidden="false" customHeight="true" outlineLevel="0" collapsed="false">
      <c r="A28" s="34" t="n">
        <f aca="false">IF($E28="","",COUNTA($E$5:$E28))</f>
        <v>24</v>
      </c>
      <c r="B28" s="35"/>
      <c r="C28" s="35" t="s">
        <v>93</v>
      </c>
      <c r="D28" s="35" t="s">
        <v>175</v>
      </c>
      <c r="E28" s="35" t="s">
        <v>177</v>
      </c>
      <c r="F28" s="36" t="s">
        <v>62</v>
      </c>
      <c r="G28" s="37" t="s">
        <v>96</v>
      </c>
      <c r="H28" s="37"/>
      <c r="I28" s="37"/>
      <c r="J28" s="38" t="n">
        <v>46258</v>
      </c>
      <c r="K28" s="39" t="s">
        <v>65</v>
      </c>
      <c r="L28" s="40" t="n">
        <f aca="false">IF(OR($J28="",$K28=""),"",$J28+MATCH($K28,Listas!$F$5:$F$11,0)-1)</f>
        <v>46258</v>
      </c>
      <c r="M28" s="41"/>
      <c r="N28" s="36" t="s">
        <v>63</v>
      </c>
      <c r="O28" s="41"/>
      <c r="P28" s="35"/>
      <c r="Q28" s="35"/>
      <c r="R28" s="42" t="str">
        <f aca="true">IF($E28="","",IF($N28="Cancelada","Cancelada",IF(OR($M28&lt;&gt;"",$N28="Concluída"),IF(OR($L28="",$M28="",$M28&lt;=$L28),"Concluída","Concluída com atraso"),IF($L28="","Na carteira",IF($L28&lt;TODAY(),"VENCIDA",IF($N28="Em execução","Em execução",IF($L28=TODAY(),"Hoje","Programada")))))))</f>
        <v>Concluída</v>
      </c>
      <c r="S28" s="34" t="str">
        <f aca="false">IF($E28="","",IF(ISNUMBER(SEARCH("(externo)",$G28&amp;$H28&amp;$I28)),"Terceirizada","Interna"))</f>
        <v>Interna</v>
      </c>
      <c r="T28" s="40" t="n">
        <f aca="false">IF($L28="","",IF($O28="",$L28,$O28))</f>
        <v>46258</v>
      </c>
      <c r="U28" s="34" t="n">
        <f aca="false">IF($E28="","",IF(OR($M28="",$L28=""),0,IF($M28&lt;=$L28,1,0)))</f>
        <v>0</v>
      </c>
      <c r="V28" s="34" t="n">
        <f aca="false">IF($E28="","",IF(OR($M28="",$T28=""),0,IF($M28&lt;=$T28,1,0)))</f>
        <v>0</v>
      </c>
      <c r="W28" s="42" t="str">
        <f aca="false">IF(OR($M28="",$L28=""),"",MAX(0,$M28-$L28))</f>
        <v/>
      </c>
      <c r="X28" s="34" t="n">
        <f aca="false">IF($E28="","",IF(AND($O28&lt;&gt;"",$L28&lt;&gt;"",$O28&lt;&gt;$L28),1,0))</f>
        <v>0</v>
      </c>
      <c r="Y28" s="34" t="n">
        <f aca="false">IF($E28="","",IF($N28="Cancelada",0,IF(OR($M28&lt;&gt;"",$N28="Concluída"),1,0)))</f>
        <v>1</v>
      </c>
    </row>
    <row r="29" customFormat="false" ht="15" hidden="false" customHeight="true" outlineLevel="0" collapsed="false">
      <c r="A29" s="34" t="n">
        <f aca="false">IF($E29="","",COUNTA($E$5:$E29))</f>
        <v>25</v>
      </c>
      <c r="B29" s="35"/>
      <c r="C29" s="35" t="s">
        <v>97</v>
      </c>
      <c r="D29" s="35" t="s">
        <v>68</v>
      </c>
      <c r="E29" s="35" t="s">
        <v>178</v>
      </c>
      <c r="F29" s="36" t="s">
        <v>68</v>
      </c>
      <c r="G29" s="37" t="s">
        <v>60</v>
      </c>
      <c r="H29" s="37" t="s">
        <v>78</v>
      </c>
      <c r="I29" s="37"/>
      <c r="J29" s="38" t="n">
        <v>46258</v>
      </c>
      <c r="K29" s="39" t="s">
        <v>82</v>
      </c>
      <c r="L29" s="40" t="n">
        <f aca="false">IF(OR($J29="",$K29=""),"",$J29+MATCH($K29,Listas!$F$5:$F$11,0)-1)</f>
        <v>46261</v>
      </c>
      <c r="M29" s="41"/>
      <c r="N29" s="36"/>
      <c r="O29" s="41" t="n">
        <v>46260</v>
      </c>
      <c r="P29" s="35"/>
      <c r="Q29" s="35" t="s">
        <v>179</v>
      </c>
      <c r="R29" s="42" t="str">
        <f aca="true">IF($E29="","",IF($N29="Cancelada","Cancelada",IF(OR($M29&lt;&gt;"",$N29="Concluída"),IF(OR($L29="",$M29="",$M29&lt;=$L29),"Concluída","Concluída com atraso"),IF($L29="","Na carteira",IF($L29&lt;TODAY(),"VENCIDA",IF($N29="Em execução","Em execução",IF($L29=TODAY(),"Hoje","Programada")))))))</f>
        <v>Hoje</v>
      </c>
      <c r="S29" s="34" t="str">
        <f aca="false">IF($E29="","",IF(ISNUMBER(SEARCH("(externo)",$G29&amp;$H29&amp;$I29)),"Terceirizada","Interna"))</f>
        <v>Interna</v>
      </c>
      <c r="T29" s="40" t="n">
        <f aca="false">IF($L29="","",IF($O29="",$L29,$O29))</f>
        <v>46260</v>
      </c>
      <c r="U29" s="34" t="n">
        <f aca="false">IF($E29="","",IF(OR($M29="",$L29=""),0,IF($M29&lt;=$L29,1,0)))</f>
        <v>0</v>
      </c>
      <c r="V29" s="34" t="n">
        <f aca="false">IF($E29="","",IF(OR($M29="",$T29=""),0,IF($M29&lt;=$T29,1,0)))</f>
        <v>0</v>
      </c>
      <c r="W29" s="42" t="str">
        <f aca="false">IF(OR($M29="",$L29=""),"",MAX(0,$M29-$L29))</f>
        <v/>
      </c>
      <c r="X29" s="34" t="n">
        <f aca="false">IF($E29="","",IF(AND($O29&lt;&gt;"",$L29&lt;&gt;"",$O29&lt;&gt;$L29),1,0))</f>
        <v>1</v>
      </c>
      <c r="Y29" s="34" t="n">
        <f aca="false">IF($E29="","",IF($N29="Cancelada",0,IF(OR($M29&lt;&gt;"",$N29="Concluída"),1,0)))</f>
        <v>0</v>
      </c>
    </row>
    <row r="30" customFormat="false" ht="15" hidden="false" customHeight="true" outlineLevel="0" collapsed="false">
      <c r="A30" s="34" t="n">
        <f aca="false">IF($E30="","",COUNTA($E$5:$E30))</f>
        <v>26</v>
      </c>
      <c r="B30" s="35"/>
      <c r="C30" s="35" t="s">
        <v>97</v>
      </c>
      <c r="D30" s="35" t="s">
        <v>68</v>
      </c>
      <c r="E30" s="35" t="s">
        <v>180</v>
      </c>
      <c r="F30" s="36" t="s">
        <v>68</v>
      </c>
      <c r="G30" s="37" t="s">
        <v>60</v>
      </c>
      <c r="H30" s="37" t="s">
        <v>78</v>
      </c>
      <c r="I30" s="37"/>
      <c r="J30" s="38" t="n">
        <v>46258</v>
      </c>
      <c r="K30" s="39" t="s">
        <v>82</v>
      </c>
      <c r="L30" s="40" t="n">
        <f aca="false">IF(OR($J30="",$K30=""),"",$J30+MATCH($K30,Listas!$F$5:$F$11,0)-1)</f>
        <v>46261</v>
      </c>
      <c r="M30" s="41"/>
      <c r="N30" s="36"/>
      <c r="O30" s="41" t="n">
        <v>46260</v>
      </c>
      <c r="P30" s="35"/>
      <c r="Q30" s="35" t="s">
        <v>179</v>
      </c>
      <c r="R30" s="42" t="str">
        <f aca="true">IF($E30="","",IF($N30="Cancelada","Cancelada",IF(OR($M30&lt;&gt;"",$N30="Concluída"),IF(OR($L30="",$M30="",$M30&lt;=$L30),"Concluída","Concluída com atraso"),IF($L30="","Na carteira",IF($L30&lt;TODAY(),"VENCIDA",IF($N30="Em execução","Em execução",IF($L30=TODAY(),"Hoje","Programada")))))))</f>
        <v>Hoje</v>
      </c>
      <c r="S30" s="34" t="str">
        <f aca="false">IF($E30="","",IF(ISNUMBER(SEARCH("(externo)",$G30&amp;$H30&amp;$I30)),"Terceirizada","Interna"))</f>
        <v>Interna</v>
      </c>
      <c r="T30" s="40" t="n">
        <f aca="false">IF($L30="","",IF($O30="",$L30,$O30))</f>
        <v>46260</v>
      </c>
      <c r="U30" s="34" t="n">
        <f aca="false">IF($E30="","",IF(OR($M30="",$L30=""),0,IF($M30&lt;=$L30,1,0)))</f>
        <v>0</v>
      </c>
      <c r="V30" s="34" t="n">
        <f aca="false">IF($E30="","",IF(OR($M30="",$T30=""),0,IF($M30&lt;=$T30,1,0)))</f>
        <v>0</v>
      </c>
      <c r="W30" s="42" t="str">
        <f aca="false">IF(OR($M30="",$L30=""),"",MAX(0,$M30-$L30))</f>
        <v/>
      </c>
      <c r="X30" s="34" t="n">
        <f aca="false">IF($E30="","",IF(AND($O30&lt;&gt;"",$L30&lt;&gt;"",$O30&lt;&gt;$L30),1,0))</f>
        <v>1</v>
      </c>
      <c r="Y30" s="34" t="n">
        <f aca="false">IF($E30="","",IF($N30="Cancelada",0,IF(OR($M30&lt;&gt;"",$N30="Concluída"),1,0)))</f>
        <v>0</v>
      </c>
    </row>
    <row r="31" customFormat="false" ht="15" hidden="false" customHeight="true" outlineLevel="0" collapsed="false">
      <c r="A31" s="34" t="n">
        <f aca="false">IF($E31="","",COUNTA($E$5:$E31))</f>
        <v>27</v>
      </c>
      <c r="B31" s="35"/>
      <c r="C31" s="35" t="s">
        <v>97</v>
      </c>
      <c r="D31" s="35" t="s">
        <v>68</v>
      </c>
      <c r="E31" s="35" t="s">
        <v>181</v>
      </c>
      <c r="F31" s="36" t="s">
        <v>68</v>
      </c>
      <c r="G31" s="37" t="s">
        <v>60</v>
      </c>
      <c r="H31" s="37" t="s">
        <v>78</v>
      </c>
      <c r="I31" s="37"/>
      <c r="J31" s="38" t="n">
        <v>46258</v>
      </c>
      <c r="K31" s="39" t="s">
        <v>82</v>
      </c>
      <c r="L31" s="40" t="n">
        <f aca="false">IF(OR($J31="",$K31=""),"",$J31+MATCH($K31,Listas!$F$5:$F$11,0)-1)</f>
        <v>46261</v>
      </c>
      <c r="M31" s="41"/>
      <c r="N31" s="36"/>
      <c r="O31" s="41" t="n">
        <v>46260</v>
      </c>
      <c r="P31" s="35"/>
      <c r="Q31" s="35" t="s">
        <v>179</v>
      </c>
      <c r="R31" s="42" t="str">
        <f aca="true">IF($E31="","",IF($N31="Cancelada","Cancelada",IF(OR($M31&lt;&gt;"",$N31="Concluída"),IF(OR($L31="",$M31="",$M31&lt;=$L31),"Concluída","Concluída com atraso"),IF($L31="","Na carteira",IF($L31&lt;TODAY(),"VENCIDA",IF($N31="Em execução","Em execução",IF($L31=TODAY(),"Hoje","Programada")))))))</f>
        <v>Hoje</v>
      </c>
      <c r="S31" s="34" t="str">
        <f aca="false">IF($E31="","",IF(ISNUMBER(SEARCH("(externo)",$G31&amp;$H31&amp;$I31)),"Terceirizada","Interna"))</f>
        <v>Interna</v>
      </c>
      <c r="T31" s="40" t="n">
        <f aca="false">IF($L31="","",IF($O31="",$L31,$O31))</f>
        <v>46260</v>
      </c>
      <c r="U31" s="34" t="n">
        <f aca="false">IF($E31="","",IF(OR($M31="",$L31=""),0,IF($M31&lt;=$L31,1,0)))</f>
        <v>0</v>
      </c>
      <c r="V31" s="34" t="n">
        <f aca="false">IF($E31="","",IF(OR($M31="",$T31=""),0,IF($M31&lt;=$T31,1,0)))</f>
        <v>0</v>
      </c>
      <c r="W31" s="42" t="str">
        <f aca="false">IF(OR($M31="",$L31=""),"",MAX(0,$M31-$L31))</f>
        <v/>
      </c>
      <c r="X31" s="34" t="n">
        <f aca="false">IF($E31="","",IF(AND($O31&lt;&gt;"",$L31&lt;&gt;"",$O31&lt;&gt;$L31),1,0))</f>
        <v>1</v>
      </c>
      <c r="Y31" s="34" t="n">
        <f aca="false">IF($E31="","",IF($N31="Cancelada",0,IF(OR($M31&lt;&gt;"",$N31="Concluída"),1,0)))</f>
        <v>0</v>
      </c>
    </row>
    <row r="32" customFormat="false" ht="15" hidden="false" customHeight="true" outlineLevel="0" collapsed="false">
      <c r="A32" s="34" t="n">
        <f aca="false">IF($E32="","",COUNTA($E$5:$E32))</f>
        <v>28</v>
      </c>
      <c r="B32" s="35"/>
      <c r="C32" s="35" t="s">
        <v>97</v>
      </c>
      <c r="D32" s="35" t="s">
        <v>68</v>
      </c>
      <c r="E32" s="35" t="s">
        <v>182</v>
      </c>
      <c r="F32" s="36" t="s">
        <v>68</v>
      </c>
      <c r="G32" s="37" t="s">
        <v>60</v>
      </c>
      <c r="H32" s="37" t="s">
        <v>78</v>
      </c>
      <c r="I32" s="37"/>
      <c r="J32" s="38" t="n">
        <v>46258</v>
      </c>
      <c r="K32" s="39" t="s">
        <v>82</v>
      </c>
      <c r="L32" s="40" t="n">
        <f aca="false">IF(OR($J32="",$K32=""),"",$J32+MATCH($K32,Listas!$F$5:$F$11,0)-1)</f>
        <v>46261</v>
      </c>
      <c r="M32" s="41"/>
      <c r="N32" s="36"/>
      <c r="O32" s="41" t="n">
        <v>46260</v>
      </c>
      <c r="P32" s="35"/>
      <c r="Q32" s="35" t="s">
        <v>179</v>
      </c>
      <c r="R32" s="42" t="str">
        <f aca="true">IF($E32="","",IF($N32="Cancelada","Cancelada",IF(OR($M32&lt;&gt;"",$N32="Concluída"),IF(OR($L32="",$M32="",$M32&lt;=$L32),"Concluída","Concluída com atraso"),IF($L32="","Na carteira",IF($L32&lt;TODAY(),"VENCIDA",IF($N32="Em execução","Em execução",IF($L32=TODAY(),"Hoje","Programada")))))))</f>
        <v>Hoje</v>
      </c>
      <c r="S32" s="34" t="str">
        <f aca="false">IF($E32="","",IF(ISNUMBER(SEARCH("(externo)",$G32&amp;$H32&amp;$I32)),"Terceirizada","Interna"))</f>
        <v>Interna</v>
      </c>
      <c r="T32" s="40" t="n">
        <f aca="false">IF($L32="","",IF($O32="",$L32,$O32))</f>
        <v>46260</v>
      </c>
      <c r="U32" s="34" t="n">
        <f aca="false">IF($E32="","",IF(OR($M32="",$L32=""),0,IF($M32&lt;=$L32,1,0)))</f>
        <v>0</v>
      </c>
      <c r="V32" s="34" t="n">
        <f aca="false">IF($E32="","",IF(OR($M32="",$T32=""),0,IF($M32&lt;=$T32,1,0)))</f>
        <v>0</v>
      </c>
      <c r="W32" s="42" t="str">
        <f aca="false">IF(OR($M32="",$L32=""),"",MAX(0,$M32-$L32))</f>
        <v/>
      </c>
      <c r="X32" s="34" t="n">
        <f aca="false">IF($E32="","",IF(AND($O32&lt;&gt;"",$L32&lt;&gt;"",$O32&lt;&gt;$L32),1,0))</f>
        <v>1</v>
      </c>
      <c r="Y32" s="34" t="n">
        <f aca="false">IF($E32="","",IF($N32="Cancelada",0,IF(OR($M32&lt;&gt;"",$N32="Concluída"),1,0)))</f>
        <v>0</v>
      </c>
    </row>
    <row r="33" customFormat="false" ht="15" hidden="false" customHeight="true" outlineLevel="0" collapsed="false">
      <c r="A33" s="34" t="n">
        <f aca="false">IF($E33="","",COUNTA($E$5:$E33))</f>
        <v>29</v>
      </c>
      <c r="B33" s="35"/>
      <c r="C33" s="35" t="s">
        <v>97</v>
      </c>
      <c r="D33" s="35" t="s">
        <v>68</v>
      </c>
      <c r="E33" s="35" t="s">
        <v>183</v>
      </c>
      <c r="F33" s="36" t="s">
        <v>68</v>
      </c>
      <c r="G33" s="37" t="s">
        <v>60</v>
      </c>
      <c r="H33" s="37" t="s">
        <v>78</v>
      </c>
      <c r="I33" s="37"/>
      <c r="J33" s="38" t="n">
        <v>46258</v>
      </c>
      <c r="K33" s="39" t="s">
        <v>82</v>
      </c>
      <c r="L33" s="40" t="n">
        <f aca="false">IF(OR($J33="",$K33=""),"",$J33+MATCH($K33,Listas!$F$5:$F$11,0)-1)</f>
        <v>46261</v>
      </c>
      <c r="M33" s="41"/>
      <c r="N33" s="36"/>
      <c r="O33" s="41" t="n">
        <v>46260</v>
      </c>
      <c r="P33" s="35"/>
      <c r="Q33" s="35" t="s">
        <v>179</v>
      </c>
      <c r="R33" s="42" t="str">
        <f aca="true">IF($E33="","",IF($N33="Cancelada","Cancelada",IF(OR($M33&lt;&gt;"",$N33="Concluída"),IF(OR($L33="",$M33="",$M33&lt;=$L33),"Concluída","Concluída com atraso"),IF($L33="","Na carteira",IF($L33&lt;TODAY(),"VENCIDA",IF($N33="Em execução","Em execução",IF($L33=TODAY(),"Hoje","Programada")))))))</f>
        <v>Hoje</v>
      </c>
      <c r="S33" s="34" t="str">
        <f aca="false">IF($E33="","",IF(ISNUMBER(SEARCH("(externo)",$G33&amp;$H33&amp;$I33)),"Terceirizada","Interna"))</f>
        <v>Interna</v>
      </c>
      <c r="T33" s="40" t="n">
        <f aca="false">IF($L33="","",IF($O33="",$L33,$O33))</f>
        <v>46260</v>
      </c>
      <c r="U33" s="34" t="n">
        <f aca="false">IF($E33="","",IF(OR($M33="",$L33=""),0,IF($M33&lt;=$L33,1,0)))</f>
        <v>0</v>
      </c>
      <c r="V33" s="34" t="n">
        <f aca="false">IF($E33="","",IF(OR($M33="",$T33=""),0,IF($M33&lt;=$T33,1,0)))</f>
        <v>0</v>
      </c>
      <c r="W33" s="42" t="str">
        <f aca="false">IF(OR($M33="",$L33=""),"",MAX(0,$M33-$L33))</f>
        <v/>
      </c>
      <c r="X33" s="34" t="n">
        <f aca="false">IF($E33="","",IF(AND($O33&lt;&gt;"",$L33&lt;&gt;"",$O33&lt;&gt;$L33),1,0))</f>
        <v>1</v>
      </c>
      <c r="Y33" s="34" t="n">
        <f aca="false">IF($E33="","",IF($N33="Cancelada",0,IF(OR($M33&lt;&gt;"",$N33="Concluída"),1,0)))</f>
        <v>0</v>
      </c>
    </row>
    <row r="34" customFormat="false" ht="15" hidden="false" customHeight="true" outlineLevel="0" collapsed="false">
      <c r="A34" s="34" t="n">
        <f aca="false">IF($E34="","",COUNTA($E$5:$E34))</f>
        <v>30</v>
      </c>
      <c r="B34" s="35"/>
      <c r="C34" s="35" t="s">
        <v>97</v>
      </c>
      <c r="D34" s="35" t="s">
        <v>68</v>
      </c>
      <c r="E34" s="35" t="s">
        <v>184</v>
      </c>
      <c r="F34" s="36" t="s">
        <v>68</v>
      </c>
      <c r="G34" s="37" t="s">
        <v>60</v>
      </c>
      <c r="H34" s="37" t="s">
        <v>78</v>
      </c>
      <c r="I34" s="37"/>
      <c r="J34" s="38" t="n">
        <v>46258</v>
      </c>
      <c r="K34" s="39" t="s">
        <v>82</v>
      </c>
      <c r="L34" s="40" t="n">
        <f aca="false">IF(OR($J34="",$K34=""),"",$J34+MATCH($K34,Listas!$F$5:$F$11,0)-1)</f>
        <v>46261</v>
      </c>
      <c r="M34" s="41"/>
      <c r="N34" s="36"/>
      <c r="O34" s="41" t="n">
        <v>46260</v>
      </c>
      <c r="P34" s="35"/>
      <c r="Q34" s="35" t="s">
        <v>179</v>
      </c>
      <c r="R34" s="42" t="str">
        <f aca="true">IF($E34="","",IF($N34="Cancelada","Cancelada",IF(OR($M34&lt;&gt;"",$N34="Concluída"),IF(OR($L34="",$M34="",$M34&lt;=$L34),"Concluída","Concluída com atraso"),IF($L34="","Na carteira",IF($L34&lt;TODAY(),"VENCIDA",IF($N34="Em execução","Em execução",IF($L34=TODAY(),"Hoje","Programada")))))))</f>
        <v>Hoje</v>
      </c>
      <c r="S34" s="34" t="str">
        <f aca="false">IF($E34="","",IF(ISNUMBER(SEARCH("(externo)",$G34&amp;$H34&amp;$I34)),"Terceirizada","Interna"))</f>
        <v>Interna</v>
      </c>
      <c r="T34" s="40" t="n">
        <f aca="false">IF($L34="","",IF($O34="",$L34,$O34))</f>
        <v>46260</v>
      </c>
      <c r="U34" s="34" t="n">
        <f aca="false">IF($E34="","",IF(OR($M34="",$L34=""),0,IF($M34&lt;=$L34,1,0)))</f>
        <v>0</v>
      </c>
      <c r="V34" s="34" t="n">
        <f aca="false">IF($E34="","",IF(OR($M34="",$T34=""),0,IF($M34&lt;=$T34,1,0)))</f>
        <v>0</v>
      </c>
      <c r="W34" s="42" t="str">
        <f aca="false">IF(OR($M34="",$L34=""),"",MAX(0,$M34-$L34))</f>
        <v/>
      </c>
      <c r="X34" s="34" t="n">
        <f aca="false">IF($E34="","",IF(AND($O34&lt;&gt;"",$L34&lt;&gt;"",$O34&lt;&gt;$L34),1,0))</f>
        <v>1</v>
      </c>
      <c r="Y34" s="34" t="n">
        <f aca="false">IF($E34="","",IF($N34="Cancelada",0,IF(OR($M34&lt;&gt;"",$N34="Concluída"),1,0)))</f>
        <v>0</v>
      </c>
    </row>
    <row r="35" customFormat="false" ht="15" hidden="false" customHeight="true" outlineLevel="0" collapsed="false">
      <c r="A35" s="34" t="n">
        <f aca="false">IF($E35="","",COUNTA($E$5:$E35))</f>
        <v>31</v>
      </c>
      <c r="B35" s="35"/>
      <c r="C35" s="35" t="s">
        <v>97</v>
      </c>
      <c r="D35" s="35" t="s">
        <v>68</v>
      </c>
      <c r="E35" s="35" t="s">
        <v>185</v>
      </c>
      <c r="F35" s="36" t="s">
        <v>68</v>
      </c>
      <c r="G35" s="37" t="s">
        <v>60</v>
      </c>
      <c r="H35" s="37" t="s">
        <v>78</v>
      </c>
      <c r="I35" s="37"/>
      <c r="J35" s="38" t="n">
        <v>46258</v>
      </c>
      <c r="K35" s="39" t="s">
        <v>82</v>
      </c>
      <c r="L35" s="40" t="n">
        <f aca="false">IF(OR($J35="",$K35=""),"",$J35+MATCH($K35,Listas!$F$5:$F$11,0)-1)</f>
        <v>46261</v>
      </c>
      <c r="M35" s="41"/>
      <c r="N35" s="36"/>
      <c r="O35" s="41" t="n">
        <v>46260</v>
      </c>
      <c r="P35" s="35"/>
      <c r="Q35" s="35" t="s">
        <v>179</v>
      </c>
      <c r="R35" s="42" t="str">
        <f aca="true">IF($E35="","",IF($N35="Cancelada","Cancelada",IF(OR($M35&lt;&gt;"",$N35="Concluída"),IF(OR($L35="",$M35="",$M35&lt;=$L35),"Concluída","Concluída com atraso"),IF($L35="","Na carteira",IF($L35&lt;TODAY(),"VENCIDA",IF($N35="Em execução","Em execução",IF($L35=TODAY(),"Hoje","Programada")))))))</f>
        <v>Hoje</v>
      </c>
      <c r="S35" s="34" t="str">
        <f aca="false">IF($E35="","",IF(ISNUMBER(SEARCH("(externo)",$G35&amp;$H35&amp;$I35)),"Terceirizada","Interna"))</f>
        <v>Interna</v>
      </c>
      <c r="T35" s="40" t="n">
        <f aca="false">IF($L35="","",IF($O35="",$L35,$O35))</f>
        <v>46260</v>
      </c>
      <c r="U35" s="34" t="n">
        <f aca="false">IF($E35="","",IF(OR($M35="",$L35=""),0,IF($M35&lt;=$L35,1,0)))</f>
        <v>0</v>
      </c>
      <c r="V35" s="34" t="n">
        <f aca="false">IF($E35="","",IF(OR($M35="",$T35=""),0,IF($M35&lt;=$T35,1,0)))</f>
        <v>0</v>
      </c>
      <c r="W35" s="42" t="str">
        <f aca="false">IF(OR($M35="",$L35=""),"",MAX(0,$M35-$L35))</f>
        <v/>
      </c>
      <c r="X35" s="34" t="n">
        <f aca="false">IF($E35="","",IF(AND($O35&lt;&gt;"",$L35&lt;&gt;"",$O35&lt;&gt;$L35),1,0))</f>
        <v>1</v>
      </c>
      <c r="Y35" s="34" t="n">
        <f aca="false">IF($E35="","",IF($N35="Cancelada",0,IF(OR($M35&lt;&gt;"",$N35="Concluída"),1,0)))</f>
        <v>0</v>
      </c>
    </row>
    <row r="36" customFormat="false" ht="15" hidden="false" customHeight="true" outlineLevel="0" collapsed="false">
      <c r="A36" s="34" t="n">
        <f aca="false">IF($E36="","",COUNTA($E$5:$E36))</f>
        <v>32</v>
      </c>
      <c r="B36" s="35"/>
      <c r="C36" s="35" t="s">
        <v>97</v>
      </c>
      <c r="D36" s="35" t="s">
        <v>68</v>
      </c>
      <c r="E36" s="35" t="s">
        <v>186</v>
      </c>
      <c r="F36" s="36" t="s">
        <v>68</v>
      </c>
      <c r="G36" s="37" t="s">
        <v>60</v>
      </c>
      <c r="H36" s="37" t="s">
        <v>78</v>
      </c>
      <c r="I36" s="37"/>
      <c r="J36" s="38" t="n">
        <v>46258</v>
      </c>
      <c r="K36" s="39" t="s">
        <v>82</v>
      </c>
      <c r="L36" s="40" t="n">
        <f aca="false">IF(OR($J36="",$K36=""),"",$J36+MATCH($K36,Listas!$F$5:$F$11,0)-1)</f>
        <v>46261</v>
      </c>
      <c r="M36" s="41"/>
      <c r="N36" s="36"/>
      <c r="O36" s="41" t="n">
        <v>46260</v>
      </c>
      <c r="P36" s="35"/>
      <c r="Q36" s="35" t="s">
        <v>179</v>
      </c>
      <c r="R36" s="42" t="str">
        <f aca="true">IF($E36="","",IF($N36="Cancelada","Cancelada",IF(OR($M36&lt;&gt;"",$N36="Concluída"),IF(OR($L36="",$M36="",$M36&lt;=$L36),"Concluída","Concluída com atraso"),IF($L36="","Na carteira",IF($L36&lt;TODAY(),"VENCIDA",IF($N36="Em execução","Em execução",IF($L36=TODAY(),"Hoje","Programada")))))))</f>
        <v>Hoje</v>
      </c>
      <c r="S36" s="34" t="str">
        <f aca="false">IF($E36="","",IF(ISNUMBER(SEARCH("(externo)",$G36&amp;$H36&amp;$I36)),"Terceirizada","Interna"))</f>
        <v>Interna</v>
      </c>
      <c r="T36" s="40" t="n">
        <f aca="false">IF($L36="","",IF($O36="",$L36,$O36))</f>
        <v>46260</v>
      </c>
      <c r="U36" s="34" t="n">
        <f aca="false">IF($E36="","",IF(OR($M36="",$L36=""),0,IF($M36&lt;=$L36,1,0)))</f>
        <v>0</v>
      </c>
      <c r="V36" s="34" t="n">
        <f aca="false">IF($E36="","",IF(OR($M36="",$T36=""),0,IF($M36&lt;=$T36,1,0)))</f>
        <v>0</v>
      </c>
      <c r="W36" s="42" t="str">
        <f aca="false">IF(OR($M36="",$L36=""),"",MAX(0,$M36-$L36))</f>
        <v/>
      </c>
      <c r="X36" s="34" t="n">
        <f aca="false">IF($E36="","",IF(AND($O36&lt;&gt;"",$L36&lt;&gt;"",$O36&lt;&gt;$L36),1,0))</f>
        <v>1</v>
      </c>
      <c r="Y36" s="34" t="n">
        <f aca="false">IF($E36="","",IF($N36="Cancelada",0,IF(OR($M36&lt;&gt;"",$N36="Concluída"),1,0)))</f>
        <v>0</v>
      </c>
    </row>
    <row r="37" customFormat="false" ht="15" hidden="false" customHeight="true" outlineLevel="0" collapsed="false">
      <c r="A37" s="34" t="n">
        <f aca="false">IF($E37="","",COUNTA($E$5:$E37))</f>
        <v>33</v>
      </c>
      <c r="B37" s="35"/>
      <c r="C37" s="35" t="s">
        <v>97</v>
      </c>
      <c r="D37" s="35" t="s">
        <v>68</v>
      </c>
      <c r="E37" s="35" t="s">
        <v>187</v>
      </c>
      <c r="F37" s="36" t="s">
        <v>68</v>
      </c>
      <c r="G37" s="37" t="s">
        <v>60</v>
      </c>
      <c r="H37" s="37" t="s">
        <v>78</v>
      </c>
      <c r="I37" s="37"/>
      <c r="J37" s="38" t="n">
        <v>46258</v>
      </c>
      <c r="K37" s="39" t="s">
        <v>82</v>
      </c>
      <c r="L37" s="40" t="n">
        <f aca="false">IF(OR($J37="",$K37=""),"",$J37+MATCH($K37,Listas!$F$5:$F$11,0)-1)</f>
        <v>46261</v>
      </c>
      <c r="M37" s="41"/>
      <c r="N37" s="36"/>
      <c r="O37" s="41" t="n">
        <v>46260</v>
      </c>
      <c r="P37" s="35"/>
      <c r="Q37" s="35" t="s">
        <v>179</v>
      </c>
      <c r="R37" s="42" t="str">
        <f aca="true">IF($E37="","",IF($N37="Cancelada","Cancelada",IF(OR($M37&lt;&gt;"",$N37="Concluída"),IF(OR($L37="",$M37="",$M37&lt;=$L37),"Concluída","Concluída com atraso"),IF($L37="","Na carteira",IF($L37&lt;TODAY(),"VENCIDA",IF($N37="Em execução","Em execução",IF($L37=TODAY(),"Hoje","Programada")))))))</f>
        <v>Hoje</v>
      </c>
      <c r="S37" s="34" t="str">
        <f aca="false">IF($E37="","",IF(ISNUMBER(SEARCH("(externo)",$G37&amp;$H37&amp;$I37)),"Terceirizada","Interna"))</f>
        <v>Interna</v>
      </c>
      <c r="T37" s="40" t="n">
        <f aca="false">IF($L37="","",IF($O37="",$L37,$O37))</f>
        <v>46260</v>
      </c>
      <c r="U37" s="34" t="n">
        <f aca="false">IF($E37="","",IF(OR($M37="",$L37=""),0,IF($M37&lt;=$L37,1,0)))</f>
        <v>0</v>
      </c>
      <c r="V37" s="34" t="n">
        <f aca="false">IF($E37="","",IF(OR($M37="",$T37=""),0,IF($M37&lt;=$T37,1,0)))</f>
        <v>0</v>
      </c>
      <c r="W37" s="42" t="str">
        <f aca="false">IF(OR($M37="",$L37=""),"",MAX(0,$M37-$L37))</f>
        <v/>
      </c>
      <c r="X37" s="34" t="n">
        <f aca="false">IF($E37="","",IF(AND($O37&lt;&gt;"",$L37&lt;&gt;"",$O37&lt;&gt;$L37),1,0))</f>
        <v>1</v>
      </c>
      <c r="Y37" s="34" t="n">
        <f aca="false">IF($E37="","",IF($N37="Cancelada",0,IF(OR($M37&lt;&gt;"",$N37="Concluída"),1,0)))</f>
        <v>0</v>
      </c>
    </row>
    <row r="38" customFormat="false" ht="15" hidden="false" customHeight="true" outlineLevel="0" collapsed="false">
      <c r="A38" s="34" t="n">
        <f aca="false">IF($E38="","",COUNTA($E$5:$E38))</f>
        <v>34</v>
      </c>
      <c r="B38" s="35"/>
      <c r="C38" s="35" t="s">
        <v>97</v>
      </c>
      <c r="D38" s="35" t="s">
        <v>68</v>
      </c>
      <c r="E38" s="35" t="s">
        <v>188</v>
      </c>
      <c r="F38" s="36" t="s">
        <v>68</v>
      </c>
      <c r="G38" s="37" t="s">
        <v>60</v>
      </c>
      <c r="H38" s="37" t="s">
        <v>78</v>
      </c>
      <c r="I38" s="37"/>
      <c r="J38" s="38" t="n">
        <v>46258</v>
      </c>
      <c r="K38" s="39" t="s">
        <v>82</v>
      </c>
      <c r="L38" s="40" t="n">
        <f aca="false">IF(OR($J38="",$K38=""),"",$J38+MATCH($K38,Listas!$F$5:$F$11,0)-1)</f>
        <v>46261</v>
      </c>
      <c r="M38" s="41"/>
      <c r="N38" s="36"/>
      <c r="O38" s="41" t="n">
        <v>46260</v>
      </c>
      <c r="P38" s="35"/>
      <c r="Q38" s="35" t="s">
        <v>179</v>
      </c>
      <c r="R38" s="42" t="str">
        <f aca="true">IF($E38="","",IF($N38="Cancelada","Cancelada",IF(OR($M38&lt;&gt;"",$N38="Concluída"),IF(OR($L38="",$M38="",$M38&lt;=$L38),"Concluída","Concluída com atraso"),IF($L38="","Na carteira",IF($L38&lt;TODAY(),"VENCIDA",IF($N38="Em execução","Em execução",IF($L38=TODAY(),"Hoje","Programada")))))))</f>
        <v>Hoje</v>
      </c>
      <c r="S38" s="34" t="str">
        <f aca="false">IF($E38="","",IF(ISNUMBER(SEARCH("(externo)",$G38&amp;$H38&amp;$I38)),"Terceirizada","Interna"))</f>
        <v>Interna</v>
      </c>
      <c r="T38" s="40" t="n">
        <f aca="false">IF($L38="","",IF($O38="",$L38,$O38))</f>
        <v>46260</v>
      </c>
      <c r="U38" s="34" t="n">
        <f aca="false">IF($E38="","",IF(OR($M38="",$L38=""),0,IF($M38&lt;=$L38,1,0)))</f>
        <v>0</v>
      </c>
      <c r="V38" s="34" t="n">
        <f aca="false">IF($E38="","",IF(OR($M38="",$T38=""),0,IF($M38&lt;=$T38,1,0)))</f>
        <v>0</v>
      </c>
      <c r="W38" s="42" t="str">
        <f aca="false">IF(OR($M38="",$L38=""),"",MAX(0,$M38-$L38))</f>
        <v/>
      </c>
      <c r="X38" s="34" t="n">
        <f aca="false">IF($E38="","",IF(AND($O38&lt;&gt;"",$L38&lt;&gt;"",$O38&lt;&gt;$L38),1,0))</f>
        <v>1</v>
      </c>
      <c r="Y38" s="34" t="n">
        <f aca="false">IF($E38="","",IF($N38="Cancelada",0,IF(OR($M38&lt;&gt;"",$N38="Concluída"),1,0)))</f>
        <v>0</v>
      </c>
    </row>
    <row r="39" customFormat="false" ht="15" hidden="false" customHeight="true" outlineLevel="0" collapsed="false">
      <c r="A39" s="34" t="n">
        <f aca="false">IF($E39="","",COUNTA($E$5:$E39))</f>
        <v>35</v>
      </c>
      <c r="B39" s="35"/>
      <c r="C39" s="35" t="s">
        <v>97</v>
      </c>
      <c r="D39" s="35" t="s">
        <v>68</v>
      </c>
      <c r="E39" s="35" t="s">
        <v>189</v>
      </c>
      <c r="F39" s="36" t="s">
        <v>68</v>
      </c>
      <c r="G39" s="37" t="s">
        <v>60</v>
      </c>
      <c r="H39" s="37" t="s">
        <v>78</v>
      </c>
      <c r="I39" s="37"/>
      <c r="J39" s="38" t="n">
        <v>46258</v>
      </c>
      <c r="K39" s="39" t="s">
        <v>82</v>
      </c>
      <c r="L39" s="40" t="n">
        <f aca="false">IF(OR($J39="",$K39=""),"",$J39+MATCH($K39,Listas!$F$5:$F$11,0)-1)</f>
        <v>46261</v>
      </c>
      <c r="M39" s="41"/>
      <c r="N39" s="36"/>
      <c r="O39" s="41" t="n">
        <v>46260</v>
      </c>
      <c r="P39" s="35"/>
      <c r="Q39" s="35" t="s">
        <v>179</v>
      </c>
      <c r="R39" s="42" t="str">
        <f aca="true">IF($E39="","",IF($N39="Cancelada","Cancelada",IF(OR($M39&lt;&gt;"",$N39="Concluída"),IF(OR($L39="",$M39="",$M39&lt;=$L39),"Concluída","Concluída com atraso"),IF($L39="","Na carteira",IF($L39&lt;TODAY(),"VENCIDA",IF($N39="Em execução","Em execução",IF($L39=TODAY(),"Hoje","Programada")))))))</f>
        <v>Hoje</v>
      </c>
      <c r="S39" s="34" t="str">
        <f aca="false">IF($E39="","",IF(ISNUMBER(SEARCH("(externo)",$G39&amp;$H39&amp;$I39)),"Terceirizada","Interna"))</f>
        <v>Interna</v>
      </c>
      <c r="T39" s="40" t="n">
        <f aca="false">IF($L39="","",IF($O39="",$L39,$O39))</f>
        <v>46260</v>
      </c>
      <c r="U39" s="34" t="n">
        <f aca="false">IF($E39="","",IF(OR($M39="",$L39=""),0,IF($M39&lt;=$L39,1,0)))</f>
        <v>0</v>
      </c>
      <c r="V39" s="34" t="n">
        <f aca="false">IF($E39="","",IF(OR($M39="",$T39=""),0,IF($M39&lt;=$T39,1,0)))</f>
        <v>0</v>
      </c>
      <c r="W39" s="42" t="str">
        <f aca="false">IF(OR($M39="",$L39=""),"",MAX(0,$M39-$L39))</f>
        <v/>
      </c>
      <c r="X39" s="34" t="n">
        <f aca="false">IF($E39="","",IF(AND($O39&lt;&gt;"",$L39&lt;&gt;"",$O39&lt;&gt;$L39),1,0))</f>
        <v>1</v>
      </c>
      <c r="Y39" s="34" t="n">
        <f aca="false">IF($E39="","",IF($N39="Cancelada",0,IF(OR($M39&lt;&gt;"",$N39="Concluída"),1,0)))</f>
        <v>0</v>
      </c>
    </row>
    <row r="40" customFormat="false" ht="15" hidden="false" customHeight="true" outlineLevel="0" collapsed="false">
      <c r="A40" s="34" t="n">
        <f aca="false">IF($E40="","",COUNTA($E$5:$E40))</f>
        <v>36</v>
      </c>
      <c r="B40" s="35"/>
      <c r="C40" s="35" t="s">
        <v>100</v>
      </c>
      <c r="D40" s="35" t="s">
        <v>190</v>
      </c>
      <c r="E40" s="35" t="s">
        <v>190</v>
      </c>
      <c r="F40" s="36" t="s">
        <v>62</v>
      </c>
      <c r="G40" s="37" t="s">
        <v>60</v>
      </c>
      <c r="H40" s="37"/>
      <c r="I40" s="37"/>
      <c r="J40" s="38" t="n">
        <v>46258</v>
      </c>
      <c r="K40" s="39" t="s">
        <v>82</v>
      </c>
      <c r="L40" s="40" t="n">
        <f aca="false">IF(OR($J40="",$K40=""),"",$J40+MATCH($K40,Listas!$F$5:$F$11,0)-1)</f>
        <v>46261</v>
      </c>
      <c r="M40" s="41"/>
      <c r="N40" s="36"/>
      <c r="O40" s="41"/>
      <c r="P40" s="35"/>
      <c r="Q40" s="35" t="s">
        <v>191</v>
      </c>
      <c r="R40" s="42" t="str">
        <f aca="true">IF($E40="","",IF($N40="Cancelada","Cancelada",IF(OR($M40&lt;&gt;"",$N40="Concluída"),IF(OR($L40="",$M40="",$M40&lt;=$L40),"Concluída","Concluída com atraso"),IF($L40="","Na carteira",IF($L40&lt;TODAY(),"VENCIDA",IF($N40="Em execução","Em execução",IF($L40=TODAY(),"Hoje","Programada")))))))</f>
        <v>Hoje</v>
      </c>
      <c r="S40" s="34" t="str">
        <f aca="false">IF($E40="","",IF(ISNUMBER(SEARCH("(externo)",$G40&amp;$H40&amp;$I40)),"Terceirizada","Interna"))</f>
        <v>Interna</v>
      </c>
      <c r="T40" s="40" t="n">
        <f aca="false">IF($L40="","",IF($O40="",$L40,$O40))</f>
        <v>46261</v>
      </c>
      <c r="U40" s="34" t="n">
        <f aca="false">IF($E40="","",IF(OR($M40="",$L40=""),0,IF($M40&lt;=$L40,1,0)))</f>
        <v>0</v>
      </c>
      <c r="V40" s="34" t="n">
        <f aca="false">IF($E40="","",IF(OR($M40="",$T40=""),0,IF($M40&lt;=$T40,1,0)))</f>
        <v>0</v>
      </c>
      <c r="W40" s="42" t="str">
        <f aca="false">IF(OR($M40="",$L40=""),"",MAX(0,$M40-$L40))</f>
        <v/>
      </c>
      <c r="X40" s="34" t="n">
        <f aca="false">IF($E40="","",IF(AND($O40&lt;&gt;"",$L40&lt;&gt;"",$O40&lt;&gt;$L40),1,0))</f>
        <v>0</v>
      </c>
      <c r="Y40" s="34" t="n">
        <f aca="false">IF($E40="","",IF($N40="Cancelada",0,IF(OR($M40&lt;&gt;"",$N40="Concluída"),1,0)))</f>
        <v>0</v>
      </c>
    </row>
    <row r="41" customFormat="false" ht="15" hidden="false" customHeight="true" outlineLevel="0" collapsed="false">
      <c r="A41" s="34" t="n">
        <f aca="false">IF($E41="","",COUNTA($E$5:$E41))</f>
        <v>37</v>
      </c>
      <c r="B41" s="35"/>
      <c r="C41" s="35" t="s">
        <v>102</v>
      </c>
      <c r="D41" s="35" t="s">
        <v>190</v>
      </c>
      <c r="E41" s="35" t="s">
        <v>190</v>
      </c>
      <c r="F41" s="36" t="s">
        <v>62</v>
      </c>
      <c r="G41" s="37" t="s">
        <v>60</v>
      </c>
      <c r="H41" s="37"/>
      <c r="I41" s="37"/>
      <c r="J41" s="38" t="n">
        <v>46258</v>
      </c>
      <c r="K41" s="39" t="s">
        <v>82</v>
      </c>
      <c r="L41" s="40" t="n">
        <f aca="false">IF(OR($J41="",$K41=""),"",$J41+MATCH($K41,Listas!$F$5:$F$11,0)-1)</f>
        <v>46261</v>
      </c>
      <c r="M41" s="41"/>
      <c r="N41" s="36"/>
      <c r="O41" s="41"/>
      <c r="P41" s="35"/>
      <c r="Q41" s="35" t="s">
        <v>191</v>
      </c>
      <c r="R41" s="42" t="str">
        <f aca="true">IF($E41="","",IF($N41="Cancelada","Cancelada",IF(OR($M41&lt;&gt;"",$N41="Concluída"),IF(OR($L41="",$M41="",$M41&lt;=$L41),"Concluída","Concluída com atraso"),IF($L41="","Na carteira",IF($L41&lt;TODAY(),"VENCIDA",IF($N41="Em execução","Em execução",IF($L41=TODAY(),"Hoje","Programada")))))))</f>
        <v>Hoje</v>
      </c>
      <c r="S41" s="34" t="str">
        <f aca="false">IF($E41="","",IF(ISNUMBER(SEARCH("(externo)",$G41&amp;$H41&amp;$I41)),"Terceirizada","Interna"))</f>
        <v>Interna</v>
      </c>
      <c r="T41" s="40" t="n">
        <f aca="false">IF($L41="","",IF($O41="",$L41,$O41))</f>
        <v>46261</v>
      </c>
      <c r="U41" s="34" t="n">
        <f aca="false">IF($E41="","",IF(OR($M41="",$L41=""),0,IF($M41&lt;=$L41,1,0)))</f>
        <v>0</v>
      </c>
      <c r="V41" s="34" t="n">
        <f aca="false">IF($E41="","",IF(OR($M41="",$T41=""),0,IF($M41&lt;=$T41,1,0)))</f>
        <v>0</v>
      </c>
      <c r="W41" s="42" t="str">
        <f aca="false">IF(OR($M41="",$L41=""),"",MAX(0,$M41-$L41))</f>
        <v/>
      </c>
      <c r="X41" s="34" t="n">
        <f aca="false">IF($E41="","",IF(AND($O41&lt;&gt;"",$L41&lt;&gt;"",$O41&lt;&gt;$L41),1,0))</f>
        <v>0</v>
      </c>
      <c r="Y41" s="34" t="n">
        <f aca="false">IF($E41="","",IF($N41="Cancelada",0,IF(OR($M41&lt;&gt;"",$N41="Concluída"),1,0)))</f>
        <v>0</v>
      </c>
    </row>
    <row r="42" customFormat="false" ht="15" hidden="false" customHeight="true" outlineLevel="0" collapsed="false">
      <c r="A42" s="34" t="n">
        <f aca="false">IF($E42="","",COUNTA($E$5:$E42))</f>
        <v>38</v>
      </c>
      <c r="B42" s="35" t="s">
        <v>192</v>
      </c>
      <c r="C42" s="35" t="s">
        <v>104</v>
      </c>
      <c r="D42" s="35" t="s">
        <v>150</v>
      </c>
      <c r="E42" s="35" t="s">
        <v>193</v>
      </c>
      <c r="F42" s="36" t="s">
        <v>62</v>
      </c>
      <c r="G42" s="37" t="s">
        <v>66</v>
      </c>
      <c r="H42" s="37" t="s">
        <v>92</v>
      </c>
      <c r="I42" s="37"/>
      <c r="J42" s="38" t="n">
        <v>46258</v>
      </c>
      <c r="K42" s="39" t="s">
        <v>82</v>
      </c>
      <c r="L42" s="40" t="n">
        <f aca="false">IF(OR($J42="",$K42=""),"",$J42+MATCH($K42,Listas!$F$5:$F$11,0)-1)</f>
        <v>46261</v>
      </c>
      <c r="M42" s="41"/>
      <c r="N42" s="36"/>
      <c r="O42" s="41" t="n">
        <v>46260</v>
      </c>
      <c r="P42" s="35" t="s">
        <v>194</v>
      </c>
      <c r="Q42" s="35" t="s">
        <v>155</v>
      </c>
      <c r="R42" s="42" t="str">
        <f aca="true">IF($E42="","",IF($N42="Cancelada","Cancelada",IF(OR($M42&lt;&gt;"",$N42="Concluída"),IF(OR($L42="",$M42="",$M42&lt;=$L42),"Concluída","Concluída com atraso"),IF($L42="","Na carteira",IF($L42&lt;TODAY(),"VENCIDA",IF($N42="Em execução","Em execução",IF($L42=TODAY(),"Hoje","Programada")))))))</f>
        <v>Hoje</v>
      </c>
      <c r="S42" s="34" t="str">
        <f aca="false">IF($E42="","",IF(ISNUMBER(SEARCH("(externo)",$G42&amp;$H42&amp;$I42)),"Terceirizada","Interna"))</f>
        <v>Interna</v>
      </c>
      <c r="T42" s="40" t="n">
        <f aca="false">IF($L42="","",IF($O42="",$L42,$O42))</f>
        <v>46260</v>
      </c>
      <c r="U42" s="34" t="n">
        <f aca="false">IF($E42="","",IF(OR($M42="",$L42=""),0,IF($M42&lt;=$L42,1,0)))</f>
        <v>0</v>
      </c>
      <c r="V42" s="34" t="n">
        <f aca="false">IF($E42="","",IF(OR($M42="",$T42=""),0,IF($M42&lt;=$T42,1,0)))</f>
        <v>0</v>
      </c>
      <c r="W42" s="42" t="str">
        <f aca="false">IF(OR($M42="",$L42=""),"",MAX(0,$M42-$L42))</f>
        <v/>
      </c>
      <c r="X42" s="34" t="n">
        <f aca="false">IF($E42="","",IF(AND($O42&lt;&gt;"",$L42&lt;&gt;"",$O42&lt;&gt;$L42),1,0))</f>
        <v>1</v>
      </c>
      <c r="Y42" s="34" t="n">
        <f aca="false">IF($E42="","",IF($N42="Cancelada",0,IF(OR($M42&lt;&gt;"",$N42="Concluída"),1,0)))</f>
        <v>0</v>
      </c>
    </row>
    <row r="43" customFormat="false" ht="15" hidden="false" customHeight="true" outlineLevel="0" collapsed="false">
      <c r="A43" s="34" t="n">
        <f aca="false">IF($E43="","",COUNTA($E$5:$E43))</f>
        <v>39</v>
      </c>
      <c r="B43" s="35"/>
      <c r="C43" s="35" t="s">
        <v>106</v>
      </c>
      <c r="D43" s="35" t="s">
        <v>195</v>
      </c>
      <c r="E43" s="35" t="s">
        <v>196</v>
      </c>
      <c r="F43" s="36" t="s">
        <v>68</v>
      </c>
      <c r="G43" s="37" t="s">
        <v>96</v>
      </c>
      <c r="H43" s="37"/>
      <c r="I43" s="37"/>
      <c r="J43" s="38" t="n">
        <v>46258</v>
      </c>
      <c r="K43" s="39" t="s">
        <v>65</v>
      </c>
      <c r="L43" s="40" t="n">
        <f aca="false">IF(OR($J43="",$K43=""),"",$J43+MATCH($K43,Listas!$F$5:$F$11,0)-1)</f>
        <v>46258</v>
      </c>
      <c r="M43" s="41"/>
      <c r="N43" s="36" t="s">
        <v>63</v>
      </c>
      <c r="O43" s="41"/>
      <c r="P43" s="35"/>
      <c r="Q43" s="35"/>
      <c r="R43" s="42" t="str">
        <f aca="true">IF($E43="","",IF($N43="Cancelada","Cancelada",IF(OR($M43&lt;&gt;"",$N43="Concluída"),IF(OR($L43="",$M43="",$M43&lt;=$L43),"Concluída","Concluída com atraso"),IF($L43="","Na carteira",IF($L43&lt;TODAY(),"VENCIDA",IF($N43="Em execução","Em execução",IF($L43=TODAY(),"Hoje","Programada")))))))</f>
        <v>Concluída</v>
      </c>
      <c r="S43" s="34" t="str">
        <f aca="false">IF($E43="","",IF(ISNUMBER(SEARCH("(externo)",$G43&amp;$H43&amp;$I43)),"Terceirizada","Interna"))</f>
        <v>Interna</v>
      </c>
      <c r="T43" s="40" t="n">
        <f aca="false">IF($L43="","",IF($O43="",$L43,$O43))</f>
        <v>46258</v>
      </c>
      <c r="U43" s="34" t="n">
        <f aca="false">IF($E43="","",IF(OR($M43="",$L43=""),0,IF($M43&lt;=$L43,1,0)))</f>
        <v>0</v>
      </c>
      <c r="V43" s="34" t="n">
        <f aca="false">IF($E43="","",IF(OR($M43="",$T43=""),0,IF($M43&lt;=$T43,1,0)))</f>
        <v>0</v>
      </c>
      <c r="W43" s="42" t="str">
        <f aca="false">IF(OR($M43="",$L43=""),"",MAX(0,$M43-$L43))</f>
        <v/>
      </c>
      <c r="X43" s="34" t="n">
        <f aca="false">IF($E43="","",IF(AND($O43&lt;&gt;"",$L43&lt;&gt;"",$O43&lt;&gt;$L43),1,0))</f>
        <v>0</v>
      </c>
      <c r="Y43" s="34" t="n">
        <f aca="false">IF($E43="","",IF($N43="Cancelada",0,IF(OR($M43&lt;&gt;"",$N43="Concluída"),1,0)))</f>
        <v>1</v>
      </c>
    </row>
    <row r="44" customFormat="false" ht="15" hidden="false" customHeight="true" outlineLevel="0" collapsed="false">
      <c r="A44" s="34" t="n">
        <f aca="false">IF($E44="","",COUNTA($E$5:$E44))</f>
        <v>40</v>
      </c>
      <c r="B44" s="35"/>
      <c r="C44" s="35" t="s">
        <v>107</v>
      </c>
      <c r="D44" s="35" t="s">
        <v>150</v>
      </c>
      <c r="E44" s="35" t="s">
        <v>197</v>
      </c>
      <c r="F44" s="36" t="s">
        <v>62</v>
      </c>
      <c r="G44" s="37" t="s">
        <v>66</v>
      </c>
      <c r="H44" s="37" t="s">
        <v>92</v>
      </c>
      <c r="I44" s="37"/>
      <c r="J44" s="38" t="n">
        <v>46258</v>
      </c>
      <c r="K44" s="39" t="s">
        <v>82</v>
      </c>
      <c r="L44" s="40" t="n">
        <f aca="false">IF(OR($J44="",$K44=""),"",$J44+MATCH($K44,Listas!$F$5:$F$11,0)-1)</f>
        <v>46261</v>
      </c>
      <c r="M44" s="41"/>
      <c r="N44" s="36"/>
      <c r="O44" s="41"/>
      <c r="P44" s="35"/>
      <c r="Q44" s="35"/>
      <c r="R44" s="42" t="str">
        <f aca="true">IF($E44="","",IF($N44="Cancelada","Cancelada",IF(OR($M44&lt;&gt;"",$N44="Concluída"),IF(OR($L44="",$M44="",$M44&lt;=$L44),"Concluída","Concluída com atraso"),IF($L44="","Na carteira",IF($L44&lt;TODAY(),"VENCIDA",IF($N44="Em execução","Em execução",IF($L44=TODAY(),"Hoje","Programada")))))))</f>
        <v>Hoje</v>
      </c>
      <c r="S44" s="34" t="str">
        <f aca="false">IF($E44="","",IF(ISNUMBER(SEARCH("(externo)",$G44&amp;$H44&amp;$I44)),"Terceirizada","Interna"))</f>
        <v>Interna</v>
      </c>
      <c r="T44" s="40" t="n">
        <f aca="false">IF($L44="","",IF($O44="",$L44,$O44))</f>
        <v>46261</v>
      </c>
      <c r="U44" s="34" t="n">
        <f aca="false">IF($E44="","",IF(OR($M44="",$L44=""),0,IF($M44&lt;=$L44,1,0)))</f>
        <v>0</v>
      </c>
      <c r="V44" s="34" t="n">
        <f aca="false">IF($E44="","",IF(OR($M44="",$T44=""),0,IF($M44&lt;=$T44,1,0)))</f>
        <v>0</v>
      </c>
      <c r="W44" s="42" t="str">
        <f aca="false">IF(OR($M44="",$L44=""),"",MAX(0,$M44-$L44))</f>
        <v/>
      </c>
      <c r="X44" s="34" t="n">
        <f aca="false">IF($E44="","",IF(AND($O44&lt;&gt;"",$L44&lt;&gt;"",$O44&lt;&gt;$L44),1,0))</f>
        <v>0</v>
      </c>
      <c r="Y44" s="34" t="n">
        <f aca="false">IF($E44="","",IF($N44="Cancelada",0,IF(OR($M44&lt;&gt;"",$N44="Concluída"),1,0)))</f>
        <v>0</v>
      </c>
    </row>
    <row r="45" customFormat="false" ht="15" hidden="false" customHeight="true" outlineLevel="0" collapsed="false">
      <c r="A45" s="34" t="n">
        <f aca="false">IF($E45="","",COUNTA($E$5:$E45))</f>
        <v>41</v>
      </c>
      <c r="B45" s="35"/>
      <c r="C45" s="35" t="s">
        <v>108</v>
      </c>
      <c r="D45" s="35" t="s">
        <v>198</v>
      </c>
      <c r="E45" s="35" t="s">
        <v>199</v>
      </c>
      <c r="F45" s="36" t="s">
        <v>62</v>
      </c>
      <c r="G45" s="37" t="s">
        <v>60</v>
      </c>
      <c r="H45" s="37" t="s">
        <v>78</v>
      </c>
      <c r="I45" s="37" t="s">
        <v>88</v>
      </c>
      <c r="J45" s="38" t="n">
        <v>46258</v>
      </c>
      <c r="K45" s="39" t="s">
        <v>71</v>
      </c>
      <c r="L45" s="40" t="n">
        <f aca="false">IF(OR($J45="",$K45=""),"",$J45+MATCH($K45,Listas!$F$5:$F$11,0)-1)</f>
        <v>46259</v>
      </c>
      <c r="M45" s="41"/>
      <c r="N45" s="36" t="s">
        <v>63</v>
      </c>
      <c r="O45" s="41"/>
      <c r="P45" s="35"/>
      <c r="Q45" s="35" t="s">
        <v>200</v>
      </c>
      <c r="R45" s="42" t="str">
        <f aca="true">IF($E45="","",IF($N45="Cancelada","Cancelada",IF(OR($M45&lt;&gt;"",$N45="Concluída"),IF(OR($L45="",$M45="",$M45&lt;=$L45),"Concluída","Concluída com atraso"),IF($L45="","Na carteira",IF($L45&lt;TODAY(),"VENCIDA",IF($N45="Em execução","Em execução",IF($L45=TODAY(),"Hoje","Programada")))))))</f>
        <v>Concluída</v>
      </c>
      <c r="S45" s="34" t="str">
        <f aca="false">IF($E45="","",IF(ISNUMBER(SEARCH("(externo)",$G45&amp;$H45&amp;$I45)),"Terceirizada","Interna"))</f>
        <v>Interna</v>
      </c>
      <c r="T45" s="40" t="n">
        <f aca="false">IF($L45="","",IF($O45="",$L45,$O45))</f>
        <v>46259</v>
      </c>
      <c r="U45" s="34" t="n">
        <f aca="false">IF($E45="","",IF(OR($M45="",$L45=""),0,IF($M45&lt;=$L45,1,0)))</f>
        <v>0</v>
      </c>
      <c r="V45" s="34" t="n">
        <f aca="false">IF($E45="","",IF(OR($M45="",$T45=""),0,IF($M45&lt;=$T45,1,0)))</f>
        <v>0</v>
      </c>
      <c r="W45" s="42" t="str">
        <f aca="false">IF(OR($M45="",$L45=""),"",MAX(0,$M45-$L45))</f>
        <v/>
      </c>
      <c r="X45" s="34" t="n">
        <f aca="false">IF($E45="","",IF(AND($O45&lt;&gt;"",$L45&lt;&gt;"",$O45&lt;&gt;$L45),1,0))</f>
        <v>0</v>
      </c>
      <c r="Y45" s="34" t="n">
        <f aca="false">IF($E45="","",IF($N45="Cancelada",0,IF(OR($M45&lt;&gt;"",$N45="Concluída"),1,0)))</f>
        <v>1</v>
      </c>
    </row>
    <row r="46" customFormat="false" ht="15" hidden="false" customHeight="true" outlineLevel="0" collapsed="false">
      <c r="A46" s="34" t="n">
        <f aca="false">IF($E46="","",COUNTA($E$5:$E46))</f>
        <v>42</v>
      </c>
      <c r="B46" s="35"/>
      <c r="C46" s="35" t="s">
        <v>108</v>
      </c>
      <c r="D46" s="35" t="s">
        <v>198</v>
      </c>
      <c r="E46" s="35" t="s">
        <v>201</v>
      </c>
      <c r="F46" s="36" t="s">
        <v>62</v>
      </c>
      <c r="G46" s="37" t="s">
        <v>60</v>
      </c>
      <c r="H46" s="37" t="s">
        <v>78</v>
      </c>
      <c r="I46" s="37" t="s">
        <v>88</v>
      </c>
      <c r="J46" s="38" t="n">
        <v>46258</v>
      </c>
      <c r="K46" s="39" t="s">
        <v>71</v>
      </c>
      <c r="L46" s="40" t="n">
        <f aca="false">IF(OR($J46="",$K46=""),"",$J46+MATCH($K46,Listas!$F$5:$F$11,0)-1)</f>
        <v>46259</v>
      </c>
      <c r="M46" s="41"/>
      <c r="N46" s="36" t="s">
        <v>63</v>
      </c>
      <c r="O46" s="41"/>
      <c r="P46" s="35"/>
      <c r="Q46" s="35" t="s">
        <v>200</v>
      </c>
      <c r="R46" s="42" t="str">
        <f aca="true">IF($E46="","",IF($N46="Cancelada","Cancelada",IF(OR($M46&lt;&gt;"",$N46="Concluída"),IF(OR($L46="",$M46="",$M46&lt;=$L46),"Concluída","Concluída com atraso"),IF($L46="","Na carteira",IF($L46&lt;TODAY(),"VENCIDA",IF($N46="Em execução","Em execução",IF($L46=TODAY(),"Hoje","Programada")))))))</f>
        <v>Concluída</v>
      </c>
      <c r="S46" s="34" t="str">
        <f aca="false">IF($E46="","",IF(ISNUMBER(SEARCH("(externo)",$G46&amp;$H46&amp;$I46)),"Terceirizada","Interna"))</f>
        <v>Interna</v>
      </c>
      <c r="T46" s="40" t="n">
        <f aca="false">IF($L46="","",IF($O46="",$L46,$O46))</f>
        <v>46259</v>
      </c>
      <c r="U46" s="34" t="n">
        <f aca="false">IF($E46="","",IF(OR($M46="",$L46=""),0,IF($M46&lt;=$L46,1,0)))</f>
        <v>0</v>
      </c>
      <c r="V46" s="34" t="n">
        <f aca="false">IF($E46="","",IF(OR($M46="",$T46=""),0,IF($M46&lt;=$T46,1,0)))</f>
        <v>0</v>
      </c>
      <c r="W46" s="42" t="str">
        <f aca="false">IF(OR($M46="",$L46=""),"",MAX(0,$M46-$L46))</f>
        <v/>
      </c>
      <c r="X46" s="34" t="n">
        <f aca="false">IF($E46="","",IF(AND($O46&lt;&gt;"",$L46&lt;&gt;"",$O46&lt;&gt;$L46),1,0))</f>
        <v>0</v>
      </c>
      <c r="Y46" s="34" t="n">
        <f aca="false">IF($E46="","",IF($N46="Cancelada",0,IF(OR($M46&lt;&gt;"",$N46="Concluída"),1,0)))</f>
        <v>1</v>
      </c>
    </row>
    <row r="47" customFormat="false" ht="15" hidden="false" customHeight="true" outlineLevel="0" collapsed="false">
      <c r="A47" s="34" t="n">
        <f aca="false">IF($E47="","",COUNTA($E$5:$E47))</f>
        <v>43</v>
      </c>
      <c r="B47" s="35"/>
      <c r="C47" s="35" t="s">
        <v>108</v>
      </c>
      <c r="D47" s="35" t="s">
        <v>198</v>
      </c>
      <c r="E47" s="35" t="s">
        <v>202</v>
      </c>
      <c r="F47" s="36" t="s">
        <v>62</v>
      </c>
      <c r="G47" s="37" t="s">
        <v>60</v>
      </c>
      <c r="H47" s="37" t="s">
        <v>78</v>
      </c>
      <c r="I47" s="37" t="s">
        <v>88</v>
      </c>
      <c r="J47" s="38" t="n">
        <v>46258</v>
      </c>
      <c r="K47" s="39" t="s">
        <v>71</v>
      </c>
      <c r="L47" s="40" t="n">
        <f aca="false">IF(OR($J47="",$K47=""),"",$J47+MATCH($K47,Listas!$F$5:$F$11,0)-1)</f>
        <v>46259</v>
      </c>
      <c r="M47" s="41"/>
      <c r="N47" s="36" t="s">
        <v>63</v>
      </c>
      <c r="O47" s="41"/>
      <c r="P47" s="35"/>
      <c r="Q47" s="35" t="s">
        <v>200</v>
      </c>
      <c r="R47" s="42" t="str">
        <f aca="true">IF($E47="","",IF($N47="Cancelada","Cancelada",IF(OR($M47&lt;&gt;"",$N47="Concluída"),IF(OR($L47="",$M47="",$M47&lt;=$L47),"Concluída","Concluída com atraso"),IF($L47="","Na carteira",IF($L47&lt;TODAY(),"VENCIDA",IF($N47="Em execução","Em execução",IF($L47=TODAY(),"Hoje","Programada")))))))</f>
        <v>Concluída</v>
      </c>
      <c r="S47" s="34" t="str">
        <f aca="false">IF($E47="","",IF(ISNUMBER(SEARCH("(externo)",$G47&amp;$H47&amp;$I47)),"Terceirizada","Interna"))</f>
        <v>Interna</v>
      </c>
      <c r="T47" s="40" t="n">
        <f aca="false">IF($L47="","",IF($O47="",$L47,$O47))</f>
        <v>46259</v>
      </c>
      <c r="U47" s="34" t="n">
        <f aca="false">IF($E47="","",IF(OR($M47="",$L47=""),0,IF($M47&lt;=$L47,1,0)))</f>
        <v>0</v>
      </c>
      <c r="V47" s="34" t="n">
        <f aca="false">IF($E47="","",IF(OR($M47="",$T47=""),0,IF($M47&lt;=$T47,1,0)))</f>
        <v>0</v>
      </c>
      <c r="W47" s="42" t="str">
        <f aca="false">IF(OR($M47="",$L47=""),"",MAX(0,$M47-$L47))</f>
        <v/>
      </c>
      <c r="X47" s="34" t="n">
        <f aca="false">IF($E47="","",IF(AND($O47&lt;&gt;"",$L47&lt;&gt;"",$O47&lt;&gt;$L47),1,0))</f>
        <v>0</v>
      </c>
      <c r="Y47" s="34" t="n">
        <f aca="false">IF($E47="","",IF($N47="Cancelada",0,IF(OR($M47&lt;&gt;"",$N47="Concluída"),1,0)))</f>
        <v>1</v>
      </c>
    </row>
    <row r="48" customFormat="false" ht="15" hidden="false" customHeight="true" outlineLevel="0" collapsed="false">
      <c r="A48" s="34" t="n">
        <f aca="false">IF($E48="","",COUNTA($E$5:$E48))</f>
        <v>44</v>
      </c>
      <c r="B48" s="35"/>
      <c r="C48" s="35" t="s">
        <v>108</v>
      </c>
      <c r="D48" s="35" t="s">
        <v>198</v>
      </c>
      <c r="E48" s="35" t="s">
        <v>203</v>
      </c>
      <c r="F48" s="36" t="s">
        <v>62</v>
      </c>
      <c r="G48" s="37" t="s">
        <v>60</v>
      </c>
      <c r="H48" s="37" t="s">
        <v>78</v>
      </c>
      <c r="I48" s="37" t="s">
        <v>88</v>
      </c>
      <c r="J48" s="38" t="n">
        <v>46258</v>
      </c>
      <c r="K48" s="39" t="s">
        <v>71</v>
      </c>
      <c r="L48" s="40" t="n">
        <f aca="false">IF(OR($J48="",$K48=""),"",$J48+MATCH($K48,Listas!$F$5:$F$11,0)-1)</f>
        <v>46259</v>
      </c>
      <c r="M48" s="41"/>
      <c r="N48" s="36" t="s">
        <v>63</v>
      </c>
      <c r="O48" s="41"/>
      <c r="P48" s="35"/>
      <c r="Q48" s="35" t="s">
        <v>200</v>
      </c>
      <c r="R48" s="42" t="str">
        <f aca="true">IF($E48="","",IF($N48="Cancelada","Cancelada",IF(OR($M48&lt;&gt;"",$N48="Concluída"),IF(OR($L48="",$M48="",$M48&lt;=$L48),"Concluída","Concluída com atraso"),IF($L48="","Na carteira",IF($L48&lt;TODAY(),"VENCIDA",IF($N48="Em execução","Em execução",IF($L48=TODAY(),"Hoje","Programada")))))))</f>
        <v>Concluída</v>
      </c>
      <c r="S48" s="34" t="str">
        <f aca="false">IF($E48="","",IF(ISNUMBER(SEARCH("(externo)",$G48&amp;$H48&amp;$I48)),"Terceirizada","Interna"))</f>
        <v>Interna</v>
      </c>
      <c r="T48" s="40" t="n">
        <f aca="false">IF($L48="","",IF($O48="",$L48,$O48))</f>
        <v>46259</v>
      </c>
      <c r="U48" s="34" t="n">
        <f aca="false">IF($E48="","",IF(OR($M48="",$L48=""),0,IF($M48&lt;=$L48,1,0)))</f>
        <v>0</v>
      </c>
      <c r="V48" s="34" t="n">
        <f aca="false">IF($E48="","",IF(OR($M48="",$T48=""),0,IF($M48&lt;=$T48,1,0)))</f>
        <v>0</v>
      </c>
      <c r="W48" s="42" t="str">
        <f aca="false">IF(OR($M48="",$L48=""),"",MAX(0,$M48-$L48))</f>
        <v/>
      </c>
      <c r="X48" s="34" t="n">
        <f aca="false">IF($E48="","",IF(AND($O48&lt;&gt;"",$L48&lt;&gt;"",$O48&lt;&gt;$L48),1,0))</f>
        <v>0</v>
      </c>
      <c r="Y48" s="34" t="n">
        <f aca="false">IF($E48="","",IF($N48="Cancelada",0,IF(OR($M48&lt;&gt;"",$N48="Concluída"),1,0)))</f>
        <v>1</v>
      </c>
    </row>
    <row r="49" customFormat="false" ht="15" hidden="false" customHeight="true" outlineLevel="0" collapsed="false">
      <c r="A49" s="34" t="n">
        <f aca="false">IF($E49="","",COUNTA($E$5:$E49))</f>
        <v>45</v>
      </c>
      <c r="B49" s="35"/>
      <c r="C49" s="35" t="s">
        <v>108</v>
      </c>
      <c r="D49" s="35" t="s">
        <v>198</v>
      </c>
      <c r="E49" s="35" t="s">
        <v>204</v>
      </c>
      <c r="F49" s="36" t="s">
        <v>62</v>
      </c>
      <c r="G49" s="37" t="s">
        <v>60</v>
      </c>
      <c r="H49" s="37" t="s">
        <v>78</v>
      </c>
      <c r="I49" s="37" t="s">
        <v>88</v>
      </c>
      <c r="J49" s="38" t="n">
        <v>46258</v>
      </c>
      <c r="K49" s="39" t="s">
        <v>71</v>
      </c>
      <c r="L49" s="40" t="n">
        <f aca="false">IF(OR($J49="",$K49=""),"",$J49+MATCH($K49,Listas!$F$5:$F$11,0)-1)</f>
        <v>46259</v>
      </c>
      <c r="M49" s="41"/>
      <c r="N49" s="36" t="s">
        <v>63</v>
      </c>
      <c r="O49" s="41"/>
      <c r="P49" s="35"/>
      <c r="Q49" s="35" t="s">
        <v>200</v>
      </c>
      <c r="R49" s="42" t="str">
        <f aca="true">IF($E49="","",IF($N49="Cancelada","Cancelada",IF(OR($M49&lt;&gt;"",$N49="Concluída"),IF(OR($L49="",$M49="",$M49&lt;=$L49),"Concluída","Concluída com atraso"),IF($L49="","Na carteira",IF($L49&lt;TODAY(),"VENCIDA",IF($N49="Em execução","Em execução",IF($L49=TODAY(),"Hoje","Programada")))))))</f>
        <v>Concluída</v>
      </c>
      <c r="S49" s="34" t="str">
        <f aca="false">IF($E49="","",IF(ISNUMBER(SEARCH("(externo)",$G49&amp;$H49&amp;$I49)),"Terceirizada","Interna"))</f>
        <v>Interna</v>
      </c>
      <c r="T49" s="40" t="n">
        <f aca="false">IF($L49="","",IF($O49="",$L49,$O49))</f>
        <v>46259</v>
      </c>
      <c r="U49" s="34" t="n">
        <f aca="false">IF($E49="","",IF(OR($M49="",$L49=""),0,IF($M49&lt;=$L49,1,0)))</f>
        <v>0</v>
      </c>
      <c r="V49" s="34" t="n">
        <f aca="false">IF($E49="","",IF(OR($M49="",$T49=""),0,IF($M49&lt;=$T49,1,0)))</f>
        <v>0</v>
      </c>
      <c r="W49" s="42" t="str">
        <f aca="false">IF(OR($M49="",$L49=""),"",MAX(0,$M49-$L49))</f>
        <v/>
      </c>
      <c r="X49" s="34" t="n">
        <f aca="false">IF($E49="","",IF(AND($O49&lt;&gt;"",$L49&lt;&gt;"",$O49&lt;&gt;$L49),1,0))</f>
        <v>0</v>
      </c>
      <c r="Y49" s="34" t="n">
        <f aca="false">IF($E49="","",IF($N49="Cancelada",0,IF(OR($M49&lt;&gt;"",$N49="Concluída"),1,0)))</f>
        <v>1</v>
      </c>
    </row>
    <row r="50" customFormat="false" ht="15" hidden="false" customHeight="true" outlineLevel="0" collapsed="false">
      <c r="A50" s="34" t="n">
        <f aca="false">IF($E50="","",COUNTA($E$5:$E50))</f>
        <v>46</v>
      </c>
      <c r="B50" s="35"/>
      <c r="C50" s="35" t="s">
        <v>108</v>
      </c>
      <c r="D50" s="35" t="s">
        <v>198</v>
      </c>
      <c r="E50" s="35" t="s">
        <v>205</v>
      </c>
      <c r="F50" s="36" t="s">
        <v>62</v>
      </c>
      <c r="G50" s="37" t="s">
        <v>60</v>
      </c>
      <c r="H50" s="37" t="s">
        <v>78</v>
      </c>
      <c r="I50" s="37" t="s">
        <v>88</v>
      </c>
      <c r="J50" s="38" t="n">
        <v>46258</v>
      </c>
      <c r="K50" s="39" t="s">
        <v>71</v>
      </c>
      <c r="L50" s="40" t="n">
        <f aca="false">IF(OR($J50="",$K50=""),"",$J50+MATCH($K50,Listas!$F$5:$F$11,0)-1)</f>
        <v>46259</v>
      </c>
      <c r="M50" s="41"/>
      <c r="N50" s="36" t="s">
        <v>63</v>
      </c>
      <c r="O50" s="41"/>
      <c r="P50" s="35"/>
      <c r="Q50" s="35" t="s">
        <v>200</v>
      </c>
      <c r="R50" s="42" t="str">
        <f aca="true">IF($E50="","",IF($N50="Cancelada","Cancelada",IF(OR($M50&lt;&gt;"",$N50="Concluída"),IF(OR($L50="",$M50="",$M50&lt;=$L50),"Concluída","Concluída com atraso"),IF($L50="","Na carteira",IF($L50&lt;TODAY(),"VENCIDA",IF($N50="Em execução","Em execução",IF($L50=TODAY(),"Hoje","Programada")))))))</f>
        <v>Concluída</v>
      </c>
      <c r="S50" s="34" t="str">
        <f aca="false">IF($E50="","",IF(ISNUMBER(SEARCH("(externo)",$G50&amp;$H50&amp;$I50)),"Terceirizada","Interna"))</f>
        <v>Interna</v>
      </c>
      <c r="T50" s="40" t="n">
        <f aca="false">IF($L50="","",IF($O50="",$L50,$O50))</f>
        <v>46259</v>
      </c>
      <c r="U50" s="34" t="n">
        <f aca="false">IF($E50="","",IF(OR($M50="",$L50=""),0,IF($M50&lt;=$L50,1,0)))</f>
        <v>0</v>
      </c>
      <c r="V50" s="34" t="n">
        <f aca="false">IF($E50="","",IF(OR($M50="",$T50=""),0,IF($M50&lt;=$T50,1,0)))</f>
        <v>0</v>
      </c>
      <c r="W50" s="42" t="str">
        <f aca="false">IF(OR($M50="",$L50=""),"",MAX(0,$M50-$L50))</f>
        <v/>
      </c>
      <c r="X50" s="34" t="n">
        <f aca="false">IF($E50="","",IF(AND($O50&lt;&gt;"",$L50&lt;&gt;"",$O50&lt;&gt;$L50),1,0))</f>
        <v>0</v>
      </c>
      <c r="Y50" s="34" t="n">
        <f aca="false">IF($E50="","",IF($N50="Cancelada",0,IF(OR($M50&lt;&gt;"",$N50="Concluída"),1,0)))</f>
        <v>1</v>
      </c>
    </row>
    <row r="51" customFormat="false" ht="15" hidden="false" customHeight="true" outlineLevel="0" collapsed="false">
      <c r="A51" s="34" t="n">
        <f aca="false">IF($E51="","",COUNTA($E$5:$E51))</f>
        <v>47</v>
      </c>
      <c r="B51" s="35"/>
      <c r="C51" s="35" t="s">
        <v>108</v>
      </c>
      <c r="D51" s="35" t="s">
        <v>198</v>
      </c>
      <c r="E51" s="35" t="s">
        <v>206</v>
      </c>
      <c r="F51" s="36" t="s">
        <v>62</v>
      </c>
      <c r="G51" s="37" t="s">
        <v>60</v>
      </c>
      <c r="H51" s="37" t="s">
        <v>78</v>
      </c>
      <c r="I51" s="37" t="s">
        <v>88</v>
      </c>
      <c r="J51" s="38" t="n">
        <v>46258</v>
      </c>
      <c r="K51" s="39" t="s">
        <v>71</v>
      </c>
      <c r="L51" s="40" t="n">
        <f aca="false">IF(OR($J51="",$K51=""),"",$J51+MATCH($K51,Listas!$F$5:$F$11,0)-1)</f>
        <v>46259</v>
      </c>
      <c r="M51" s="41"/>
      <c r="N51" s="36" t="s">
        <v>63</v>
      </c>
      <c r="O51" s="41"/>
      <c r="P51" s="35"/>
      <c r="Q51" s="35" t="s">
        <v>200</v>
      </c>
      <c r="R51" s="42" t="str">
        <f aca="true">IF($E51="","",IF($N51="Cancelada","Cancelada",IF(OR($M51&lt;&gt;"",$N51="Concluída"),IF(OR($L51="",$M51="",$M51&lt;=$L51),"Concluída","Concluída com atraso"),IF($L51="","Na carteira",IF($L51&lt;TODAY(),"VENCIDA",IF($N51="Em execução","Em execução",IF($L51=TODAY(),"Hoje","Programada")))))))</f>
        <v>Concluída</v>
      </c>
      <c r="S51" s="34" t="str">
        <f aca="false">IF($E51="","",IF(ISNUMBER(SEARCH("(externo)",$G51&amp;$H51&amp;$I51)),"Terceirizada","Interna"))</f>
        <v>Interna</v>
      </c>
      <c r="T51" s="40" t="n">
        <f aca="false">IF($L51="","",IF($O51="",$L51,$O51))</f>
        <v>46259</v>
      </c>
      <c r="U51" s="34" t="n">
        <f aca="false">IF($E51="","",IF(OR($M51="",$L51=""),0,IF($M51&lt;=$L51,1,0)))</f>
        <v>0</v>
      </c>
      <c r="V51" s="34" t="n">
        <f aca="false">IF($E51="","",IF(OR($M51="",$T51=""),0,IF($M51&lt;=$T51,1,0)))</f>
        <v>0</v>
      </c>
      <c r="W51" s="42" t="str">
        <f aca="false">IF(OR($M51="",$L51=""),"",MAX(0,$M51-$L51))</f>
        <v/>
      </c>
      <c r="X51" s="34" t="n">
        <f aca="false">IF($E51="","",IF(AND($O51&lt;&gt;"",$L51&lt;&gt;"",$O51&lt;&gt;$L51),1,0))</f>
        <v>0</v>
      </c>
      <c r="Y51" s="34" t="n">
        <f aca="false">IF($E51="","",IF($N51="Cancelada",0,IF(OR($M51&lt;&gt;"",$N51="Concluída"),1,0)))</f>
        <v>1</v>
      </c>
    </row>
    <row r="52" customFormat="false" ht="15" hidden="false" customHeight="true" outlineLevel="0" collapsed="false">
      <c r="A52" s="34" t="n">
        <f aca="false">IF($E52="","",COUNTA($E$5:$E52))</f>
        <v>48</v>
      </c>
      <c r="B52" s="35"/>
      <c r="C52" s="35" t="s">
        <v>108</v>
      </c>
      <c r="D52" s="35" t="s">
        <v>198</v>
      </c>
      <c r="E52" s="35" t="s">
        <v>207</v>
      </c>
      <c r="F52" s="36" t="s">
        <v>62</v>
      </c>
      <c r="G52" s="37" t="s">
        <v>60</v>
      </c>
      <c r="H52" s="37" t="s">
        <v>78</v>
      </c>
      <c r="I52" s="37" t="s">
        <v>88</v>
      </c>
      <c r="J52" s="38" t="n">
        <v>46258</v>
      </c>
      <c r="K52" s="39" t="s">
        <v>71</v>
      </c>
      <c r="L52" s="40" t="n">
        <f aca="false">IF(OR($J52="",$K52=""),"",$J52+MATCH($K52,Listas!$F$5:$F$11,0)-1)</f>
        <v>46259</v>
      </c>
      <c r="M52" s="41"/>
      <c r="N52" s="36" t="s">
        <v>63</v>
      </c>
      <c r="O52" s="41"/>
      <c r="P52" s="35"/>
      <c r="Q52" s="35" t="s">
        <v>200</v>
      </c>
      <c r="R52" s="42" t="str">
        <f aca="true">IF($E52="","",IF($N52="Cancelada","Cancelada",IF(OR($M52&lt;&gt;"",$N52="Concluída"),IF(OR($L52="",$M52="",$M52&lt;=$L52),"Concluída","Concluída com atraso"),IF($L52="","Na carteira",IF($L52&lt;TODAY(),"VENCIDA",IF($N52="Em execução","Em execução",IF($L52=TODAY(),"Hoje","Programada")))))))</f>
        <v>Concluída</v>
      </c>
      <c r="S52" s="34" t="str">
        <f aca="false">IF($E52="","",IF(ISNUMBER(SEARCH("(externo)",$G52&amp;$H52&amp;$I52)),"Terceirizada","Interna"))</f>
        <v>Interna</v>
      </c>
      <c r="T52" s="40" t="n">
        <f aca="false">IF($L52="","",IF($O52="",$L52,$O52))</f>
        <v>46259</v>
      </c>
      <c r="U52" s="34" t="n">
        <f aca="false">IF($E52="","",IF(OR($M52="",$L52=""),0,IF($M52&lt;=$L52,1,0)))</f>
        <v>0</v>
      </c>
      <c r="V52" s="34" t="n">
        <f aca="false">IF($E52="","",IF(OR($M52="",$T52=""),0,IF($M52&lt;=$T52,1,0)))</f>
        <v>0</v>
      </c>
      <c r="W52" s="42" t="str">
        <f aca="false">IF(OR($M52="",$L52=""),"",MAX(0,$M52-$L52))</f>
        <v/>
      </c>
      <c r="X52" s="34" t="n">
        <f aca="false">IF($E52="","",IF(AND($O52&lt;&gt;"",$L52&lt;&gt;"",$O52&lt;&gt;$L52),1,0))</f>
        <v>0</v>
      </c>
      <c r="Y52" s="34" t="n">
        <f aca="false">IF($E52="","",IF($N52="Cancelada",0,IF(OR($M52&lt;&gt;"",$N52="Concluída"),1,0)))</f>
        <v>1</v>
      </c>
    </row>
    <row r="53" customFormat="false" ht="15" hidden="false" customHeight="true" outlineLevel="0" collapsed="false">
      <c r="A53" s="34" t="n">
        <f aca="false">IF($E53="","",COUNTA($E$5:$E53))</f>
        <v>49</v>
      </c>
      <c r="B53" s="35"/>
      <c r="C53" s="35" t="s">
        <v>108</v>
      </c>
      <c r="D53" s="35" t="s">
        <v>198</v>
      </c>
      <c r="E53" s="35" t="s">
        <v>208</v>
      </c>
      <c r="F53" s="36" t="s">
        <v>62</v>
      </c>
      <c r="G53" s="37" t="s">
        <v>60</v>
      </c>
      <c r="H53" s="37" t="s">
        <v>78</v>
      </c>
      <c r="I53" s="37" t="s">
        <v>88</v>
      </c>
      <c r="J53" s="38" t="n">
        <v>46258</v>
      </c>
      <c r="K53" s="39" t="s">
        <v>71</v>
      </c>
      <c r="L53" s="40" t="n">
        <f aca="false">IF(OR($J53="",$K53=""),"",$J53+MATCH($K53,Listas!$F$5:$F$11,0)-1)</f>
        <v>46259</v>
      </c>
      <c r="M53" s="41"/>
      <c r="N53" s="36" t="s">
        <v>63</v>
      </c>
      <c r="O53" s="41"/>
      <c r="P53" s="35"/>
      <c r="Q53" s="35" t="s">
        <v>200</v>
      </c>
      <c r="R53" s="42" t="str">
        <f aca="true">IF($E53="","",IF($N53="Cancelada","Cancelada",IF(OR($M53&lt;&gt;"",$N53="Concluída"),IF(OR($L53="",$M53="",$M53&lt;=$L53),"Concluída","Concluída com atraso"),IF($L53="","Na carteira",IF($L53&lt;TODAY(),"VENCIDA",IF($N53="Em execução","Em execução",IF($L53=TODAY(),"Hoje","Programada")))))))</f>
        <v>Concluída</v>
      </c>
      <c r="S53" s="34" t="str">
        <f aca="false">IF($E53="","",IF(ISNUMBER(SEARCH("(externo)",$G53&amp;$H53&amp;$I53)),"Terceirizada","Interna"))</f>
        <v>Interna</v>
      </c>
      <c r="T53" s="40" t="n">
        <f aca="false">IF($L53="","",IF($O53="",$L53,$O53))</f>
        <v>46259</v>
      </c>
      <c r="U53" s="34" t="n">
        <f aca="false">IF($E53="","",IF(OR($M53="",$L53=""),0,IF($M53&lt;=$L53,1,0)))</f>
        <v>0</v>
      </c>
      <c r="V53" s="34" t="n">
        <f aca="false">IF($E53="","",IF(OR($M53="",$T53=""),0,IF($M53&lt;=$T53,1,0)))</f>
        <v>0</v>
      </c>
      <c r="W53" s="42" t="str">
        <f aca="false">IF(OR($M53="",$L53=""),"",MAX(0,$M53-$L53))</f>
        <v/>
      </c>
      <c r="X53" s="34" t="n">
        <f aca="false">IF($E53="","",IF(AND($O53&lt;&gt;"",$L53&lt;&gt;"",$O53&lt;&gt;$L53),1,0))</f>
        <v>0</v>
      </c>
      <c r="Y53" s="34" t="n">
        <f aca="false">IF($E53="","",IF($N53="Cancelada",0,IF(OR($M53&lt;&gt;"",$N53="Concluída"),1,0)))</f>
        <v>1</v>
      </c>
    </row>
    <row r="54" customFormat="false" ht="15" hidden="false" customHeight="true" outlineLevel="0" collapsed="false">
      <c r="A54" s="34" t="n">
        <f aca="false">IF($E54="","",COUNTA($E$5:$E54))</f>
        <v>50</v>
      </c>
      <c r="B54" s="35"/>
      <c r="C54" s="35" t="s">
        <v>108</v>
      </c>
      <c r="D54" s="35" t="s">
        <v>198</v>
      </c>
      <c r="E54" s="35" t="s">
        <v>209</v>
      </c>
      <c r="F54" s="36" t="s">
        <v>62</v>
      </c>
      <c r="G54" s="37" t="s">
        <v>60</v>
      </c>
      <c r="H54" s="37" t="s">
        <v>78</v>
      </c>
      <c r="I54" s="37" t="s">
        <v>88</v>
      </c>
      <c r="J54" s="38" t="n">
        <v>46258</v>
      </c>
      <c r="K54" s="39" t="s">
        <v>71</v>
      </c>
      <c r="L54" s="40" t="n">
        <f aca="false">IF(OR($J54="",$K54=""),"",$J54+MATCH($K54,Listas!$F$5:$F$11,0)-1)</f>
        <v>46259</v>
      </c>
      <c r="M54" s="41"/>
      <c r="N54" s="36" t="s">
        <v>63</v>
      </c>
      <c r="O54" s="41"/>
      <c r="P54" s="35"/>
      <c r="Q54" s="35" t="s">
        <v>200</v>
      </c>
      <c r="R54" s="42" t="str">
        <f aca="true">IF($E54="","",IF($N54="Cancelada","Cancelada",IF(OR($M54&lt;&gt;"",$N54="Concluída"),IF(OR($L54="",$M54="",$M54&lt;=$L54),"Concluída","Concluída com atraso"),IF($L54="","Na carteira",IF($L54&lt;TODAY(),"VENCIDA",IF($N54="Em execução","Em execução",IF($L54=TODAY(),"Hoje","Programada")))))))</f>
        <v>Concluída</v>
      </c>
      <c r="S54" s="34" t="str">
        <f aca="false">IF($E54="","",IF(ISNUMBER(SEARCH("(externo)",$G54&amp;$H54&amp;$I54)),"Terceirizada","Interna"))</f>
        <v>Interna</v>
      </c>
      <c r="T54" s="40" t="n">
        <f aca="false">IF($L54="","",IF($O54="",$L54,$O54))</f>
        <v>46259</v>
      </c>
      <c r="U54" s="34" t="n">
        <f aca="false">IF($E54="","",IF(OR($M54="",$L54=""),0,IF($M54&lt;=$L54,1,0)))</f>
        <v>0</v>
      </c>
      <c r="V54" s="34" t="n">
        <f aca="false">IF($E54="","",IF(OR($M54="",$T54=""),0,IF($M54&lt;=$T54,1,0)))</f>
        <v>0</v>
      </c>
      <c r="W54" s="42" t="str">
        <f aca="false">IF(OR($M54="",$L54=""),"",MAX(0,$M54-$L54))</f>
        <v/>
      </c>
      <c r="X54" s="34" t="n">
        <f aca="false">IF($E54="","",IF(AND($O54&lt;&gt;"",$L54&lt;&gt;"",$O54&lt;&gt;$L54),1,0))</f>
        <v>0</v>
      </c>
      <c r="Y54" s="34" t="n">
        <f aca="false">IF($E54="","",IF($N54="Cancelada",0,IF(OR($M54&lt;&gt;"",$N54="Concluída"),1,0)))</f>
        <v>1</v>
      </c>
    </row>
    <row r="55" customFormat="false" ht="15" hidden="false" customHeight="true" outlineLevel="0" collapsed="false">
      <c r="A55" s="34" t="n">
        <f aca="false">IF($E55="","",COUNTA($E$5:$E55))</f>
        <v>51</v>
      </c>
      <c r="B55" s="35"/>
      <c r="C55" s="35" t="s">
        <v>108</v>
      </c>
      <c r="D55" s="35" t="s">
        <v>198</v>
      </c>
      <c r="E55" s="35" t="s">
        <v>210</v>
      </c>
      <c r="F55" s="36" t="s">
        <v>62</v>
      </c>
      <c r="G55" s="37" t="s">
        <v>60</v>
      </c>
      <c r="H55" s="37" t="s">
        <v>78</v>
      </c>
      <c r="I55" s="37" t="s">
        <v>88</v>
      </c>
      <c r="J55" s="38" t="n">
        <v>46258</v>
      </c>
      <c r="K55" s="39" t="s">
        <v>77</v>
      </c>
      <c r="L55" s="40" t="n">
        <f aca="false">IF(OR($J55="",$K55=""),"",$J55+MATCH($K55,Listas!$F$5:$F$11,0)-1)</f>
        <v>46260</v>
      </c>
      <c r="M55" s="41"/>
      <c r="N55" s="36" t="s">
        <v>63</v>
      </c>
      <c r="O55" s="41"/>
      <c r="P55" s="35"/>
      <c r="Q55" s="35" t="s">
        <v>200</v>
      </c>
      <c r="R55" s="42" t="str">
        <f aca="true">IF($E55="","",IF($N55="Cancelada","Cancelada",IF(OR($M55&lt;&gt;"",$N55="Concluída"),IF(OR($L55="",$M55="",$M55&lt;=$L55),"Concluída","Concluída com atraso"),IF($L55="","Na carteira",IF($L55&lt;TODAY(),"VENCIDA",IF($N55="Em execução","Em execução",IF($L55=TODAY(),"Hoje","Programada")))))))</f>
        <v>Concluída</v>
      </c>
      <c r="S55" s="34" t="str">
        <f aca="false">IF($E55="","",IF(ISNUMBER(SEARCH("(externo)",$G55&amp;$H55&amp;$I55)),"Terceirizada","Interna"))</f>
        <v>Interna</v>
      </c>
      <c r="T55" s="40" t="n">
        <f aca="false">IF($L55="","",IF($O55="",$L55,$O55))</f>
        <v>46260</v>
      </c>
      <c r="U55" s="34" t="n">
        <f aca="false">IF($E55="","",IF(OR($M55="",$L55=""),0,IF($M55&lt;=$L55,1,0)))</f>
        <v>0</v>
      </c>
      <c r="V55" s="34" t="n">
        <f aca="false">IF($E55="","",IF(OR($M55="",$T55=""),0,IF($M55&lt;=$T55,1,0)))</f>
        <v>0</v>
      </c>
      <c r="W55" s="42" t="str">
        <f aca="false">IF(OR($M55="",$L55=""),"",MAX(0,$M55-$L55))</f>
        <v/>
      </c>
      <c r="X55" s="34" t="n">
        <f aca="false">IF($E55="","",IF(AND($O55&lt;&gt;"",$L55&lt;&gt;"",$O55&lt;&gt;$L55),1,0))</f>
        <v>0</v>
      </c>
      <c r="Y55" s="34" t="n">
        <f aca="false">IF($E55="","",IF($N55="Cancelada",0,IF(OR($M55&lt;&gt;"",$N55="Concluída"),1,0)))</f>
        <v>1</v>
      </c>
    </row>
    <row r="56" customFormat="false" ht="15" hidden="false" customHeight="true" outlineLevel="0" collapsed="false">
      <c r="A56" s="34" t="n">
        <f aca="false">IF($E56="","",COUNTA($E$5:$E56))</f>
        <v>52</v>
      </c>
      <c r="B56" s="35"/>
      <c r="C56" s="35" t="s">
        <v>108</v>
      </c>
      <c r="D56" s="35" t="s">
        <v>198</v>
      </c>
      <c r="E56" s="35" t="s">
        <v>211</v>
      </c>
      <c r="F56" s="36" t="s">
        <v>62</v>
      </c>
      <c r="G56" s="37" t="s">
        <v>60</v>
      </c>
      <c r="H56" s="37" t="s">
        <v>78</v>
      </c>
      <c r="I56" s="37" t="s">
        <v>88</v>
      </c>
      <c r="J56" s="38" t="n">
        <v>46258</v>
      </c>
      <c r="K56" s="39" t="s">
        <v>77</v>
      </c>
      <c r="L56" s="40" t="n">
        <f aca="false">IF(OR($J56="",$K56=""),"",$J56+MATCH($K56,Listas!$F$5:$F$11,0)-1)</f>
        <v>46260</v>
      </c>
      <c r="M56" s="41"/>
      <c r="N56" s="36" t="s">
        <v>63</v>
      </c>
      <c r="O56" s="41"/>
      <c r="P56" s="35"/>
      <c r="Q56" s="35" t="s">
        <v>200</v>
      </c>
      <c r="R56" s="42" t="str">
        <f aca="true">IF($E56="","",IF($N56="Cancelada","Cancelada",IF(OR($M56&lt;&gt;"",$N56="Concluída"),IF(OR($L56="",$M56="",$M56&lt;=$L56),"Concluída","Concluída com atraso"),IF($L56="","Na carteira",IF($L56&lt;TODAY(),"VENCIDA",IF($N56="Em execução","Em execução",IF($L56=TODAY(),"Hoje","Programada")))))))</f>
        <v>Concluída</v>
      </c>
      <c r="S56" s="34" t="str">
        <f aca="false">IF($E56="","",IF(ISNUMBER(SEARCH("(externo)",$G56&amp;$H56&amp;$I56)),"Terceirizada","Interna"))</f>
        <v>Interna</v>
      </c>
      <c r="T56" s="40" t="n">
        <f aca="false">IF($L56="","",IF($O56="",$L56,$O56))</f>
        <v>46260</v>
      </c>
      <c r="U56" s="34" t="n">
        <f aca="false">IF($E56="","",IF(OR($M56="",$L56=""),0,IF($M56&lt;=$L56,1,0)))</f>
        <v>0</v>
      </c>
      <c r="V56" s="34" t="n">
        <f aca="false">IF($E56="","",IF(OR($M56="",$T56=""),0,IF($M56&lt;=$T56,1,0)))</f>
        <v>0</v>
      </c>
      <c r="W56" s="42" t="str">
        <f aca="false">IF(OR($M56="",$L56=""),"",MAX(0,$M56-$L56))</f>
        <v/>
      </c>
      <c r="X56" s="34" t="n">
        <f aca="false">IF($E56="","",IF(AND($O56&lt;&gt;"",$L56&lt;&gt;"",$O56&lt;&gt;$L56),1,0))</f>
        <v>0</v>
      </c>
      <c r="Y56" s="34" t="n">
        <f aca="false">IF($E56="","",IF($N56="Cancelada",0,IF(OR($M56&lt;&gt;"",$N56="Concluída"),1,0)))</f>
        <v>1</v>
      </c>
    </row>
    <row r="57" customFormat="false" ht="15" hidden="false" customHeight="true" outlineLevel="0" collapsed="false">
      <c r="A57" s="34" t="n">
        <f aca="false">IF($E57="","",COUNTA($E$5:$E57))</f>
        <v>53</v>
      </c>
      <c r="B57" s="35"/>
      <c r="C57" s="35" t="s">
        <v>108</v>
      </c>
      <c r="D57" s="35" t="s">
        <v>198</v>
      </c>
      <c r="E57" s="35" t="s">
        <v>212</v>
      </c>
      <c r="F57" s="36" t="s">
        <v>62</v>
      </c>
      <c r="G57" s="37" t="s">
        <v>60</v>
      </c>
      <c r="H57" s="37" t="s">
        <v>78</v>
      </c>
      <c r="I57" s="37" t="s">
        <v>88</v>
      </c>
      <c r="J57" s="38" t="n">
        <v>46258</v>
      </c>
      <c r="K57" s="39" t="s">
        <v>77</v>
      </c>
      <c r="L57" s="40" t="n">
        <f aca="false">IF(OR($J57="",$K57=""),"",$J57+MATCH($K57,Listas!$F$5:$F$11,0)-1)</f>
        <v>46260</v>
      </c>
      <c r="M57" s="41"/>
      <c r="N57" s="36" t="s">
        <v>63</v>
      </c>
      <c r="O57" s="41"/>
      <c r="P57" s="35"/>
      <c r="Q57" s="35" t="s">
        <v>200</v>
      </c>
      <c r="R57" s="42" t="str">
        <f aca="true">IF($E57="","",IF($N57="Cancelada","Cancelada",IF(OR($M57&lt;&gt;"",$N57="Concluída"),IF(OR($L57="",$M57="",$M57&lt;=$L57),"Concluída","Concluída com atraso"),IF($L57="","Na carteira",IF($L57&lt;TODAY(),"VENCIDA",IF($N57="Em execução","Em execução",IF($L57=TODAY(),"Hoje","Programada")))))))</f>
        <v>Concluída</v>
      </c>
      <c r="S57" s="34" t="str">
        <f aca="false">IF($E57="","",IF(ISNUMBER(SEARCH("(externo)",$G57&amp;$H57&amp;$I57)),"Terceirizada","Interna"))</f>
        <v>Interna</v>
      </c>
      <c r="T57" s="40" t="n">
        <f aca="false">IF($L57="","",IF($O57="",$L57,$O57))</f>
        <v>46260</v>
      </c>
      <c r="U57" s="34" t="n">
        <f aca="false">IF($E57="","",IF(OR($M57="",$L57=""),0,IF($M57&lt;=$L57,1,0)))</f>
        <v>0</v>
      </c>
      <c r="V57" s="34" t="n">
        <f aca="false">IF($E57="","",IF(OR($M57="",$T57=""),0,IF($M57&lt;=$T57,1,0)))</f>
        <v>0</v>
      </c>
      <c r="W57" s="42" t="str">
        <f aca="false">IF(OR($M57="",$L57=""),"",MAX(0,$M57-$L57))</f>
        <v/>
      </c>
      <c r="X57" s="34" t="n">
        <f aca="false">IF($E57="","",IF(AND($O57&lt;&gt;"",$L57&lt;&gt;"",$O57&lt;&gt;$L57),1,0))</f>
        <v>0</v>
      </c>
      <c r="Y57" s="34" t="n">
        <f aca="false">IF($E57="","",IF($N57="Cancelada",0,IF(OR($M57&lt;&gt;"",$N57="Concluída"),1,0)))</f>
        <v>1</v>
      </c>
    </row>
    <row r="58" customFormat="false" ht="15" hidden="false" customHeight="true" outlineLevel="0" collapsed="false">
      <c r="A58" s="34" t="n">
        <f aca="false">IF($E58="","",COUNTA($E$5:$E58))</f>
        <v>54</v>
      </c>
      <c r="B58" s="35"/>
      <c r="C58" s="35" t="s">
        <v>108</v>
      </c>
      <c r="D58" s="35" t="s">
        <v>198</v>
      </c>
      <c r="E58" s="35" t="s">
        <v>213</v>
      </c>
      <c r="F58" s="36" t="s">
        <v>62</v>
      </c>
      <c r="G58" s="37" t="s">
        <v>60</v>
      </c>
      <c r="H58" s="37" t="s">
        <v>78</v>
      </c>
      <c r="I58" s="37" t="s">
        <v>88</v>
      </c>
      <c r="J58" s="38" t="n">
        <v>46258</v>
      </c>
      <c r="K58" s="39" t="s">
        <v>77</v>
      </c>
      <c r="L58" s="40" t="n">
        <f aca="false">IF(OR($J58="",$K58=""),"",$J58+MATCH($K58,Listas!$F$5:$F$11,0)-1)</f>
        <v>46260</v>
      </c>
      <c r="M58" s="41"/>
      <c r="N58" s="36" t="s">
        <v>63</v>
      </c>
      <c r="O58" s="41"/>
      <c r="P58" s="35"/>
      <c r="Q58" s="35" t="s">
        <v>200</v>
      </c>
      <c r="R58" s="42" t="str">
        <f aca="true">IF($E58="","",IF($N58="Cancelada","Cancelada",IF(OR($M58&lt;&gt;"",$N58="Concluída"),IF(OR($L58="",$M58="",$M58&lt;=$L58),"Concluída","Concluída com atraso"),IF($L58="","Na carteira",IF($L58&lt;TODAY(),"VENCIDA",IF($N58="Em execução","Em execução",IF($L58=TODAY(),"Hoje","Programada")))))))</f>
        <v>Concluída</v>
      </c>
      <c r="S58" s="34" t="str">
        <f aca="false">IF($E58="","",IF(ISNUMBER(SEARCH("(externo)",$G58&amp;$H58&amp;$I58)),"Terceirizada","Interna"))</f>
        <v>Interna</v>
      </c>
      <c r="T58" s="40" t="n">
        <f aca="false">IF($L58="","",IF($O58="",$L58,$O58))</f>
        <v>46260</v>
      </c>
      <c r="U58" s="34" t="n">
        <f aca="false">IF($E58="","",IF(OR($M58="",$L58=""),0,IF($M58&lt;=$L58,1,0)))</f>
        <v>0</v>
      </c>
      <c r="V58" s="34" t="n">
        <f aca="false">IF($E58="","",IF(OR($M58="",$T58=""),0,IF($M58&lt;=$T58,1,0)))</f>
        <v>0</v>
      </c>
      <c r="W58" s="42" t="str">
        <f aca="false">IF(OR($M58="",$L58=""),"",MAX(0,$M58-$L58))</f>
        <v/>
      </c>
      <c r="X58" s="34" t="n">
        <f aca="false">IF($E58="","",IF(AND($O58&lt;&gt;"",$L58&lt;&gt;"",$O58&lt;&gt;$L58),1,0))</f>
        <v>0</v>
      </c>
      <c r="Y58" s="34" t="n">
        <f aca="false">IF($E58="","",IF($N58="Cancelada",0,IF(OR($M58&lt;&gt;"",$N58="Concluída"),1,0)))</f>
        <v>1</v>
      </c>
    </row>
    <row r="59" customFormat="false" ht="15" hidden="false" customHeight="true" outlineLevel="0" collapsed="false">
      <c r="A59" s="34" t="n">
        <f aca="false">IF($E59="","",COUNTA($E$5:$E59))</f>
        <v>55</v>
      </c>
      <c r="B59" s="35"/>
      <c r="C59" s="35" t="s">
        <v>108</v>
      </c>
      <c r="D59" s="35" t="s">
        <v>198</v>
      </c>
      <c r="E59" s="35" t="s">
        <v>214</v>
      </c>
      <c r="F59" s="36" t="s">
        <v>62</v>
      </c>
      <c r="G59" s="37" t="s">
        <v>60</v>
      </c>
      <c r="H59" s="37" t="s">
        <v>78</v>
      </c>
      <c r="I59" s="37" t="s">
        <v>88</v>
      </c>
      <c r="J59" s="38" t="n">
        <v>46258</v>
      </c>
      <c r="K59" s="39" t="s">
        <v>77</v>
      </c>
      <c r="L59" s="40" t="n">
        <f aca="false">IF(OR($J59="",$K59=""),"",$J59+MATCH($K59,Listas!$F$5:$F$11,0)-1)</f>
        <v>46260</v>
      </c>
      <c r="M59" s="41"/>
      <c r="N59" s="36" t="s">
        <v>63</v>
      </c>
      <c r="O59" s="41"/>
      <c r="P59" s="35"/>
      <c r="Q59" s="35" t="s">
        <v>200</v>
      </c>
      <c r="R59" s="42" t="str">
        <f aca="true">IF($E59="","",IF($N59="Cancelada","Cancelada",IF(OR($M59&lt;&gt;"",$N59="Concluída"),IF(OR($L59="",$M59="",$M59&lt;=$L59),"Concluída","Concluída com atraso"),IF($L59="","Na carteira",IF($L59&lt;TODAY(),"VENCIDA",IF($N59="Em execução","Em execução",IF($L59=TODAY(),"Hoje","Programada")))))))</f>
        <v>Concluída</v>
      </c>
      <c r="S59" s="34" t="str">
        <f aca="false">IF($E59="","",IF(ISNUMBER(SEARCH("(externo)",$G59&amp;$H59&amp;$I59)),"Terceirizada","Interna"))</f>
        <v>Interna</v>
      </c>
      <c r="T59" s="40" t="n">
        <f aca="false">IF($L59="","",IF($O59="",$L59,$O59))</f>
        <v>46260</v>
      </c>
      <c r="U59" s="34" t="n">
        <f aca="false">IF($E59="","",IF(OR($M59="",$L59=""),0,IF($M59&lt;=$L59,1,0)))</f>
        <v>0</v>
      </c>
      <c r="V59" s="34" t="n">
        <f aca="false">IF($E59="","",IF(OR($M59="",$T59=""),0,IF($M59&lt;=$T59,1,0)))</f>
        <v>0</v>
      </c>
      <c r="W59" s="42" t="str">
        <f aca="false">IF(OR($M59="",$L59=""),"",MAX(0,$M59-$L59))</f>
        <v/>
      </c>
      <c r="X59" s="34" t="n">
        <f aca="false">IF($E59="","",IF(AND($O59&lt;&gt;"",$L59&lt;&gt;"",$O59&lt;&gt;$L59),1,0))</f>
        <v>0</v>
      </c>
      <c r="Y59" s="34" t="n">
        <f aca="false">IF($E59="","",IF($N59="Cancelada",0,IF(OR($M59&lt;&gt;"",$N59="Concluída"),1,0)))</f>
        <v>1</v>
      </c>
    </row>
    <row r="60" customFormat="false" ht="15" hidden="false" customHeight="true" outlineLevel="0" collapsed="false">
      <c r="A60" s="34" t="n">
        <f aca="false">IF($E60="","",COUNTA($E$5:$E60))</f>
        <v>56</v>
      </c>
      <c r="B60" s="35"/>
      <c r="C60" s="35" t="s">
        <v>108</v>
      </c>
      <c r="D60" s="35" t="s">
        <v>198</v>
      </c>
      <c r="E60" s="35" t="s">
        <v>215</v>
      </c>
      <c r="F60" s="36" t="s">
        <v>62</v>
      </c>
      <c r="G60" s="37" t="s">
        <v>60</v>
      </c>
      <c r="H60" s="37" t="s">
        <v>78</v>
      </c>
      <c r="I60" s="37" t="s">
        <v>88</v>
      </c>
      <c r="J60" s="38" t="n">
        <v>46258</v>
      </c>
      <c r="K60" s="39" t="s">
        <v>77</v>
      </c>
      <c r="L60" s="40" t="n">
        <f aca="false">IF(OR($J60="",$K60=""),"",$J60+MATCH($K60,Listas!$F$5:$F$11,0)-1)</f>
        <v>46260</v>
      </c>
      <c r="M60" s="41"/>
      <c r="N60" s="36" t="s">
        <v>63</v>
      </c>
      <c r="O60" s="41"/>
      <c r="P60" s="35"/>
      <c r="Q60" s="35" t="s">
        <v>200</v>
      </c>
      <c r="R60" s="42" t="str">
        <f aca="true">IF($E60="","",IF($N60="Cancelada","Cancelada",IF(OR($M60&lt;&gt;"",$N60="Concluída"),IF(OR($L60="",$M60="",$M60&lt;=$L60),"Concluída","Concluída com atraso"),IF($L60="","Na carteira",IF($L60&lt;TODAY(),"VENCIDA",IF($N60="Em execução","Em execução",IF($L60=TODAY(),"Hoje","Programada")))))))</f>
        <v>Concluída</v>
      </c>
      <c r="S60" s="34" t="str">
        <f aca="false">IF($E60="","",IF(ISNUMBER(SEARCH("(externo)",$G60&amp;$H60&amp;$I60)),"Terceirizada","Interna"))</f>
        <v>Interna</v>
      </c>
      <c r="T60" s="40" t="n">
        <f aca="false">IF($L60="","",IF($O60="",$L60,$O60))</f>
        <v>46260</v>
      </c>
      <c r="U60" s="34" t="n">
        <f aca="false">IF($E60="","",IF(OR($M60="",$L60=""),0,IF($M60&lt;=$L60,1,0)))</f>
        <v>0</v>
      </c>
      <c r="V60" s="34" t="n">
        <f aca="false">IF($E60="","",IF(OR($M60="",$T60=""),0,IF($M60&lt;=$T60,1,0)))</f>
        <v>0</v>
      </c>
      <c r="W60" s="42" t="str">
        <f aca="false">IF(OR($M60="",$L60=""),"",MAX(0,$M60-$L60))</f>
        <v/>
      </c>
      <c r="X60" s="34" t="n">
        <f aca="false">IF($E60="","",IF(AND($O60&lt;&gt;"",$L60&lt;&gt;"",$O60&lt;&gt;$L60),1,0))</f>
        <v>0</v>
      </c>
      <c r="Y60" s="34" t="n">
        <f aca="false">IF($E60="","",IF($N60="Cancelada",0,IF(OR($M60&lt;&gt;"",$N60="Concluída"),1,0)))</f>
        <v>1</v>
      </c>
    </row>
    <row r="61" customFormat="false" ht="15" hidden="false" customHeight="true" outlineLevel="0" collapsed="false">
      <c r="A61" s="34" t="n">
        <f aca="false">IF($E61="","",COUNTA($E$5:$E61))</f>
        <v>57</v>
      </c>
      <c r="B61" s="35"/>
      <c r="C61" s="35" t="s">
        <v>108</v>
      </c>
      <c r="D61" s="35" t="s">
        <v>198</v>
      </c>
      <c r="E61" s="35" t="s">
        <v>216</v>
      </c>
      <c r="F61" s="36" t="s">
        <v>62</v>
      </c>
      <c r="G61" s="37" t="s">
        <v>60</v>
      </c>
      <c r="H61" s="37" t="s">
        <v>78</v>
      </c>
      <c r="I61" s="37" t="s">
        <v>88</v>
      </c>
      <c r="J61" s="38" t="n">
        <v>46258</v>
      </c>
      <c r="K61" s="39" t="s">
        <v>77</v>
      </c>
      <c r="L61" s="40" t="n">
        <f aca="false">IF(OR($J61="",$K61=""),"",$J61+MATCH($K61,Listas!$F$5:$F$11,0)-1)</f>
        <v>46260</v>
      </c>
      <c r="M61" s="41"/>
      <c r="N61" s="36" t="s">
        <v>63</v>
      </c>
      <c r="O61" s="41"/>
      <c r="P61" s="35"/>
      <c r="Q61" s="35" t="s">
        <v>200</v>
      </c>
      <c r="R61" s="42" t="str">
        <f aca="true">IF($E61="","",IF($N61="Cancelada","Cancelada",IF(OR($M61&lt;&gt;"",$N61="Concluída"),IF(OR($L61="",$M61="",$M61&lt;=$L61),"Concluída","Concluída com atraso"),IF($L61="","Na carteira",IF($L61&lt;TODAY(),"VENCIDA",IF($N61="Em execução","Em execução",IF($L61=TODAY(),"Hoje","Programada")))))))</f>
        <v>Concluída</v>
      </c>
      <c r="S61" s="34" t="str">
        <f aca="false">IF($E61="","",IF(ISNUMBER(SEARCH("(externo)",$G61&amp;$H61&amp;$I61)),"Terceirizada","Interna"))</f>
        <v>Interna</v>
      </c>
      <c r="T61" s="40" t="n">
        <f aca="false">IF($L61="","",IF($O61="",$L61,$O61))</f>
        <v>46260</v>
      </c>
      <c r="U61" s="34" t="n">
        <f aca="false">IF($E61="","",IF(OR($M61="",$L61=""),0,IF($M61&lt;=$L61,1,0)))</f>
        <v>0</v>
      </c>
      <c r="V61" s="34" t="n">
        <f aca="false">IF($E61="","",IF(OR($M61="",$T61=""),0,IF($M61&lt;=$T61,1,0)))</f>
        <v>0</v>
      </c>
      <c r="W61" s="42" t="str">
        <f aca="false">IF(OR($M61="",$L61=""),"",MAX(0,$M61-$L61))</f>
        <v/>
      </c>
      <c r="X61" s="34" t="n">
        <f aca="false">IF($E61="","",IF(AND($O61&lt;&gt;"",$L61&lt;&gt;"",$O61&lt;&gt;$L61),1,0))</f>
        <v>0</v>
      </c>
      <c r="Y61" s="34" t="n">
        <f aca="false">IF($E61="","",IF($N61="Cancelada",0,IF(OR($M61&lt;&gt;"",$N61="Concluída"),1,0)))</f>
        <v>1</v>
      </c>
    </row>
    <row r="62" customFormat="false" ht="15" hidden="false" customHeight="true" outlineLevel="0" collapsed="false">
      <c r="A62" s="34" t="n">
        <f aca="false">IF($E62="","",COUNTA($E$5:$E62))</f>
        <v>58</v>
      </c>
      <c r="B62" s="35"/>
      <c r="C62" s="35" t="s">
        <v>108</v>
      </c>
      <c r="D62" s="35" t="s">
        <v>198</v>
      </c>
      <c r="E62" s="35" t="s">
        <v>217</v>
      </c>
      <c r="F62" s="36" t="s">
        <v>62</v>
      </c>
      <c r="G62" s="37" t="s">
        <v>60</v>
      </c>
      <c r="H62" s="37" t="s">
        <v>78</v>
      </c>
      <c r="I62" s="37" t="s">
        <v>88</v>
      </c>
      <c r="J62" s="38" t="n">
        <v>46258</v>
      </c>
      <c r="K62" s="39" t="s">
        <v>77</v>
      </c>
      <c r="L62" s="40" t="n">
        <f aca="false">IF(OR($J62="",$K62=""),"",$J62+MATCH($K62,Listas!$F$5:$F$11,0)-1)</f>
        <v>46260</v>
      </c>
      <c r="M62" s="41"/>
      <c r="N62" s="36" t="s">
        <v>63</v>
      </c>
      <c r="O62" s="41"/>
      <c r="P62" s="35"/>
      <c r="Q62" s="35" t="s">
        <v>200</v>
      </c>
      <c r="R62" s="42" t="str">
        <f aca="true">IF($E62="","",IF($N62="Cancelada","Cancelada",IF(OR($M62&lt;&gt;"",$N62="Concluída"),IF(OR($L62="",$M62="",$M62&lt;=$L62),"Concluída","Concluída com atraso"),IF($L62="","Na carteira",IF($L62&lt;TODAY(),"VENCIDA",IF($N62="Em execução","Em execução",IF($L62=TODAY(),"Hoje","Programada")))))))</f>
        <v>Concluída</v>
      </c>
      <c r="S62" s="34" t="str">
        <f aca="false">IF($E62="","",IF(ISNUMBER(SEARCH("(externo)",$G62&amp;$H62&amp;$I62)),"Terceirizada","Interna"))</f>
        <v>Interna</v>
      </c>
      <c r="T62" s="40" t="n">
        <f aca="false">IF($L62="","",IF($O62="",$L62,$O62))</f>
        <v>46260</v>
      </c>
      <c r="U62" s="34" t="n">
        <f aca="false">IF($E62="","",IF(OR($M62="",$L62=""),0,IF($M62&lt;=$L62,1,0)))</f>
        <v>0</v>
      </c>
      <c r="V62" s="34" t="n">
        <f aca="false">IF($E62="","",IF(OR($M62="",$T62=""),0,IF($M62&lt;=$T62,1,0)))</f>
        <v>0</v>
      </c>
      <c r="W62" s="42" t="str">
        <f aca="false">IF(OR($M62="",$L62=""),"",MAX(0,$M62-$L62))</f>
        <v/>
      </c>
      <c r="X62" s="34" t="n">
        <f aca="false">IF($E62="","",IF(AND($O62&lt;&gt;"",$L62&lt;&gt;"",$O62&lt;&gt;$L62),1,0))</f>
        <v>0</v>
      </c>
      <c r="Y62" s="34" t="n">
        <f aca="false">IF($E62="","",IF($N62="Cancelada",0,IF(OR($M62&lt;&gt;"",$N62="Concluída"),1,0)))</f>
        <v>1</v>
      </c>
    </row>
    <row r="63" customFormat="false" ht="15" hidden="false" customHeight="true" outlineLevel="0" collapsed="false">
      <c r="A63" s="34" t="n">
        <f aca="false">IF($E63="","",COUNTA($E$5:$E63))</f>
        <v>59</v>
      </c>
      <c r="B63" s="35"/>
      <c r="C63" s="35" t="s">
        <v>108</v>
      </c>
      <c r="D63" s="35" t="s">
        <v>198</v>
      </c>
      <c r="E63" s="35" t="s">
        <v>218</v>
      </c>
      <c r="F63" s="36" t="s">
        <v>62</v>
      </c>
      <c r="G63" s="37" t="s">
        <v>60</v>
      </c>
      <c r="H63" s="37" t="s">
        <v>78</v>
      </c>
      <c r="I63" s="37" t="s">
        <v>88</v>
      </c>
      <c r="J63" s="38" t="n">
        <v>46258</v>
      </c>
      <c r="K63" s="39" t="s">
        <v>77</v>
      </c>
      <c r="L63" s="40" t="n">
        <f aca="false">IF(OR($J63="",$K63=""),"",$J63+MATCH($K63,Listas!$F$5:$F$11,0)-1)</f>
        <v>46260</v>
      </c>
      <c r="M63" s="41"/>
      <c r="N63" s="36" t="s">
        <v>63</v>
      </c>
      <c r="O63" s="41"/>
      <c r="P63" s="35"/>
      <c r="Q63" s="35" t="s">
        <v>200</v>
      </c>
      <c r="R63" s="42" t="str">
        <f aca="true">IF($E63="","",IF($N63="Cancelada","Cancelada",IF(OR($M63&lt;&gt;"",$N63="Concluída"),IF(OR($L63="",$M63="",$M63&lt;=$L63),"Concluída","Concluída com atraso"),IF($L63="","Na carteira",IF($L63&lt;TODAY(),"VENCIDA",IF($N63="Em execução","Em execução",IF($L63=TODAY(),"Hoje","Programada")))))))</f>
        <v>Concluída</v>
      </c>
      <c r="S63" s="34" t="str">
        <f aca="false">IF($E63="","",IF(ISNUMBER(SEARCH("(externo)",$G63&amp;$H63&amp;$I63)),"Terceirizada","Interna"))</f>
        <v>Interna</v>
      </c>
      <c r="T63" s="40" t="n">
        <f aca="false">IF($L63="","",IF($O63="",$L63,$O63))</f>
        <v>46260</v>
      </c>
      <c r="U63" s="34" t="n">
        <f aca="false">IF($E63="","",IF(OR($M63="",$L63=""),0,IF($M63&lt;=$L63,1,0)))</f>
        <v>0</v>
      </c>
      <c r="V63" s="34" t="n">
        <f aca="false">IF($E63="","",IF(OR($M63="",$T63=""),0,IF($M63&lt;=$T63,1,0)))</f>
        <v>0</v>
      </c>
      <c r="W63" s="42" t="str">
        <f aca="false">IF(OR($M63="",$L63=""),"",MAX(0,$M63-$L63))</f>
        <v/>
      </c>
      <c r="X63" s="34" t="n">
        <f aca="false">IF($E63="","",IF(AND($O63&lt;&gt;"",$L63&lt;&gt;"",$O63&lt;&gt;$L63),1,0))</f>
        <v>0</v>
      </c>
      <c r="Y63" s="34" t="n">
        <f aca="false">IF($E63="","",IF($N63="Cancelada",0,IF(OR($M63&lt;&gt;"",$N63="Concluída"),1,0)))</f>
        <v>1</v>
      </c>
    </row>
    <row r="64" customFormat="false" ht="15" hidden="false" customHeight="true" outlineLevel="0" collapsed="false">
      <c r="A64" s="34" t="n">
        <f aca="false">IF($E64="","",COUNTA($E$5:$E64))</f>
        <v>60</v>
      </c>
      <c r="B64" s="35"/>
      <c r="C64" s="35" t="s">
        <v>108</v>
      </c>
      <c r="D64" s="35" t="s">
        <v>198</v>
      </c>
      <c r="E64" s="35" t="s">
        <v>219</v>
      </c>
      <c r="F64" s="36" t="s">
        <v>62</v>
      </c>
      <c r="G64" s="37" t="s">
        <v>60</v>
      </c>
      <c r="H64" s="37" t="s">
        <v>78</v>
      </c>
      <c r="I64" s="37" t="s">
        <v>88</v>
      </c>
      <c r="J64" s="38" t="n">
        <v>46258</v>
      </c>
      <c r="K64" s="39" t="s">
        <v>77</v>
      </c>
      <c r="L64" s="40" t="n">
        <f aca="false">IF(OR($J64="",$K64=""),"",$J64+MATCH($K64,Listas!$F$5:$F$11,0)-1)</f>
        <v>46260</v>
      </c>
      <c r="M64" s="41"/>
      <c r="N64" s="36" t="s">
        <v>63</v>
      </c>
      <c r="O64" s="41"/>
      <c r="P64" s="35"/>
      <c r="Q64" s="35" t="s">
        <v>200</v>
      </c>
      <c r="R64" s="42" t="str">
        <f aca="true">IF($E64="","",IF($N64="Cancelada","Cancelada",IF(OR($M64&lt;&gt;"",$N64="Concluída"),IF(OR($L64="",$M64="",$M64&lt;=$L64),"Concluída","Concluída com atraso"),IF($L64="","Na carteira",IF($L64&lt;TODAY(),"VENCIDA",IF($N64="Em execução","Em execução",IF($L64=TODAY(),"Hoje","Programada")))))))</f>
        <v>Concluída</v>
      </c>
      <c r="S64" s="34" t="str">
        <f aca="false">IF($E64="","",IF(ISNUMBER(SEARCH("(externo)",$G64&amp;$H64&amp;$I64)),"Terceirizada","Interna"))</f>
        <v>Interna</v>
      </c>
      <c r="T64" s="40" t="n">
        <f aca="false">IF($L64="","",IF($O64="",$L64,$O64))</f>
        <v>46260</v>
      </c>
      <c r="U64" s="34" t="n">
        <f aca="false">IF($E64="","",IF(OR($M64="",$L64=""),0,IF($M64&lt;=$L64,1,0)))</f>
        <v>0</v>
      </c>
      <c r="V64" s="34" t="n">
        <f aca="false">IF($E64="","",IF(OR($M64="",$T64=""),0,IF($M64&lt;=$T64,1,0)))</f>
        <v>0</v>
      </c>
      <c r="W64" s="42" t="str">
        <f aca="false">IF(OR($M64="",$L64=""),"",MAX(0,$M64-$L64))</f>
        <v/>
      </c>
      <c r="X64" s="34" t="n">
        <f aca="false">IF($E64="","",IF(AND($O64&lt;&gt;"",$L64&lt;&gt;"",$O64&lt;&gt;$L64),1,0))</f>
        <v>0</v>
      </c>
      <c r="Y64" s="34" t="n">
        <f aca="false">IF($E64="","",IF($N64="Cancelada",0,IF(OR($M64&lt;&gt;"",$N64="Concluída"),1,0)))</f>
        <v>1</v>
      </c>
    </row>
    <row r="65" customFormat="false" ht="15" hidden="false" customHeight="true" outlineLevel="0" collapsed="false">
      <c r="A65" s="34" t="n">
        <f aca="false">IF($E65="","",COUNTA($E$5:$E65))</f>
        <v>61</v>
      </c>
      <c r="B65" s="35"/>
      <c r="C65" s="35" t="s">
        <v>108</v>
      </c>
      <c r="D65" s="35" t="s">
        <v>220</v>
      </c>
      <c r="E65" s="35" t="s">
        <v>221</v>
      </c>
      <c r="F65" s="36" t="s">
        <v>62</v>
      </c>
      <c r="G65" s="37" t="s">
        <v>105</v>
      </c>
      <c r="H65" s="37"/>
      <c r="I65" s="37"/>
      <c r="J65" s="38" t="n">
        <v>46258</v>
      </c>
      <c r="K65" s="39" t="s">
        <v>82</v>
      </c>
      <c r="L65" s="40" t="n">
        <f aca="false">IF(OR($J65="",$K65=""),"",$J65+MATCH($K65,Listas!$F$5:$F$11,0)-1)</f>
        <v>46261</v>
      </c>
      <c r="M65" s="41"/>
      <c r="N65" s="36"/>
      <c r="O65" s="41" t="n">
        <v>46260</v>
      </c>
      <c r="P65" s="35"/>
      <c r="Q65" s="35"/>
      <c r="R65" s="42" t="str">
        <f aca="true">IF($E65="","",IF($N65="Cancelada","Cancelada",IF(OR($M65&lt;&gt;"",$N65="Concluída"),IF(OR($L65="",$M65="",$M65&lt;=$L65),"Concluída","Concluída com atraso"),IF($L65="","Na carteira",IF($L65&lt;TODAY(),"VENCIDA",IF($N65="Em execução","Em execução",IF($L65=TODAY(),"Hoje","Programada")))))))</f>
        <v>Hoje</v>
      </c>
      <c r="S65" s="34" t="str">
        <f aca="false">IF($E65="","",IF(ISNUMBER(SEARCH("(externo)",$G65&amp;$H65&amp;$I65)),"Terceirizada","Interna"))</f>
        <v>Terceirizada</v>
      </c>
      <c r="T65" s="40" t="n">
        <f aca="false">IF($L65="","",IF($O65="",$L65,$O65))</f>
        <v>46260</v>
      </c>
      <c r="U65" s="34" t="n">
        <f aca="false">IF($E65="","",IF(OR($M65="",$L65=""),0,IF($M65&lt;=$L65,1,0)))</f>
        <v>0</v>
      </c>
      <c r="V65" s="34" t="n">
        <f aca="false">IF($E65="","",IF(OR($M65="",$T65=""),0,IF($M65&lt;=$T65,1,0)))</f>
        <v>0</v>
      </c>
      <c r="W65" s="42" t="str">
        <f aca="false">IF(OR($M65="",$L65=""),"",MAX(0,$M65-$L65))</f>
        <v/>
      </c>
      <c r="X65" s="34" t="n">
        <f aca="false">IF($E65="","",IF(AND($O65&lt;&gt;"",$L65&lt;&gt;"",$O65&lt;&gt;$L65),1,0))</f>
        <v>1</v>
      </c>
      <c r="Y65" s="34" t="n">
        <f aca="false">IF($E65="","",IF($N65="Cancelada",0,IF(OR($M65&lt;&gt;"",$N65="Concluída"),1,0)))</f>
        <v>0</v>
      </c>
    </row>
    <row r="66" customFormat="false" ht="15" hidden="false" customHeight="true" outlineLevel="0" collapsed="false">
      <c r="A66" s="34" t="n">
        <f aca="false">IF($E66="","",COUNTA($E$5:$E66))</f>
        <v>62</v>
      </c>
      <c r="B66" s="35"/>
      <c r="C66" s="35" t="s">
        <v>109</v>
      </c>
      <c r="D66" s="35" t="s">
        <v>222</v>
      </c>
      <c r="E66" s="35" t="s">
        <v>223</v>
      </c>
      <c r="F66" s="36" t="s">
        <v>62</v>
      </c>
      <c r="G66" s="37" t="s">
        <v>60</v>
      </c>
      <c r="H66" s="37" t="s">
        <v>72</v>
      </c>
      <c r="I66" s="37"/>
      <c r="J66" s="38" t="n">
        <v>46258</v>
      </c>
      <c r="K66" s="39" t="s">
        <v>65</v>
      </c>
      <c r="L66" s="40" t="n">
        <f aca="false">IF(OR($J66="",$K66=""),"",$J66+MATCH($K66,Listas!$F$5:$F$11,0)-1)</f>
        <v>46258</v>
      </c>
      <c r="M66" s="41"/>
      <c r="N66" s="36" t="s">
        <v>63</v>
      </c>
      <c r="O66" s="41"/>
      <c r="P66" s="35"/>
      <c r="Q66" s="35"/>
      <c r="R66" s="42" t="str">
        <f aca="true">IF($E66="","",IF($N66="Cancelada","Cancelada",IF(OR($M66&lt;&gt;"",$N66="Concluída"),IF(OR($L66="",$M66="",$M66&lt;=$L66),"Concluída","Concluída com atraso"),IF($L66="","Na carteira",IF($L66&lt;TODAY(),"VENCIDA",IF($N66="Em execução","Em execução",IF($L66=TODAY(),"Hoje","Programada")))))))</f>
        <v>Concluída</v>
      </c>
      <c r="S66" s="34" t="str">
        <f aca="false">IF($E66="","",IF(ISNUMBER(SEARCH("(externo)",$G66&amp;$H66&amp;$I66)),"Terceirizada","Interna"))</f>
        <v>Interna</v>
      </c>
      <c r="T66" s="40" t="n">
        <f aca="false">IF($L66="","",IF($O66="",$L66,$O66))</f>
        <v>46258</v>
      </c>
      <c r="U66" s="34" t="n">
        <f aca="false">IF($E66="","",IF(OR($M66="",$L66=""),0,IF($M66&lt;=$L66,1,0)))</f>
        <v>0</v>
      </c>
      <c r="V66" s="34" t="n">
        <f aca="false">IF($E66="","",IF(OR($M66="",$T66=""),0,IF($M66&lt;=$T66,1,0)))</f>
        <v>0</v>
      </c>
      <c r="W66" s="42" t="str">
        <f aca="false">IF(OR($M66="",$L66=""),"",MAX(0,$M66-$L66))</f>
        <v/>
      </c>
      <c r="X66" s="34" t="n">
        <f aca="false">IF($E66="","",IF(AND($O66&lt;&gt;"",$L66&lt;&gt;"",$O66&lt;&gt;$L66),1,0))</f>
        <v>0</v>
      </c>
      <c r="Y66" s="34" t="n">
        <f aca="false">IF($E66="","",IF($N66="Cancelada",0,IF(OR($M66&lt;&gt;"",$N66="Concluída"),1,0)))</f>
        <v>1</v>
      </c>
    </row>
    <row r="67" customFormat="false" ht="15" hidden="false" customHeight="true" outlineLevel="0" collapsed="false">
      <c r="A67" s="34" t="n">
        <f aca="false">IF($E67="","",COUNTA($E$5:$E67))</f>
        <v>63</v>
      </c>
      <c r="B67" s="35"/>
      <c r="C67" s="35" t="s">
        <v>109</v>
      </c>
      <c r="D67" s="35" t="s">
        <v>222</v>
      </c>
      <c r="E67" s="35" t="s">
        <v>224</v>
      </c>
      <c r="F67" s="36" t="s">
        <v>62</v>
      </c>
      <c r="G67" s="37" t="s">
        <v>60</v>
      </c>
      <c r="H67" s="37" t="s">
        <v>72</v>
      </c>
      <c r="I67" s="37"/>
      <c r="J67" s="38" t="n">
        <v>46258</v>
      </c>
      <c r="K67" s="39" t="s">
        <v>65</v>
      </c>
      <c r="L67" s="40" t="n">
        <f aca="false">IF(OR($J67="",$K67=""),"",$J67+MATCH($K67,Listas!$F$5:$F$11,0)-1)</f>
        <v>46258</v>
      </c>
      <c r="M67" s="41"/>
      <c r="N67" s="36" t="s">
        <v>63</v>
      </c>
      <c r="O67" s="41"/>
      <c r="P67" s="35"/>
      <c r="Q67" s="35"/>
      <c r="R67" s="42" t="str">
        <f aca="true">IF($E67="","",IF($N67="Cancelada","Cancelada",IF(OR($M67&lt;&gt;"",$N67="Concluída"),IF(OR($L67="",$M67="",$M67&lt;=$L67),"Concluída","Concluída com atraso"),IF($L67="","Na carteira",IF($L67&lt;TODAY(),"VENCIDA",IF($N67="Em execução","Em execução",IF($L67=TODAY(),"Hoje","Programada")))))))</f>
        <v>Concluída</v>
      </c>
      <c r="S67" s="34" t="str">
        <f aca="false">IF($E67="","",IF(ISNUMBER(SEARCH("(externo)",$G67&amp;$H67&amp;$I67)),"Terceirizada","Interna"))</f>
        <v>Interna</v>
      </c>
      <c r="T67" s="40" t="n">
        <f aca="false">IF($L67="","",IF($O67="",$L67,$O67))</f>
        <v>46258</v>
      </c>
      <c r="U67" s="34" t="n">
        <f aca="false">IF($E67="","",IF(OR($M67="",$L67=""),0,IF($M67&lt;=$L67,1,0)))</f>
        <v>0</v>
      </c>
      <c r="V67" s="34" t="n">
        <f aca="false">IF($E67="","",IF(OR($M67="",$T67=""),0,IF($M67&lt;=$T67,1,0)))</f>
        <v>0</v>
      </c>
      <c r="W67" s="42" t="str">
        <f aca="false">IF(OR($M67="",$L67=""),"",MAX(0,$M67-$L67))</f>
        <v/>
      </c>
      <c r="X67" s="34" t="n">
        <f aca="false">IF($E67="","",IF(AND($O67&lt;&gt;"",$L67&lt;&gt;"",$O67&lt;&gt;$L67),1,0))</f>
        <v>0</v>
      </c>
      <c r="Y67" s="34" t="n">
        <f aca="false">IF($E67="","",IF($N67="Cancelada",0,IF(OR($M67&lt;&gt;"",$N67="Concluída"),1,0)))</f>
        <v>1</v>
      </c>
    </row>
    <row r="68" customFormat="false" ht="15" hidden="false" customHeight="true" outlineLevel="0" collapsed="false">
      <c r="A68" s="34" t="n">
        <f aca="false">IF($E68="","",COUNTA($E$5:$E68))</f>
        <v>64</v>
      </c>
      <c r="B68" s="35"/>
      <c r="C68" s="35" t="s">
        <v>109</v>
      </c>
      <c r="D68" s="35" t="s">
        <v>222</v>
      </c>
      <c r="E68" s="35" t="s">
        <v>225</v>
      </c>
      <c r="F68" s="36" t="s">
        <v>62</v>
      </c>
      <c r="G68" s="37" t="s">
        <v>60</v>
      </c>
      <c r="H68" s="37" t="s">
        <v>72</v>
      </c>
      <c r="I68" s="37"/>
      <c r="J68" s="38" t="n">
        <v>46258</v>
      </c>
      <c r="K68" s="39" t="s">
        <v>65</v>
      </c>
      <c r="L68" s="40" t="n">
        <f aca="false">IF(OR($J68="",$K68=""),"",$J68+MATCH($K68,Listas!$F$5:$F$11,0)-1)</f>
        <v>46258</v>
      </c>
      <c r="M68" s="41"/>
      <c r="N68" s="36" t="s">
        <v>63</v>
      </c>
      <c r="O68" s="41"/>
      <c r="P68" s="35"/>
      <c r="Q68" s="35"/>
      <c r="R68" s="42" t="str">
        <f aca="true">IF($E68="","",IF($N68="Cancelada","Cancelada",IF(OR($M68&lt;&gt;"",$N68="Concluída"),IF(OR($L68="",$M68="",$M68&lt;=$L68),"Concluída","Concluída com atraso"),IF($L68="","Na carteira",IF($L68&lt;TODAY(),"VENCIDA",IF($N68="Em execução","Em execução",IF($L68=TODAY(),"Hoje","Programada")))))))</f>
        <v>Concluída</v>
      </c>
      <c r="S68" s="34" t="str">
        <f aca="false">IF($E68="","",IF(ISNUMBER(SEARCH("(externo)",$G68&amp;$H68&amp;$I68)),"Terceirizada","Interna"))</f>
        <v>Interna</v>
      </c>
      <c r="T68" s="40" t="n">
        <f aca="false">IF($L68="","",IF($O68="",$L68,$O68))</f>
        <v>46258</v>
      </c>
      <c r="U68" s="34" t="n">
        <f aca="false">IF($E68="","",IF(OR($M68="",$L68=""),0,IF($M68&lt;=$L68,1,0)))</f>
        <v>0</v>
      </c>
      <c r="V68" s="34" t="n">
        <f aca="false">IF($E68="","",IF(OR($M68="",$T68=""),0,IF($M68&lt;=$T68,1,0)))</f>
        <v>0</v>
      </c>
      <c r="W68" s="42" t="str">
        <f aca="false">IF(OR($M68="",$L68=""),"",MAX(0,$M68-$L68))</f>
        <v/>
      </c>
      <c r="X68" s="34" t="n">
        <f aca="false">IF($E68="","",IF(AND($O68&lt;&gt;"",$L68&lt;&gt;"",$O68&lt;&gt;$L68),1,0))</f>
        <v>0</v>
      </c>
      <c r="Y68" s="34" t="n">
        <f aca="false">IF($E68="","",IF($N68="Cancelada",0,IF(OR($M68&lt;&gt;"",$N68="Concluída"),1,0)))</f>
        <v>1</v>
      </c>
    </row>
    <row r="69" customFormat="false" ht="15" hidden="false" customHeight="true" outlineLevel="0" collapsed="false">
      <c r="A69" s="34" t="n">
        <f aca="false">IF($E69="","",COUNTA($E$5:$E69))</f>
        <v>65</v>
      </c>
      <c r="B69" s="35"/>
      <c r="C69" s="35" t="s">
        <v>109</v>
      </c>
      <c r="D69" s="35" t="s">
        <v>222</v>
      </c>
      <c r="E69" s="35" t="s">
        <v>226</v>
      </c>
      <c r="F69" s="36" t="s">
        <v>62</v>
      </c>
      <c r="G69" s="37" t="s">
        <v>60</v>
      </c>
      <c r="H69" s="37" t="s">
        <v>72</v>
      </c>
      <c r="I69" s="37"/>
      <c r="J69" s="38" t="n">
        <v>46258</v>
      </c>
      <c r="K69" s="39" t="s">
        <v>71</v>
      </c>
      <c r="L69" s="40" t="n">
        <f aca="false">IF(OR($J69="",$K69=""),"",$J69+MATCH($K69,Listas!$F$5:$F$11,0)-1)</f>
        <v>46259</v>
      </c>
      <c r="M69" s="41"/>
      <c r="N69" s="36" t="s">
        <v>63</v>
      </c>
      <c r="O69" s="41"/>
      <c r="P69" s="35"/>
      <c r="Q69" s="35"/>
      <c r="R69" s="42" t="str">
        <f aca="true">IF($E69="","",IF($N69="Cancelada","Cancelada",IF(OR($M69&lt;&gt;"",$N69="Concluída"),IF(OR($L69="",$M69="",$M69&lt;=$L69),"Concluída","Concluída com atraso"),IF($L69="","Na carteira",IF($L69&lt;TODAY(),"VENCIDA",IF($N69="Em execução","Em execução",IF($L69=TODAY(),"Hoje","Programada")))))))</f>
        <v>Concluída</v>
      </c>
      <c r="S69" s="34" t="str">
        <f aca="false">IF($E69="","",IF(ISNUMBER(SEARCH("(externo)",$G69&amp;$H69&amp;$I69)),"Terceirizada","Interna"))</f>
        <v>Interna</v>
      </c>
      <c r="T69" s="40" t="n">
        <f aca="false">IF($L69="","",IF($O69="",$L69,$O69))</f>
        <v>46259</v>
      </c>
      <c r="U69" s="34" t="n">
        <f aca="false">IF($E69="","",IF(OR($M69="",$L69=""),0,IF($M69&lt;=$L69,1,0)))</f>
        <v>0</v>
      </c>
      <c r="V69" s="34" t="n">
        <f aca="false">IF($E69="","",IF(OR($M69="",$T69=""),0,IF($M69&lt;=$T69,1,0)))</f>
        <v>0</v>
      </c>
      <c r="W69" s="42" t="str">
        <f aca="false">IF(OR($M69="",$L69=""),"",MAX(0,$M69-$L69))</f>
        <v/>
      </c>
      <c r="X69" s="34" t="n">
        <f aca="false">IF($E69="","",IF(AND($O69&lt;&gt;"",$L69&lt;&gt;"",$O69&lt;&gt;$L69),1,0))</f>
        <v>0</v>
      </c>
      <c r="Y69" s="34" t="n">
        <f aca="false">IF($E69="","",IF($N69="Cancelada",0,IF(OR($M69&lt;&gt;"",$N69="Concluída"),1,0)))</f>
        <v>1</v>
      </c>
    </row>
    <row r="70" customFormat="false" ht="15" hidden="false" customHeight="true" outlineLevel="0" collapsed="false">
      <c r="A70" s="34" t="n">
        <f aca="false">IF($E70="","",COUNTA($E$5:$E70))</f>
        <v>66</v>
      </c>
      <c r="B70" s="35"/>
      <c r="C70" s="35" t="s">
        <v>109</v>
      </c>
      <c r="D70" s="35" t="s">
        <v>222</v>
      </c>
      <c r="E70" s="35" t="s">
        <v>227</v>
      </c>
      <c r="F70" s="36" t="s">
        <v>62</v>
      </c>
      <c r="G70" s="37" t="s">
        <v>60</v>
      </c>
      <c r="H70" s="37" t="s">
        <v>72</v>
      </c>
      <c r="I70" s="37"/>
      <c r="J70" s="38" t="n">
        <v>46258</v>
      </c>
      <c r="K70" s="39" t="s">
        <v>71</v>
      </c>
      <c r="L70" s="40" t="n">
        <f aca="false">IF(OR($J70="",$K70=""),"",$J70+MATCH($K70,Listas!$F$5:$F$11,0)-1)</f>
        <v>46259</v>
      </c>
      <c r="M70" s="41"/>
      <c r="N70" s="36" t="s">
        <v>63</v>
      </c>
      <c r="O70" s="41"/>
      <c r="P70" s="35"/>
      <c r="Q70" s="35"/>
      <c r="R70" s="42" t="str">
        <f aca="true">IF($E70="","",IF($N70="Cancelada","Cancelada",IF(OR($M70&lt;&gt;"",$N70="Concluída"),IF(OR($L70="",$M70="",$M70&lt;=$L70),"Concluída","Concluída com atraso"),IF($L70="","Na carteira",IF($L70&lt;TODAY(),"VENCIDA",IF($N70="Em execução","Em execução",IF($L70=TODAY(),"Hoje","Programada")))))))</f>
        <v>Concluída</v>
      </c>
      <c r="S70" s="34" t="str">
        <f aca="false">IF($E70="","",IF(ISNUMBER(SEARCH("(externo)",$G70&amp;$H70&amp;$I70)),"Terceirizada","Interna"))</f>
        <v>Interna</v>
      </c>
      <c r="T70" s="40" t="n">
        <f aca="false">IF($L70="","",IF($O70="",$L70,$O70))</f>
        <v>46259</v>
      </c>
      <c r="U70" s="34" t="n">
        <f aca="false">IF($E70="","",IF(OR($M70="",$L70=""),0,IF($M70&lt;=$L70,1,0)))</f>
        <v>0</v>
      </c>
      <c r="V70" s="34" t="n">
        <f aca="false">IF($E70="","",IF(OR($M70="",$T70=""),0,IF($M70&lt;=$T70,1,0)))</f>
        <v>0</v>
      </c>
      <c r="W70" s="42" t="str">
        <f aca="false">IF(OR($M70="",$L70=""),"",MAX(0,$M70-$L70))</f>
        <v/>
      </c>
      <c r="X70" s="34" t="n">
        <f aca="false">IF($E70="","",IF(AND($O70&lt;&gt;"",$L70&lt;&gt;"",$O70&lt;&gt;$L70),1,0))</f>
        <v>0</v>
      </c>
      <c r="Y70" s="34" t="n">
        <f aca="false">IF($E70="","",IF($N70="Cancelada",0,IF(OR($M70&lt;&gt;"",$N70="Concluída"),1,0)))</f>
        <v>1</v>
      </c>
    </row>
    <row r="71" customFormat="false" ht="15" hidden="false" customHeight="true" outlineLevel="0" collapsed="false">
      <c r="A71" s="34" t="n">
        <f aca="false">IF($E71="","",COUNTA($E$5:$E71))</f>
        <v>67</v>
      </c>
      <c r="B71" s="35"/>
      <c r="C71" s="35" t="s">
        <v>109</v>
      </c>
      <c r="D71" s="35" t="s">
        <v>222</v>
      </c>
      <c r="E71" s="35" t="s">
        <v>228</v>
      </c>
      <c r="F71" s="36" t="s">
        <v>62</v>
      </c>
      <c r="G71" s="37" t="s">
        <v>60</v>
      </c>
      <c r="H71" s="37" t="s">
        <v>72</v>
      </c>
      <c r="I71" s="37"/>
      <c r="J71" s="38" t="n">
        <v>46258</v>
      </c>
      <c r="K71" s="39" t="s">
        <v>71</v>
      </c>
      <c r="L71" s="40" t="n">
        <f aca="false">IF(OR($J71="",$K71=""),"",$J71+MATCH($K71,Listas!$F$5:$F$11,0)-1)</f>
        <v>46259</v>
      </c>
      <c r="M71" s="41"/>
      <c r="N71" s="36" t="s">
        <v>63</v>
      </c>
      <c r="O71" s="41"/>
      <c r="P71" s="35"/>
      <c r="Q71" s="35"/>
      <c r="R71" s="42" t="str">
        <f aca="true">IF($E71="","",IF($N71="Cancelada","Cancelada",IF(OR($M71&lt;&gt;"",$N71="Concluída"),IF(OR($L71="",$M71="",$M71&lt;=$L71),"Concluída","Concluída com atraso"),IF($L71="","Na carteira",IF($L71&lt;TODAY(),"VENCIDA",IF($N71="Em execução","Em execução",IF($L71=TODAY(),"Hoje","Programada")))))))</f>
        <v>Concluída</v>
      </c>
      <c r="S71" s="34" t="str">
        <f aca="false">IF($E71="","",IF(ISNUMBER(SEARCH("(externo)",$G71&amp;$H71&amp;$I71)),"Terceirizada","Interna"))</f>
        <v>Interna</v>
      </c>
      <c r="T71" s="40" t="n">
        <f aca="false">IF($L71="","",IF($O71="",$L71,$O71))</f>
        <v>46259</v>
      </c>
      <c r="U71" s="34" t="n">
        <f aca="false">IF($E71="","",IF(OR($M71="",$L71=""),0,IF($M71&lt;=$L71,1,0)))</f>
        <v>0</v>
      </c>
      <c r="V71" s="34" t="n">
        <f aca="false">IF($E71="","",IF(OR($M71="",$T71=""),0,IF($M71&lt;=$T71,1,0)))</f>
        <v>0</v>
      </c>
      <c r="W71" s="42" t="str">
        <f aca="false">IF(OR($M71="",$L71=""),"",MAX(0,$M71-$L71))</f>
        <v/>
      </c>
      <c r="X71" s="34" t="n">
        <f aca="false">IF($E71="","",IF(AND($O71&lt;&gt;"",$L71&lt;&gt;"",$O71&lt;&gt;$L71),1,0))</f>
        <v>0</v>
      </c>
      <c r="Y71" s="34" t="n">
        <f aca="false">IF($E71="","",IF($N71="Cancelada",0,IF(OR($M71&lt;&gt;"",$N71="Concluída"),1,0)))</f>
        <v>1</v>
      </c>
    </row>
    <row r="72" customFormat="false" ht="15" hidden="false" customHeight="true" outlineLevel="0" collapsed="false">
      <c r="A72" s="34" t="n">
        <f aca="false">IF($E72="","",COUNTA($E$5:$E72))</f>
        <v>68</v>
      </c>
      <c r="B72" s="35"/>
      <c r="C72" s="35" t="s">
        <v>109</v>
      </c>
      <c r="D72" s="35" t="s">
        <v>222</v>
      </c>
      <c r="E72" s="35" t="s">
        <v>229</v>
      </c>
      <c r="F72" s="36" t="s">
        <v>62</v>
      </c>
      <c r="G72" s="37" t="s">
        <v>60</v>
      </c>
      <c r="H72" s="37" t="s">
        <v>72</v>
      </c>
      <c r="I72" s="37"/>
      <c r="J72" s="38" t="n">
        <v>46258</v>
      </c>
      <c r="K72" s="39" t="s">
        <v>77</v>
      </c>
      <c r="L72" s="40" t="n">
        <f aca="false">IF(OR($J72="",$K72=""),"",$J72+MATCH($K72,Listas!$F$5:$F$11,0)-1)</f>
        <v>46260</v>
      </c>
      <c r="M72" s="41"/>
      <c r="N72" s="36" t="s">
        <v>63</v>
      </c>
      <c r="O72" s="41"/>
      <c r="P72" s="35"/>
      <c r="Q72" s="35"/>
      <c r="R72" s="42" t="str">
        <f aca="true">IF($E72="","",IF($N72="Cancelada","Cancelada",IF(OR($M72&lt;&gt;"",$N72="Concluída"),IF(OR($L72="",$M72="",$M72&lt;=$L72),"Concluída","Concluída com atraso"),IF($L72="","Na carteira",IF($L72&lt;TODAY(),"VENCIDA",IF($N72="Em execução","Em execução",IF($L72=TODAY(),"Hoje","Programada")))))))</f>
        <v>Concluída</v>
      </c>
      <c r="S72" s="34" t="str">
        <f aca="false">IF($E72="","",IF(ISNUMBER(SEARCH("(externo)",$G72&amp;$H72&amp;$I72)),"Terceirizada","Interna"))</f>
        <v>Interna</v>
      </c>
      <c r="T72" s="40" t="n">
        <f aca="false">IF($L72="","",IF($O72="",$L72,$O72))</f>
        <v>46260</v>
      </c>
      <c r="U72" s="34" t="n">
        <f aca="false">IF($E72="","",IF(OR($M72="",$L72=""),0,IF($M72&lt;=$L72,1,0)))</f>
        <v>0</v>
      </c>
      <c r="V72" s="34" t="n">
        <f aca="false">IF($E72="","",IF(OR($M72="",$T72=""),0,IF($M72&lt;=$T72,1,0)))</f>
        <v>0</v>
      </c>
      <c r="W72" s="42" t="str">
        <f aca="false">IF(OR($M72="",$L72=""),"",MAX(0,$M72-$L72))</f>
        <v/>
      </c>
      <c r="X72" s="34" t="n">
        <f aca="false">IF($E72="","",IF(AND($O72&lt;&gt;"",$L72&lt;&gt;"",$O72&lt;&gt;$L72),1,0))</f>
        <v>0</v>
      </c>
      <c r="Y72" s="34" t="n">
        <f aca="false">IF($E72="","",IF($N72="Cancelada",0,IF(OR($M72&lt;&gt;"",$N72="Concluída"),1,0)))</f>
        <v>1</v>
      </c>
    </row>
    <row r="73" customFormat="false" ht="15" hidden="false" customHeight="true" outlineLevel="0" collapsed="false">
      <c r="A73" s="34" t="n">
        <f aca="false">IF($E73="","",COUNTA($E$5:$E73))</f>
        <v>69</v>
      </c>
      <c r="B73" s="35"/>
      <c r="C73" s="35" t="s">
        <v>109</v>
      </c>
      <c r="D73" s="35" t="s">
        <v>222</v>
      </c>
      <c r="E73" s="35" t="s">
        <v>230</v>
      </c>
      <c r="F73" s="36" t="s">
        <v>62</v>
      </c>
      <c r="G73" s="37" t="s">
        <v>60</v>
      </c>
      <c r="H73" s="37" t="s">
        <v>72</v>
      </c>
      <c r="I73" s="37"/>
      <c r="J73" s="38" t="n">
        <v>46258</v>
      </c>
      <c r="K73" s="39" t="s">
        <v>77</v>
      </c>
      <c r="L73" s="40" t="n">
        <f aca="false">IF(OR($J73="",$K73=""),"",$J73+MATCH($K73,Listas!$F$5:$F$11,0)-1)</f>
        <v>46260</v>
      </c>
      <c r="M73" s="41"/>
      <c r="N73" s="36" t="s">
        <v>63</v>
      </c>
      <c r="O73" s="41"/>
      <c r="P73" s="35"/>
      <c r="Q73" s="35"/>
      <c r="R73" s="42" t="str">
        <f aca="true">IF($E73="","",IF($N73="Cancelada","Cancelada",IF(OR($M73&lt;&gt;"",$N73="Concluída"),IF(OR($L73="",$M73="",$M73&lt;=$L73),"Concluída","Concluída com atraso"),IF($L73="","Na carteira",IF($L73&lt;TODAY(),"VENCIDA",IF($N73="Em execução","Em execução",IF($L73=TODAY(),"Hoje","Programada")))))))</f>
        <v>Concluída</v>
      </c>
      <c r="S73" s="34" t="str">
        <f aca="false">IF($E73="","",IF(ISNUMBER(SEARCH("(externo)",$G73&amp;$H73&amp;$I73)),"Terceirizada","Interna"))</f>
        <v>Interna</v>
      </c>
      <c r="T73" s="40" t="n">
        <f aca="false">IF($L73="","",IF($O73="",$L73,$O73))</f>
        <v>46260</v>
      </c>
      <c r="U73" s="34" t="n">
        <f aca="false">IF($E73="","",IF(OR($M73="",$L73=""),0,IF($M73&lt;=$L73,1,0)))</f>
        <v>0</v>
      </c>
      <c r="V73" s="34" t="n">
        <f aca="false">IF($E73="","",IF(OR($M73="",$T73=""),0,IF($M73&lt;=$T73,1,0)))</f>
        <v>0</v>
      </c>
      <c r="W73" s="42" t="str">
        <f aca="false">IF(OR($M73="",$L73=""),"",MAX(0,$M73-$L73))</f>
        <v/>
      </c>
      <c r="X73" s="34" t="n">
        <f aca="false">IF($E73="","",IF(AND($O73&lt;&gt;"",$L73&lt;&gt;"",$O73&lt;&gt;$L73),1,0))</f>
        <v>0</v>
      </c>
      <c r="Y73" s="34" t="n">
        <f aca="false">IF($E73="","",IF($N73="Cancelada",0,IF(OR($M73&lt;&gt;"",$N73="Concluída"),1,0)))</f>
        <v>1</v>
      </c>
    </row>
    <row r="74" customFormat="false" ht="15" hidden="false" customHeight="true" outlineLevel="0" collapsed="false">
      <c r="A74" s="34" t="n">
        <f aca="false">IF($E74="","",COUNTA($E$5:$E74))</f>
        <v>70</v>
      </c>
      <c r="B74" s="35"/>
      <c r="C74" s="35" t="s">
        <v>109</v>
      </c>
      <c r="D74" s="35" t="s">
        <v>160</v>
      </c>
      <c r="E74" s="35" t="s">
        <v>160</v>
      </c>
      <c r="F74" s="36" t="s">
        <v>62</v>
      </c>
      <c r="G74" s="37" t="s">
        <v>101</v>
      </c>
      <c r="H74" s="37"/>
      <c r="I74" s="37"/>
      <c r="J74" s="38" t="n">
        <v>46258</v>
      </c>
      <c r="K74" s="39" t="s">
        <v>77</v>
      </c>
      <c r="L74" s="40" t="n">
        <f aca="false">IF(OR($J74="",$K74=""),"",$J74+MATCH($K74,Listas!$F$5:$F$11,0)-1)</f>
        <v>46260</v>
      </c>
      <c r="M74" s="41"/>
      <c r="N74" s="36" t="s">
        <v>63</v>
      </c>
      <c r="O74" s="41"/>
      <c r="P74" s="35"/>
      <c r="Q74" s="35"/>
      <c r="R74" s="42" t="str">
        <f aca="true">IF($E74="","",IF($N74="Cancelada","Cancelada",IF(OR($M74&lt;&gt;"",$N74="Concluída"),IF(OR($L74="",$M74="",$M74&lt;=$L74),"Concluída","Concluída com atraso"),IF($L74="","Na carteira",IF($L74&lt;TODAY(),"VENCIDA",IF($N74="Em execução","Em execução",IF($L74=TODAY(),"Hoje","Programada")))))))</f>
        <v>Concluída</v>
      </c>
      <c r="S74" s="34" t="str">
        <f aca="false">IF($E74="","",IF(ISNUMBER(SEARCH("(externo)",$G74&amp;$H74&amp;$I74)),"Terceirizada","Interna"))</f>
        <v>Terceirizada</v>
      </c>
      <c r="T74" s="40" t="n">
        <f aca="false">IF($L74="","",IF($O74="",$L74,$O74))</f>
        <v>46260</v>
      </c>
      <c r="U74" s="34" t="n">
        <f aca="false">IF($E74="","",IF(OR($M74="",$L74=""),0,IF($M74&lt;=$L74,1,0)))</f>
        <v>0</v>
      </c>
      <c r="V74" s="34" t="n">
        <f aca="false">IF($E74="","",IF(OR($M74="",$T74=""),0,IF($M74&lt;=$T74,1,0)))</f>
        <v>0</v>
      </c>
      <c r="W74" s="42" t="str">
        <f aca="false">IF(OR($M74="",$L74=""),"",MAX(0,$M74-$L74))</f>
        <v/>
      </c>
      <c r="X74" s="34" t="n">
        <f aca="false">IF($E74="","",IF(AND($O74&lt;&gt;"",$L74&lt;&gt;"",$O74&lt;&gt;$L74),1,0))</f>
        <v>0</v>
      </c>
      <c r="Y74" s="34" t="n">
        <f aca="false">IF($E74="","",IF($N74="Cancelada",0,IF(OR($M74&lt;&gt;"",$N74="Concluída"),1,0)))</f>
        <v>1</v>
      </c>
    </row>
    <row r="75" customFormat="false" ht="15" hidden="false" customHeight="true" outlineLevel="0" collapsed="false">
      <c r="A75" s="34" t="n">
        <f aca="false">IF($E75="","",COUNTA($E$5:$E75))</f>
        <v>71</v>
      </c>
      <c r="B75" s="35"/>
      <c r="C75" s="35" t="s">
        <v>109</v>
      </c>
      <c r="D75" s="35" t="s">
        <v>160</v>
      </c>
      <c r="E75" s="35" t="s">
        <v>231</v>
      </c>
      <c r="F75" s="36" t="s">
        <v>62</v>
      </c>
      <c r="G75" s="37" t="s">
        <v>101</v>
      </c>
      <c r="H75" s="37"/>
      <c r="I75" s="37"/>
      <c r="J75" s="38" t="n">
        <v>46258</v>
      </c>
      <c r="K75" s="39" t="s">
        <v>77</v>
      </c>
      <c r="L75" s="40" t="n">
        <f aca="false">IF(OR($J75="",$K75=""),"",$J75+MATCH($K75,Listas!$F$5:$F$11,0)-1)</f>
        <v>46260</v>
      </c>
      <c r="M75" s="41"/>
      <c r="N75" s="36" t="s">
        <v>63</v>
      </c>
      <c r="O75" s="41"/>
      <c r="P75" s="35"/>
      <c r="Q75" s="35"/>
      <c r="R75" s="42" t="str">
        <f aca="true">IF($E75="","",IF($N75="Cancelada","Cancelada",IF(OR($M75&lt;&gt;"",$N75="Concluída"),IF(OR($L75="",$M75="",$M75&lt;=$L75),"Concluída","Concluída com atraso"),IF($L75="","Na carteira",IF($L75&lt;TODAY(),"VENCIDA",IF($N75="Em execução","Em execução",IF($L75=TODAY(),"Hoje","Programada")))))))</f>
        <v>Concluída</v>
      </c>
      <c r="S75" s="34" t="str">
        <f aca="false">IF($E75="","",IF(ISNUMBER(SEARCH("(externo)",$G75&amp;$H75&amp;$I75)),"Terceirizada","Interna"))</f>
        <v>Terceirizada</v>
      </c>
      <c r="T75" s="40" t="n">
        <f aca="false">IF($L75="","",IF($O75="",$L75,$O75))</f>
        <v>46260</v>
      </c>
      <c r="U75" s="34" t="n">
        <f aca="false">IF($E75="","",IF(OR($M75="",$L75=""),0,IF($M75&lt;=$L75,1,0)))</f>
        <v>0</v>
      </c>
      <c r="V75" s="34" t="n">
        <f aca="false">IF($E75="","",IF(OR($M75="",$T75=""),0,IF($M75&lt;=$T75,1,0)))</f>
        <v>0</v>
      </c>
      <c r="W75" s="42" t="str">
        <f aca="false">IF(OR($M75="",$L75=""),"",MAX(0,$M75-$L75))</f>
        <v/>
      </c>
      <c r="X75" s="34" t="n">
        <f aca="false">IF($E75="","",IF(AND($O75&lt;&gt;"",$L75&lt;&gt;"",$O75&lt;&gt;$L75),1,0))</f>
        <v>0</v>
      </c>
      <c r="Y75" s="34" t="n">
        <f aca="false">IF($E75="","",IF($N75="Cancelada",0,IF(OR($M75&lt;&gt;"",$N75="Concluída"),1,0)))</f>
        <v>1</v>
      </c>
    </row>
    <row r="76" customFormat="false" ht="15" hidden="false" customHeight="true" outlineLevel="0" collapsed="false">
      <c r="A76" s="34" t="n">
        <f aca="false">IF($E76="","",COUNTA($E$5:$E76))</f>
        <v>72</v>
      </c>
      <c r="B76" s="35"/>
      <c r="C76" s="35" t="s">
        <v>109</v>
      </c>
      <c r="D76" s="35" t="s">
        <v>160</v>
      </c>
      <c r="E76" s="35" t="s">
        <v>232</v>
      </c>
      <c r="F76" s="36" t="s">
        <v>62</v>
      </c>
      <c r="G76" s="37" t="s">
        <v>101</v>
      </c>
      <c r="H76" s="37"/>
      <c r="I76" s="37"/>
      <c r="J76" s="38" t="n">
        <v>46258</v>
      </c>
      <c r="K76" s="39" t="s">
        <v>77</v>
      </c>
      <c r="L76" s="40" t="n">
        <f aca="false">IF(OR($J76="",$K76=""),"",$J76+MATCH($K76,Listas!$F$5:$F$11,0)-1)</f>
        <v>46260</v>
      </c>
      <c r="M76" s="41"/>
      <c r="N76" s="36" t="s">
        <v>63</v>
      </c>
      <c r="O76" s="41"/>
      <c r="P76" s="35"/>
      <c r="Q76" s="35"/>
      <c r="R76" s="42" t="str">
        <f aca="true">IF($E76="","",IF($N76="Cancelada","Cancelada",IF(OR($M76&lt;&gt;"",$N76="Concluída"),IF(OR($L76="",$M76="",$M76&lt;=$L76),"Concluída","Concluída com atraso"),IF($L76="","Na carteira",IF($L76&lt;TODAY(),"VENCIDA",IF($N76="Em execução","Em execução",IF($L76=TODAY(),"Hoje","Programada")))))))</f>
        <v>Concluída</v>
      </c>
      <c r="S76" s="34" t="str">
        <f aca="false">IF($E76="","",IF(ISNUMBER(SEARCH("(externo)",$G76&amp;$H76&amp;$I76)),"Terceirizada","Interna"))</f>
        <v>Terceirizada</v>
      </c>
      <c r="T76" s="40" t="n">
        <f aca="false">IF($L76="","",IF($O76="",$L76,$O76))</f>
        <v>46260</v>
      </c>
      <c r="U76" s="34" t="n">
        <f aca="false">IF($E76="","",IF(OR($M76="",$L76=""),0,IF($M76&lt;=$L76,1,0)))</f>
        <v>0</v>
      </c>
      <c r="V76" s="34" t="n">
        <f aca="false">IF($E76="","",IF(OR($M76="",$T76=""),0,IF($M76&lt;=$T76,1,0)))</f>
        <v>0</v>
      </c>
      <c r="W76" s="42" t="str">
        <f aca="false">IF(OR($M76="",$L76=""),"",MAX(0,$M76-$L76))</f>
        <v/>
      </c>
      <c r="X76" s="34" t="n">
        <f aca="false">IF($E76="","",IF(AND($O76&lt;&gt;"",$L76&lt;&gt;"",$O76&lt;&gt;$L76),1,0))</f>
        <v>0</v>
      </c>
      <c r="Y76" s="34" t="n">
        <f aca="false">IF($E76="","",IF($N76="Cancelada",0,IF(OR($M76&lt;&gt;"",$N76="Concluída"),1,0)))</f>
        <v>1</v>
      </c>
    </row>
    <row r="77" customFormat="false" ht="15" hidden="false" customHeight="true" outlineLevel="0" collapsed="false">
      <c r="A77" s="34" t="n">
        <f aca="false">IF($E77="","",COUNTA($E$5:$E77))</f>
        <v>73</v>
      </c>
      <c r="B77" s="35"/>
      <c r="C77" s="35" t="s">
        <v>109</v>
      </c>
      <c r="D77" s="35" t="s">
        <v>160</v>
      </c>
      <c r="E77" s="35" t="s">
        <v>233</v>
      </c>
      <c r="F77" s="36" t="s">
        <v>62</v>
      </c>
      <c r="G77" s="37" t="s">
        <v>101</v>
      </c>
      <c r="H77" s="37"/>
      <c r="I77" s="37"/>
      <c r="J77" s="38" t="n">
        <v>46258</v>
      </c>
      <c r="K77" s="39" t="s">
        <v>77</v>
      </c>
      <c r="L77" s="40" t="n">
        <f aca="false">IF(OR($J77="",$K77=""),"",$J77+MATCH($K77,Listas!$F$5:$F$11,0)-1)</f>
        <v>46260</v>
      </c>
      <c r="M77" s="41"/>
      <c r="N77" s="36" t="s">
        <v>63</v>
      </c>
      <c r="O77" s="41"/>
      <c r="P77" s="35"/>
      <c r="Q77" s="35"/>
      <c r="R77" s="42" t="str">
        <f aca="true">IF($E77="","",IF($N77="Cancelada","Cancelada",IF(OR($M77&lt;&gt;"",$N77="Concluída"),IF(OR($L77="",$M77="",$M77&lt;=$L77),"Concluída","Concluída com atraso"),IF($L77="","Na carteira",IF($L77&lt;TODAY(),"VENCIDA",IF($N77="Em execução","Em execução",IF($L77=TODAY(),"Hoje","Programada")))))))</f>
        <v>Concluída</v>
      </c>
      <c r="S77" s="34" t="str">
        <f aca="false">IF($E77="","",IF(ISNUMBER(SEARCH("(externo)",$G77&amp;$H77&amp;$I77)),"Terceirizada","Interna"))</f>
        <v>Terceirizada</v>
      </c>
      <c r="T77" s="40" t="n">
        <f aca="false">IF($L77="","",IF($O77="",$L77,$O77))</f>
        <v>46260</v>
      </c>
      <c r="U77" s="34" t="n">
        <f aca="false">IF($E77="","",IF(OR($M77="",$L77=""),0,IF($M77&lt;=$L77,1,0)))</f>
        <v>0</v>
      </c>
      <c r="V77" s="34" t="n">
        <f aca="false">IF($E77="","",IF(OR($M77="",$T77=""),0,IF($M77&lt;=$T77,1,0)))</f>
        <v>0</v>
      </c>
      <c r="W77" s="42" t="str">
        <f aca="false">IF(OR($M77="",$L77=""),"",MAX(0,$M77-$L77))</f>
        <v/>
      </c>
      <c r="X77" s="34" t="n">
        <f aca="false">IF($E77="","",IF(AND($O77&lt;&gt;"",$L77&lt;&gt;"",$O77&lt;&gt;$L77),1,0))</f>
        <v>0</v>
      </c>
      <c r="Y77" s="34" t="n">
        <f aca="false">IF($E77="","",IF($N77="Cancelada",0,IF(OR($M77&lt;&gt;"",$N77="Concluída"),1,0)))</f>
        <v>1</v>
      </c>
    </row>
    <row r="78" customFormat="false" ht="15" hidden="false" customHeight="true" outlineLevel="0" collapsed="false">
      <c r="A78" s="34" t="n">
        <f aca="false">IF($E78="","",COUNTA($E$5:$E78))</f>
        <v>74</v>
      </c>
      <c r="B78" s="35"/>
      <c r="C78" s="35" t="s">
        <v>109</v>
      </c>
      <c r="D78" s="35" t="s">
        <v>160</v>
      </c>
      <c r="E78" s="35" t="s">
        <v>234</v>
      </c>
      <c r="F78" s="36" t="s">
        <v>62</v>
      </c>
      <c r="G78" s="37" t="s">
        <v>101</v>
      </c>
      <c r="H78" s="37"/>
      <c r="I78" s="37"/>
      <c r="J78" s="38" t="n">
        <v>46258</v>
      </c>
      <c r="K78" s="39" t="s">
        <v>77</v>
      </c>
      <c r="L78" s="40" t="n">
        <f aca="false">IF(OR($J78="",$K78=""),"",$J78+MATCH($K78,Listas!$F$5:$F$11,0)-1)</f>
        <v>46260</v>
      </c>
      <c r="M78" s="41"/>
      <c r="N78" s="36" t="s">
        <v>63</v>
      </c>
      <c r="O78" s="41"/>
      <c r="P78" s="35"/>
      <c r="Q78" s="35"/>
      <c r="R78" s="42" t="str">
        <f aca="true">IF($E78="","",IF($N78="Cancelada","Cancelada",IF(OR($M78&lt;&gt;"",$N78="Concluída"),IF(OR($L78="",$M78="",$M78&lt;=$L78),"Concluída","Concluída com atraso"),IF($L78="","Na carteira",IF($L78&lt;TODAY(),"VENCIDA",IF($N78="Em execução","Em execução",IF($L78=TODAY(),"Hoje","Programada")))))))</f>
        <v>Concluída</v>
      </c>
      <c r="S78" s="34" t="str">
        <f aca="false">IF($E78="","",IF(ISNUMBER(SEARCH("(externo)",$G78&amp;$H78&amp;$I78)),"Terceirizada","Interna"))</f>
        <v>Terceirizada</v>
      </c>
      <c r="T78" s="40" t="n">
        <f aca="false">IF($L78="","",IF($O78="",$L78,$O78))</f>
        <v>46260</v>
      </c>
      <c r="U78" s="34" t="n">
        <f aca="false">IF($E78="","",IF(OR($M78="",$L78=""),0,IF($M78&lt;=$L78,1,0)))</f>
        <v>0</v>
      </c>
      <c r="V78" s="34" t="n">
        <f aca="false">IF($E78="","",IF(OR($M78="",$T78=""),0,IF($M78&lt;=$T78,1,0)))</f>
        <v>0</v>
      </c>
      <c r="W78" s="42" t="str">
        <f aca="false">IF(OR($M78="",$L78=""),"",MAX(0,$M78-$L78))</f>
        <v/>
      </c>
      <c r="X78" s="34" t="n">
        <f aca="false">IF($E78="","",IF(AND($O78&lt;&gt;"",$L78&lt;&gt;"",$O78&lt;&gt;$L78),1,0))</f>
        <v>0</v>
      </c>
      <c r="Y78" s="34" t="n">
        <f aca="false">IF($E78="","",IF($N78="Cancelada",0,IF(OR($M78&lt;&gt;"",$N78="Concluída"),1,0)))</f>
        <v>1</v>
      </c>
    </row>
    <row r="79" customFormat="false" ht="15" hidden="false" customHeight="true" outlineLevel="0" collapsed="false">
      <c r="A79" s="34" t="n">
        <f aca="false">IF($E79="","",COUNTA($E$5:$E79))</f>
        <v>75</v>
      </c>
      <c r="B79" s="35"/>
      <c r="C79" s="35" t="s">
        <v>109</v>
      </c>
      <c r="D79" s="35" t="s">
        <v>160</v>
      </c>
      <c r="E79" s="35" t="s">
        <v>235</v>
      </c>
      <c r="F79" s="36" t="s">
        <v>62</v>
      </c>
      <c r="G79" s="37" t="s">
        <v>101</v>
      </c>
      <c r="H79" s="37"/>
      <c r="I79" s="37"/>
      <c r="J79" s="38" t="n">
        <v>46258</v>
      </c>
      <c r="K79" s="39" t="s">
        <v>77</v>
      </c>
      <c r="L79" s="40" t="n">
        <f aca="false">IF(OR($J79="",$K79=""),"",$J79+MATCH($K79,Listas!$F$5:$F$11,0)-1)</f>
        <v>46260</v>
      </c>
      <c r="M79" s="41"/>
      <c r="N79" s="36" t="s">
        <v>63</v>
      </c>
      <c r="O79" s="41"/>
      <c r="P79" s="35"/>
      <c r="Q79" s="35"/>
      <c r="R79" s="42" t="str">
        <f aca="true">IF($E79="","",IF($N79="Cancelada","Cancelada",IF(OR($M79&lt;&gt;"",$N79="Concluída"),IF(OR($L79="",$M79="",$M79&lt;=$L79),"Concluída","Concluída com atraso"),IF($L79="","Na carteira",IF($L79&lt;TODAY(),"VENCIDA",IF($N79="Em execução","Em execução",IF($L79=TODAY(),"Hoje","Programada")))))))</f>
        <v>Concluída</v>
      </c>
      <c r="S79" s="34" t="str">
        <f aca="false">IF($E79="","",IF(ISNUMBER(SEARCH("(externo)",$G79&amp;$H79&amp;$I79)),"Terceirizada","Interna"))</f>
        <v>Terceirizada</v>
      </c>
      <c r="T79" s="40" t="n">
        <f aca="false">IF($L79="","",IF($O79="",$L79,$O79))</f>
        <v>46260</v>
      </c>
      <c r="U79" s="34" t="n">
        <f aca="false">IF($E79="","",IF(OR($M79="",$L79=""),0,IF($M79&lt;=$L79,1,0)))</f>
        <v>0</v>
      </c>
      <c r="V79" s="34" t="n">
        <f aca="false">IF($E79="","",IF(OR($M79="",$T79=""),0,IF($M79&lt;=$T79,1,0)))</f>
        <v>0</v>
      </c>
      <c r="W79" s="42" t="str">
        <f aca="false">IF(OR($M79="",$L79=""),"",MAX(0,$M79-$L79))</f>
        <v/>
      </c>
      <c r="X79" s="34" t="n">
        <f aca="false">IF($E79="","",IF(AND($O79&lt;&gt;"",$L79&lt;&gt;"",$O79&lt;&gt;$L79),1,0))</f>
        <v>0</v>
      </c>
      <c r="Y79" s="34" t="n">
        <f aca="false">IF($E79="","",IF($N79="Cancelada",0,IF(OR($M79&lt;&gt;"",$N79="Concluída"),1,0)))</f>
        <v>1</v>
      </c>
    </row>
    <row r="80" customFormat="false" ht="15" hidden="false" customHeight="true" outlineLevel="0" collapsed="false">
      <c r="A80" s="34" t="n">
        <f aca="false">IF($E80="","",COUNTA($E$5:$E80))</f>
        <v>76</v>
      </c>
      <c r="B80" s="35"/>
      <c r="C80" s="35" t="s">
        <v>109</v>
      </c>
      <c r="D80" s="35" t="s">
        <v>160</v>
      </c>
      <c r="E80" s="35" t="s">
        <v>236</v>
      </c>
      <c r="F80" s="36" t="s">
        <v>62</v>
      </c>
      <c r="G80" s="37" t="s">
        <v>101</v>
      </c>
      <c r="H80" s="37"/>
      <c r="I80" s="37"/>
      <c r="J80" s="38" t="n">
        <v>46258</v>
      </c>
      <c r="K80" s="39" t="s">
        <v>77</v>
      </c>
      <c r="L80" s="40" t="n">
        <f aca="false">IF(OR($J80="",$K80=""),"",$J80+MATCH($K80,Listas!$F$5:$F$11,0)-1)</f>
        <v>46260</v>
      </c>
      <c r="M80" s="41"/>
      <c r="N80" s="36" t="s">
        <v>63</v>
      </c>
      <c r="O80" s="41"/>
      <c r="P80" s="35"/>
      <c r="Q80" s="35"/>
      <c r="R80" s="42" t="str">
        <f aca="true">IF($E80="","",IF($N80="Cancelada","Cancelada",IF(OR($M80&lt;&gt;"",$N80="Concluída"),IF(OR($L80="",$M80="",$M80&lt;=$L80),"Concluída","Concluída com atraso"),IF($L80="","Na carteira",IF($L80&lt;TODAY(),"VENCIDA",IF($N80="Em execução","Em execução",IF($L80=TODAY(),"Hoje","Programada")))))))</f>
        <v>Concluída</v>
      </c>
      <c r="S80" s="34" t="str">
        <f aca="false">IF($E80="","",IF(ISNUMBER(SEARCH("(externo)",$G80&amp;$H80&amp;$I80)),"Terceirizada","Interna"))</f>
        <v>Terceirizada</v>
      </c>
      <c r="T80" s="40" t="n">
        <f aca="false">IF($L80="","",IF($O80="",$L80,$O80))</f>
        <v>46260</v>
      </c>
      <c r="U80" s="34" t="n">
        <f aca="false">IF($E80="","",IF(OR($M80="",$L80=""),0,IF($M80&lt;=$L80,1,0)))</f>
        <v>0</v>
      </c>
      <c r="V80" s="34" t="n">
        <f aca="false">IF($E80="","",IF(OR($M80="",$T80=""),0,IF($M80&lt;=$T80,1,0)))</f>
        <v>0</v>
      </c>
      <c r="W80" s="42" t="str">
        <f aca="false">IF(OR($M80="",$L80=""),"",MAX(0,$M80-$L80))</f>
        <v/>
      </c>
      <c r="X80" s="34" t="n">
        <f aca="false">IF($E80="","",IF(AND($O80&lt;&gt;"",$L80&lt;&gt;"",$O80&lt;&gt;$L80),1,0))</f>
        <v>0</v>
      </c>
      <c r="Y80" s="34" t="n">
        <f aca="false">IF($E80="","",IF($N80="Cancelada",0,IF(OR($M80&lt;&gt;"",$N80="Concluída"),1,0)))</f>
        <v>1</v>
      </c>
    </row>
    <row r="81" customFormat="false" ht="15" hidden="false" customHeight="true" outlineLevel="0" collapsed="false">
      <c r="A81" s="34" t="n">
        <f aca="false">IF($E81="","",COUNTA($E$5:$E81))</f>
        <v>77</v>
      </c>
      <c r="B81" s="35"/>
      <c r="C81" s="35" t="s">
        <v>109</v>
      </c>
      <c r="D81" s="35" t="s">
        <v>160</v>
      </c>
      <c r="E81" s="35" t="s">
        <v>237</v>
      </c>
      <c r="F81" s="36" t="s">
        <v>62</v>
      </c>
      <c r="G81" s="37" t="s">
        <v>101</v>
      </c>
      <c r="H81" s="37"/>
      <c r="I81" s="37"/>
      <c r="J81" s="38" t="n">
        <v>46258</v>
      </c>
      <c r="K81" s="39" t="s">
        <v>77</v>
      </c>
      <c r="L81" s="40" t="n">
        <f aca="false">IF(OR($J81="",$K81=""),"",$J81+MATCH($K81,Listas!$F$5:$F$11,0)-1)</f>
        <v>46260</v>
      </c>
      <c r="M81" s="41"/>
      <c r="N81" s="36" t="s">
        <v>63</v>
      </c>
      <c r="O81" s="41"/>
      <c r="P81" s="35"/>
      <c r="Q81" s="35"/>
      <c r="R81" s="42" t="str">
        <f aca="true">IF($E81="","",IF($N81="Cancelada","Cancelada",IF(OR($M81&lt;&gt;"",$N81="Concluída"),IF(OR($L81="",$M81="",$M81&lt;=$L81),"Concluída","Concluída com atraso"),IF($L81="","Na carteira",IF($L81&lt;TODAY(),"VENCIDA",IF($N81="Em execução","Em execução",IF($L81=TODAY(),"Hoje","Programada")))))))</f>
        <v>Concluída</v>
      </c>
      <c r="S81" s="34" t="str">
        <f aca="false">IF($E81="","",IF(ISNUMBER(SEARCH("(externo)",$G81&amp;$H81&amp;$I81)),"Terceirizada","Interna"))</f>
        <v>Terceirizada</v>
      </c>
      <c r="T81" s="40" t="n">
        <f aca="false">IF($L81="","",IF($O81="",$L81,$O81))</f>
        <v>46260</v>
      </c>
      <c r="U81" s="34" t="n">
        <f aca="false">IF($E81="","",IF(OR($M81="",$L81=""),0,IF($M81&lt;=$L81,1,0)))</f>
        <v>0</v>
      </c>
      <c r="V81" s="34" t="n">
        <f aca="false">IF($E81="","",IF(OR($M81="",$T81=""),0,IF($M81&lt;=$T81,1,0)))</f>
        <v>0</v>
      </c>
      <c r="W81" s="42" t="str">
        <f aca="false">IF(OR($M81="",$L81=""),"",MAX(0,$M81-$L81))</f>
        <v/>
      </c>
      <c r="X81" s="34" t="n">
        <f aca="false">IF($E81="","",IF(AND($O81&lt;&gt;"",$L81&lt;&gt;"",$O81&lt;&gt;$L81),1,0))</f>
        <v>0</v>
      </c>
      <c r="Y81" s="34" t="n">
        <f aca="false">IF($E81="","",IF($N81="Cancelada",0,IF(OR($M81&lt;&gt;"",$N81="Concluída"),1,0)))</f>
        <v>1</v>
      </c>
    </row>
    <row r="82" customFormat="false" ht="15" hidden="false" customHeight="true" outlineLevel="0" collapsed="false">
      <c r="A82" s="34" t="n">
        <f aca="false">IF($E82="","",COUNTA($E$5:$E82))</f>
        <v>78</v>
      </c>
      <c r="B82" s="35"/>
      <c r="C82" s="35" t="s">
        <v>109</v>
      </c>
      <c r="D82" s="35" t="s">
        <v>160</v>
      </c>
      <c r="E82" s="35" t="s">
        <v>238</v>
      </c>
      <c r="F82" s="36" t="s">
        <v>62</v>
      </c>
      <c r="G82" s="37" t="s">
        <v>101</v>
      </c>
      <c r="H82" s="37"/>
      <c r="I82" s="37"/>
      <c r="J82" s="38" t="n">
        <v>46258</v>
      </c>
      <c r="K82" s="39" t="s">
        <v>77</v>
      </c>
      <c r="L82" s="40" t="n">
        <f aca="false">IF(OR($J82="",$K82=""),"",$J82+MATCH($K82,Listas!$F$5:$F$11,0)-1)</f>
        <v>46260</v>
      </c>
      <c r="M82" s="41"/>
      <c r="N82" s="36" t="s">
        <v>63</v>
      </c>
      <c r="O82" s="41"/>
      <c r="P82" s="35"/>
      <c r="Q82" s="35"/>
      <c r="R82" s="42" t="str">
        <f aca="true">IF($E82="","",IF($N82="Cancelada","Cancelada",IF(OR($M82&lt;&gt;"",$N82="Concluída"),IF(OR($L82="",$M82="",$M82&lt;=$L82),"Concluída","Concluída com atraso"),IF($L82="","Na carteira",IF($L82&lt;TODAY(),"VENCIDA",IF($N82="Em execução","Em execução",IF($L82=TODAY(),"Hoje","Programada")))))))</f>
        <v>Concluída</v>
      </c>
      <c r="S82" s="34" t="str">
        <f aca="false">IF($E82="","",IF(ISNUMBER(SEARCH("(externo)",$G82&amp;$H82&amp;$I82)),"Terceirizada","Interna"))</f>
        <v>Terceirizada</v>
      </c>
      <c r="T82" s="40" t="n">
        <f aca="false">IF($L82="","",IF($O82="",$L82,$O82))</f>
        <v>46260</v>
      </c>
      <c r="U82" s="34" t="n">
        <f aca="false">IF($E82="","",IF(OR($M82="",$L82=""),0,IF($M82&lt;=$L82,1,0)))</f>
        <v>0</v>
      </c>
      <c r="V82" s="34" t="n">
        <f aca="false">IF($E82="","",IF(OR($M82="",$T82=""),0,IF($M82&lt;=$T82,1,0)))</f>
        <v>0</v>
      </c>
      <c r="W82" s="42" t="str">
        <f aca="false">IF(OR($M82="",$L82=""),"",MAX(0,$M82-$L82))</f>
        <v/>
      </c>
      <c r="X82" s="34" t="n">
        <f aca="false">IF($E82="","",IF(AND($O82&lt;&gt;"",$L82&lt;&gt;"",$O82&lt;&gt;$L82),1,0))</f>
        <v>0</v>
      </c>
      <c r="Y82" s="34" t="n">
        <f aca="false">IF($E82="","",IF($N82="Cancelada",0,IF(OR($M82&lt;&gt;"",$N82="Concluída"),1,0)))</f>
        <v>1</v>
      </c>
    </row>
    <row r="83" customFormat="false" ht="15" hidden="false" customHeight="true" outlineLevel="0" collapsed="false">
      <c r="A83" s="34" t="n">
        <f aca="false">IF($E83="","",COUNTA($E$5:$E83))</f>
        <v>79</v>
      </c>
      <c r="B83" s="35"/>
      <c r="C83" s="35" t="s">
        <v>110</v>
      </c>
      <c r="D83" s="35" t="s">
        <v>239</v>
      </c>
      <c r="E83" s="35" t="s">
        <v>240</v>
      </c>
      <c r="F83" s="36" t="s">
        <v>62</v>
      </c>
      <c r="G83" s="37" t="s">
        <v>88</v>
      </c>
      <c r="H83" s="37"/>
      <c r="I83" s="37"/>
      <c r="J83" s="38" t="n">
        <v>46258</v>
      </c>
      <c r="K83" s="39" t="s">
        <v>77</v>
      </c>
      <c r="L83" s="40" t="n">
        <f aca="false">IF(OR($J83="",$K83=""),"",$J83+MATCH($K83,Listas!$F$5:$F$11,0)-1)</f>
        <v>46260</v>
      </c>
      <c r="M83" s="41"/>
      <c r="N83" s="36" t="s">
        <v>69</v>
      </c>
      <c r="O83" s="41"/>
      <c r="P83" s="35"/>
      <c r="Q83" s="35"/>
      <c r="R83" s="42" t="str">
        <f aca="true">IF($E83="","",IF($N83="Cancelada","Cancelada",IF(OR($M83&lt;&gt;"",$N83="Concluída"),IF(OR($L83="",$M83="",$M83&lt;=$L83),"Concluída","Concluída com atraso"),IF($L83="","Na carteira",IF($L83&lt;TODAY(),"VENCIDA",IF($N83="Em execução","Em execução",IF($L83=TODAY(),"Hoje","Programada")))))))</f>
        <v>VENCIDA</v>
      </c>
      <c r="S83" s="34" t="str">
        <f aca="false">IF($E83="","",IF(ISNUMBER(SEARCH("(externo)",$G83&amp;$H83&amp;$I83)),"Terceirizada","Interna"))</f>
        <v>Interna</v>
      </c>
      <c r="T83" s="40" t="n">
        <f aca="false">IF($L83="","",IF($O83="",$L83,$O83))</f>
        <v>46260</v>
      </c>
      <c r="U83" s="34" t="n">
        <f aca="false">IF($E83="","",IF(OR($M83="",$L83=""),0,IF($M83&lt;=$L83,1,0)))</f>
        <v>0</v>
      </c>
      <c r="V83" s="34" t="n">
        <f aca="false">IF($E83="","",IF(OR($M83="",$T83=""),0,IF($M83&lt;=$T83,1,0)))</f>
        <v>0</v>
      </c>
      <c r="W83" s="42" t="str">
        <f aca="false">IF(OR($M83="",$L83=""),"",MAX(0,$M83-$L83))</f>
        <v/>
      </c>
      <c r="X83" s="34" t="n">
        <f aca="false">IF($E83="","",IF(AND($O83&lt;&gt;"",$L83&lt;&gt;"",$O83&lt;&gt;$L83),1,0))</f>
        <v>0</v>
      </c>
      <c r="Y83" s="34" t="n">
        <f aca="false">IF($E83="","",IF($N83="Cancelada",0,IF(OR($M83&lt;&gt;"",$N83="Concluída"),1,0)))</f>
        <v>0</v>
      </c>
    </row>
    <row r="84" customFormat="false" ht="15" hidden="false" customHeight="true" outlineLevel="0" collapsed="false">
      <c r="A84" s="34" t="n">
        <f aca="false">IF($E84="","",COUNTA($E$5:$E84))</f>
        <v>80</v>
      </c>
      <c r="B84" s="35"/>
      <c r="C84" s="35" t="s">
        <v>111</v>
      </c>
      <c r="D84" s="35" t="s">
        <v>150</v>
      </c>
      <c r="E84" s="35" t="s">
        <v>241</v>
      </c>
      <c r="F84" s="36" t="s">
        <v>62</v>
      </c>
      <c r="G84" s="37" t="s">
        <v>66</v>
      </c>
      <c r="H84" s="37" t="s">
        <v>92</v>
      </c>
      <c r="I84" s="37"/>
      <c r="J84" s="38" t="n">
        <v>46258</v>
      </c>
      <c r="K84" s="39" t="s">
        <v>82</v>
      </c>
      <c r="L84" s="40" t="n">
        <f aca="false">IF(OR($J84="",$K84=""),"",$J84+MATCH($K84,Listas!$F$5:$F$11,0)-1)</f>
        <v>46261</v>
      </c>
      <c r="M84" s="41"/>
      <c r="N84" s="36"/>
      <c r="O84" s="41"/>
      <c r="P84" s="35"/>
      <c r="Q84" s="35"/>
      <c r="R84" s="42" t="str">
        <f aca="true">IF($E84="","",IF($N84="Cancelada","Cancelada",IF(OR($M84&lt;&gt;"",$N84="Concluída"),IF(OR($L84="",$M84="",$M84&lt;=$L84),"Concluída","Concluída com atraso"),IF($L84="","Na carteira",IF($L84&lt;TODAY(),"VENCIDA",IF($N84="Em execução","Em execução",IF($L84=TODAY(),"Hoje","Programada")))))))</f>
        <v>Hoje</v>
      </c>
      <c r="S84" s="34" t="str">
        <f aca="false">IF($E84="","",IF(ISNUMBER(SEARCH("(externo)",$G84&amp;$H84&amp;$I84)),"Terceirizada","Interna"))</f>
        <v>Interna</v>
      </c>
      <c r="T84" s="40" t="n">
        <f aca="false">IF($L84="","",IF($O84="",$L84,$O84))</f>
        <v>46261</v>
      </c>
      <c r="U84" s="34" t="n">
        <f aca="false">IF($E84="","",IF(OR($M84="",$L84=""),0,IF($M84&lt;=$L84,1,0)))</f>
        <v>0</v>
      </c>
      <c r="V84" s="34" t="n">
        <f aca="false">IF($E84="","",IF(OR($M84="",$T84=""),0,IF($M84&lt;=$T84,1,0)))</f>
        <v>0</v>
      </c>
      <c r="W84" s="42" t="str">
        <f aca="false">IF(OR($M84="",$L84=""),"",MAX(0,$M84-$L84))</f>
        <v/>
      </c>
      <c r="X84" s="34" t="n">
        <f aca="false">IF($E84="","",IF(AND($O84&lt;&gt;"",$L84&lt;&gt;"",$O84&lt;&gt;$L84),1,0))</f>
        <v>0</v>
      </c>
      <c r="Y84" s="34" t="n">
        <f aca="false">IF($E84="","",IF($N84="Cancelada",0,IF(OR($M84&lt;&gt;"",$N84="Concluída"),1,0)))</f>
        <v>0</v>
      </c>
    </row>
    <row r="85" customFormat="false" ht="15" hidden="false" customHeight="true" outlineLevel="0" collapsed="false">
      <c r="A85" s="34" t="n">
        <f aca="false">IF($E85="","",COUNTA($E$5:$E85))</f>
        <v>81</v>
      </c>
      <c r="B85" s="35"/>
      <c r="C85" s="35" t="s">
        <v>111</v>
      </c>
      <c r="D85" s="35" t="s">
        <v>150</v>
      </c>
      <c r="E85" s="35" t="s">
        <v>150</v>
      </c>
      <c r="F85" s="36" t="s">
        <v>62</v>
      </c>
      <c r="G85" s="37" t="s">
        <v>66</v>
      </c>
      <c r="H85" s="37" t="s">
        <v>92</v>
      </c>
      <c r="I85" s="37"/>
      <c r="J85" s="38" t="n">
        <v>46258</v>
      </c>
      <c r="K85" s="39" t="s">
        <v>82</v>
      </c>
      <c r="L85" s="40" t="n">
        <f aca="false">IF(OR($J85="",$K85=""),"",$J85+MATCH($K85,Listas!$F$5:$F$11,0)-1)</f>
        <v>46261</v>
      </c>
      <c r="M85" s="41"/>
      <c r="N85" s="36"/>
      <c r="O85" s="41"/>
      <c r="P85" s="35"/>
      <c r="Q85" s="35"/>
      <c r="R85" s="42" t="str">
        <f aca="true">IF($E85="","",IF($N85="Cancelada","Cancelada",IF(OR($M85&lt;&gt;"",$N85="Concluída"),IF(OR($L85="",$M85="",$M85&lt;=$L85),"Concluída","Concluída com atraso"),IF($L85="","Na carteira",IF($L85&lt;TODAY(),"VENCIDA",IF($N85="Em execução","Em execução",IF($L85=TODAY(),"Hoje","Programada")))))))</f>
        <v>Hoje</v>
      </c>
      <c r="S85" s="34" t="str">
        <f aca="false">IF($E85="","",IF(ISNUMBER(SEARCH("(externo)",$G85&amp;$H85&amp;$I85)),"Terceirizada","Interna"))</f>
        <v>Interna</v>
      </c>
      <c r="T85" s="40" t="n">
        <f aca="false">IF($L85="","",IF($O85="",$L85,$O85))</f>
        <v>46261</v>
      </c>
      <c r="U85" s="34" t="n">
        <f aca="false">IF($E85="","",IF(OR($M85="",$L85=""),0,IF($M85&lt;=$L85,1,0)))</f>
        <v>0</v>
      </c>
      <c r="V85" s="34" t="n">
        <f aca="false">IF($E85="","",IF(OR($M85="",$T85=""),0,IF($M85&lt;=$T85,1,0)))</f>
        <v>0</v>
      </c>
      <c r="W85" s="42" t="str">
        <f aca="false">IF(OR($M85="",$L85=""),"",MAX(0,$M85-$L85))</f>
        <v/>
      </c>
      <c r="X85" s="34" t="n">
        <f aca="false">IF($E85="","",IF(AND($O85&lt;&gt;"",$L85&lt;&gt;"",$O85&lt;&gt;$L85),1,0))</f>
        <v>0</v>
      </c>
      <c r="Y85" s="34" t="n">
        <f aca="false">IF($E85="","",IF($N85="Cancelada",0,IF(OR($M85&lt;&gt;"",$N85="Concluída"),1,0)))</f>
        <v>0</v>
      </c>
    </row>
    <row r="86" customFormat="false" ht="15" hidden="false" customHeight="true" outlineLevel="0" collapsed="false">
      <c r="A86" s="34" t="n">
        <f aca="false">IF($E86="","",COUNTA($E$5:$E86))</f>
        <v>82</v>
      </c>
      <c r="B86" s="35"/>
      <c r="C86" s="35" t="s">
        <v>112</v>
      </c>
      <c r="D86" s="35" t="s">
        <v>150</v>
      </c>
      <c r="E86" s="35" t="s">
        <v>151</v>
      </c>
      <c r="F86" s="36" t="s">
        <v>62</v>
      </c>
      <c r="G86" s="37" t="s">
        <v>66</v>
      </c>
      <c r="H86" s="37" t="s">
        <v>92</v>
      </c>
      <c r="I86" s="37"/>
      <c r="J86" s="38" t="n">
        <v>46258</v>
      </c>
      <c r="K86" s="39" t="s">
        <v>77</v>
      </c>
      <c r="L86" s="40" t="n">
        <f aca="false">IF(OR($J86="",$K86=""),"",$J86+MATCH($K86,Listas!$F$5:$F$11,0)-1)</f>
        <v>46260</v>
      </c>
      <c r="M86" s="41"/>
      <c r="N86" s="36" t="s">
        <v>63</v>
      </c>
      <c r="O86" s="41"/>
      <c r="P86" s="35"/>
      <c r="Q86" s="35"/>
      <c r="R86" s="42" t="str">
        <f aca="true">IF($E86="","",IF($N86="Cancelada","Cancelada",IF(OR($M86&lt;&gt;"",$N86="Concluída"),IF(OR($L86="",$M86="",$M86&lt;=$L86),"Concluída","Concluída com atraso"),IF($L86="","Na carteira",IF($L86&lt;TODAY(),"VENCIDA",IF($N86="Em execução","Em execução",IF($L86=TODAY(),"Hoje","Programada")))))))</f>
        <v>Concluída</v>
      </c>
      <c r="S86" s="34" t="str">
        <f aca="false">IF($E86="","",IF(ISNUMBER(SEARCH("(externo)",$G86&amp;$H86&amp;$I86)),"Terceirizada","Interna"))</f>
        <v>Interna</v>
      </c>
      <c r="T86" s="40" t="n">
        <f aca="false">IF($L86="","",IF($O86="",$L86,$O86))</f>
        <v>46260</v>
      </c>
      <c r="U86" s="34" t="n">
        <f aca="false">IF($E86="","",IF(OR($M86="",$L86=""),0,IF($M86&lt;=$L86,1,0)))</f>
        <v>0</v>
      </c>
      <c r="V86" s="34" t="n">
        <f aca="false">IF($E86="","",IF(OR($M86="",$T86=""),0,IF($M86&lt;=$T86,1,0)))</f>
        <v>0</v>
      </c>
      <c r="W86" s="42" t="str">
        <f aca="false">IF(OR($M86="",$L86=""),"",MAX(0,$M86-$L86))</f>
        <v/>
      </c>
      <c r="X86" s="34" t="n">
        <f aca="false">IF($E86="","",IF(AND($O86&lt;&gt;"",$L86&lt;&gt;"",$O86&lt;&gt;$L86),1,0))</f>
        <v>0</v>
      </c>
      <c r="Y86" s="34" t="n">
        <f aca="false">IF($E86="","",IF($N86="Cancelada",0,IF(OR($M86&lt;&gt;"",$N86="Concluída"),1,0)))</f>
        <v>1</v>
      </c>
    </row>
    <row r="87" customFormat="false" ht="15" hidden="false" customHeight="true" outlineLevel="0" collapsed="false">
      <c r="A87" s="34" t="n">
        <f aca="false">IF($E87="","",COUNTA($E$5:$E87))</f>
        <v>83</v>
      </c>
      <c r="B87" s="35"/>
      <c r="C87" s="35" t="s">
        <v>112</v>
      </c>
      <c r="D87" s="35" t="s">
        <v>150</v>
      </c>
      <c r="E87" s="35" t="s">
        <v>242</v>
      </c>
      <c r="F87" s="36" t="s">
        <v>62</v>
      </c>
      <c r="G87" s="37" t="s">
        <v>66</v>
      </c>
      <c r="H87" s="37" t="s">
        <v>92</v>
      </c>
      <c r="I87" s="37"/>
      <c r="J87" s="38" t="n">
        <v>46258</v>
      </c>
      <c r="K87" s="39" t="s">
        <v>77</v>
      </c>
      <c r="L87" s="40" t="n">
        <f aca="false">IF(OR($J87="",$K87=""),"",$J87+MATCH($K87,Listas!$F$5:$F$11,0)-1)</f>
        <v>46260</v>
      </c>
      <c r="M87" s="41"/>
      <c r="N87" s="36" t="s">
        <v>63</v>
      </c>
      <c r="O87" s="41"/>
      <c r="P87" s="35"/>
      <c r="Q87" s="35"/>
      <c r="R87" s="42" t="str">
        <f aca="true">IF($E87="","",IF($N87="Cancelada","Cancelada",IF(OR($M87&lt;&gt;"",$N87="Concluída"),IF(OR($L87="",$M87="",$M87&lt;=$L87),"Concluída","Concluída com atraso"),IF($L87="","Na carteira",IF($L87&lt;TODAY(),"VENCIDA",IF($N87="Em execução","Em execução",IF($L87=TODAY(),"Hoje","Programada")))))))</f>
        <v>Concluída</v>
      </c>
      <c r="S87" s="34" t="str">
        <f aca="false">IF($E87="","",IF(ISNUMBER(SEARCH("(externo)",$G87&amp;$H87&amp;$I87)),"Terceirizada","Interna"))</f>
        <v>Interna</v>
      </c>
      <c r="T87" s="40" t="n">
        <f aca="false">IF($L87="","",IF($O87="",$L87,$O87))</f>
        <v>46260</v>
      </c>
      <c r="U87" s="34" t="n">
        <f aca="false">IF($E87="","",IF(OR($M87="",$L87=""),0,IF($M87&lt;=$L87,1,0)))</f>
        <v>0</v>
      </c>
      <c r="V87" s="34" t="n">
        <f aca="false">IF($E87="","",IF(OR($M87="",$T87=""),0,IF($M87&lt;=$T87,1,0)))</f>
        <v>0</v>
      </c>
      <c r="W87" s="42" t="str">
        <f aca="false">IF(OR($M87="",$L87=""),"",MAX(0,$M87-$L87))</f>
        <v/>
      </c>
      <c r="X87" s="34" t="n">
        <f aca="false">IF($E87="","",IF(AND($O87&lt;&gt;"",$L87&lt;&gt;"",$O87&lt;&gt;$L87),1,0))</f>
        <v>0</v>
      </c>
      <c r="Y87" s="34" t="n">
        <f aca="false">IF($E87="","",IF($N87="Cancelada",0,IF(OR($M87&lt;&gt;"",$N87="Concluída"),1,0)))</f>
        <v>1</v>
      </c>
    </row>
    <row r="88" customFormat="false" ht="15" hidden="false" customHeight="true" outlineLevel="0" collapsed="false">
      <c r="A88" s="34" t="n">
        <f aca="false">IF($E88="","",COUNTA($E$5:$E88))</f>
        <v>84</v>
      </c>
      <c r="B88" s="35"/>
      <c r="C88" s="35" t="s">
        <v>112</v>
      </c>
      <c r="D88" s="35" t="s">
        <v>150</v>
      </c>
      <c r="E88" s="35" t="s">
        <v>243</v>
      </c>
      <c r="F88" s="36" t="s">
        <v>62</v>
      </c>
      <c r="G88" s="37" t="s">
        <v>66</v>
      </c>
      <c r="H88" s="37" t="s">
        <v>92</v>
      </c>
      <c r="I88" s="37"/>
      <c r="J88" s="38" t="n">
        <v>46258</v>
      </c>
      <c r="K88" s="39" t="s">
        <v>77</v>
      </c>
      <c r="L88" s="40" t="n">
        <f aca="false">IF(OR($J88="",$K88=""),"",$J88+MATCH($K88,Listas!$F$5:$F$11,0)-1)</f>
        <v>46260</v>
      </c>
      <c r="M88" s="41"/>
      <c r="N88" s="36" t="s">
        <v>63</v>
      </c>
      <c r="O88" s="41"/>
      <c r="P88" s="35"/>
      <c r="Q88" s="35"/>
      <c r="R88" s="42" t="str">
        <f aca="true">IF($E88="","",IF($N88="Cancelada","Cancelada",IF(OR($M88&lt;&gt;"",$N88="Concluída"),IF(OR($L88="",$M88="",$M88&lt;=$L88),"Concluída","Concluída com atraso"),IF($L88="","Na carteira",IF($L88&lt;TODAY(),"VENCIDA",IF($N88="Em execução","Em execução",IF($L88=TODAY(),"Hoje","Programada")))))))</f>
        <v>Concluída</v>
      </c>
      <c r="S88" s="34" t="str">
        <f aca="false">IF($E88="","",IF(ISNUMBER(SEARCH("(externo)",$G88&amp;$H88&amp;$I88)),"Terceirizada","Interna"))</f>
        <v>Interna</v>
      </c>
      <c r="T88" s="40" t="n">
        <f aca="false">IF($L88="","",IF($O88="",$L88,$O88))</f>
        <v>46260</v>
      </c>
      <c r="U88" s="34" t="n">
        <f aca="false">IF($E88="","",IF(OR($M88="",$L88=""),0,IF($M88&lt;=$L88,1,0)))</f>
        <v>0</v>
      </c>
      <c r="V88" s="34" t="n">
        <f aca="false">IF($E88="","",IF(OR($M88="",$T88=""),0,IF($M88&lt;=$T88,1,0)))</f>
        <v>0</v>
      </c>
      <c r="W88" s="42" t="str">
        <f aca="false">IF(OR($M88="",$L88=""),"",MAX(0,$M88-$L88))</f>
        <v/>
      </c>
      <c r="X88" s="34" t="n">
        <f aca="false">IF($E88="","",IF(AND($O88&lt;&gt;"",$L88&lt;&gt;"",$O88&lt;&gt;$L88),1,0))</f>
        <v>0</v>
      </c>
      <c r="Y88" s="34" t="n">
        <f aca="false">IF($E88="","",IF($N88="Cancelada",0,IF(OR($M88&lt;&gt;"",$N88="Concluída"),1,0)))</f>
        <v>1</v>
      </c>
    </row>
    <row r="89" customFormat="false" ht="15" hidden="false" customHeight="true" outlineLevel="0" collapsed="false">
      <c r="A89" s="34" t="n">
        <f aca="false">IF($E89="","",COUNTA($E$5:$E89))</f>
        <v>85</v>
      </c>
      <c r="B89" s="35"/>
      <c r="C89" s="35" t="s">
        <v>112</v>
      </c>
      <c r="D89" s="35" t="s">
        <v>150</v>
      </c>
      <c r="E89" s="35" t="s">
        <v>244</v>
      </c>
      <c r="F89" s="36" t="s">
        <v>62</v>
      </c>
      <c r="G89" s="37" t="s">
        <v>66</v>
      </c>
      <c r="H89" s="37" t="s">
        <v>92</v>
      </c>
      <c r="I89" s="37"/>
      <c r="J89" s="38" t="n">
        <v>46258</v>
      </c>
      <c r="K89" s="39" t="s">
        <v>77</v>
      </c>
      <c r="L89" s="40" t="n">
        <f aca="false">IF(OR($J89="",$K89=""),"",$J89+MATCH($K89,Listas!$F$5:$F$11,0)-1)</f>
        <v>46260</v>
      </c>
      <c r="M89" s="41"/>
      <c r="N89" s="36" t="s">
        <v>63</v>
      </c>
      <c r="O89" s="41"/>
      <c r="P89" s="35"/>
      <c r="Q89" s="35"/>
      <c r="R89" s="42" t="str">
        <f aca="true">IF($E89="","",IF($N89="Cancelada","Cancelada",IF(OR($M89&lt;&gt;"",$N89="Concluída"),IF(OR($L89="",$M89="",$M89&lt;=$L89),"Concluída","Concluída com atraso"),IF($L89="","Na carteira",IF($L89&lt;TODAY(),"VENCIDA",IF($N89="Em execução","Em execução",IF($L89=TODAY(),"Hoje","Programada")))))))</f>
        <v>Concluída</v>
      </c>
      <c r="S89" s="34" t="str">
        <f aca="false">IF($E89="","",IF(ISNUMBER(SEARCH("(externo)",$G89&amp;$H89&amp;$I89)),"Terceirizada","Interna"))</f>
        <v>Interna</v>
      </c>
      <c r="T89" s="40" t="n">
        <f aca="false">IF($L89="","",IF($O89="",$L89,$O89))</f>
        <v>46260</v>
      </c>
      <c r="U89" s="34" t="n">
        <f aca="false">IF($E89="","",IF(OR($M89="",$L89=""),0,IF($M89&lt;=$L89,1,0)))</f>
        <v>0</v>
      </c>
      <c r="V89" s="34" t="n">
        <f aca="false">IF($E89="","",IF(OR($M89="",$T89=""),0,IF($M89&lt;=$T89,1,0)))</f>
        <v>0</v>
      </c>
      <c r="W89" s="42" t="str">
        <f aca="false">IF(OR($M89="",$L89=""),"",MAX(0,$M89-$L89))</f>
        <v/>
      </c>
      <c r="X89" s="34" t="n">
        <f aca="false">IF($E89="","",IF(AND($O89&lt;&gt;"",$L89&lt;&gt;"",$O89&lt;&gt;$L89),1,0))</f>
        <v>0</v>
      </c>
      <c r="Y89" s="34" t="n">
        <f aca="false">IF($E89="","",IF($N89="Cancelada",0,IF(OR($M89&lt;&gt;"",$N89="Concluída"),1,0)))</f>
        <v>1</v>
      </c>
    </row>
    <row r="90" customFormat="false" ht="15" hidden="false" customHeight="true" outlineLevel="0" collapsed="false">
      <c r="A90" s="34" t="n">
        <f aca="false">IF($E90="","",COUNTA($E$5:$E90))</f>
        <v>86</v>
      </c>
      <c r="B90" s="35"/>
      <c r="C90" s="35" t="s">
        <v>112</v>
      </c>
      <c r="D90" s="35" t="s">
        <v>150</v>
      </c>
      <c r="E90" s="35" t="s">
        <v>245</v>
      </c>
      <c r="F90" s="36" t="s">
        <v>62</v>
      </c>
      <c r="G90" s="37" t="s">
        <v>66</v>
      </c>
      <c r="H90" s="37" t="s">
        <v>92</v>
      </c>
      <c r="I90" s="37"/>
      <c r="J90" s="38" t="n">
        <v>46258</v>
      </c>
      <c r="K90" s="39" t="s">
        <v>77</v>
      </c>
      <c r="L90" s="40" t="n">
        <f aca="false">IF(OR($J90="",$K90=""),"",$J90+MATCH($K90,Listas!$F$5:$F$11,0)-1)</f>
        <v>46260</v>
      </c>
      <c r="M90" s="41"/>
      <c r="N90" s="36" t="s">
        <v>63</v>
      </c>
      <c r="O90" s="41"/>
      <c r="P90" s="35"/>
      <c r="Q90" s="35"/>
      <c r="R90" s="42" t="str">
        <f aca="true">IF($E90="","",IF($N90="Cancelada","Cancelada",IF(OR($M90&lt;&gt;"",$N90="Concluída"),IF(OR($L90="",$M90="",$M90&lt;=$L90),"Concluída","Concluída com atraso"),IF($L90="","Na carteira",IF($L90&lt;TODAY(),"VENCIDA",IF($N90="Em execução","Em execução",IF($L90=TODAY(),"Hoje","Programada")))))))</f>
        <v>Concluída</v>
      </c>
      <c r="S90" s="34" t="str">
        <f aca="false">IF($E90="","",IF(ISNUMBER(SEARCH("(externo)",$G90&amp;$H90&amp;$I90)),"Terceirizada","Interna"))</f>
        <v>Interna</v>
      </c>
      <c r="T90" s="40" t="n">
        <f aca="false">IF($L90="","",IF($O90="",$L90,$O90))</f>
        <v>46260</v>
      </c>
      <c r="U90" s="34" t="n">
        <f aca="false">IF($E90="","",IF(OR($M90="",$L90=""),0,IF($M90&lt;=$L90,1,0)))</f>
        <v>0</v>
      </c>
      <c r="V90" s="34" t="n">
        <f aca="false">IF($E90="","",IF(OR($M90="",$T90=""),0,IF($M90&lt;=$T90,1,0)))</f>
        <v>0</v>
      </c>
      <c r="W90" s="42" t="str">
        <f aca="false">IF(OR($M90="",$L90=""),"",MAX(0,$M90-$L90))</f>
        <v/>
      </c>
      <c r="X90" s="34" t="n">
        <f aca="false">IF($E90="","",IF(AND($O90&lt;&gt;"",$L90&lt;&gt;"",$O90&lt;&gt;$L90),1,0))</f>
        <v>0</v>
      </c>
      <c r="Y90" s="34" t="n">
        <f aca="false">IF($E90="","",IF($N90="Cancelada",0,IF(OR($M90&lt;&gt;"",$N90="Concluída"),1,0)))</f>
        <v>1</v>
      </c>
    </row>
    <row r="91" customFormat="false" ht="15" hidden="false" customHeight="true" outlineLevel="0" collapsed="false">
      <c r="A91" s="34" t="n">
        <f aca="false">IF($E91="","",COUNTA($E$5:$E91))</f>
        <v>87</v>
      </c>
      <c r="B91" s="35"/>
      <c r="C91" s="35" t="s">
        <v>112</v>
      </c>
      <c r="D91" s="35" t="s">
        <v>150</v>
      </c>
      <c r="E91" s="35" t="s">
        <v>246</v>
      </c>
      <c r="F91" s="36" t="s">
        <v>62</v>
      </c>
      <c r="G91" s="37" t="s">
        <v>66</v>
      </c>
      <c r="H91" s="37" t="s">
        <v>92</v>
      </c>
      <c r="I91" s="37"/>
      <c r="J91" s="38" t="n">
        <v>46258</v>
      </c>
      <c r="K91" s="39" t="s">
        <v>77</v>
      </c>
      <c r="L91" s="40" t="n">
        <f aca="false">IF(OR($J91="",$K91=""),"",$J91+MATCH($K91,Listas!$F$5:$F$11,0)-1)</f>
        <v>46260</v>
      </c>
      <c r="M91" s="41"/>
      <c r="N91" s="36" t="s">
        <v>63</v>
      </c>
      <c r="O91" s="41"/>
      <c r="P91" s="35"/>
      <c r="Q91" s="35"/>
      <c r="R91" s="42" t="str">
        <f aca="true">IF($E91="","",IF($N91="Cancelada","Cancelada",IF(OR($M91&lt;&gt;"",$N91="Concluída"),IF(OR($L91="",$M91="",$M91&lt;=$L91),"Concluída","Concluída com atraso"),IF($L91="","Na carteira",IF($L91&lt;TODAY(),"VENCIDA",IF($N91="Em execução","Em execução",IF($L91=TODAY(),"Hoje","Programada")))))))</f>
        <v>Concluída</v>
      </c>
      <c r="S91" s="34" t="str">
        <f aca="false">IF($E91="","",IF(ISNUMBER(SEARCH("(externo)",$G91&amp;$H91&amp;$I91)),"Terceirizada","Interna"))</f>
        <v>Interna</v>
      </c>
      <c r="T91" s="40" t="n">
        <f aca="false">IF($L91="","",IF($O91="",$L91,$O91))</f>
        <v>46260</v>
      </c>
      <c r="U91" s="34" t="n">
        <f aca="false">IF($E91="","",IF(OR($M91="",$L91=""),0,IF($M91&lt;=$L91,1,0)))</f>
        <v>0</v>
      </c>
      <c r="V91" s="34" t="n">
        <f aca="false">IF($E91="","",IF(OR($M91="",$T91=""),0,IF($M91&lt;=$T91,1,0)))</f>
        <v>0</v>
      </c>
      <c r="W91" s="42" t="str">
        <f aca="false">IF(OR($M91="",$L91=""),"",MAX(0,$M91-$L91))</f>
        <v/>
      </c>
      <c r="X91" s="34" t="n">
        <f aca="false">IF($E91="","",IF(AND($O91&lt;&gt;"",$L91&lt;&gt;"",$O91&lt;&gt;$L91),1,0))</f>
        <v>0</v>
      </c>
      <c r="Y91" s="34" t="n">
        <f aca="false">IF($E91="","",IF($N91="Cancelada",0,IF(OR($M91&lt;&gt;"",$N91="Concluída"),1,0)))</f>
        <v>1</v>
      </c>
    </row>
    <row r="92" customFormat="false" ht="15" hidden="false" customHeight="true" outlineLevel="0" collapsed="false">
      <c r="A92" s="34" t="n">
        <f aca="false">IF($E92="","",COUNTA($E$5:$E92))</f>
        <v>88</v>
      </c>
      <c r="B92" s="35"/>
      <c r="C92" s="35" t="s">
        <v>112</v>
      </c>
      <c r="D92" s="35" t="s">
        <v>150</v>
      </c>
      <c r="E92" s="35" t="s">
        <v>247</v>
      </c>
      <c r="F92" s="36" t="s">
        <v>62</v>
      </c>
      <c r="G92" s="37" t="s">
        <v>66</v>
      </c>
      <c r="H92" s="37" t="s">
        <v>92</v>
      </c>
      <c r="I92" s="37"/>
      <c r="J92" s="38" t="n">
        <v>46258</v>
      </c>
      <c r="K92" s="39" t="s">
        <v>77</v>
      </c>
      <c r="L92" s="40" t="n">
        <f aca="false">IF(OR($J92="",$K92=""),"",$J92+MATCH($K92,Listas!$F$5:$F$11,0)-1)</f>
        <v>46260</v>
      </c>
      <c r="M92" s="41"/>
      <c r="N92" s="36" t="s">
        <v>63</v>
      </c>
      <c r="O92" s="41"/>
      <c r="P92" s="35"/>
      <c r="Q92" s="35"/>
      <c r="R92" s="42" t="str">
        <f aca="true">IF($E92="","",IF($N92="Cancelada","Cancelada",IF(OR($M92&lt;&gt;"",$N92="Concluída"),IF(OR($L92="",$M92="",$M92&lt;=$L92),"Concluída","Concluída com atraso"),IF($L92="","Na carteira",IF($L92&lt;TODAY(),"VENCIDA",IF($N92="Em execução","Em execução",IF($L92=TODAY(),"Hoje","Programada")))))))</f>
        <v>Concluída</v>
      </c>
      <c r="S92" s="34" t="str">
        <f aca="false">IF($E92="","",IF(ISNUMBER(SEARCH("(externo)",$G92&amp;$H92&amp;$I92)),"Terceirizada","Interna"))</f>
        <v>Interna</v>
      </c>
      <c r="T92" s="40" t="n">
        <f aca="false">IF($L92="","",IF($O92="",$L92,$O92))</f>
        <v>46260</v>
      </c>
      <c r="U92" s="34" t="n">
        <f aca="false">IF($E92="","",IF(OR($M92="",$L92=""),0,IF($M92&lt;=$L92,1,0)))</f>
        <v>0</v>
      </c>
      <c r="V92" s="34" t="n">
        <f aca="false">IF($E92="","",IF(OR($M92="",$T92=""),0,IF($M92&lt;=$T92,1,0)))</f>
        <v>0</v>
      </c>
      <c r="W92" s="42" t="str">
        <f aca="false">IF(OR($M92="",$L92=""),"",MAX(0,$M92-$L92))</f>
        <v/>
      </c>
      <c r="X92" s="34" t="n">
        <f aca="false">IF($E92="","",IF(AND($O92&lt;&gt;"",$L92&lt;&gt;"",$O92&lt;&gt;$L92),1,0))</f>
        <v>0</v>
      </c>
      <c r="Y92" s="34" t="n">
        <f aca="false">IF($E92="","",IF($N92="Cancelada",0,IF(OR($M92&lt;&gt;"",$N92="Concluída"),1,0)))</f>
        <v>1</v>
      </c>
    </row>
    <row r="93" customFormat="false" ht="15" hidden="false" customHeight="true" outlineLevel="0" collapsed="false">
      <c r="A93" s="34" t="n">
        <f aca="false">IF($E93="","",COUNTA($E$5:$E93))</f>
        <v>89</v>
      </c>
      <c r="B93" s="35"/>
      <c r="C93" s="35" t="s">
        <v>112</v>
      </c>
      <c r="D93" s="35" t="s">
        <v>150</v>
      </c>
      <c r="E93" s="35" t="s">
        <v>248</v>
      </c>
      <c r="F93" s="36" t="s">
        <v>62</v>
      </c>
      <c r="G93" s="37" t="s">
        <v>66</v>
      </c>
      <c r="H93" s="37" t="s">
        <v>92</v>
      </c>
      <c r="I93" s="37"/>
      <c r="J93" s="38" t="n">
        <v>46258</v>
      </c>
      <c r="K93" s="39" t="s">
        <v>77</v>
      </c>
      <c r="L93" s="40" t="n">
        <f aca="false">IF(OR($J93="",$K93=""),"",$J93+MATCH($K93,Listas!$F$5:$F$11,0)-1)</f>
        <v>46260</v>
      </c>
      <c r="M93" s="41"/>
      <c r="N93" s="36" t="s">
        <v>63</v>
      </c>
      <c r="O93" s="41"/>
      <c r="P93" s="35"/>
      <c r="Q93" s="35"/>
      <c r="R93" s="42" t="str">
        <f aca="true">IF($E93="","",IF($N93="Cancelada","Cancelada",IF(OR($M93&lt;&gt;"",$N93="Concluída"),IF(OR($L93="",$M93="",$M93&lt;=$L93),"Concluída","Concluída com atraso"),IF($L93="","Na carteira",IF($L93&lt;TODAY(),"VENCIDA",IF($N93="Em execução","Em execução",IF($L93=TODAY(),"Hoje","Programada")))))))</f>
        <v>Concluída</v>
      </c>
      <c r="S93" s="34" t="str">
        <f aca="false">IF($E93="","",IF(ISNUMBER(SEARCH("(externo)",$G93&amp;$H93&amp;$I93)),"Terceirizada","Interna"))</f>
        <v>Interna</v>
      </c>
      <c r="T93" s="40" t="n">
        <f aca="false">IF($L93="","",IF($O93="",$L93,$O93))</f>
        <v>46260</v>
      </c>
      <c r="U93" s="34" t="n">
        <f aca="false">IF($E93="","",IF(OR($M93="",$L93=""),0,IF($M93&lt;=$L93,1,0)))</f>
        <v>0</v>
      </c>
      <c r="V93" s="34" t="n">
        <f aca="false">IF($E93="","",IF(OR($M93="",$T93=""),0,IF($M93&lt;=$T93,1,0)))</f>
        <v>0</v>
      </c>
      <c r="W93" s="42" t="str">
        <f aca="false">IF(OR($M93="",$L93=""),"",MAX(0,$M93-$L93))</f>
        <v/>
      </c>
      <c r="X93" s="34" t="n">
        <f aca="false">IF($E93="","",IF(AND($O93&lt;&gt;"",$L93&lt;&gt;"",$O93&lt;&gt;$L93),1,0))</f>
        <v>0</v>
      </c>
      <c r="Y93" s="34" t="n">
        <f aca="false">IF($E93="","",IF($N93="Cancelada",0,IF(OR($M93&lt;&gt;"",$N93="Concluída"),1,0)))</f>
        <v>1</v>
      </c>
    </row>
    <row r="94" customFormat="false" ht="15" hidden="false" customHeight="true" outlineLevel="0" collapsed="false">
      <c r="A94" s="34" t="n">
        <f aca="false">IF($E94="","",COUNTA($E$5:$E94))</f>
        <v>90</v>
      </c>
      <c r="B94" s="35"/>
      <c r="C94" s="35" t="s">
        <v>112</v>
      </c>
      <c r="D94" s="35" t="s">
        <v>150</v>
      </c>
      <c r="E94" s="35" t="s">
        <v>249</v>
      </c>
      <c r="F94" s="36" t="s">
        <v>62</v>
      </c>
      <c r="G94" s="37" t="s">
        <v>66</v>
      </c>
      <c r="H94" s="37" t="s">
        <v>92</v>
      </c>
      <c r="I94" s="37"/>
      <c r="J94" s="38" t="n">
        <v>46258</v>
      </c>
      <c r="K94" s="39" t="s">
        <v>77</v>
      </c>
      <c r="L94" s="40" t="n">
        <f aca="false">IF(OR($J94="",$K94=""),"",$J94+MATCH($K94,Listas!$F$5:$F$11,0)-1)</f>
        <v>46260</v>
      </c>
      <c r="M94" s="41"/>
      <c r="N94" s="36" t="s">
        <v>63</v>
      </c>
      <c r="O94" s="41"/>
      <c r="P94" s="35"/>
      <c r="Q94" s="35"/>
      <c r="R94" s="42" t="str">
        <f aca="true">IF($E94="","",IF($N94="Cancelada","Cancelada",IF(OR($M94&lt;&gt;"",$N94="Concluída"),IF(OR($L94="",$M94="",$M94&lt;=$L94),"Concluída","Concluída com atraso"),IF($L94="","Na carteira",IF($L94&lt;TODAY(),"VENCIDA",IF($N94="Em execução","Em execução",IF($L94=TODAY(),"Hoje","Programada")))))))</f>
        <v>Concluída</v>
      </c>
      <c r="S94" s="34" t="str">
        <f aca="false">IF($E94="","",IF(ISNUMBER(SEARCH("(externo)",$G94&amp;$H94&amp;$I94)),"Terceirizada","Interna"))</f>
        <v>Interna</v>
      </c>
      <c r="T94" s="40" t="n">
        <f aca="false">IF($L94="","",IF($O94="",$L94,$O94))</f>
        <v>46260</v>
      </c>
      <c r="U94" s="34" t="n">
        <f aca="false">IF($E94="","",IF(OR($M94="",$L94=""),0,IF($M94&lt;=$L94,1,0)))</f>
        <v>0</v>
      </c>
      <c r="V94" s="34" t="n">
        <f aca="false">IF($E94="","",IF(OR($M94="",$T94=""),0,IF($M94&lt;=$T94,1,0)))</f>
        <v>0</v>
      </c>
      <c r="W94" s="42" t="str">
        <f aca="false">IF(OR($M94="",$L94=""),"",MAX(0,$M94-$L94))</f>
        <v/>
      </c>
      <c r="X94" s="34" t="n">
        <f aca="false">IF($E94="","",IF(AND($O94&lt;&gt;"",$L94&lt;&gt;"",$O94&lt;&gt;$L94),1,0))</f>
        <v>0</v>
      </c>
      <c r="Y94" s="34" t="n">
        <f aca="false">IF($E94="","",IF($N94="Cancelada",0,IF(OR($M94&lt;&gt;"",$N94="Concluída"),1,0)))</f>
        <v>1</v>
      </c>
    </row>
    <row r="95" customFormat="false" ht="15" hidden="false" customHeight="true" outlineLevel="0" collapsed="false">
      <c r="A95" s="34" t="n">
        <f aca="false">IF($E95="","",COUNTA($E$5:$E95))</f>
        <v>91</v>
      </c>
      <c r="B95" s="35"/>
      <c r="C95" s="35" t="s">
        <v>112</v>
      </c>
      <c r="D95" s="35" t="s">
        <v>150</v>
      </c>
      <c r="E95" s="35" t="s">
        <v>250</v>
      </c>
      <c r="F95" s="36" t="s">
        <v>62</v>
      </c>
      <c r="G95" s="37" t="s">
        <v>66</v>
      </c>
      <c r="H95" s="37" t="s">
        <v>92</v>
      </c>
      <c r="I95" s="37"/>
      <c r="J95" s="38" t="n">
        <v>46258</v>
      </c>
      <c r="K95" s="39" t="s">
        <v>77</v>
      </c>
      <c r="L95" s="40" t="n">
        <f aca="false">IF(OR($J95="",$K95=""),"",$J95+MATCH($K95,Listas!$F$5:$F$11,0)-1)</f>
        <v>46260</v>
      </c>
      <c r="M95" s="41"/>
      <c r="N95" s="36" t="s">
        <v>63</v>
      </c>
      <c r="O95" s="41"/>
      <c r="P95" s="35"/>
      <c r="Q95" s="35"/>
      <c r="R95" s="42" t="str">
        <f aca="true">IF($E95="","",IF($N95="Cancelada","Cancelada",IF(OR($M95&lt;&gt;"",$N95="Concluída"),IF(OR($L95="",$M95="",$M95&lt;=$L95),"Concluída","Concluída com atraso"),IF($L95="","Na carteira",IF($L95&lt;TODAY(),"VENCIDA",IF($N95="Em execução","Em execução",IF($L95=TODAY(),"Hoje","Programada")))))))</f>
        <v>Concluída</v>
      </c>
      <c r="S95" s="34" t="str">
        <f aca="false">IF($E95="","",IF(ISNUMBER(SEARCH("(externo)",$G95&amp;$H95&amp;$I95)),"Terceirizada","Interna"))</f>
        <v>Interna</v>
      </c>
      <c r="T95" s="40" t="n">
        <f aca="false">IF($L95="","",IF($O95="",$L95,$O95))</f>
        <v>46260</v>
      </c>
      <c r="U95" s="34" t="n">
        <f aca="false">IF($E95="","",IF(OR($M95="",$L95=""),0,IF($M95&lt;=$L95,1,0)))</f>
        <v>0</v>
      </c>
      <c r="V95" s="34" t="n">
        <f aca="false">IF($E95="","",IF(OR($M95="",$T95=""),0,IF($M95&lt;=$T95,1,0)))</f>
        <v>0</v>
      </c>
      <c r="W95" s="42" t="str">
        <f aca="false">IF(OR($M95="",$L95=""),"",MAX(0,$M95-$L95))</f>
        <v/>
      </c>
      <c r="X95" s="34" t="n">
        <f aca="false">IF($E95="","",IF(AND($O95&lt;&gt;"",$L95&lt;&gt;"",$O95&lt;&gt;$L95),1,0))</f>
        <v>0</v>
      </c>
      <c r="Y95" s="34" t="n">
        <f aca="false">IF($E95="","",IF($N95="Cancelada",0,IF(OR($M95&lt;&gt;"",$N95="Concluída"),1,0)))</f>
        <v>1</v>
      </c>
    </row>
    <row r="96" customFormat="false" ht="15" hidden="false" customHeight="true" outlineLevel="0" collapsed="false">
      <c r="A96" s="34" t="n">
        <f aca="false">IF($E96="","",COUNTA($E$5:$E96))</f>
        <v>92</v>
      </c>
      <c r="B96" s="35"/>
      <c r="C96" s="35" t="s">
        <v>113</v>
      </c>
      <c r="D96" s="35" t="s">
        <v>251</v>
      </c>
      <c r="E96" s="35" t="s">
        <v>252</v>
      </c>
      <c r="F96" s="36" t="s">
        <v>62</v>
      </c>
      <c r="G96" s="37" t="s">
        <v>66</v>
      </c>
      <c r="H96" s="37" t="s">
        <v>83</v>
      </c>
      <c r="I96" s="37" t="s">
        <v>92</v>
      </c>
      <c r="J96" s="38" t="n">
        <v>46258</v>
      </c>
      <c r="K96" s="39" t="s">
        <v>82</v>
      </c>
      <c r="L96" s="40" t="n">
        <f aca="false">IF(OR($J96="",$K96=""),"",$J96+MATCH($K96,Listas!$F$5:$F$11,0)-1)</f>
        <v>46261</v>
      </c>
      <c r="M96" s="41"/>
      <c r="N96" s="36"/>
      <c r="O96" s="41" t="n">
        <v>46260</v>
      </c>
      <c r="P96" s="35"/>
      <c r="Q96" s="35" t="s">
        <v>253</v>
      </c>
      <c r="R96" s="42" t="str">
        <f aca="true">IF($E96="","",IF($N96="Cancelada","Cancelada",IF(OR($M96&lt;&gt;"",$N96="Concluída"),IF(OR($L96="",$M96="",$M96&lt;=$L96),"Concluída","Concluída com atraso"),IF($L96="","Na carteira",IF($L96&lt;TODAY(),"VENCIDA",IF($N96="Em execução","Em execução",IF($L96=TODAY(),"Hoje","Programada")))))))</f>
        <v>Hoje</v>
      </c>
      <c r="S96" s="34" t="str">
        <f aca="false">IF($E96="","",IF(ISNUMBER(SEARCH("(externo)",$G96&amp;$H96&amp;$I96)),"Terceirizada","Interna"))</f>
        <v>Interna</v>
      </c>
      <c r="T96" s="40" t="n">
        <f aca="false">IF($L96="","",IF($O96="",$L96,$O96))</f>
        <v>46260</v>
      </c>
      <c r="U96" s="34" t="n">
        <f aca="false">IF($E96="","",IF(OR($M96="",$L96=""),0,IF($M96&lt;=$L96,1,0)))</f>
        <v>0</v>
      </c>
      <c r="V96" s="34" t="n">
        <f aca="false">IF($E96="","",IF(OR($M96="",$T96=""),0,IF($M96&lt;=$T96,1,0)))</f>
        <v>0</v>
      </c>
      <c r="W96" s="42" t="str">
        <f aca="false">IF(OR($M96="",$L96=""),"",MAX(0,$M96-$L96))</f>
        <v/>
      </c>
      <c r="X96" s="34" t="n">
        <f aca="false">IF($E96="","",IF(AND($O96&lt;&gt;"",$L96&lt;&gt;"",$O96&lt;&gt;$L96),1,0))</f>
        <v>1</v>
      </c>
      <c r="Y96" s="34" t="n">
        <f aca="false">IF($E96="","",IF($N96="Cancelada",0,IF(OR($M96&lt;&gt;"",$N96="Concluída"),1,0)))</f>
        <v>0</v>
      </c>
    </row>
    <row r="97" customFormat="false" ht="15" hidden="false" customHeight="true" outlineLevel="0" collapsed="false">
      <c r="A97" s="34" t="n">
        <f aca="false">IF($E97="","",COUNTA($E$5:$E97))</f>
        <v>93</v>
      </c>
      <c r="B97" s="35"/>
      <c r="C97" s="35" t="s">
        <v>113</v>
      </c>
      <c r="D97" s="35" t="s">
        <v>251</v>
      </c>
      <c r="E97" s="35" t="s">
        <v>254</v>
      </c>
      <c r="F97" s="36" t="s">
        <v>62</v>
      </c>
      <c r="G97" s="37" t="s">
        <v>66</v>
      </c>
      <c r="H97" s="37" t="s">
        <v>83</v>
      </c>
      <c r="I97" s="37" t="s">
        <v>92</v>
      </c>
      <c r="J97" s="38" t="n">
        <v>46258</v>
      </c>
      <c r="K97" s="39" t="s">
        <v>82</v>
      </c>
      <c r="L97" s="40" t="n">
        <f aca="false">IF(OR($J97="",$K97=""),"",$J97+MATCH($K97,Listas!$F$5:$F$11,0)-1)</f>
        <v>46261</v>
      </c>
      <c r="M97" s="41"/>
      <c r="N97" s="36"/>
      <c r="O97" s="41" t="n">
        <v>46260</v>
      </c>
      <c r="P97" s="35"/>
      <c r="Q97" s="35" t="s">
        <v>253</v>
      </c>
      <c r="R97" s="42" t="str">
        <f aca="true">IF($E97="","",IF($N97="Cancelada","Cancelada",IF(OR($M97&lt;&gt;"",$N97="Concluída"),IF(OR($L97="",$M97="",$M97&lt;=$L97),"Concluída","Concluída com atraso"),IF($L97="","Na carteira",IF($L97&lt;TODAY(),"VENCIDA",IF($N97="Em execução","Em execução",IF($L97=TODAY(),"Hoje","Programada")))))))</f>
        <v>Hoje</v>
      </c>
      <c r="S97" s="34" t="str">
        <f aca="false">IF($E97="","",IF(ISNUMBER(SEARCH("(externo)",$G97&amp;$H97&amp;$I97)),"Terceirizada","Interna"))</f>
        <v>Interna</v>
      </c>
      <c r="T97" s="40" t="n">
        <f aca="false">IF($L97="","",IF($O97="",$L97,$O97))</f>
        <v>46260</v>
      </c>
      <c r="U97" s="34" t="n">
        <f aca="false">IF($E97="","",IF(OR($M97="",$L97=""),0,IF($M97&lt;=$L97,1,0)))</f>
        <v>0</v>
      </c>
      <c r="V97" s="34" t="n">
        <f aca="false">IF($E97="","",IF(OR($M97="",$T97=""),0,IF($M97&lt;=$T97,1,0)))</f>
        <v>0</v>
      </c>
      <c r="W97" s="42" t="str">
        <f aca="false">IF(OR($M97="",$L97=""),"",MAX(0,$M97-$L97))</f>
        <v/>
      </c>
      <c r="X97" s="34" t="n">
        <f aca="false">IF($E97="","",IF(AND($O97&lt;&gt;"",$L97&lt;&gt;"",$O97&lt;&gt;$L97),1,0))</f>
        <v>1</v>
      </c>
      <c r="Y97" s="34" t="n">
        <f aca="false">IF($E97="","",IF($N97="Cancelada",0,IF(OR($M97&lt;&gt;"",$N97="Concluída"),1,0)))</f>
        <v>0</v>
      </c>
    </row>
    <row r="98" customFormat="false" ht="15" hidden="false" customHeight="true" outlineLevel="0" collapsed="false">
      <c r="A98" s="34" t="n">
        <f aca="false">IF($E98="","",COUNTA($E$5:$E98))</f>
        <v>94</v>
      </c>
      <c r="B98" s="35"/>
      <c r="C98" s="35" t="s">
        <v>113</v>
      </c>
      <c r="D98" s="35" t="s">
        <v>251</v>
      </c>
      <c r="E98" s="35" t="s">
        <v>255</v>
      </c>
      <c r="F98" s="36" t="s">
        <v>62</v>
      </c>
      <c r="G98" s="37" t="s">
        <v>66</v>
      </c>
      <c r="H98" s="37" t="s">
        <v>83</v>
      </c>
      <c r="I98" s="37" t="s">
        <v>92</v>
      </c>
      <c r="J98" s="38" t="n">
        <v>46258</v>
      </c>
      <c r="K98" s="39" t="s">
        <v>82</v>
      </c>
      <c r="L98" s="40" t="n">
        <f aca="false">IF(OR($J98="",$K98=""),"",$J98+MATCH($K98,Listas!$F$5:$F$11,0)-1)</f>
        <v>46261</v>
      </c>
      <c r="M98" s="41"/>
      <c r="N98" s="36"/>
      <c r="O98" s="41" t="n">
        <v>46260</v>
      </c>
      <c r="P98" s="35"/>
      <c r="Q98" s="35" t="s">
        <v>253</v>
      </c>
      <c r="R98" s="42" t="str">
        <f aca="true">IF($E98="","",IF($N98="Cancelada","Cancelada",IF(OR($M98&lt;&gt;"",$N98="Concluída"),IF(OR($L98="",$M98="",$M98&lt;=$L98),"Concluída","Concluída com atraso"),IF($L98="","Na carteira",IF($L98&lt;TODAY(),"VENCIDA",IF($N98="Em execução","Em execução",IF($L98=TODAY(),"Hoje","Programada")))))))</f>
        <v>Hoje</v>
      </c>
      <c r="S98" s="34" t="str">
        <f aca="false">IF($E98="","",IF(ISNUMBER(SEARCH("(externo)",$G98&amp;$H98&amp;$I98)),"Terceirizada","Interna"))</f>
        <v>Interna</v>
      </c>
      <c r="T98" s="40" t="n">
        <f aca="false">IF($L98="","",IF($O98="",$L98,$O98))</f>
        <v>46260</v>
      </c>
      <c r="U98" s="34" t="n">
        <f aca="false">IF($E98="","",IF(OR($M98="",$L98=""),0,IF($M98&lt;=$L98,1,0)))</f>
        <v>0</v>
      </c>
      <c r="V98" s="34" t="n">
        <f aca="false">IF($E98="","",IF(OR($M98="",$T98=""),0,IF($M98&lt;=$T98,1,0)))</f>
        <v>0</v>
      </c>
      <c r="W98" s="42" t="str">
        <f aca="false">IF(OR($M98="",$L98=""),"",MAX(0,$M98-$L98))</f>
        <v/>
      </c>
      <c r="X98" s="34" t="n">
        <f aca="false">IF($E98="","",IF(AND($O98&lt;&gt;"",$L98&lt;&gt;"",$O98&lt;&gt;$L98),1,0))</f>
        <v>1</v>
      </c>
      <c r="Y98" s="34" t="n">
        <f aca="false">IF($E98="","",IF($N98="Cancelada",0,IF(OR($M98&lt;&gt;"",$N98="Concluída"),1,0)))</f>
        <v>0</v>
      </c>
    </row>
    <row r="99" customFormat="false" ht="15" hidden="false" customHeight="true" outlineLevel="0" collapsed="false">
      <c r="A99" s="34" t="n">
        <f aca="false">IF($E99="","",COUNTA($E$5:$E99))</f>
        <v>95</v>
      </c>
      <c r="B99" s="35"/>
      <c r="C99" s="35" t="s">
        <v>113</v>
      </c>
      <c r="D99" s="35" t="s">
        <v>251</v>
      </c>
      <c r="E99" s="35" t="s">
        <v>256</v>
      </c>
      <c r="F99" s="36" t="s">
        <v>62</v>
      </c>
      <c r="G99" s="37" t="s">
        <v>66</v>
      </c>
      <c r="H99" s="37" t="s">
        <v>83</v>
      </c>
      <c r="I99" s="37" t="s">
        <v>92</v>
      </c>
      <c r="J99" s="38" t="n">
        <v>46258</v>
      </c>
      <c r="K99" s="39" t="s">
        <v>82</v>
      </c>
      <c r="L99" s="40" t="n">
        <f aca="false">IF(OR($J99="",$K99=""),"",$J99+MATCH($K99,Listas!$F$5:$F$11,0)-1)</f>
        <v>46261</v>
      </c>
      <c r="M99" s="41"/>
      <c r="N99" s="36"/>
      <c r="O99" s="41" t="n">
        <v>46260</v>
      </c>
      <c r="P99" s="35"/>
      <c r="Q99" s="35" t="s">
        <v>253</v>
      </c>
      <c r="R99" s="42" t="str">
        <f aca="true">IF($E99="","",IF($N99="Cancelada","Cancelada",IF(OR($M99&lt;&gt;"",$N99="Concluída"),IF(OR($L99="",$M99="",$M99&lt;=$L99),"Concluída","Concluída com atraso"),IF($L99="","Na carteira",IF($L99&lt;TODAY(),"VENCIDA",IF($N99="Em execução","Em execução",IF($L99=TODAY(),"Hoje","Programada")))))))</f>
        <v>Hoje</v>
      </c>
      <c r="S99" s="34" t="str">
        <f aca="false">IF($E99="","",IF(ISNUMBER(SEARCH("(externo)",$G99&amp;$H99&amp;$I99)),"Terceirizada","Interna"))</f>
        <v>Interna</v>
      </c>
      <c r="T99" s="40" t="n">
        <f aca="false">IF($L99="","",IF($O99="",$L99,$O99))</f>
        <v>46260</v>
      </c>
      <c r="U99" s="34" t="n">
        <f aca="false">IF($E99="","",IF(OR($M99="",$L99=""),0,IF($M99&lt;=$L99,1,0)))</f>
        <v>0</v>
      </c>
      <c r="V99" s="34" t="n">
        <f aca="false">IF($E99="","",IF(OR($M99="",$T99=""),0,IF($M99&lt;=$T99,1,0)))</f>
        <v>0</v>
      </c>
      <c r="W99" s="42" t="str">
        <f aca="false">IF(OR($M99="",$L99=""),"",MAX(0,$M99-$L99))</f>
        <v/>
      </c>
      <c r="X99" s="34" t="n">
        <f aca="false">IF($E99="","",IF(AND($O99&lt;&gt;"",$L99&lt;&gt;"",$O99&lt;&gt;$L99),1,0))</f>
        <v>1</v>
      </c>
      <c r="Y99" s="34" t="n">
        <f aca="false">IF($E99="","",IF($N99="Cancelada",0,IF(OR($M99&lt;&gt;"",$N99="Concluída"),1,0)))</f>
        <v>0</v>
      </c>
    </row>
    <row r="100" customFormat="false" ht="15" hidden="false" customHeight="true" outlineLevel="0" collapsed="false">
      <c r="A100" s="34" t="n">
        <f aca="false">IF($E100="","",COUNTA($E$5:$E100))</f>
        <v>96</v>
      </c>
      <c r="B100" s="35"/>
      <c r="C100" s="35" t="s">
        <v>113</v>
      </c>
      <c r="D100" s="35" t="s">
        <v>251</v>
      </c>
      <c r="E100" s="35" t="s">
        <v>257</v>
      </c>
      <c r="F100" s="36" t="s">
        <v>62</v>
      </c>
      <c r="G100" s="37" t="s">
        <v>66</v>
      </c>
      <c r="H100" s="37" t="s">
        <v>83</v>
      </c>
      <c r="I100" s="37" t="s">
        <v>92</v>
      </c>
      <c r="J100" s="38" t="n">
        <v>46258</v>
      </c>
      <c r="K100" s="39" t="s">
        <v>82</v>
      </c>
      <c r="L100" s="40" t="n">
        <f aca="false">IF(OR($J100="",$K100=""),"",$J100+MATCH($K100,Listas!$F$5:$F$11,0)-1)</f>
        <v>46261</v>
      </c>
      <c r="M100" s="41"/>
      <c r="N100" s="36"/>
      <c r="O100" s="41" t="n">
        <v>46260</v>
      </c>
      <c r="P100" s="35"/>
      <c r="Q100" s="35" t="s">
        <v>253</v>
      </c>
      <c r="R100" s="42" t="str">
        <f aca="true">IF($E100="","",IF($N100="Cancelada","Cancelada",IF(OR($M100&lt;&gt;"",$N100="Concluída"),IF(OR($L100="",$M100="",$M100&lt;=$L100),"Concluída","Concluída com atraso"),IF($L100="","Na carteira",IF($L100&lt;TODAY(),"VENCIDA",IF($N100="Em execução","Em execução",IF($L100=TODAY(),"Hoje","Programada")))))))</f>
        <v>Hoje</v>
      </c>
      <c r="S100" s="34" t="str">
        <f aca="false">IF($E100="","",IF(ISNUMBER(SEARCH("(externo)",$G100&amp;$H100&amp;$I100)),"Terceirizada","Interna"))</f>
        <v>Interna</v>
      </c>
      <c r="T100" s="40" t="n">
        <f aca="false">IF($L100="","",IF($O100="",$L100,$O100))</f>
        <v>46260</v>
      </c>
      <c r="U100" s="34" t="n">
        <f aca="false">IF($E100="","",IF(OR($M100="",$L100=""),0,IF($M100&lt;=$L100,1,0)))</f>
        <v>0</v>
      </c>
      <c r="V100" s="34" t="n">
        <f aca="false">IF($E100="","",IF(OR($M100="",$T100=""),0,IF($M100&lt;=$T100,1,0)))</f>
        <v>0</v>
      </c>
      <c r="W100" s="42" t="str">
        <f aca="false">IF(OR($M100="",$L100=""),"",MAX(0,$M100-$L100))</f>
        <v/>
      </c>
      <c r="X100" s="34" t="n">
        <f aca="false">IF($E100="","",IF(AND($O100&lt;&gt;"",$L100&lt;&gt;"",$O100&lt;&gt;$L100),1,0))</f>
        <v>1</v>
      </c>
      <c r="Y100" s="34" t="n">
        <f aca="false">IF($E100="","",IF($N100="Cancelada",0,IF(OR($M100&lt;&gt;"",$N100="Concluída"),1,0)))</f>
        <v>0</v>
      </c>
    </row>
    <row r="101" customFormat="false" ht="15" hidden="false" customHeight="true" outlineLevel="0" collapsed="false">
      <c r="A101" s="34" t="n">
        <f aca="false">IF($E101="","",COUNTA($E$5:$E101))</f>
        <v>97</v>
      </c>
      <c r="B101" s="35"/>
      <c r="C101" s="35" t="s">
        <v>113</v>
      </c>
      <c r="D101" s="35" t="s">
        <v>251</v>
      </c>
      <c r="E101" s="35" t="s">
        <v>258</v>
      </c>
      <c r="F101" s="36" t="s">
        <v>62</v>
      </c>
      <c r="G101" s="37" t="s">
        <v>66</v>
      </c>
      <c r="H101" s="37" t="s">
        <v>83</v>
      </c>
      <c r="I101" s="37" t="s">
        <v>92</v>
      </c>
      <c r="J101" s="38" t="n">
        <v>46258</v>
      </c>
      <c r="K101" s="39" t="s">
        <v>82</v>
      </c>
      <c r="L101" s="40" t="n">
        <f aca="false">IF(OR($J101="",$K101=""),"",$J101+MATCH($K101,Listas!$F$5:$F$11,0)-1)</f>
        <v>46261</v>
      </c>
      <c r="M101" s="41"/>
      <c r="N101" s="36"/>
      <c r="O101" s="41" t="n">
        <v>46260</v>
      </c>
      <c r="P101" s="35"/>
      <c r="Q101" s="35" t="s">
        <v>253</v>
      </c>
      <c r="R101" s="42" t="str">
        <f aca="true">IF($E101="","",IF($N101="Cancelada","Cancelada",IF(OR($M101&lt;&gt;"",$N101="Concluída"),IF(OR($L101="",$M101="",$M101&lt;=$L101),"Concluída","Concluída com atraso"),IF($L101="","Na carteira",IF($L101&lt;TODAY(),"VENCIDA",IF($N101="Em execução","Em execução",IF($L101=TODAY(),"Hoje","Programada")))))))</f>
        <v>Hoje</v>
      </c>
      <c r="S101" s="34" t="str">
        <f aca="false">IF($E101="","",IF(ISNUMBER(SEARCH("(externo)",$G101&amp;$H101&amp;$I101)),"Terceirizada","Interna"))</f>
        <v>Interna</v>
      </c>
      <c r="T101" s="40" t="n">
        <f aca="false">IF($L101="","",IF($O101="",$L101,$O101))</f>
        <v>46260</v>
      </c>
      <c r="U101" s="34" t="n">
        <f aca="false">IF($E101="","",IF(OR($M101="",$L101=""),0,IF($M101&lt;=$L101,1,0)))</f>
        <v>0</v>
      </c>
      <c r="V101" s="34" t="n">
        <f aca="false">IF($E101="","",IF(OR($M101="",$T101=""),0,IF($M101&lt;=$T101,1,0)))</f>
        <v>0</v>
      </c>
      <c r="W101" s="42" t="str">
        <f aca="false">IF(OR($M101="",$L101=""),"",MAX(0,$M101-$L101))</f>
        <v/>
      </c>
      <c r="X101" s="34" t="n">
        <f aca="false">IF($E101="","",IF(AND($O101&lt;&gt;"",$L101&lt;&gt;"",$O101&lt;&gt;$L101),1,0))</f>
        <v>1</v>
      </c>
      <c r="Y101" s="34" t="n">
        <f aca="false">IF($E101="","",IF($N101="Cancelada",0,IF(OR($M101&lt;&gt;"",$N101="Concluída"),1,0)))</f>
        <v>0</v>
      </c>
    </row>
    <row r="102" customFormat="false" ht="15" hidden="false" customHeight="true" outlineLevel="0" collapsed="false">
      <c r="A102" s="34" t="n">
        <f aca="false">IF($E102="","",COUNTA($E$5:$E102))</f>
        <v>98</v>
      </c>
      <c r="B102" s="35"/>
      <c r="C102" s="35" t="s">
        <v>113</v>
      </c>
      <c r="D102" s="35" t="s">
        <v>251</v>
      </c>
      <c r="E102" s="35" t="s">
        <v>259</v>
      </c>
      <c r="F102" s="36" t="s">
        <v>62</v>
      </c>
      <c r="G102" s="37" t="s">
        <v>66</v>
      </c>
      <c r="H102" s="37" t="s">
        <v>83</v>
      </c>
      <c r="I102" s="37" t="s">
        <v>92</v>
      </c>
      <c r="J102" s="38" t="n">
        <v>46258</v>
      </c>
      <c r="K102" s="39" t="s">
        <v>82</v>
      </c>
      <c r="L102" s="40" t="n">
        <f aca="false">IF(OR($J102="",$K102=""),"",$J102+MATCH($K102,Listas!$F$5:$F$11,0)-1)</f>
        <v>46261</v>
      </c>
      <c r="M102" s="41"/>
      <c r="N102" s="36"/>
      <c r="O102" s="41" t="n">
        <v>46260</v>
      </c>
      <c r="P102" s="35"/>
      <c r="Q102" s="35" t="s">
        <v>253</v>
      </c>
      <c r="R102" s="42" t="str">
        <f aca="true">IF($E102="","",IF($N102="Cancelada","Cancelada",IF(OR($M102&lt;&gt;"",$N102="Concluída"),IF(OR($L102="",$M102="",$M102&lt;=$L102),"Concluída","Concluída com atraso"),IF($L102="","Na carteira",IF($L102&lt;TODAY(),"VENCIDA",IF($N102="Em execução","Em execução",IF($L102=TODAY(),"Hoje","Programada")))))))</f>
        <v>Hoje</v>
      </c>
      <c r="S102" s="34" t="str">
        <f aca="false">IF($E102="","",IF(ISNUMBER(SEARCH("(externo)",$G102&amp;$H102&amp;$I102)),"Terceirizada","Interna"))</f>
        <v>Interna</v>
      </c>
      <c r="T102" s="40" t="n">
        <f aca="false">IF($L102="","",IF($O102="",$L102,$O102))</f>
        <v>46260</v>
      </c>
      <c r="U102" s="34" t="n">
        <f aca="false">IF($E102="","",IF(OR($M102="",$L102=""),0,IF($M102&lt;=$L102,1,0)))</f>
        <v>0</v>
      </c>
      <c r="V102" s="34" t="n">
        <f aca="false">IF($E102="","",IF(OR($M102="",$T102=""),0,IF($M102&lt;=$T102,1,0)))</f>
        <v>0</v>
      </c>
      <c r="W102" s="42" t="str">
        <f aca="false">IF(OR($M102="",$L102=""),"",MAX(0,$M102-$L102))</f>
        <v/>
      </c>
      <c r="X102" s="34" t="n">
        <f aca="false">IF($E102="","",IF(AND($O102&lt;&gt;"",$L102&lt;&gt;"",$O102&lt;&gt;$L102),1,0))</f>
        <v>1</v>
      </c>
      <c r="Y102" s="34" t="n">
        <f aca="false">IF($E102="","",IF($N102="Cancelada",0,IF(OR($M102&lt;&gt;"",$N102="Concluída"),1,0)))</f>
        <v>0</v>
      </c>
    </row>
    <row r="103" customFormat="false" ht="15" hidden="false" customHeight="true" outlineLevel="0" collapsed="false">
      <c r="A103" s="34" t="n">
        <f aca="false">IF($E103="","",COUNTA($E$5:$E103))</f>
        <v>99</v>
      </c>
      <c r="B103" s="35"/>
      <c r="C103" s="35" t="s">
        <v>113</v>
      </c>
      <c r="D103" s="35" t="s">
        <v>251</v>
      </c>
      <c r="E103" s="35" t="s">
        <v>260</v>
      </c>
      <c r="F103" s="36" t="s">
        <v>62</v>
      </c>
      <c r="G103" s="37" t="s">
        <v>66</v>
      </c>
      <c r="H103" s="37" t="s">
        <v>83</v>
      </c>
      <c r="I103" s="37" t="s">
        <v>92</v>
      </c>
      <c r="J103" s="38" t="n">
        <v>46258</v>
      </c>
      <c r="K103" s="39" t="s">
        <v>82</v>
      </c>
      <c r="L103" s="40" t="n">
        <f aca="false">IF(OR($J103="",$K103=""),"",$J103+MATCH($K103,Listas!$F$5:$F$11,0)-1)</f>
        <v>46261</v>
      </c>
      <c r="M103" s="41"/>
      <c r="N103" s="36"/>
      <c r="O103" s="41" t="n">
        <v>46260</v>
      </c>
      <c r="P103" s="35"/>
      <c r="Q103" s="35" t="s">
        <v>253</v>
      </c>
      <c r="R103" s="42" t="str">
        <f aca="true">IF($E103="","",IF($N103="Cancelada","Cancelada",IF(OR($M103&lt;&gt;"",$N103="Concluída"),IF(OR($L103="",$M103="",$M103&lt;=$L103),"Concluída","Concluída com atraso"),IF($L103="","Na carteira",IF($L103&lt;TODAY(),"VENCIDA",IF($N103="Em execução","Em execução",IF($L103=TODAY(),"Hoje","Programada")))))))</f>
        <v>Hoje</v>
      </c>
      <c r="S103" s="34" t="str">
        <f aca="false">IF($E103="","",IF(ISNUMBER(SEARCH("(externo)",$G103&amp;$H103&amp;$I103)),"Terceirizada","Interna"))</f>
        <v>Interna</v>
      </c>
      <c r="T103" s="40" t="n">
        <f aca="false">IF($L103="","",IF($O103="",$L103,$O103))</f>
        <v>46260</v>
      </c>
      <c r="U103" s="34" t="n">
        <f aca="false">IF($E103="","",IF(OR($M103="",$L103=""),0,IF($M103&lt;=$L103,1,0)))</f>
        <v>0</v>
      </c>
      <c r="V103" s="34" t="n">
        <f aca="false">IF($E103="","",IF(OR($M103="",$T103=""),0,IF($M103&lt;=$T103,1,0)))</f>
        <v>0</v>
      </c>
      <c r="W103" s="42" t="str">
        <f aca="false">IF(OR($M103="",$L103=""),"",MAX(0,$M103-$L103))</f>
        <v/>
      </c>
      <c r="X103" s="34" t="n">
        <f aca="false">IF($E103="","",IF(AND($O103&lt;&gt;"",$L103&lt;&gt;"",$O103&lt;&gt;$L103),1,0))</f>
        <v>1</v>
      </c>
      <c r="Y103" s="34" t="n">
        <f aca="false">IF($E103="","",IF($N103="Cancelada",0,IF(OR($M103&lt;&gt;"",$N103="Concluída"),1,0)))</f>
        <v>0</v>
      </c>
    </row>
    <row r="104" customFormat="false" ht="15" hidden="false" customHeight="true" outlineLevel="0" collapsed="false">
      <c r="A104" s="34" t="n">
        <f aca="false">IF($E104="","",COUNTA($E$5:$E104))</f>
        <v>100</v>
      </c>
      <c r="B104" s="35"/>
      <c r="C104" s="35" t="s">
        <v>113</v>
      </c>
      <c r="D104" s="35" t="s">
        <v>251</v>
      </c>
      <c r="E104" s="35" t="s">
        <v>261</v>
      </c>
      <c r="F104" s="36" t="s">
        <v>62</v>
      </c>
      <c r="G104" s="37" t="s">
        <v>66</v>
      </c>
      <c r="H104" s="37" t="s">
        <v>83</v>
      </c>
      <c r="I104" s="37" t="s">
        <v>92</v>
      </c>
      <c r="J104" s="38" t="n">
        <v>46258</v>
      </c>
      <c r="K104" s="39" t="s">
        <v>82</v>
      </c>
      <c r="L104" s="40" t="n">
        <f aca="false">IF(OR($J104="",$K104=""),"",$J104+MATCH($K104,Listas!$F$5:$F$11,0)-1)</f>
        <v>46261</v>
      </c>
      <c r="M104" s="41"/>
      <c r="N104" s="36"/>
      <c r="O104" s="41" t="n">
        <v>46260</v>
      </c>
      <c r="P104" s="35"/>
      <c r="Q104" s="35" t="s">
        <v>253</v>
      </c>
      <c r="R104" s="42" t="str">
        <f aca="true">IF($E104="","",IF($N104="Cancelada","Cancelada",IF(OR($M104&lt;&gt;"",$N104="Concluída"),IF(OR($L104="",$M104="",$M104&lt;=$L104),"Concluída","Concluída com atraso"),IF($L104="","Na carteira",IF($L104&lt;TODAY(),"VENCIDA",IF($N104="Em execução","Em execução",IF($L104=TODAY(),"Hoje","Programada")))))))</f>
        <v>Hoje</v>
      </c>
      <c r="S104" s="34" t="str">
        <f aca="false">IF($E104="","",IF(ISNUMBER(SEARCH("(externo)",$G104&amp;$H104&amp;$I104)),"Terceirizada","Interna"))</f>
        <v>Interna</v>
      </c>
      <c r="T104" s="40" t="n">
        <f aca="false">IF($L104="","",IF($O104="",$L104,$O104))</f>
        <v>46260</v>
      </c>
      <c r="U104" s="34" t="n">
        <f aca="false">IF($E104="","",IF(OR($M104="",$L104=""),0,IF($M104&lt;=$L104,1,0)))</f>
        <v>0</v>
      </c>
      <c r="V104" s="34" t="n">
        <f aca="false">IF($E104="","",IF(OR($M104="",$T104=""),0,IF($M104&lt;=$T104,1,0)))</f>
        <v>0</v>
      </c>
      <c r="W104" s="42" t="str">
        <f aca="false">IF(OR($M104="",$L104=""),"",MAX(0,$M104-$L104))</f>
        <v/>
      </c>
      <c r="X104" s="34" t="n">
        <f aca="false">IF($E104="","",IF(AND($O104&lt;&gt;"",$L104&lt;&gt;"",$O104&lt;&gt;$L104),1,0))</f>
        <v>1</v>
      </c>
      <c r="Y104" s="34" t="n">
        <f aca="false">IF($E104="","",IF($N104="Cancelada",0,IF(OR($M104&lt;&gt;"",$N104="Concluída"),1,0)))</f>
        <v>0</v>
      </c>
    </row>
    <row r="105" customFormat="false" ht="15" hidden="false" customHeight="true" outlineLevel="0" collapsed="false">
      <c r="A105" s="34" t="n">
        <f aca="false">IF($E105="","",COUNTA($E$5:$E105))</f>
        <v>101</v>
      </c>
      <c r="B105" s="35"/>
      <c r="C105" s="35" t="s">
        <v>113</v>
      </c>
      <c r="D105" s="35" t="s">
        <v>251</v>
      </c>
      <c r="E105" s="35" t="s">
        <v>262</v>
      </c>
      <c r="F105" s="36" t="s">
        <v>62</v>
      </c>
      <c r="G105" s="37" t="s">
        <v>66</v>
      </c>
      <c r="H105" s="37" t="s">
        <v>83</v>
      </c>
      <c r="I105" s="37" t="s">
        <v>92</v>
      </c>
      <c r="J105" s="38" t="n">
        <v>46258</v>
      </c>
      <c r="K105" s="39" t="s">
        <v>82</v>
      </c>
      <c r="L105" s="40" t="n">
        <f aca="false">IF(OR($J105="",$K105=""),"",$J105+MATCH($K105,Listas!$F$5:$F$11,0)-1)</f>
        <v>46261</v>
      </c>
      <c r="M105" s="41"/>
      <c r="N105" s="36"/>
      <c r="O105" s="41" t="n">
        <v>46260</v>
      </c>
      <c r="P105" s="35"/>
      <c r="Q105" s="35" t="s">
        <v>253</v>
      </c>
      <c r="R105" s="42" t="str">
        <f aca="true">IF($E105="","",IF($N105="Cancelada","Cancelada",IF(OR($M105&lt;&gt;"",$N105="Concluída"),IF(OR($L105="",$M105="",$M105&lt;=$L105),"Concluída","Concluída com atraso"),IF($L105="","Na carteira",IF($L105&lt;TODAY(),"VENCIDA",IF($N105="Em execução","Em execução",IF($L105=TODAY(),"Hoje","Programada")))))))</f>
        <v>Hoje</v>
      </c>
      <c r="S105" s="34" t="str">
        <f aca="false">IF($E105="","",IF(ISNUMBER(SEARCH("(externo)",$G105&amp;$H105&amp;$I105)),"Terceirizada","Interna"))</f>
        <v>Interna</v>
      </c>
      <c r="T105" s="40" t="n">
        <f aca="false">IF($L105="","",IF($O105="",$L105,$O105))</f>
        <v>46260</v>
      </c>
      <c r="U105" s="34" t="n">
        <f aca="false">IF($E105="","",IF(OR($M105="",$L105=""),0,IF($M105&lt;=$L105,1,0)))</f>
        <v>0</v>
      </c>
      <c r="V105" s="34" t="n">
        <f aca="false">IF($E105="","",IF(OR($M105="",$T105=""),0,IF($M105&lt;=$T105,1,0)))</f>
        <v>0</v>
      </c>
      <c r="W105" s="42" t="str">
        <f aca="false">IF(OR($M105="",$L105=""),"",MAX(0,$M105-$L105))</f>
        <v/>
      </c>
      <c r="X105" s="34" t="n">
        <f aca="false">IF($E105="","",IF(AND($O105&lt;&gt;"",$L105&lt;&gt;"",$O105&lt;&gt;$L105),1,0))</f>
        <v>1</v>
      </c>
      <c r="Y105" s="34" t="n">
        <f aca="false">IF($E105="","",IF($N105="Cancelada",0,IF(OR($M105&lt;&gt;"",$N105="Concluída"),1,0)))</f>
        <v>0</v>
      </c>
    </row>
    <row r="106" customFormat="false" ht="15" hidden="false" customHeight="true" outlineLevel="0" collapsed="false">
      <c r="A106" s="34" t="n">
        <f aca="false">IF($E106="","",COUNTA($E$5:$E106))</f>
        <v>102</v>
      </c>
      <c r="B106" s="35"/>
      <c r="C106" s="35" t="s">
        <v>113</v>
      </c>
      <c r="D106" s="35" t="s">
        <v>251</v>
      </c>
      <c r="E106" s="35" t="s">
        <v>263</v>
      </c>
      <c r="F106" s="36" t="s">
        <v>62</v>
      </c>
      <c r="G106" s="37" t="s">
        <v>66</v>
      </c>
      <c r="H106" s="37" t="s">
        <v>83</v>
      </c>
      <c r="I106" s="37" t="s">
        <v>92</v>
      </c>
      <c r="J106" s="38" t="n">
        <v>46258</v>
      </c>
      <c r="K106" s="39" t="s">
        <v>82</v>
      </c>
      <c r="L106" s="40" t="n">
        <f aca="false">IF(OR($J106="",$K106=""),"",$J106+MATCH($K106,Listas!$F$5:$F$11,0)-1)</f>
        <v>46261</v>
      </c>
      <c r="M106" s="41"/>
      <c r="N106" s="36"/>
      <c r="O106" s="41" t="n">
        <v>46260</v>
      </c>
      <c r="P106" s="35"/>
      <c r="Q106" s="35" t="s">
        <v>253</v>
      </c>
      <c r="R106" s="42" t="str">
        <f aca="true">IF($E106="","",IF($N106="Cancelada","Cancelada",IF(OR($M106&lt;&gt;"",$N106="Concluída"),IF(OR($L106="",$M106="",$M106&lt;=$L106),"Concluída","Concluída com atraso"),IF($L106="","Na carteira",IF($L106&lt;TODAY(),"VENCIDA",IF($N106="Em execução","Em execução",IF($L106=TODAY(),"Hoje","Programada")))))))</f>
        <v>Hoje</v>
      </c>
      <c r="S106" s="34" t="str">
        <f aca="false">IF($E106="","",IF(ISNUMBER(SEARCH("(externo)",$G106&amp;$H106&amp;$I106)),"Terceirizada","Interna"))</f>
        <v>Interna</v>
      </c>
      <c r="T106" s="40" t="n">
        <f aca="false">IF($L106="","",IF($O106="",$L106,$O106))</f>
        <v>46260</v>
      </c>
      <c r="U106" s="34" t="n">
        <f aca="false">IF($E106="","",IF(OR($M106="",$L106=""),0,IF($M106&lt;=$L106,1,0)))</f>
        <v>0</v>
      </c>
      <c r="V106" s="34" t="n">
        <f aca="false">IF($E106="","",IF(OR($M106="",$T106=""),0,IF($M106&lt;=$T106,1,0)))</f>
        <v>0</v>
      </c>
      <c r="W106" s="42" t="str">
        <f aca="false">IF(OR($M106="",$L106=""),"",MAX(0,$M106-$L106))</f>
        <v/>
      </c>
      <c r="X106" s="34" t="n">
        <f aca="false">IF($E106="","",IF(AND($O106&lt;&gt;"",$L106&lt;&gt;"",$O106&lt;&gt;$L106),1,0))</f>
        <v>1</v>
      </c>
      <c r="Y106" s="34" t="n">
        <f aca="false">IF($E106="","",IF($N106="Cancelada",0,IF(OR($M106&lt;&gt;"",$N106="Concluída"),1,0)))</f>
        <v>0</v>
      </c>
    </row>
    <row r="107" customFormat="false" ht="15" hidden="false" customHeight="true" outlineLevel="0" collapsed="false">
      <c r="A107" s="34" t="n">
        <f aca="false">IF($E107="","",COUNTA($E$5:$E107))</f>
        <v>103</v>
      </c>
      <c r="B107" s="35"/>
      <c r="C107" s="35" t="s">
        <v>113</v>
      </c>
      <c r="D107" s="35" t="s">
        <v>251</v>
      </c>
      <c r="E107" s="35" t="s">
        <v>264</v>
      </c>
      <c r="F107" s="36" t="s">
        <v>62</v>
      </c>
      <c r="G107" s="37" t="s">
        <v>66</v>
      </c>
      <c r="H107" s="37" t="s">
        <v>83</v>
      </c>
      <c r="I107" s="37" t="s">
        <v>92</v>
      </c>
      <c r="J107" s="38" t="n">
        <v>46258</v>
      </c>
      <c r="K107" s="39" t="s">
        <v>82</v>
      </c>
      <c r="L107" s="40" t="n">
        <f aca="false">IF(OR($J107="",$K107=""),"",$J107+MATCH($K107,Listas!$F$5:$F$11,0)-1)</f>
        <v>46261</v>
      </c>
      <c r="M107" s="41"/>
      <c r="N107" s="36"/>
      <c r="O107" s="41" t="n">
        <v>46260</v>
      </c>
      <c r="P107" s="35"/>
      <c r="Q107" s="35" t="s">
        <v>253</v>
      </c>
      <c r="R107" s="42" t="str">
        <f aca="true">IF($E107="","",IF($N107="Cancelada","Cancelada",IF(OR($M107&lt;&gt;"",$N107="Concluída"),IF(OR($L107="",$M107="",$M107&lt;=$L107),"Concluída","Concluída com atraso"),IF($L107="","Na carteira",IF($L107&lt;TODAY(),"VENCIDA",IF($N107="Em execução","Em execução",IF($L107=TODAY(),"Hoje","Programada")))))))</f>
        <v>Hoje</v>
      </c>
      <c r="S107" s="34" t="str">
        <f aca="false">IF($E107="","",IF(ISNUMBER(SEARCH("(externo)",$G107&amp;$H107&amp;$I107)),"Terceirizada","Interna"))</f>
        <v>Interna</v>
      </c>
      <c r="T107" s="40" t="n">
        <f aca="false">IF($L107="","",IF($O107="",$L107,$O107))</f>
        <v>46260</v>
      </c>
      <c r="U107" s="34" t="n">
        <f aca="false">IF($E107="","",IF(OR($M107="",$L107=""),0,IF($M107&lt;=$L107,1,0)))</f>
        <v>0</v>
      </c>
      <c r="V107" s="34" t="n">
        <f aca="false">IF($E107="","",IF(OR($M107="",$T107=""),0,IF($M107&lt;=$T107,1,0)))</f>
        <v>0</v>
      </c>
      <c r="W107" s="42" t="str">
        <f aca="false">IF(OR($M107="",$L107=""),"",MAX(0,$M107-$L107))</f>
        <v/>
      </c>
      <c r="X107" s="34" t="n">
        <f aca="false">IF($E107="","",IF(AND($O107&lt;&gt;"",$L107&lt;&gt;"",$O107&lt;&gt;$L107),1,0))</f>
        <v>1</v>
      </c>
      <c r="Y107" s="34" t="n">
        <f aca="false">IF($E107="","",IF($N107="Cancelada",0,IF(OR($M107&lt;&gt;"",$N107="Concluída"),1,0)))</f>
        <v>0</v>
      </c>
    </row>
    <row r="108" customFormat="false" ht="15" hidden="false" customHeight="true" outlineLevel="0" collapsed="false">
      <c r="A108" s="34" t="n">
        <f aca="false">IF($E108="","",COUNTA($E$5:$E108))</f>
        <v>104</v>
      </c>
      <c r="B108" s="35"/>
      <c r="C108" s="35" t="s">
        <v>113</v>
      </c>
      <c r="D108" s="35" t="s">
        <v>251</v>
      </c>
      <c r="E108" s="35" t="s">
        <v>265</v>
      </c>
      <c r="F108" s="36" t="s">
        <v>62</v>
      </c>
      <c r="G108" s="37" t="s">
        <v>66</v>
      </c>
      <c r="H108" s="37" t="s">
        <v>83</v>
      </c>
      <c r="I108" s="37" t="s">
        <v>92</v>
      </c>
      <c r="J108" s="38" t="n">
        <v>46258</v>
      </c>
      <c r="K108" s="39" t="s">
        <v>82</v>
      </c>
      <c r="L108" s="40" t="n">
        <f aca="false">IF(OR($J108="",$K108=""),"",$J108+MATCH($K108,Listas!$F$5:$F$11,0)-1)</f>
        <v>46261</v>
      </c>
      <c r="M108" s="41"/>
      <c r="N108" s="36"/>
      <c r="O108" s="41" t="n">
        <v>46260</v>
      </c>
      <c r="P108" s="35"/>
      <c r="Q108" s="35" t="s">
        <v>253</v>
      </c>
      <c r="R108" s="42" t="str">
        <f aca="true">IF($E108="","",IF($N108="Cancelada","Cancelada",IF(OR($M108&lt;&gt;"",$N108="Concluída"),IF(OR($L108="",$M108="",$M108&lt;=$L108),"Concluída","Concluída com atraso"),IF($L108="","Na carteira",IF($L108&lt;TODAY(),"VENCIDA",IF($N108="Em execução","Em execução",IF($L108=TODAY(),"Hoje","Programada")))))))</f>
        <v>Hoje</v>
      </c>
      <c r="S108" s="34" t="str">
        <f aca="false">IF($E108="","",IF(ISNUMBER(SEARCH("(externo)",$G108&amp;$H108&amp;$I108)),"Terceirizada","Interna"))</f>
        <v>Interna</v>
      </c>
      <c r="T108" s="40" t="n">
        <f aca="false">IF($L108="","",IF($O108="",$L108,$O108))</f>
        <v>46260</v>
      </c>
      <c r="U108" s="34" t="n">
        <f aca="false">IF($E108="","",IF(OR($M108="",$L108=""),0,IF($M108&lt;=$L108,1,0)))</f>
        <v>0</v>
      </c>
      <c r="V108" s="34" t="n">
        <f aca="false">IF($E108="","",IF(OR($M108="",$T108=""),0,IF($M108&lt;=$T108,1,0)))</f>
        <v>0</v>
      </c>
      <c r="W108" s="42" t="str">
        <f aca="false">IF(OR($M108="",$L108=""),"",MAX(0,$M108-$L108))</f>
        <v/>
      </c>
      <c r="X108" s="34" t="n">
        <f aca="false">IF($E108="","",IF(AND($O108&lt;&gt;"",$L108&lt;&gt;"",$O108&lt;&gt;$L108),1,0))</f>
        <v>1</v>
      </c>
      <c r="Y108" s="34" t="n">
        <f aca="false">IF($E108="","",IF($N108="Cancelada",0,IF(OR($M108&lt;&gt;"",$N108="Concluída"),1,0)))</f>
        <v>0</v>
      </c>
    </row>
    <row r="109" customFormat="false" ht="15" hidden="false" customHeight="true" outlineLevel="0" collapsed="false">
      <c r="A109" s="34" t="n">
        <f aca="false">IF($E109="","",COUNTA($E$5:$E109))</f>
        <v>105</v>
      </c>
      <c r="B109" s="35"/>
      <c r="C109" s="35" t="s">
        <v>113</v>
      </c>
      <c r="D109" s="35" t="s">
        <v>251</v>
      </c>
      <c r="E109" s="35" t="s">
        <v>266</v>
      </c>
      <c r="F109" s="36" t="s">
        <v>62</v>
      </c>
      <c r="G109" s="37" t="s">
        <v>66</v>
      </c>
      <c r="H109" s="37" t="s">
        <v>83</v>
      </c>
      <c r="I109" s="37" t="s">
        <v>92</v>
      </c>
      <c r="J109" s="38" t="n">
        <v>46258</v>
      </c>
      <c r="K109" s="39" t="s">
        <v>82</v>
      </c>
      <c r="L109" s="40" t="n">
        <f aca="false">IF(OR($J109="",$K109=""),"",$J109+MATCH($K109,Listas!$F$5:$F$11,0)-1)</f>
        <v>46261</v>
      </c>
      <c r="M109" s="41"/>
      <c r="N109" s="36"/>
      <c r="O109" s="41" t="n">
        <v>46260</v>
      </c>
      <c r="P109" s="35"/>
      <c r="Q109" s="35" t="s">
        <v>253</v>
      </c>
      <c r="R109" s="42" t="str">
        <f aca="true">IF($E109="","",IF($N109="Cancelada","Cancelada",IF(OR($M109&lt;&gt;"",$N109="Concluída"),IF(OR($L109="",$M109="",$M109&lt;=$L109),"Concluída","Concluída com atraso"),IF($L109="","Na carteira",IF($L109&lt;TODAY(),"VENCIDA",IF($N109="Em execução","Em execução",IF($L109=TODAY(),"Hoje","Programada")))))))</f>
        <v>Hoje</v>
      </c>
      <c r="S109" s="34" t="str">
        <f aca="false">IF($E109="","",IF(ISNUMBER(SEARCH("(externo)",$G109&amp;$H109&amp;$I109)),"Terceirizada","Interna"))</f>
        <v>Interna</v>
      </c>
      <c r="T109" s="40" t="n">
        <f aca="false">IF($L109="","",IF($O109="",$L109,$O109))</f>
        <v>46260</v>
      </c>
      <c r="U109" s="34" t="n">
        <f aca="false">IF($E109="","",IF(OR($M109="",$L109=""),0,IF($M109&lt;=$L109,1,0)))</f>
        <v>0</v>
      </c>
      <c r="V109" s="34" t="n">
        <f aca="false">IF($E109="","",IF(OR($M109="",$T109=""),0,IF($M109&lt;=$T109,1,0)))</f>
        <v>0</v>
      </c>
      <c r="W109" s="42" t="str">
        <f aca="false">IF(OR($M109="",$L109=""),"",MAX(0,$M109-$L109))</f>
        <v/>
      </c>
      <c r="X109" s="34" t="n">
        <f aca="false">IF($E109="","",IF(AND($O109&lt;&gt;"",$L109&lt;&gt;"",$O109&lt;&gt;$L109),1,0))</f>
        <v>1</v>
      </c>
      <c r="Y109" s="34" t="n">
        <f aca="false">IF($E109="","",IF($N109="Cancelada",0,IF(OR($M109&lt;&gt;"",$N109="Concluída"),1,0)))</f>
        <v>0</v>
      </c>
    </row>
    <row r="110" customFormat="false" ht="15" hidden="false" customHeight="true" outlineLevel="0" collapsed="false">
      <c r="A110" s="34" t="n">
        <f aca="false">IF($E110="","",COUNTA($E$5:$E110))</f>
        <v>106</v>
      </c>
      <c r="B110" s="35"/>
      <c r="C110" s="35" t="s">
        <v>113</v>
      </c>
      <c r="D110" s="35" t="s">
        <v>251</v>
      </c>
      <c r="E110" s="35" t="s">
        <v>267</v>
      </c>
      <c r="F110" s="36" t="s">
        <v>62</v>
      </c>
      <c r="G110" s="37" t="s">
        <v>66</v>
      </c>
      <c r="H110" s="37" t="s">
        <v>83</v>
      </c>
      <c r="I110" s="37" t="s">
        <v>92</v>
      </c>
      <c r="J110" s="38" t="n">
        <v>46258</v>
      </c>
      <c r="K110" s="39" t="s">
        <v>82</v>
      </c>
      <c r="L110" s="40" t="n">
        <f aca="false">IF(OR($J110="",$K110=""),"",$J110+MATCH($K110,Listas!$F$5:$F$11,0)-1)</f>
        <v>46261</v>
      </c>
      <c r="M110" s="41"/>
      <c r="N110" s="36"/>
      <c r="O110" s="41" t="n">
        <v>46260</v>
      </c>
      <c r="P110" s="35"/>
      <c r="Q110" s="35" t="s">
        <v>253</v>
      </c>
      <c r="R110" s="42" t="str">
        <f aca="true">IF($E110="","",IF($N110="Cancelada","Cancelada",IF(OR($M110&lt;&gt;"",$N110="Concluída"),IF(OR($L110="",$M110="",$M110&lt;=$L110),"Concluída","Concluída com atraso"),IF($L110="","Na carteira",IF($L110&lt;TODAY(),"VENCIDA",IF($N110="Em execução","Em execução",IF($L110=TODAY(),"Hoje","Programada")))))))</f>
        <v>Hoje</v>
      </c>
      <c r="S110" s="34" t="str">
        <f aca="false">IF($E110="","",IF(ISNUMBER(SEARCH("(externo)",$G110&amp;$H110&amp;$I110)),"Terceirizada","Interna"))</f>
        <v>Interna</v>
      </c>
      <c r="T110" s="40" t="n">
        <f aca="false">IF($L110="","",IF($O110="",$L110,$O110))</f>
        <v>46260</v>
      </c>
      <c r="U110" s="34" t="n">
        <f aca="false">IF($E110="","",IF(OR($M110="",$L110=""),0,IF($M110&lt;=$L110,1,0)))</f>
        <v>0</v>
      </c>
      <c r="V110" s="34" t="n">
        <f aca="false">IF($E110="","",IF(OR($M110="",$T110=""),0,IF($M110&lt;=$T110,1,0)))</f>
        <v>0</v>
      </c>
      <c r="W110" s="42" t="str">
        <f aca="false">IF(OR($M110="",$L110=""),"",MAX(0,$M110-$L110))</f>
        <v/>
      </c>
      <c r="X110" s="34" t="n">
        <f aca="false">IF($E110="","",IF(AND($O110&lt;&gt;"",$L110&lt;&gt;"",$O110&lt;&gt;$L110),1,0))</f>
        <v>1</v>
      </c>
      <c r="Y110" s="34" t="n">
        <f aca="false">IF($E110="","",IF($N110="Cancelada",0,IF(OR($M110&lt;&gt;"",$N110="Concluída"),1,0)))</f>
        <v>0</v>
      </c>
    </row>
    <row r="111" customFormat="false" ht="15" hidden="false" customHeight="true" outlineLevel="0" collapsed="false">
      <c r="A111" s="34" t="n">
        <f aca="false">IF($E111="","",COUNTA($E$5:$E111))</f>
        <v>107</v>
      </c>
      <c r="B111" s="35"/>
      <c r="C111" s="35" t="s">
        <v>113</v>
      </c>
      <c r="D111" s="35" t="s">
        <v>251</v>
      </c>
      <c r="E111" s="35" t="s">
        <v>268</v>
      </c>
      <c r="F111" s="36" t="s">
        <v>62</v>
      </c>
      <c r="G111" s="37" t="s">
        <v>66</v>
      </c>
      <c r="H111" s="37" t="s">
        <v>83</v>
      </c>
      <c r="I111" s="37" t="s">
        <v>92</v>
      </c>
      <c r="J111" s="38" t="n">
        <v>46258</v>
      </c>
      <c r="K111" s="39" t="s">
        <v>82</v>
      </c>
      <c r="L111" s="40" t="n">
        <f aca="false">IF(OR($J111="",$K111=""),"",$J111+MATCH($K111,Listas!$F$5:$F$11,0)-1)</f>
        <v>46261</v>
      </c>
      <c r="M111" s="41"/>
      <c r="N111" s="36"/>
      <c r="O111" s="41" t="n">
        <v>46260</v>
      </c>
      <c r="P111" s="35"/>
      <c r="Q111" s="35" t="s">
        <v>253</v>
      </c>
      <c r="R111" s="42" t="str">
        <f aca="true">IF($E111="","",IF($N111="Cancelada","Cancelada",IF(OR($M111&lt;&gt;"",$N111="Concluída"),IF(OR($L111="",$M111="",$M111&lt;=$L111),"Concluída","Concluída com atraso"),IF($L111="","Na carteira",IF($L111&lt;TODAY(),"VENCIDA",IF($N111="Em execução","Em execução",IF($L111=TODAY(),"Hoje","Programada")))))))</f>
        <v>Hoje</v>
      </c>
      <c r="S111" s="34" t="str">
        <f aca="false">IF($E111="","",IF(ISNUMBER(SEARCH("(externo)",$G111&amp;$H111&amp;$I111)),"Terceirizada","Interna"))</f>
        <v>Interna</v>
      </c>
      <c r="T111" s="40" t="n">
        <f aca="false">IF($L111="","",IF($O111="",$L111,$O111))</f>
        <v>46260</v>
      </c>
      <c r="U111" s="34" t="n">
        <f aca="false">IF($E111="","",IF(OR($M111="",$L111=""),0,IF($M111&lt;=$L111,1,0)))</f>
        <v>0</v>
      </c>
      <c r="V111" s="34" t="n">
        <f aca="false">IF($E111="","",IF(OR($M111="",$T111=""),0,IF($M111&lt;=$T111,1,0)))</f>
        <v>0</v>
      </c>
      <c r="W111" s="42" t="str">
        <f aca="false">IF(OR($M111="",$L111=""),"",MAX(0,$M111-$L111))</f>
        <v/>
      </c>
      <c r="X111" s="34" t="n">
        <f aca="false">IF($E111="","",IF(AND($O111&lt;&gt;"",$L111&lt;&gt;"",$O111&lt;&gt;$L111),1,0))</f>
        <v>1</v>
      </c>
      <c r="Y111" s="34" t="n">
        <f aca="false">IF($E111="","",IF($N111="Cancelada",0,IF(OR($M111&lt;&gt;"",$N111="Concluída"),1,0)))</f>
        <v>0</v>
      </c>
    </row>
    <row r="112" customFormat="false" ht="15" hidden="false" customHeight="true" outlineLevel="0" collapsed="false">
      <c r="A112" s="34" t="n">
        <f aca="false">IF($E112="","",COUNTA($E$5:$E112))</f>
        <v>108</v>
      </c>
      <c r="B112" s="35"/>
      <c r="C112" s="35" t="s">
        <v>113</v>
      </c>
      <c r="D112" s="35" t="s">
        <v>251</v>
      </c>
      <c r="E112" s="35" t="s">
        <v>269</v>
      </c>
      <c r="F112" s="36" t="s">
        <v>62</v>
      </c>
      <c r="G112" s="37" t="s">
        <v>66</v>
      </c>
      <c r="H112" s="37" t="s">
        <v>83</v>
      </c>
      <c r="I112" s="37" t="s">
        <v>92</v>
      </c>
      <c r="J112" s="38" t="n">
        <v>46258</v>
      </c>
      <c r="K112" s="39" t="s">
        <v>82</v>
      </c>
      <c r="L112" s="40" t="n">
        <f aca="false">IF(OR($J112="",$K112=""),"",$J112+MATCH($K112,Listas!$F$5:$F$11,0)-1)</f>
        <v>46261</v>
      </c>
      <c r="M112" s="41"/>
      <c r="N112" s="36"/>
      <c r="O112" s="41" t="n">
        <v>46260</v>
      </c>
      <c r="P112" s="35"/>
      <c r="Q112" s="35" t="s">
        <v>253</v>
      </c>
      <c r="R112" s="42" t="str">
        <f aca="true">IF($E112="","",IF($N112="Cancelada","Cancelada",IF(OR($M112&lt;&gt;"",$N112="Concluída"),IF(OR($L112="",$M112="",$M112&lt;=$L112),"Concluída","Concluída com atraso"),IF($L112="","Na carteira",IF($L112&lt;TODAY(),"VENCIDA",IF($N112="Em execução","Em execução",IF($L112=TODAY(),"Hoje","Programada")))))))</f>
        <v>Hoje</v>
      </c>
      <c r="S112" s="34" t="str">
        <f aca="false">IF($E112="","",IF(ISNUMBER(SEARCH("(externo)",$G112&amp;$H112&amp;$I112)),"Terceirizada","Interna"))</f>
        <v>Interna</v>
      </c>
      <c r="T112" s="40" t="n">
        <f aca="false">IF($L112="","",IF($O112="",$L112,$O112))</f>
        <v>46260</v>
      </c>
      <c r="U112" s="34" t="n">
        <f aca="false">IF($E112="","",IF(OR($M112="",$L112=""),0,IF($M112&lt;=$L112,1,0)))</f>
        <v>0</v>
      </c>
      <c r="V112" s="34" t="n">
        <f aca="false">IF($E112="","",IF(OR($M112="",$T112=""),0,IF($M112&lt;=$T112,1,0)))</f>
        <v>0</v>
      </c>
      <c r="W112" s="42" t="str">
        <f aca="false">IF(OR($M112="",$L112=""),"",MAX(0,$M112-$L112))</f>
        <v/>
      </c>
      <c r="X112" s="34" t="n">
        <f aca="false">IF($E112="","",IF(AND($O112&lt;&gt;"",$L112&lt;&gt;"",$O112&lt;&gt;$L112),1,0))</f>
        <v>1</v>
      </c>
      <c r="Y112" s="34" t="n">
        <f aca="false">IF($E112="","",IF($N112="Cancelada",0,IF(OR($M112&lt;&gt;"",$N112="Concluída"),1,0)))</f>
        <v>0</v>
      </c>
    </row>
    <row r="113" customFormat="false" ht="15" hidden="false" customHeight="true" outlineLevel="0" collapsed="false">
      <c r="A113" s="34" t="n">
        <f aca="false">IF($E113="","",COUNTA($E$5:$E113))</f>
        <v>109</v>
      </c>
      <c r="B113" s="35"/>
      <c r="C113" s="35" t="s">
        <v>113</v>
      </c>
      <c r="D113" s="35" t="s">
        <v>251</v>
      </c>
      <c r="E113" s="35" t="s">
        <v>270</v>
      </c>
      <c r="F113" s="36" t="s">
        <v>62</v>
      </c>
      <c r="G113" s="37" t="s">
        <v>66</v>
      </c>
      <c r="H113" s="37" t="s">
        <v>83</v>
      </c>
      <c r="I113" s="37" t="s">
        <v>92</v>
      </c>
      <c r="J113" s="38" t="n">
        <v>46258</v>
      </c>
      <c r="K113" s="39" t="s">
        <v>82</v>
      </c>
      <c r="L113" s="40" t="n">
        <f aca="false">IF(OR($J113="",$K113=""),"",$J113+MATCH($K113,Listas!$F$5:$F$11,0)-1)</f>
        <v>46261</v>
      </c>
      <c r="M113" s="41"/>
      <c r="N113" s="36"/>
      <c r="O113" s="41" t="n">
        <v>46260</v>
      </c>
      <c r="P113" s="35"/>
      <c r="Q113" s="35" t="s">
        <v>253</v>
      </c>
      <c r="R113" s="42" t="str">
        <f aca="true">IF($E113="","",IF($N113="Cancelada","Cancelada",IF(OR($M113&lt;&gt;"",$N113="Concluída"),IF(OR($L113="",$M113="",$M113&lt;=$L113),"Concluída","Concluída com atraso"),IF($L113="","Na carteira",IF($L113&lt;TODAY(),"VENCIDA",IF($N113="Em execução","Em execução",IF($L113=TODAY(),"Hoje","Programada")))))))</f>
        <v>Hoje</v>
      </c>
      <c r="S113" s="34" t="str">
        <f aca="false">IF($E113="","",IF(ISNUMBER(SEARCH("(externo)",$G113&amp;$H113&amp;$I113)),"Terceirizada","Interna"))</f>
        <v>Interna</v>
      </c>
      <c r="T113" s="40" t="n">
        <f aca="false">IF($L113="","",IF($O113="",$L113,$O113))</f>
        <v>46260</v>
      </c>
      <c r="U113" s="34" t="n">
        <f aca="false">IF($E113="","",IF(OR($M113="",$L113=""),0,IF($M113&lt;=$L113,1,0)))</f>
        <v>0</v>
      </c>
      <c r="V113" s="34" t="n">
        <f aca="false">IF($E113="","",IF(OR($M113="",$T113=""),0,IF($M113&lt;=$T113,1,0)))</f>
        <v>0</v>
      </c>
      <c r="W113" s="42" t="str">
        <f aca="false">IF(OR($M113="",$L113=""),"",MAX(0,$M113-$L113))</f>
        <v/>
      </c>
      <c r="X113" s="34" t="n">
        <f aca="false">IF($E113="","",IF(AND($O113&lt;&gt;"",$L113&lt;&gt;"",$O113&lt;&gt;$L113),1,0))</f>
        <v>1</v>
      </c>
      <c r="Y113" s="34" t="n">
        <f aca="false">IF($E113="","",IF($N113="Cancelada",0,IF(OR($M113&lt;&gt;"",$N113="Concluída"),1,0)))</f>
        <v>0</v>
      </c>
    </row>
    <row r="114" customFormat="false" ht="15" hidden="false" customHeight="true" outlineLevel="0" collapsed="false">
      <c r="A114" s="34" t="n">
        <f aca="false">IF($E114="","",COUNTA($E$5:$E114))</f>
        <v>110</v>
      </c>
      <c r="B114" s="35"/>
      <c r="C114" s="35" t="s">
        <v>113</v>
      </c>
      <c r="D114" s="35" t="s">
        <v>251</v>
      </c>
      <c r="E114" s="35" t="s">
        <v>271</v>
      </c>
      <c r="F114" s="36" t="s">
        <v>62</v>
      </c>
      <c r="G114" s="37" t="s">
        <v>66</v>
      </c>
      <c r="H114" s="37" t="s">
        <v>83</v>
      </c>
      <c r="I114" s="37" t="s">
        <v>92</v>
      </c>
      <c r="J114" s="38" t="n">
        <v>46258</v>
      </c>
      <c r="K114" s="39" t="s">
        <v>82</v>
      </c>
      <c r="L114" s="40" t="n">
        <f aca="false">IF(OR($J114="",$K114=""),"",$J114+MATCH($K114,Listas!$F$5:$F$11,0)-1)</f>
        <v>46261</v>
      </c>
      <c r="M114" s="41"/>
      <c r="N114" s="36"/>
      <c r="O114" s="41" t="n">
        <v>46260</v>
      </c>
      <c r="P114" s="35"/>
      <c r="Q114" s="35" t="s">
        <v>253</v>
      </c>
      <c r="R114" s="42" t="str">
        <f aca="true">IF($E114="","",IF($N114="Cancelada","Cancelada",IF(OR($M114&lt;&gt;"",$N114="Concluída"),IF(OR($L114="",$M114="",$M114&lt;=$L114),"Concluída","Concluída com atraso"),IF($L114="","Na carteira",IF($L114&lt;TODAY(),"VENCIDA",IF($N114="Em execução","Em execução",IF($L114=TODAY(),"Hoje","Programada")))))))</f>
        <v>Hoje</v>
      </c>
      <c r="S114" s="34" t="str">
        <f aca="false">IF($E114="","",IF(ISNUMBER(SEARCH("(externo)",$G114&amp;$H114&amp;$I114)),"Terceirizada","Interna"))</f>
        <v>Interna</v>
      </c>
      <c r="T114" s="40" t="n">
        <f aca="false">IF($L114="","",IF($O114="",$L114,$O114))</f>
        <v>46260</v>
      </c>
      <c r="U114" s="34" t="n">
        <f aca="false">IF($E114="","",IF(OR($M114="",$L114=""),0,IF($M114&lt;=$L114,1,0)))</f>
        <v>0</v>
      </c>
      <c r="V114" s="34" t="n">
        <f aca="false">IF($E114="","",IF(OR($M114="",$T114=""),0,IF($M114&lt;=$T114,1,0)))</f>
        <v>0</v>
      </c>
      <c r="W114" s="42" t="str">
        <f aca="false">IF(OR($M114="",$L114=""),"",MAX(0,$M114-$L114))</f>
        <v/>
      </c>
      <c r="X114" s="34" t="n">
        <f aca="false">IF($E114="","",IF(AND($O114&lt;&gt;"",$L114&lt;&gt;"",$O114&lt;&gt;$L114),1,0))</f>
        <v>1</v>
      </c>
      <c r="Y114" s="34" t="n">
        <f aca="false">IF($E114="","",IF($N114="Cancelada",0,IF(OR($M114&lt;&gt;"",$N114="Concluída"),1,0)))</f>
        <v>0</v>
      </c>
    </row>
    <row r="115" customFormat="false" ht="15" hidden="false" customHeight="true" outlineLevel="0" collapsed="false">
      <c r="A115" s="34" t="n">
        <f aca="false">IF($E115="","",COUNTA($E$5:$E115))</f>
        <v>111</v>
      </c>
      <c r="B115" s="35"/>
      <c r="C115" s="35" t="s">
        <v>113</v>
      </c>
      <c r="D115" s="35" t="s">
        <v>251</v>
      </c>
      <c r="E115" s="35" t="s">
        <v>272</v>
      </c>
      <c r="F115" s="36" t="s">
        <v>62</v>
      </c>
      <c r="G115" s="37" t="s">
        <v>66</v>
      </c>
      <c r="H115" s="37" t="s">
        <v>83</v>
      </c>
      <c r="I115" s="37" t="s">
        <v>92</v>
      </c>
      <c r="J115" s="38" t="n">
        <v>46258</v>
      </c>
      <c r="K115" s="39" t="s">
        <v>82</v>
      </c>
      <c r="L115" s="40" t="n">
        <f aca="false">IF(OR($J115="",$K115=""),"",$J115+MATCH($K115,Listas!$F$5:$F$11,0)-1)</f>
        <v>46261</v>
      </c>
      <c r="M115" s="41"/>
      <c r="N115" s="36"/>
      <c r="O115" s="41" t="n">
        <v>46260</v>
      </c>
      <c r="P115" s="35"/>
      <c r="Q115" s="35" t="s">
        <v>253</v>
      </c>
      <c r="R115" s="42" t="str">
        <f aca="true">IF($E115="","",IF($N115="Cancelada","Cancelada",IF(OR($M115&lt;&gt;"",$N115="Concluída"),IF(OR($L115="",$M115="",$M115&lt;=$L115),"Concluída","Concluída com atraso"),IF($L115="","Na carteira",IF($L115&lt;TODAY(),"VENCIDA",IF($N115="Em execução","Em execução",IF($L115=TODAY(),"Hoje","Programada")))))))</f>
        <v>Hoje</v>
      </c>
      <c r="S115" s="34" t="str">
        <f aca="false">IF($E115="","",IF(ISNUMBER(SEARCH("(externo)",$G115&amp;$H115&amp;$I115)),"Terceirizada","Interna"))</f>
        <v>Interna</v>
      </c>
      <c r="T115" s="40" t="n">
        <f aca="false">IF($L115="","",IF($O115="",$L115,$O115))</f>
        <v>46260</v>
      </c>
      <c r="U115" s="34" t="n">
        <f aca="false">IF($E115="","",IF(OR($M115="",$L115=""),0,IF($M115&lt;=$L115,1,0)))</f>
        <v>0</v>
      </c>
      <c r="V115" s="34" t="n">
        <f aca="false">IF($E115="","",IF(OR($M115="",$T115=""),0,IF($M115&lt;=$T115,1,0)))</f>
        <v>0</v>
      </c>
      <c r="W115" s="42" t="str">
        <f aca="false">IF(OR($M115="",$L115=""),"",MAX(0,$M115-$L115))</f>
        <v/>
      </c>
      <c r="X115" s="34" t="n">
        <f aca="false">IF($E115="","",IF(AND($O115&lt;&gt;"",$L115&lt;&gt;"",$O115&lt;&gt;$L115),1,0))</f>
        <v>1</v>
      </c>
      <c r="Y115" s="34" t="n">
        <f aca="false">IF($E115="","",IF($N115="Cancelada",0,IF(OR($M115&lt;&gt;"",$N115="Concluída"),1,0)))</f>
        <v>0</v>
      </c>
    </row>
    <row r="116" customFormat="false" ht="15" hidden="false" customHeight="true" outlineLevel="0" collapsed="false">
      <c r="A116" s="34" t="n">
        <f aca="false">IF($E116="","",COUNTA($E$5:$E116))</f>
        <v>112</v>
      </c>
      <c r="B116" s="35"/>
      <c r="C116" s="35" t="s">
        <v>113</v>
      </c>
      <c r="D116" s="35" t="s">
        <v>251</v>
      </c>
      <c r="E116" s="35" t="s">
        <v>273</v>
      </c>
      <c r="F116" s="36" t="s">
        <v>62</v>
      </c>
      <c r="G116" s="37" t="s">
        <v>66</v>
      </c>
      <c r="H116" s="37" t="s">
        <v>83</v>
      </c>
      <c r="I116" s="37" t="s">
        <v>92</v>
      </c>
      <c r="J116" s="38" t="n">
        <v>46258</v>
      </c>
      <c r="K116" s="39" t="s">
        <v>82</v>
      </c>
      <c r="L116" s="40" t="n">
        <f aca="false">IF(OR($J116="",$K116=""),"",$J116+MATCH($K116,Listas!$F$5:$F$11,0)-1)</f>
        <v>46261</v>
      </c>
      <c r="M116" s="41"/>
      <c r="N116" s="36"/>
      <c r="O116" s="41" t="n">
        <v>46260</v>
      </c>
      <c r="P116" s="35"/>
      <c r="Q116" s="35" t="s">
        <v>253</v>
      </c>
      <c r="R116" s="42" t="str">
        <f aca="true">IF($E116="","",IF($N116="Cancelada","Cancelada",IF(OR($M116&lt;&gt;"",$N116="Concluída"),IF(OR($L116="",$M116="",$M116&lt;=$L116),"Concluída","Concluída com atraso"),IF($L116="","Na carteira",IF($L116&lt;TODAY(),"VENCIDA",IF($N116="Em execução","Em execução",IF($L116=TODAY(),"Hoje","Programada")))))))</f>
        <v>Hoje</v>
      </c>
      <c r="S116" s="34" t="str">
        <f aca="false">IF($E116="","",IF(ISNUMBER(SEARCH("(externo)",$G116&amp;$H116&amp;$I116)),"Terceirizada","Interna"))</f>
        <v>Interna</v>
      </c>
      <c r="T116" s="40" t="n">
        <f aca="false">IF($L116="","",IF($O116="",$L116,$O116))</f>
        <v>46260</v>
      </c>
      <c r="U116" s="34" t="n">
        <f aca="false">IF($E116="","",IF(OR($M116="",$L116=""),0,IF($M116&lt;=$L116,1,0)))</f>
        <v>0</v>
      </c>
      <c r="V116" s="34" t="n">
        <f aca="false">IF($E116="","",IF(OR($M116="",$T116=""),0,IF($M116&lt;=$T116,1,0)))</f>
        <v>0</v>
      </c>
      <c r="W116" s="42" t="str">
        <f aca="false">IF(OR($M116="",$L116=""),"",MAX(0,$M116-$L116))</f>
        <v/>
      </c>
      <c r="X116" s="34" t="n">
        <f aca="false">IF($E116="","",IF(AND($O116&lt;&gt;"",$L116&lt;&gt;"",$O116&lt;&gt;$L116),1,0))</f>
        <v>1</v>
      </c>
      <c r="Y116" s="34" t="n">
        <f aca="false">IF($E116="","",IF($N116="Cancelada",0,IF(OR($M116&lt;&gt;"",$N116="Concluída"),1,0)))</f>
        <v>0</v>
      </c>
    </row>
    <row r="117" customFormat="false" ht="15" hidden="false" customHeight="true" outlineLevel="0" collapsed="false">
      <c r="A117" s="34" t="n">
        <f aca="false">IF($E117="","",COUNTA($E$5:$E117))</f>
        <v>113</v>
      </c>
      <c r="B117" s="35"/>
      <c r="C117" s="35" t="s">
        <v>113</v>
      </c>
      <c r="D117" s="35" t="s">
        <v>251</v>
      </c>
      <c r="E117" s="35" t="s">
        <v>274</v>
      </c>
      <c r="F117" s="36" t="s">
        <v>62</v>
      </c>
      <c r="G117" s="37" t="s">
        <v>66</v>
      </c>
      <c r="H117" s="37" t="s">
        <v>83</v>
      </c>
      <c r="I117" s="37" t="s">
        <v>92</v>
      </c>
      <c r="J117" s="38" t="n">
        <v>46258</v>
      </c>
      <c r="K117" s="39" t="s">
        <v>82</v>
      </c>
      <c r="L117" s="40" t="n">
        <f aca="false">IF(OR($J117="",$K117=""),"",$J117+MATCH($K117,Listas!$F$5:$F$11,0)-1)</f>
        <v>46261</v>
      </c>
      <c r="M117" s="41"/>
      <c r="N117" s="36"/>
      <c r="O117" s="41" t="n">
        <v>46260</v>
      </c>
      <c r="P117" s="35"/>
      <c r="Q117" s="35" t="s">
        <v>253</v>
      </c>
      <c r="R117" s="42" t="str">
        <f aca="true">IF($E117="","",IF($N117="Cancelada","Cancelada",IF(OR($M117&lt;&gt;"",$N117="Concluída"),IF(OR($L117="",$M117="",$M117&lt;=$L117),"Concluída","Concluída com atraso"),IF($L117="","Na carteira",IF($L117&lt;TODAY(),"VENCIDA",IF($N117="Em execução","Em execução",IF($L117=TODAY(),"Hoje","Programada")))))))</f>
        <v>Hoje</v>
      </c>
      <c r="S117" s="34" t="str">
        <f aca="false">IF($E117="","",IF(ISNUMBER(SEARCH("(externo)",$G117&amp;$H117&amp;$I117)),"Terceirizada","Interna"))</f>
        <v>Interna</v>
      </c>
      <c r="T117" s="40" t="n">
        <f aca="false">IF($L117="","",IF($O117="",$L117,$O117))</f>
        <v>46260</v>
      </c>
      <c r="U117" s="34" t="n">
        <f aca="false">IF($E117="","",IF(OR($M117="",$L117=""),0,IF($M117&lt;=$L117,1,0)))</f>
        <v>0</v>
      </c>
      <c r="V117" s="34" t="n">
        <f aca="false">IF($E117="","",IF(OR($M117="",$T117=""),0,IF($M117&lt;=$T117,1,0)))</f>
        <v>0</v>
      </c>
      <c r="W117" s="42" t="str">
        <f aca="false">IF(OR($M117="",$L117=""),"",MAX(0,$M117-$L117))</f>
        <v/>
      </c>
      <c r="X117" s="34" t="n">
        <f aca="false">IF($E117="","",IF(AND($O117&lt;&gt;"",$L117&lt;&gt;"",$O117&lt;&gt;$L117),1,0))</f>
        <v>1</v>
      </c>
      <c r="Y117" s="34" t="n">
        <f aca="false">IF($E117="","",IF($N117="Cancelada",0,IF(OR($M117&lt;&gt;"",$N117="Concluída"),1,0)))</f>
        <v>0</v>
      </c>
    </row>
    <row r="118" customFormat="false" ht="15" hidden="false" customHeight="true" outlineLevel="0" collapsed="false">
      <c r="A118" s="34" t="n">
        <f aca="false">IF($E118="","",COUNTA($E$5:$E118))</f>
        <v>114</v>
      </c>
      <c r="B118" s="35"/>
      <c r="C118" s="35" t="s">
        <v>113</v>
      </c>
      <c r="D118" s="35" t="s">
        <v>251</v>
      </c>
      <c r="E118" s="35" t="s">
        <v>275</v>
      </c>
      <c r="F118" s="36" t="s">
        <v>62</v>
      </c>
      <c r="G118" s="37" t="s">
        <v>66</v>
      </c>
      <c r="H118" s="37" t="s">
        <v>83</v>
      </c>
      <c r="I118" s="37" t="s">
        <v>92</v>
      </c>
      <c r="J118" s="38" t="n">
        <v>46258</v>
      </c>
      <c r="K118" s="39" t="s">
        <v>82</v>
      </c>
      <c r="L118" s="40" t="n">
        <f aca="false">IF(OR($J118="",$K118=""),"",$J118+MATCH($K118,Listas!$F$5:$F$11,0)-1)</f>
        <v>46261</v>
      </c>
      <c r="M118" s="41"/>
      <c r="N118" s="36"/>
      <c r="O118" s="41" t="n">
        <v>46260</v>
      </c>
      <c r="P118" s="35"/>
      <c r="Q118" s="35" t="s">
        <v>253</v>
      </c>
      <c r="R118" s="42" t="str">
        <f aca="true">IF($E118="","",IF($N118="Cancelada","Cancelada",IF(OR($M118&lt;&gt;"",$N118="Concluída"),IF(OR($L118="",$M118="",$M118&lt;=$L118),"Concluída","Concluída com atraso"),IF($L118="","Na carteira",IF($L118&lt;TODAY(),"VENCIDA",IF($N118="Em execução","Em execução",IF($L118=TODAY(),"Hoje","Programada")))))))</f>
        <v>Hoje</v>
      </c>
      <c r="S118" s="34" t="str">
        <f aca="false">IF($E118="","",IF(ISNUMBER(SEARCH("(externo)",$G118&amp;$H118&amp;$I118)),"Terceirizada","Interna"))</f>
        <v>Interna</v>
      </c>
      <c r="T118" s="40" t="n">
        <f aca="false">IF($L118="","",IF($O118="",$L118,$O118))</f>
        <v>46260</v>
      </c>
      <c r="U118" s="34" t="n">
        <f aca="false">IF($E118="","",IF(OR($M118="",$L118=""),0,IF($M118&lt;=$L118,1,0)))</f>
        <v>0</v>
      </c>
      <c r="V118" s="34" t="n">
        <f aca="false">IF($E118="","",IF(OR($M118="",$T118=""),0,IF($M118&lt;=$T118,1,0)))</f>
        <v>0</v>
      </c>
      <c r="W118" s="42" t="str">
        <f aca="false">IF(OR($M118="",$L118=""),"",MAX(0,$M118-$L118))</f>
        <v/>
      </c>
      <c r="X118" s="34" t="n">
        <f aca="false">IF($E118="","",IF(AND($O118&lt;&gt;"",$L118&lt;&gt;"",$O118&lt;&gt;$L118),1,0))</f>
        <v>1</v>
      </c>
      <c r="Y118" s="34" t="n">
        <f aca="false">IF($E118="","",IF($N118="Cancelada",0,IF(OR($M118&lt;&gt;"",$N118="Concluída"),1,0)))</f>
        <v>0</v>
      </c>
    </row>
    <row r="119" customFormat="false" ht="15" hidden="false" customHeight="true" outlineLevel="0" collapsed="false">
      <c r="A119" s="34" t="n">
        <f aca="false">IF($E119="","",COUNTA($E$5:$E119))</f>
        <v>115</v>
      </c>
      <c r="B119" s="35"/>
      <c r="C119" s="35" t="s">
        <v>113</v>
      </c>
      <c r="D119" s="35" t="s">
        <v>251</v>
      </c>
      <c r="E119" s="35" t="s">
        <v>276</v>
      </c>
      <c r="F119" s="36" t="s">
        <v>62</v>
      </c>
      <c r="G119" s="37" t="s">
        <v>66</v>
      </c>
      <c r="H119" s="37" t="s">
        <v>83</v>
      </c>
      <c r="I119" s="37" t="s">
        <v>92</v>
      </c>
      <c r="J119" s="38" t="n">
        <v>46258</v>
      </c>
      <c r="K119" s="39" t="s">
        <v>82</v>
      </c>
      <c r="L119" s="40" t="n">
        <f aca="false">IF(OR($J119="",$K119=""),"",$J119+MATCH($K119,Listas!$F$5:$F$11,0)-1)</f>
        <v>46261</v>
      </c>
      <c r="M119" s="41"/>
      <c r="N119" s="36"/>
      <c r="O119" s="41" t="n">
        <v>46260</v>
      </c>
      <c r="P119" s="35"/>
      <c r="Q119" s="35" t="s">
        <v>253</v>
      </c>
      <c r="R119" s="42" t="str">
        <f aca="true">IF($E119="","",IF($N119="Cancelada","Cancelada",IF(OR($M119&lt;&gt;"",$N119="Concluída"),IF(OR($L119="",$M119="",$M119&lt;=$L119),"Concluída","Concluída com atraso"),IF($L119="","Na carteira",IF($L119&lt;TODAY(),"VENCIDA",IF($N119="Em execução","Em execução",IF($L119=TODAY(),"Hoje","Programada")))))))</f>
        <v>Hoje</v>
      </c>
      <c r="S119" s="34" t="str">
        <f aca="false">IF($E119="","",IF(ISNUMBER(SEARCH("(externo)",$G119&amp;$H119&amp;$I119)),"Terceirizada","Interna"))</f>
        <v>Interna</v>
      </c>
      <c r="T119" s="40" t="n">
        <f aca="false">IF($L119="","",IF($O119="",$L119,$O119))</f>
        <v>46260</v>
      </c>
      <c r="U119" s="34" t="n">
        <f aca="false">IF($E119="","",IF(OR($M119="",$L119=""),0,IF($M119&lt;=$L119,1,0)))</f>
        <v>0</v>
      </c>
      <c r="V119" s="34" t="n">
        <f aca="false">IF($E119="","",IF(OR($M119="",$T119=""),0,IF($M119&lt;=$T119,1,0)))</f>
        <v>0</v>
      </c>
      <c r="W119" s="42" t="str">
        <f aca="false">IF(OR($M119="",$L119=""),"",MAX(0,$M119-$L119))</f>
        <v/>
      </c>
      <c r="X119" s="34" t="n">
        <f aca="false">IF($E119="","",IF(AND($O119&lt;&gt;"",$L119&lt;&gt;"",$O119&lt;&gt;$L119),1,0))</f>
        <v>1</v>
      </c>
      <c r="Y119" s="34" t="n">
        <f aca="false">IF($E119="","",IF($N119="Cancelada",0,IF(OR($M119&lt;&gt;"",$N119="Concluída"),1,0)))</f>
        <v>0</v>
      </c>
    </row>
    <row r="120" customFormat="false" ht="15" hidden="false" customHeight="true" outlineLevel="0" collapsed="false">
      <c r="A120" s="34" t="n">
        <f aca="false">IF($E120="","",COUNTA($E$5:$E120))</f>
        <v>116</v>
      </c>
      <c r="B120" s="35"/>
      <c r="C120" s="35" t="s">
        <v>113</v>
      </c>
      <c r="D120" s="35" t="s">
        <v>251</v>
      </c>
      <c r="E120" s="35" t="s">
        <v>277</v>
      </c>
      <c r="F120" s="36" t="s">
        <v>62</v>
      </c>
      <c r="G120" s="37" t="s">
        <v>66</v>
      </c>
      <c r="H120" s="37" t="s">
        <v>83</v>
      </c>
      <c r="I120" s="37" t="s">
        <v>92</v>
      </c>
      <c r="J120" s="38" t="n">
        <v>46258</v>
      </c>
      <c r="K120" s="39" t="s">
        <v>82</v>
      </c>
      <c r="L120" s="40" t="n">
        <f aca="false">IF(OR($J120="",$K120=""),"",$J120+MATCH($K120,Listas!$F$5:$F$11,0)-1)</f>
        <v>46261</v>
      </c>
      <c r="M120" s="41"/>
      <c r="N120" s="36"/>
      <c r="O120" s="41" t="n">
        <v>46260</v>
      </c>
      <c r="P120" s="35"/>
      <c r="Q120" s="35" t="s">
        <v>253</v>
      </c>
      <c r="R120" s="42" t="str">
        <f aca="true">IF($E120="","",IF($N120="Cancelada","Cancelada",IF(OR($M120&lt;&gt;"",$N120="Concluída"),IF(OR($L120="",$M120="",$M120&lt;=$L120),"Concluída","Concluída com atraso"),IF($L120="","Na carteira",IF($L120&lt;TODAY(),"VENCIDA",IF($N120="Em execução","Em execução",IF($L120=TODAY(),"Hoje","Programada")))))))</f>
        <v>Hoje</v>
      </c>
      <c r="S120" s="34" t="str">
        <f aca="false">IF($E120="","",IF(ISNUMBER(SEARCH("(externo)",$G120&amp;$H120&amp;$I120)),"Terceirizada","Interna"))</f>
        <v>Interna</v>
      </c>
      <c r="T120" s="40" t="n">
        <f aca="false">IF($L120="","",IF($O120="",$L120,$O120))</f>
        <v>46260</v>
      </c>
      <c r="U120" s="34" t="n">
        <f aca="false">IF($E120="","",IF(OR($M120="",$L120=""),0,IF($M120&lt;=$L120,1,0)))</f>
        <v>0</v>
      </c>
      <c r="V120" s="34" t="n">
        <f aca="false">IF($E120="","",IF(OR($M120="",$T120=""),0,IF($M120&lt;=$T120,1,0)))</f>
        <v>0</v>
      </c>
      <c r="W120" s="42" t="str">
        <f aca="false">IF(OR($M120="",$L120=""),"",MAX(0,$M120-$L120))</f>
        <v/>
      </c>
      <c r="X120" s="34" t="n">
        <f aca="false">IF($E120="","",IF(AND($O120&lt;&gt;"",$L120&lt;&gt;"",$O120&lt;&gt;$L120),1,0))</f>
        <v>1</v>
      </c>
      <c r="Y120" s="34" t="n">
        <f aca="false">IF($E120="","",IF($N120="Cancelada",0,IF(OR($M120&lt;&gt;"",$N120="Concluída"),1,0)))</f>
        <v>0</v>
      </c>
    </row>
    <row r="121" customFormat="false" ht="15" hidden="false" customHeight="true" outlineLevel="0" collapsed="false">
      <c r="A121" s="34" t="n">
        <f aca="false">IF($E121="","",COUNTA($E$5:$E121))</f>
        <v>117</v>
      </c>
      <c r="B121" s="35"/>
      <c r="C121" s="35" t="s">
        <v>113</v>
      </c>
      <c r="D121" s="35" t="s">
        <v>251</v>
      </c>
      <c r="E121" s="35" t="s">
        <v>278</v>
      </c>
      <c r="F121" s="36" t="s">
        <v>62</v>
      </c>
      <c r="G121" s="37" t="s">
        <v>66</v>
      </c>
      <c r="H121" s="37" t="s">
        <v>83</v>
      </c>
      <c r="I121" s="37" t="s">
        <v>92</v>
      </c>
      <c r="J121" s="38" t="n">
        <v>46258</v>
      </c>
      <c r="K121" s="39" t="s">
        <v>82</v>
      </c>
      <c r="L121" s="40" t="n">
        <f aca="false">IF(OR($J121="",$K121=""),"",$J121+MATCH($K121,Listas!$F$5:$F$11,0)-1)</f>
        <v>46261</v>
      </c>
      <c r="M121" s="41"/>
      <c r="N121" s="36"/>
      <c r="O121" s="41" t="n">
        <v>46260</v>
      </c>
      <c r="P121" s="35"/>
      <c r="Q121" s="35" t="s">
        <v>253</v>
      </c>
      <c r="R121" s="42" t="str">
        <f aca="true">IF($E121="","",IF($N121="Cancelada","Cancelada",IF(OR($M121&lt;&gt;"",$N121="Concluída"),IF(OR($L121="",$M121="",$M121&lt;=$L121),"Concluída","Concluída com atraso"),IF($L121="","Na carteira",IF($L121&lt;TODAY(),"VENCIDA",IF($N121="Em execução","Em execução",IF($L121=TODAY(),"Hoje","Programada")))))))</f>
        <v>Hoje</v>
      </c>
      <c r="S121" s="34" t="str">
        <f aca="false">IF($E121="","",IF(ISNUMBER(SEARCH("(externo)",$G121&amp;$H121&amp;$I121)),"Terceirizada","Interna"))</f>
        <v>Interna</v>
      </c>
      <c r="T121" s="40" t="n">
        <f aca="false">IF($L121="","",IF($O121="",$L121,$O121))</f>
        <v>46260</v>
      </c>
      <c r="U121" s="34" t="n">
        <f aca="false">IF($E121="","",IF(OR($M121="",$L121=""),0,IF($M121&lt;=$L121,1,0)))</f>
        <v>0</v>
      </c>
      <c r="V121" s="34" t="n">
        <f aca="false">IF($E121="","",IF(OR($M121="",$T121=""),0,IF($M121&lt;=$T121,1,0)))</f>
        <v>0</v>
      </c>
      <c r="W121" s="42" t="str">
        <f aca="false">IF(OR($M121="",$L121=""),"",MAX(0,$M121-$L121))</f>
        <v/>
      </c>
      <c r="X121" s="34" t="n">
        <f aca="false">IF($E121="","",IF(AND($O121&lt;&gt;"",$L121&lt;&gt;"",$O121&lt;&gt;$L121),1,0))</f>
        <v>1</v>
      </c>
      <c r="Y121" s="34" t="n">
        <f aca="false">IF($E121="","",IF($N121="Cancelada",0,IF(OR($M121&lt;&gt;"",$N121="Concluída"),1,0)))</f>
        <v>0</v>
      </c>
    </row>
    <row r="122" customFormat="false" ht="15" hidden="false" customHeight="true" outlineLevel="0" collapsed="false">
      <c r="A122" s="34" t="n">
        <f aca="false">IF($E122="","",COUNTA($E$5:$E122))</f>
        <v>118</v>
      </c>
      <c r="B122" s="35"/>
      <c r="C122" s="35" t="s">
        <v>113</v>
      </c>
      <c r="D122" s="35" t="s">
        <v>251</v>
      </c>
      <c r="E122" s="35" t="s">
        <v>279</v>
      </c>
      <c r="F122" s="36" t="s">
        <v>62</v>
      </c>
      <c r="G122" s="37" t="s">
        <v>66</v>
      </c>
      <c r="H122" s="37" t="s">
        <v>83</v>
      </c>
      <c r="I122" s="37" t="s">
        <v>92</v>
      </c>
      <c r="J122" s="38" t="n">
        <v>46258</v>
      </c>
      <c r="K122" s="39" t="s">
        <v>82</v>
      </c>
      <c r="L122" s="40" t="n">
        <f aca="false">IF(OR($J122="",$K122=""),"",$J122+MATCH($K122,Listas!$F$5:$F$11,0)-1)</f>
        <v>46261</v>
      </c>
      <c r="M122" s="41"/>
      <c r="N122" s="36"/>
      <c r="O122" s="41" t="n">
        <v>46260</v>
      </c>
      <c r="P122" s="35"/>
      <c r="Q122" s="35" t="s">
        <v>253</v>
      </c>
      <c r="R122" s="42" t="str">
        <f aca="true">IF($E122="","",IF($N122="Cancelada","Cancelada",IF(OR($M122&lt;&gt;"",$N122="Concluída"),IF(OR($L122="",$M122="",$M122&lt;=$L122),"Concluída","Concluída com atraso"),IF($L122="","Na carteira",IF($L122&lt;TODAY(),"VENCIDA",IF($N122="Em execução","Em execução",IF($L122=TODAY(),"Hoje","Programada")))))))</f>
        <v>Hoje</v>
      </c>
      <c r="S122" s="34" t="str">
        <f aca="false">IF($E122="","",IF(ISNUMBER(SEARCH("(externo)",$G122&amp;$H122&amp;$I122)),"Terceirizada","Interna"))</f>
        <v>Interna</v>
      </c>
      <c r="T122" s="40" t="n">
        <f aca="false">IF($L122="","",IF($O122="",$L122,$O122))</f>
        <v>46260</v>
      </c>
      <c r="U122" s="34" t="n">
        <f aca="false">IF($E122="","",IF(OR($M122="",$L122=""),0,IF($M122&lt;=$L122,1,0)))</f>
        <v>0</v>
      </c>
      <c r="V122" s="34" t="n">
        <f aca="false">IF($E122="","",IF(OR($M122="",$T122=""),0,IF($M122&lt;=$T122,1,0)))</f>
        <v>0</v>
      </c>
      <c r="W122" s="42" t="str">
        <f aca="false">IF(OR($M122="",$L122=""),"",MAX(0,$M122-$L122))</f>
        <v/>
      </c>
      <c r="X122" s="34" t="n">
        <f aca="false">IF($E122="","",IF(AND($O122&lt;&gt;"",$L122&lt;&gt;"",$O122&lt;&gt;$L122),1,0))</f>
        <v>1</v>
      </c>
      <c r="Y122" s="34" t="n">
        <f aca="false">IF($E122="","",IF($N122="Cancelada",0,IF(OR($M122&lt;&gt;"",$N122="Concluída"),1,0)))</f>
        <v>0</v>
      </c>
    </row>
    <row r="123" customFormat="false" ht="15" hidden="false" customHeight="true" outlineLevel="0" collapsed="false">
      <c r="A123" s="34" t="n">
        <f aca="false">IF($E123="","",COUNTA($E$5:$E123))</f>
        <v>119</v>
      </c>
      <c r="B123" s="35"/>
      <c r="C123" s="35" t="s">
        <v>113</v>
      </c>
      <c r="D123" s="35" t="s">
        <v>251</v>
      </c>
      <c r="E123" s="35" t="s">
        <v>280</v>
      </c>
      <c r="F123" s="36" t="s">
        <v>62</v>
      </c>
      <c r="G123" s="37" t="s">
        <v>66</v>
      </c>
      <c r="H123" s="37" t="s">
        <v>83</v>
      </c>
      <c r="I123" s="37" t="s">
        <v>92</v>
      </c>
      <c r="J123" s="38" t="n">
        <v>46258</v>
      </c>
      <c r="K123" s="39" t="s">
        <v>82</v>
      </c>
      <c r="L123" s="40" t="n">
        <f aca="false">IF(OR($J123="",$K123=""),"",$J123+MATCH($K123,Listas!$F$5:$F$11,0)-1)</f>
        <v>46261</v>
      </c>
      <c r="M123" s="41"/>
      <c r="N123" s="36"/>
      <c r="O123" s="41" t="n">
        <v>46260</v>
      </c>
      <c r="P123" s="35"/>
      <c r="Q123" s="35" t="s">
        <v>253</v>
      </c>
      <c r="R123" s="42" t="str">
        <f aca="true">IF($E123="","",IF($N123="Cancelada","Cancelada",IF(OR($M123&lt;&gt;"",$N123="Concluída"),IF(OR($L123="",$M123="",$M123&lt;=$L123),"Concluída","Concluída com atraso"),IF($L123="","Na carteira",IF($L123&lt;TODAY(),"VENCIDA",IF($N123="Em execução","Em execução",IF($L123=TODAY(),"Hoje","Programada")))))))</f>
        <v>Hoje</v>
      </c>
      <c r="S123" s="34" t="str">
        <f aca="false">IF($E123="","",IF(ISNUMBER(SEARCH("(externo)",$G123&amp;$H123&amp;$I123)),"Terceirizada","Interna"))</f>
        <v>Interna</v>
      </c>
      <c r="T123" s="40" t="n">
        <f aca="false">IF($L123="","",IF($O123="",$L123,$O123))</f>
        <v>46260</v>
      </c>
      <c r="U123" s="34" t="n">
        <f aca="false">IF($E123="","",IF(OR($M123="",$L123=""),0,IF($M123&lt;=$L123,1,0)))</f>
        <v>0</v>
      </c>
      <c r="V123" s="34" t="n">
        <f aca="false">IF($E123="","",IF(OR($M123="",$T123=""),0,IF($M123&lt;=$T123,1,0)))</f>
        <v>0</v>
      </c>
      <c r="W123" s="42" t="str">
        <f aca="false">IF(OR($M123="",$L123=""),"",MAX(0,$M123-$L123))</f>
        <v/>
      </c>
      <c r="X123" s="34" t="n">
        <f aca="false">IF($E123="","",IF(AND($O123&lt;&gt;"",$L123&lt;&gt;"",$O123&lt;&gt;$L123),1,0))</f>
        <v>1</v>
      </c>
      <c r="Y123" s="34" t="n">
        <f aca="false">IF($E123="","",IF($N123="Cancelada",0,IF(OR($M123&lt;&gt;"",$N123="Concluída"),1,0)))</f>
        <v>0</v>
      </c>
    </row>
    <row r="124" customFormat="false" ht="15" hidden="false" customHeight="true" outlineLevel="0" collapsed="false">
      <c r="A124" s="34" t="n">
        <f aca="false">IF($E124="","",COUNTA($E$5:$E124))</f>
        <v>120</v>
      </c>
      <c r="B124" s="35"/>
      <c r="C124" s="35" t="s">
        <v>113</v>
      </c>
      <c r="D124" s="35" t="s">
        <v>251</v>
      </c>
      <c r="E124" s="35" t="s">
        <v>281</v>
      </c>
      <c r="F124" s="36" t="s">
        <v>62</v>
      </c>
      <c r="G124" s="37" t="s">
        <v>66</v>
      </c>
      <c r="H124" s="37" t="s">
        <v>83</v>
      </c>
      <c r="I124" s="37" t="s">
        <v>92</v>
      </c>
      <c r="J124" s="38" t="n">
        <v>46258</v>
      </c>
      <c r="K124" s="39" t="s">
        <v>82</v>
      </c>
      <c r="L124" s="40" t="n">
        <f aca="false">IF(OR($J124="",$K124=""),"",$J124+MATCH($K124,Listas!$F$5:$F$11,0)-1)</f>
        <v>46261</v>
      </c>
      <c r="M124" s="41"/>
      <c r="N124" s="36"/>
      <c r="O124" s="41" t="n">
        <v>46260</v>
      </c>
      <c r="P124" s="35"/>
      <c r="Q124" s="35" t="s">
        <v>253</v>
      </c>
      <c r="R124" s="42" t="str">
        <f aca="true">IF($E124="","",IF($N124="Cancelada","Cancelada",IF(OR($M124&lt;&gt;"",$N124="Concluída"),IF(OR($L124="",$M124="",$M124&lt;=$L124),"Concluída","Concluída com atraso"),IF($L124="","Na carteira",IF($L124&lt;TODAY(),"VENCIDA",IF($N124="Em execução","Em execução",IF($L124=TODAY(),"Hoje","Programada")))))))</f>
        <v>Hoje</v>
      </c>
      <c r="S124" s="34" t="str">
        <f aca="false">IF($E124="","",IF(ISNUMBER(SEARCH("(externo)",$G124&amp;$H124&amp;$I124)),"Terceirizada","Interna"))</f>
        <v>Interna</v>
      </c>
      <c r="T124" s="40" t="n">
        <f aca="false">IF($L124="","",IF($O124="",$L124,$O124))</f>
        <v>46260</v>
      </c>
      <c r="U124" s="34" t="n">
        <f aca="false">IF($E124="","",IF(OR($M124="",$L124=""),0,IF($M124&lt;=$L124,1,0)))</f>
        <v>0</v>
      </c>
      <c r="V124" s="34" t="n">
        <f aca="false">IF($E124="","",IF(OR($M124="",$T124=""),0,IF($M124&lt;=$T124,1,0)))</f>
        <v>0</v>
      </c>
      <c r="W124" s="42" t="str">
        <f aca="false">IF(OR($M124="",$L124=""),"",MAX(0,$M124-$L124))</f>
        <v/>
      </c>
      <c r="X124" s="34" t="n">
        <f aca="false">IF($E124="","",IF(AND($O124&lt;&gt;"",$L124&lt;&gt;"",$O124&lt;&gt;$L124),1,0))</f>
        <v>1</v>
      </c>
      <c r="Y124" s="34" t="n">
        <f aca="false">IF($E124="","",IF($N124="Cancelada",0,IF(OR($M124&lt;&gt;"",$N124="Concluída"),1,0)))</f>
        <v>0</v>
      </c>
    </row>
    <row r="125" customFormat="false" ht="15" hidden="false" customHeight="true" outlineLevel="0" collapsed="false">
      <c r="A125" s="34" t="n">
        <f aca="false">IF($E125="","",COUNTA($E$5:$E125))</f>
        <v>121</v>
      </c>
      <c r="B125" s="35"/>
      <c r="C125" s="35" t="s">
        <v>113</v>
      </c>
      <c r="D125" s="35" t="s">
        <v>251</v>
      </c>
      <c r="E125" s="35" t="s">
        <v>282</v>
      </c>
      <c r="F125" s="36" t="s">
        <v>62</v>
      </c>
      <c r="G125" s="37" t="s">
        <v>66</v>
      </c>
      <c r="H125" s="37" t="s">
        <v>83</v>
      </c>
      <c r="I125" s="37" t="s">
        <v>92</v>
      </c>
      <c r="J125" s="38" t="n">
        <v>46258</v>
      </c>
      <c r="K125" s="39" t="s">
        <v>82</v>
      </c>
      <c r="L125" s="40" t="n">
        <f aca="false">IF(OR($J125="",$K125=""),"",$J125+MATCH($K125,Listas!$F$5:$F$11,0)-1)</f>
        <v>46261</v>
      </c>
      <c r="M125" s="41"/>
      <c r="N125" s="36"/>
      <c r="O125" s="41" t="n">
        <v>46260</v>
      </c>
      <c r="P125" s="35"/>
      <c r="Q125" s="35" t="s">
        <v>253</v>
      </c>
      <c r="R125" s="42" t="str">
        <f aca="true">IF($E125="","",IF($N125="Cancelada","Cancelada",IF(OR($M125&lt;&gt;"",$N125="Concluída"),IF(OR($L125="",$M125="",$M125&lt;=$L125),"Concluída","Concluída com atraso"),IF($L125="","Na carteira",IF($L125&lt;TODAY(),"VENCIDA",IF($N125="Em execução","Em execução",IF($L125=TODAY(),"Hoje","Programada")))))))</f>
        <v>Hoje</v>
      </c>
      <c r="S125" s="34" t="str">
        <f aca="false">IF($E125="","",IF(ISNUMBER(SEARCH("(externo)",$G125&amp;$H125&amp;$I125)),"Terceirizada","Interna"))</f>
        <v>Interna</v>
      </c>
      <c r="T125" s="40" t="n">
        <f aca="false">IF($L125="","",IF($O125="",$L125,$O125))</f>
        <v>46260</v>
      </c>
      <c r="U125" s="34" t="n">
        <f aca="false">IF($E125="","",IF(OR($M125="",$L125=""),0,IF($M125&lt;=$L125,1,0)))</f>
        <v>0</v>
      </c>
      <c r="V125" s="34" t="n">
        <f aca="false">IF($E125="","",IF(OR($M125="",$T125=""),0,IF($M125&lt;=$T125,1,0)))</f>
        <v>0</v>
      </c>
      <c r="W125" s="42" t="str">
        <f aca="false">IF(OR($M125="",$L125=""),"",MAX(0,$M125-$L125))</f>
        <v/>
      </c>
      <c r="X125" s="34" t="n">
        <f aca="false">IF($E125="","",IF(AND($O125&lt;&gt;"",$L125&lt;&gt;"",$O125&lt;&gt;$L125),1,0))</f>
        <v>1</v>
      </c>
      <c r="Y125" s="34" t="n">
        <f aca="false">IF($E125="","",IF($N125="Cancelada",0,IF(OR($M125&lt;&gt;"",$N125="Concluída"),1,0)))</f>
        <v>0</v>
      </c>
    </row>
    <row r="126" customFormat="false" ht="15" hidden="false" customHeight="true" outlineLevel="0" collapsed="false">
      <c r="A126" s="34" t="n">
        <f aca="false">IF($E126="","",COUNTA($E$5:$E126))</f>
        <v>122</v>
      </c>
      <c r="B126" s="35"/>
      <c r="C126" s="35" t="s">
        <v>113</v>
      </c>
      <c r="D126" s="35" t="s">
        <v>251</v>
      </c>
      <c r="E126" s="35" t="s">
        <v>283</v>
      </c>
      <c r="F126" s="36" t="s">
        <v>62</v>
      </c>
      <c r="G126" s="37" t="s">
        <v>66</v>
      </c>
      <c r="H126" s="37" t="s">
        <v>83</v>
      </c>
      <c r="I126" s="37" t="s">
        <v>92</v>
      </c>
      <c r="J126" s="38" t="n">
        <v>46258</v>
      </c>
      <c r="K126" s="39" t="s">
        <v>82</v>
      </c>
      <c r="L126" s="40" t="n">
        <f aca="false">IF(OR($J126="",$K126=""),"",$J126+MATCH($K126,Listas!$F$5:$F$11,0)-1)</f>
        <v>46261</v>
      </c>
      <c r="M126" s="41"/>
      <c r="N126" s="36"/>
      <c r="O126" s="41" t="n">
        <v>46260</v>
      </c>
      <c r="P126" s="35"/>
      <c r="Q126" s="35" t="s">
        <v>253</v>
      </c>
      <c r="R126" s="42" t="str">
        <f aca="true">IF($E126="","",IF($N126="Cancelada","Cancelada",IF(OR($M126&lt;&gt;"",$N126="Concluída"),IF(OR($L126="",$M126="",$M126&lt;=$L126),"Concluída","Concluída com atraso"),IF($L126="","Na carteira",IF($L126&lt;TODAY(),"VENCIDA",IF($N126="Em execução","Em execução",IF($L126=TODAY(),"Hoje","Programada")))))))</f>
        <v>Hoje</v>
      </c>
      <c r="S126" s="34" t="str">
        <f aca="false">IF($E126="","",IF(ISNUMBER(SEARCH("(externo)",$G126&amp;$H126&amp;$I126)),"Terceirizada","Interna"))</f>
        <v>Interna</v>
      </c>
      <c r="T126" s="40" t="n">
        <f aca="false">IF($L126="","",IF($O126="",$L126,$O126))</f>
        <v>46260</v>
      </c>
      <c r="U126" s="34" t="n">
        <f aca="false">IF($E126="","",IF(OR($M126="",$L126=""),0,IF($M126&lt;=$L126,1,0)))</f>
        <v>0</v>
      </c>
      <c r="V126" s="34" t="n">
        <f aca="false">IF($E126="","",IF(OR($M126="",$T126=""),0,IF($M126&lt;=$T126,1,0)))</f>
        <v>0</v>
      </c>
      <c r="W126" s="42" t="str">
        <f aca="false">IF(OR($M126="",$L126=""),"",MAX(0,$M126-$L126))</f>
        <v/>
      </c>
      <c r="X126" s="34" t="n">
        <f aca="false">IF($E126="","",IF(AND($O126&lt;&gt;"",$L126&lt;&gt;"",$O126&lt;&gt;$L126),1,0))</f>
        <v>1</v>
      </c>
      <c r="Y126" s="34" t="n">
        <f aca="false">IF($E126="","",IF($N126="Cancelada",0,IF(OR($M126&lt;&gt;"",$N126="Concluída"),1,0)))</f>
        <v>0</v>
      </c>
    </row>
    <row r="127" customFormat="false" ht="15" hidden="false" customHeight="true" outlineLevel="0" collapsed="false">
      <c r="A127" s="34" t="n">
        <f aca="false">IF($E127="","",COUNTA($E$5:$E127))</f>
        <v>123</v>
      </c>
      <c r="B127" s="35"/>
      <c r="C127" s="35" t="s">
        <v>113</v>
      </c>
      <c r="D127" s="35" t="s">
        <v>251</v>
      </c>
      <c r="E127" s="35" t="s">
        <v>284</v>
      </c>
      <c r="F127" s="36" t="s">
        <v>62</v>
      </c>
      <c r="G127" s="37" t="s">
        <v>66</v>
      </c>
      <c r="H127" s="37" t="s">
        <v>83</v>
      </c>
      <c r="I127" s="37" t="s">
        <v>92</v>
      </c>
      <c r="J127" s="38" t="n">
        <v>46258</v>
      </c>
      <c r="K127" s="39" t="s">
        <v>82</v>
      </c>
      <c r="L127" s="40" t="n">
        <f aca="false">IF(OR($J127="",$K127=""),"",$J127+MATCH($K127,Listas!$F$5:$F$11,0)-1)</f>
        <v>46261</v>
      </c>
      <c r="M127" s="41"/>
      <c r="N127" s="36"/>
      <c r="O127" s="41" t="n">
        <v>46260</v>
      </c>
      <c r="P127" s="35"/>
      <c r="Q127" s="35" t="s">
        <v>253</v>
      </c>
      <c r="R127" s="42" t="str">
        <f aca="true">IF($E127="","",IF($N127="Cancelada","Cancelada",IF(OR($M127&lt;&gt;"",$N127="Concluída"),IF(OR($L127="",$M127="",$M127&lt;=$L127),"Concluída","Concluída com atraso"),IF($L127="","Na carteira",IF($L127&lt;TODAY(),"VENCIDA",IF($N127="Em execução","Em execução",IF($L127=TODAY(),"Hoje","Programada")))))))</f>
        <v>Hoje</v>
      </c>
      <c r="S127" s="34" t="str">
        <f aca="false">IF($E127="","",IF(ISNUMBER(SEARCH("(externo)",$G127&amp;$H127&amp;$I127)),"Terceirizada","Interna"))</f>
        <v>Interna</v>
      </c>
      <c r="T127" s="40" t="n">
        <f aca="false">IF($L127="","",IF($O127="",$L127,$O127))</f>
        <v>46260</v>
      </c>
      <c r="U127" s="34" t="n">
        <f aca="false">IF($E127="","",IF(OR($M127="",$L127=""),0,IF($M127&lt;=$L127,1,0)))</f>
        <v>0</v>
      </c>
      <c r="V127" s="34" t="n">
        <f aca="false">IF($E127="","",IF(OR($M127="",$T127=""),0,IF($M127&lt;=$T127,1,0)))</f>
        <v>0</v>
      </c>
      <c r="W127" s="42" t="str">
        <f aca="false">IF(OR($M127="",$L127=""),"",MAX(0,$M127-$L127))</f>
        <v/>
      </c>
      <c r="X127" s="34" t="n">
        <f aca="false">IF($E127="","",IF(AND($O127&lt;&gt;"",$L127&lt;&gt;"",$O127&lt;&gt;$L127),1,0))</f>
        <v>1</v>
      </c>
      <c r="Y127" s="34" t="n">
        <f aca="false">IF($E127="","",IF($N127="Cancelada",0,IF(OR($M127&lt;&gt;"",$N127="Concluída"),1,0)))</f>
        <v>0</v>
      </c>
    </row>
    <row r="128" customFormat="false" ht="15" hidden="false" customHeight="true" outlineLevel="0" collapsed="false">
      <c r="A128" s="34" t="n">
        <f aca="false">IF($E128="","",COUNTA($E$5:$E128))</f>
        <v>124</v>
      </c>
      <c r="B128" s="35"/>
      <c r="C128" s="35" t="s">
        <v>113</v>
      </c>
      <c r="D128" s="35" t="s">
        <v>251</v>
      </c>
      <c r="E128" s="35" t="s">
        <v>285</v>
      </c>
      <c r="F128" s="36" t="s">
        <v>62</v>
      </c>
      <c r="G128" s="37" t="s">
        <v>66</v>
      </c>
      <c r="H128" s="37" t="s">
        <v>83</v>
      </c>
      <c r="I128" s="37" t="s">
        <v>92</v>
      </c>
      <c r="J128" s="38" t="n">
        <v>46258</v>
      </c>
      <c r="K128" s="39" t="s">
        <v>82</v>
      </c>
      <c r="L128" s="40" t="n">
        <f aca="false">IF(OR($J128="",$K128=""),"",$J128+MATCH($K128,Listas!$F$5:$F$11,0)-1)</f>
        <v>46261</v>
      </c>
      <c r="M128" s="41"/>
      <c r="N128" s="36"/>
      <c r="O128" s="41" t="n">
        <v>46260</v>
      </c>
      <c r="P128" s="35"/>
      <c r="Q128" s="35" t="s">
        <v>253</v>
      </c>
      <c r="R128" s="42" t="str">
        <f aca="true">IF($E128="","",IF($N128="Cancelada","Cancelada",IF(OR($M128&lt;&gt;"",$N128="Concluída"),IF(OR($L128="",$M128="",$M128&lt;=$L128),"Concluída","Concluída com atraso"),IF($L128="","Na carteira",IF($L128&lt;TODAY(),"VENCIDA",IF($N128="Em execução","Em execução",IF($L128=TODAY(),"Hoje","Programada")))))))</f>
        <v>Hoje</v>
      </c>
      <c r="S128" s="34" t="str">
        <f aca="false">IF($E128="","",IF(ISNUMBER(SEARCH("(externo)",$G128&amp;$H128&amp;$I128)),"Terceirizada","Interna"))</f>
        <v>Interna</v>
      </c>
      <c r="T128" s="40" t="n">
        <f aca="false">IF($L128="","",IF($O128="",$L128,$O128))</f>
        <v>46260</v>
      </c>
      <c r="U128" s="34" t="n">
        <f aca="false">IF($E128="","",IF(OR($M128="",$L128=""),0,IF($M128&lt;=$L128,1,0)))</f>
        <v>0</v>
      </c>
      <c r="V128" s="34" t="n">
        <f aca="false">IF($E128="","",IF(OR($M128="",$T128=""),0,IF($M128&lt;=$T128,1,0)))</f>
        <v>0</v>
      </c>
      <c r="W128" s="42" t="str">
        <f aca="false">IF(OR($M128="",$L128=""),"",MAX(0,$M128-$L128))</f>
        <v/>
      </c>
      <c r="X128" s="34" t="n">
        <f aca="false">IF($E128="","",IF(AND($O128&lt;&gt;"",$L128&lt;&gt;"",$O128&lt;&gt;$L128),1,0))</f>
        <v>1</v>
      </c>
      <c r="Y128" s="34" t="n">
        <f aca="false">IF($E128="","",IF($N128="Cancelada",0,IF(OR($M128&lt;&gt;"",$N128="Concluída"),1,0)))</f>
        <v>0</v>
      </c>
    </row>
    <row r="129" customFormat="false" ht="15" hidden="false" customHeight="true" outlineLevel="0" collapsed="false">
      <c r="A129" s="34" t="n">
        <f aca="false">IF($E129="","",COUNTA($E$5:$E129))</f>
        <v>125</v>
      </c>
      <c r="B129" s="35"/>
      <c r="C129" s="35" t="s">
        <v>113</v>
      </c>
      <c r="D129" s="35" t="s">
        <v>251</v>
      </c>
      <c r="E129" s="35" t="s">
        <v>286</v>
      </c>
      <c r="F129" s="36" t="s">
        <v>62</v>
      </c>
      <c r="G129" s="37" t="s">
        <v>66</v>
      </c>
      <c r="H129" s="37" t="s">
        <v>83</v>
      </c>
      <c r="I129" s="37" t="s">
        <v>92</v>
      </c>
      <c r="J129" s="38" t="n">
        <v>46258</v>
      </c>
      <c r="K129" s="39" t="s">
        <v>82</v>
      </c>
      <c r="L129" s="40" t="n">
        <f aca="false">IF(OR($J129="",$K129=""),"",$J129+MATCH($K129,Listas!$F$5:$F$11,0)-1)</f>
        <v>46261</v>
      </c>
      <c r="M129" s="41"/>
      <c r="N129" s="36"/>
      <c r="O129" s="41" t="n">
        <v>46260</v>
      </c>
      <c r="P129" s="35"/>
      <c r="Q129" s="35" t="s">
        <v>253</v>
      </c>
      <c r="R129" s="42" t="str">
        <f aca="true">IF($E129="","",IF($N129="Cancelada","Cancelada",IF(OR($M129&lt;&gt;"",$N129="Concluída"),IF(OR($L129="",$M129="",$M129&lt;=$L129),"Concluída","Concluída com atraso"),IF($L129="","Na carteira",IF($L129&lt;TODAY(),"VENCIDA",IF($N129="Em execução","Em execução",IF($L129=TODAY(),"Hoje","Programada")))))))</f>
        <v>Hoje</v>
      </c>
      <c r="S129" s="34" t="str">
        <f aca="false">IF($E129="","",IF(ISNUMBER(SEARCH("(externo)",$G129&amp;$H129&amp;$I129)),"Terceirizada","Interna"))</f>
        <v>Interna</v>
      </c>
      <c r="T129" s="40" t="n">
        <f aca="false">IF($L129="","",IF($O129="",$L129,$O129))</f>
        <v>46260</v>
      </c>
      <c r="U129" s="34" t="n">
        <f aca="false">IF($E129="","",IF(OR($M129="",$L129=""),0,IF($M129&lt;=$L129,1,0)))</f>
        <v>0</v>
      </c>
      <c r="V129" s="34" t="n">
        <f aca="false">IF($E129="","",IF(OR($M129="",$T129=""),0,IF($M129&lt;=$T129,1,0)))</f>
        <v>0</v>
      </c>
      <c r="W129" s="42" t="str">
        <f aca="false">IF(OR($M129="",$L129=""),"",MAX(0,$M129-$L129))</f>
        <v/>
      </c>
      <c r="X129" s="34" t="n">
        <f aca="false">IF($E129="","",IF(AND($O129&lt;&gt;"",$L129&lt;&gt;"",$O129&lt;&gt;$L129),1,0))</f>
        <v>1</v>
      </c>
      <c r="Y129" s="34" t="n">
        <f aca="false">IF($E129="","",IF($N129="Cancelada",0,IF(OR($M129&lt;&gt;"",$N129="Concluída"),1,0)))</f>
        <v>0</v>
      </c>
    </row>
    <row r="130" customFormat="false" ht="15" hidden="false" customHeight="true" outlineLevel="0" collapsed="false">
      <c r="A130" s="34" t="n">
        <f aca="false">IF($E130="","",COUNTA($E$5:$E130))</f>
        <v>126</v>
      </c>
      <c r="B130" s="35"/>
      <c r="C130" s="35" t="s">
        <v>114</v>
      </c>
      <c r="D130" s="35" t="s">
        <v>178</v>
      </c>
      <c r="E130" s="35" t="s">
        <v>196</v>
      </c>
      <c r="F130" s="36" t="s">
        <v>68</v>
      </c>
      <c r="G130" s="37" t="s">
        <v>78</v>
      </c>
      <c r="H130" s="37" t="s">
        <v>88</v>
      </c>
      <c r="I130" s="37"/>
      <c r="J130" s="38" t="n">
        <v>46258</v>
      </c>
      <c r="K130" s="39" t="s">
        <v>82</v>
      </c>
      <c r="L130" s="40" t="n">
        <f aca="false">IF(OR($J130="",$K130=""),"",$J130+MATCH($K130,Listas!$F$5:$F$11,0)-1)</f>
        <v>46261</v>
      </c>
      <c r="M130" s="41"/>
      <c r="N130" s="36"/>
      <c r="O130" s="41"/>
      <c r="P130" s="35"/>
      <c r="Q130" s="35" t="s">
        <v>287</v>
      </c>
      <c r="R130" s="42" t="str">
        <f aca="true">IF($E130="","",IF($N130="Cancelada","Cancelada",IF(OR($M130&lt;&gt;"",$N130="Concluída"),IF(OR($L130="",$M130="",$M130&lt;=$L130),"Concluída","Concluída com atraso"),IF($L130="","Na carteira",IF($L130&lt;TODAY(),"VENCIDA",IF($N130="Em execução","Em execução",IF($L130=TODAY(),"Hoje","Programada")))))))</f>
        <v>Hoje</v>
      </c>
      <c r="S130" s="34" t="str">
        <f aca="false">IF($E130="","",IF(ISNUMBER(SEARCH("(externo)",$G130&amp;$H130&amp;$I130)),"Terceirizada","Interna"))</f>
        <v>Interna</v>
      </c>
      <c r="T130" s="40" t="n">
        <f aca="false">IF($L130="","",IF($O130="",$L130,$O130))</f>
        <v>46261</v>
      </c>
      <c r="U130" s="34" t="n">
        <f aca="false">IF($E130="","",IF(OR($M130="",$L130=""),0,IF($M130&lt;=$L130,1,0)))</f>
        <v>0</v>
      </c>
      <c r="V130" s="34" t="n">
        <f aca="false">IF($E130="","",IF(OR($M130="",$T130=""),0,IF($M130&lt;=$T130,1,0)))</f>
        <v>0</v>
      </c>
      <c r="W130" s="42" t="str">
        <f aca="false">IF(OR($M130="",$L130=""),"",MAX(0,$M130-$L130))</f>
        <v/>
      </c>
      <c r="X130" s="34" t="n">
        <f aca="false">IF($E130="","",IF(AND($O130&lt;&gt;"",$L130&lt;&gt;"",$O130&lt;&gt;$L130),1,0))</f>
        <v>0</v>
      </c>
      <c r="Y130" s="34" t="n">
        <f aca="false">IF($E130="","",IF($N130="Cancelada",0,IF(OR($M130&lt;&gt;"",$N130="Concluída"),1,0)))</f>
        <v>0</v>
      </c>
    </row>
    <row r="131" customFormat="false" ht="15" hidden="false" customHeight="true" outlineLevel="0" collapsed="false">
      <c r="A131" s="34" t="n">
        <f aca="false">IF($E131="","",COUNTA($E$5:$E131))</f>
        <v>127</v>
      </c>
      <c r="B131" s="35"/>
      <c r="C131" s="35" t="s">
        <v>114</v>
      </c>
      <c r="D131" s="35" t="s">
        <v>178</v>
      </c>
      <c r="E131" s="35" t="s">
        <v>288</v>
      </c>
      <c r="F131" s="36" t="s">
        <v>68</v>
      </c>
      <c r="G131" s="37" t="s">
        <v>78</v>
      </c>
      <c r="H131" s="37" t="s">
        <v>88</v>
      </c>
      <c r="I131" s="37"/>
      <c r="J131" s="38" t="n">
        <v>46258</v>
      </c>
      <c r="K131" s="39" t="s">
        <v>82</v>
      </c>
      <c r="L131" s="40" t="n">
        <f aca="false">IF(OR($J131="",$K131=""),"",$J131+MATCH($K131,Listas!$F$5:$F$11,0)-1)</f>
        <v>46261</v>
      </c>
      <c r="M131" s="41"/>
      <c r="N131" s="36"/>
      <c r="O131" s="41"/>
      <c r="P131" s="35"/>
      <c r="Q131" s="35" t="s">
        <v>287</v>
      </c>
      <c r="R131" s="42" t="str">
        <f aca="true">IF($E131="","",IF($N131="Cancelada","Cancelada",IF(OR($M131&lt;&gt;"",$N131="Concluída"),IF(OR($L131="",$M131="",$M131&lt;=$L131),"Concluída","Concluída com atraso"),IF($L131="","Na carteira",IF($L131&lt;TODAY(),"VENCIDA",IF($N131="Em execução","Em execução",IF($L131=TODAY(),"Hoje","Programada")))))))</f>
        <v>Hoje</v>
      </c>
      <c r="S131" s="34" t="str">
        <f aca="false">IF($E131="","",IF(ISNUMBER(SEARCH("(externo)",$G131&amp;$H131&amp;$I131)),"Terceirizada","Interna"))</f>
        <v>Interna</v>
      </c>
      <c r="T131" s="40" t="n">
        <f aca="false">IF($L131="","",IF($O131="",$L131,$O131))</f>
        <v>46261</v>
      </c>
      <c r="U131" s="34" t="n">
        <f aca="false">IF($E131="","",IF(OR($M131="",$L131=""),0,IF($M131&lt;=$L131,1,0)))</f>
        <v>0</v>
      </c>
      <c r="V131" s="34" t="n">
        <f aca="false">IF($E131="","",IF(OR($M131="",$T131=""),0,IF($M131&lt;=$T131,1,0)))</f>
        <v>0</v>
      </c>
      <c r="W131" s="42" t="str">
        <f aca="false">IF(OR($M131="",$L131=""),"",MAX(0,$M131-$L131))</f>
        <v/>
      </c>
      <c r="X131" s="34" t="n">
        <f aca="false">IF($E131="","",IF(AND($O131&lt;&gt;"",$L131&lt;&gt;"",$O131&lt;&gt;$L131),1,0))</f>
        <v>0</v>
      </c>
      <c r="Y131" s="34" t="n">
        <f aca="false">IF($E131="","",IF($N131="Cancelada",0,IF(OR($M131&lt;&gt;"",$N131="Concluída"),1,0)))</f>
        <v>0</v>
      </c>
    </row>
    <row r="132" customFormat="false" ht="15" hidden="false" customHeight="true" outlineLevel="0" collapsed="false">
      <c r="A132" s="34" t="n">
        <f aca="false">IF($E132="","",COUNTA($E$5:$E132))</f>
        <v>128</v>
      </c>
      <c r="B132" s="35"/>
      <c r="C132" s="35" t="s">
        <v>114</v>
      </c>
      <c r="D132" s="35" t="s">
        <v>178</v>
      </c>
      <c r="E132" s="35" t="s">
        <v>289</v>
      </c>
      <c r="F132" s="36" t="s">
        <v>68</v>
      </c>
      <c r="G132" s="37" t="s">
        <v>78</v>
      </c>
      <c r="H132" s="37" t="s">
        <v>88</v>
      </c>
      <c r="I132" s="37"/>
      <c r="J132" s="38" t="n">
        <v>46258</v>
      </c>
      <c r="K132" s="39" t="s">
        <v>82</v>
      </c>
      <c r="L132" s="40" t="n">
        <f aca="false">IF(OR($J132="",$K132=""),"",$J132+MATCH($K132,Listas!$F$5:$F$11,0)-1)</f>
        <v>46261</v>
      </c>
      <c r="M132" s="41"/>
      <c r="N132" s="36"/>
      <c r="O132" s="41"/>
      <c r="P132" s="35"/>
      <c r="Q132" s="35" t="s">
        <v>287</v>
      </c>
      <c r="R132" s="42" t="str">
        <f aca="true">IF($E132="","",IF($N132="Cancelada","Cancelada",IF(OR($M132&lt;&gt;"",$N132="Concluída"),IF(OR($L132="",$M132="",$M132&lt;=$L132),"Concluída","Concluída com atraso"),IF($L132="","Na carteira",IF($L132&lt;TODAY(),"VENCIDA",IF($N132="Em execução","Em execução",IF($L132=TODAY(),"Hoje","Programada")))))))</f>
        <v>Hoje</v>
      </c>
      <c r="S132" s="34" t="str">
        <f aca="false">IF($E132="","",IF(ISNUMBER(SEARCH("(externo)",$G132&amp;$H132&amp;$I132)),"Terceirizada","Interna"))</f>
        <v>Interna</v>
      </c>
      <c r="T132" s="40" t="n">
        <f aca="false">IF($L132="","",IF($O132="",$L132,$O132))</f>
        <v>46261</v>
      </c>
      <c r="U132" s="34" t="n">
        <f aca="false">IF($E132="","",IF(OR($M132="",$L132=""),0,IF($M132&lt;=$L132,1,0)))</f>
        <v>0</v>
      </c>
      <c r="V132" s="34" t="n">
        <f aca="false">IF($E132="","",IF(OR($M132="",$T132=""),0,IF($M132&lt;=$T132,1,0)))</f>
        <v>0</v>
      </c>
      <c r="W132" s="42" t="str">
        <f aca="false">IF(OR($M132="",$L132=""),"",MAX(0,$M132-$L132))</f>
        <v/>
      </c>
      <c r="X132" s="34" t="n">
        <f aca="false">IF($E132="","",IF(AND($O132&lt;&gt;"",$L132&lt;&gt;"",$O132&lt;&gt;$L132),1,0))</f>
        <v>0</v>
      </c>
      <c r="Y132" s="34" t="n">
        <f aca="false">IF($E132="","",IF($N132="Cancelada",0,IF(OR($M132&lt;&gt;"",$N132="Concluída"),1,0)))</f>
        <v>0</v>
      </c>
    </row>
    <row r="133" customFormat="false" ht="15" hidden="false" customHeight="true" outlineLevel="0" collapsed="false">
      <c r="A133" s="34" t="n">
        <f aca="false">IF($E133="","",COUNTA($E$5:$E133))</f>
        <v>129</v>
      </c>
      <c r="B133" s="35"/>
      <c r="C133" s="35" t="s">
        <v>114</v>
      </c>
      <c r="D133" s="35" t="s">
        <v>178</v>
      </c>
      <c r="E133" s="35" t="s">
        <v>290</v>
      </c>
      <c r="F133" s="36" t="s">
        <v>68</v>
      </c>
      <c r="G133" s="37" t="s">
        <v>78</v>
      </c>
      <c r="H133" s="37" t="s">
        <v>88</v>
      </c>
      <c r="I133" s="37"/>
      <c r="J133" s="38" t="n">
        <v>46258</v>
      </c>
      <c r="K133" s="39" t="s">
        <v>82</v>
      </c>
      <c r="L133" s="40" t="n">
        <f aca="false">IF(OR($J133="",$K133=""),"",$J133+MATCH($K133,Listas!$F$5:$F$11,0)-1)</f>
        <v>46261</v>
      </c>
      <c r="M133" s="41"/>
      <c r="N133" s="36"/>
      <c r="O133" s="41"/>
      <c r="P133" s="35"/>
      <c r="Q133" s="35" t="s">
        <v>287</v>
      </c>
      <c r="R133" s="42" t="str">
        <f aca="true">IF($E133="","",IF($N133="Cancelada","Cancelada",IF(OR($M133&lt;&gt;"",$N133="Concluída"),IF(OR($L133="",$M133="",$M133&lt;=$L133),"Concluída","Concluída com atraso"),IF($L133="","Na carteira",IF($L133&lt;TODAY(),"VENCIDA",IF($N133="Em execução","Em execução",IF($L133=TODAY(),"Hoje","Programada")))))))</f>
        <v>Hoje</v>
      </c>
      <c r="S133" s="34" t="str">
        <f aca="false">IF($E133="","",IF(ISNUMBER(SEARCH("(externo)",$G133&amp;$H133&amp;$I133)),"Terceirizada","Interna"))</f>
        <v>Interna</v>
      </c>
      <c r="T133" s="40" t="n">
        <f aca="false">IF($L133="","",IF($O133="",$L133,$O133))</f>
        <v>46261</v>
      </c>
      <c r="U133" s="34" t="n">
        <f aca="false">IF($E133="","",IF(OR($M133="",$L133=""),0,IF($M133&lt;=$L133,1,0)))</f>
        <v>0</v>
      </c>
      <c r="V133" s="34" t="n">
        <f aca="false">IF($E133="","",IF(OR($M133="",$T133=""),0,IF($M133&lt;=$T133,1,0)))</f>
        <v>0</v>
      </c>
      <c r="W133" s="42" t="str">
        <f aca="false">IF(OR($M133="",$L133=""),"",MAX(0,$M133-$L133))</f>
        <v/>
      </c>
      <c r="X133" s="34" t="n">
        <f aca="false">IF($E133="","",IF(AND($O133&lt;&gt;"",$L133&lt;&gt;"",$O133&lt;&gt;$L133),1,0))</f>
        <v>0</v>
      </c>
      <c r="Y133" s="34" t="n">
        <f aca="false">IF($E133="","",IF($N133="Cancelada",0,IF(OR($M133&lt;&gt;"",$N133="Concluída"),1,0)))</f>
        <v>0</v>
      </c>
    </row>
    <row r="134" customFormat="false" ht="15" hidden="false" customHeight="true" outlineLevel="0" collapsed="false">
      <c r="A134" s="34" t="n">
        <f aca="false">IF($E134="","",COUNTA($E$5:$E134))</f>
        <v>130</v>
      </c>
      <c r="B134" s="35"/>
      <c r="C134" s="35" t="s">
        <v>114</v>
      </c>
      <c r="D134" s="35" t="s">
        <v>178</v>
      </c>
      <c r="E134" s="35" t="s">
        <v>291</v>
      </c>
      <c r="F134" s="36" t="s">
        <v>68</v>
      </c>
      <c r="G134" s="37" t="s">
        <v>78</v>
      </c>
      <c r="H134" s="37" t="s">
        <v>88</v>
      </c>
      <c r="I134" s="37"/>
      <c r="J134" s="38" t="n">
        <v>46258</v>
      </c>
      <c r="K134" s="39" t="s">
        <v>82</v>
      </c>
      <c r="L134" s="40" t="n">
        <f aca="false">IF(OR($J134="",$K134=""),"",$J134+MATCH($K134,Listas!$F$5:$F$11,0)-1)</f>
        <v>46261</v>
      </c>
      <c r="M134" s="41"/>
      <c r="N134" s="36"/>
      <c r="O134" s="41"/>
      <c r="P134" s="35"/>
      <c r="Q134" s="35" t="s">
        <v>287</v>
      </c>
      <c r="R134" s="42" t="str">
        <f aca="true">IF($E134="","",IF($N134="Cancelada","Cancelada",IF(OR($M134&lt;&gt;"",$N134="Concluída"),IF(OR($L134="",$M134="",$M134&lt;=$L134),"Concluída","Concluída com atraso"),IF($L134="","Na carteira",IF($L134&lt;TODAY(),"VENCIDA",IF($N134="Em execução","Em execução",IF($L134=TODAY(),"Hoje","Programada")))))))</f>
        <v>Hoje</v>
      </c>
      <c r="S134" s="34" t="str">
        <f aca="false">IF($E134="","",IF(ISNUMBER(SEARCH("(externo)",$G134&amp;$H134&amp;$I134)),"Terceirizada","Interna"))</f>
        <v>Interna</v>
      </c>
      <c r="T134" s="40" t="n">
        <f aca="false">IF($L134="","",IF($O134="",$L134,$O134))</f>
        <v>46261</v>
      </c>
      <c r="U134" s="34" t="n">
        <f aca="false">IF($E134="","",IF(OR($M134="",$L134=""),0,IF($M134&lt;=$L134,1,0)))</f>
        <v>0</v>
      </c>
      <c r="V134" s="34" t="n">
        <f aca="false">IF($E134="","",IF(OR($M134="",$T134=""),0,IF($M134&lt;=$T134,1,0)))</f>
        <v>0</v>
      </c>
      <c r="W134" s="42" t="str">
        <f aca="false">IF(OR($M134="",$L134=""),"",MAX(0,$M134-$L134))</f>
        <v/>
      </c>
      <c r="X134" s="34" t="n">
        <f aca="false">IF($E134="","",IF(AND($O134&lt;&gt;"",$L134&lt;&gt;"",$O134&lt;&gt;$L134),1,0))</f>
        <v>0</v>
      </c>
      <c r="Y134" s="34" t="n">
        <f aca="false">IF($E134="","",IF($N134="Cancelada",0,IF(OR($M134&lt;&gt;"",$N134="Concluída"),1,0)))</f>
        <v>0</v>
      </c>
    </row>
    <row r="135" customFormat="false" ht="15" hidden="false" customHeight="true" outlineLevel="0" collapsed="false">
      <c r="A135" s="34" t="n">
        <f aca="false">IF($E135="","",COUNTA($E$5:$E135))</f>
        <v>131</v>
      </c>
      <c r="B135" s="35"/>
      <c r="C135" s="35" t="s">
        <v>115</v>
      </c>
      <c r="D135" s="35" t="s">
        <v>292</v>
      </c>
      <c r="E135" s="35" t="s">
        <v>293</v>
      </c>
      <c r="F135" s="36" t="s">
        <v>62</v>
      </c>
      <c r="G135" s="37" t="s">
        <v>96</v>
      </c>
      <c r="H135" s="37"/>
      <c r="I135" s="37"/>
      <c r="J135" s="38" t="n">
        <v>46258</v>
      </c>
      <c r="K135" s="39" t="s">
        <v>65</v>
      </c>
      <c r="L135" s="40" t="n">
        <f aca="false">IF(OR($J135="",$K135=""),"",$J135+MATCH($K135,Listas!$F$5:$F$11,0)-1)</f>
        <v>46258</v>
      </c>
      <c r="M135" s="41"/>
      <c r="N135" s="36" t="s">
        <v>63</v>
      </c>
      <c r="O135" s="41"/>
      <c r="P135" s="35"/>
      <c r="Q135" s="35"/>
      <c r="R135" s="42" t="str">
        <f aca="true">IF($E135="","",IF($N135="Cancelada","Cancelada",IF(OR($M135&lt;&gt;"",$N135="Concluída"),IF(OR($L135="",$M135="",$M135&lt;=$L135),"Concluída","Concluída com atraso"),IF($L135="","Na carteira",IF($L135&lt;TODAY(),"VENCIDA",IF($N135="Em execução","Em execução",IF($L135=TODAY(),"Hoje","Programada")))))))</f>
        <v>Concluída</v>
      </c>
      <c r="S135" s="34" t="str">
        <f aca="false">IF($E135="","",IF(ISNUMBER(SEARCH("(externo)",$G135&amp;$H135&amp;$I135)),"Terceirizada","Interna"))</f>
        <v>Interna</v>
      </c>
      <c r="T135" s="40" t="n">
        <f aca="false">IF($L135="","",IF($O135="",$L135,$O135))</f>
        <v>46258</v>
      </c>
      <c r="U135" s="34" t="n">
        <f aca="false">IF($E135="","",IF(OR($M135="",$L135=""),0,IF($M135&lt;=$L135,1,0)))</f>
        <v>0</v>
      </c>
      <c r="V135" s="34" t="n">
        <f aca="false">IF($E135="","",IF(OR($M135="",$T135=""),0,IF($M135&lt;=$T135,1,0)))</f>
        <v>0</v>
      </c>
      <c r="W135" s="42" t="str">
        <f aca="false">IF(OR($M135="",$L135=""),"",MAX(0,$M135-$L135))</f>
        <v/>
      </c>
      <c r="X135" s="34" t="n">
        <f aca="false">IF($E135="","",IF(AND($O135&lt;&gt;"",$L135&lt;&gt;"",$O135&lt;&gt;$L135),1,0))</f>
        <v>0</v>
      </c>
      <c r="Y135" s="34" t="n">
        <f aca="false">IF($E135="","",IF($N135="Cancelada",0,IF(OR($M135&lt;&gt;"",$N135="Concluída"),1,0)))</f>
        <v>1</v>
      </c>
    </row>
    <row r="136" customFormat="false" ht="15" hidden="false" customHeight="true" outlineLevel="0" collapsed="false">
      <c r="A136" s="34" t="n">
        <f aca="false">IF($E136="","",COUNTA($E$5:$E136))</f>
        <v>132</v>
      </c>
      <c r="B136" s="35"/>
      <c r="C136" s="35" t="s">
        <v>115</v>
      </c>
      <c r="D136" s="35" t="s">
        <v>292</v>
      </c>
      <c r="E136" s="35" t="s">
        <v>294</v>
      </c>
      <c r="F136" s="36" t="s">
        <v>62</v>
      </c>
      <c r="G136" s="37" t="s">
        <v>96</v>
      </c>
      <c r="H136" s="37"/>
      <c r="I136" s="37"/>
      <c r="J136" s="38" t="n">
        <v>46258</v>
      </c>
      <c r="K136" s="39" t="s">
        <v>65</v>
      </c>
      <c r="L136" s="40" t="n">
        <f aca="false">IF(OR($J136="",$K136=""),"",$J136+MATCH($K136,Listas!$F$5:$F$11,0)-1)</f>
        <v>46258</v>
      </c>
      <c r="M136" s="41"/>
      <c r="N136" s="36" t="s">
        <v>63</v>
      </c>
      <c r="O136" s="41"/>
      <c r="P136" s="35"/>
      <c r="Q136" s="35"/>
      <c r="R136" s="42" t="str">
        <f aca="true">IF($E136="","",IF($N136="Cancelada","Cancelada",IF(OR($M136&lt;&gt;"",$N136="Concluída"),IF(OR($L136="",$M136="",$M136&lt;=$L136),"Concluída","Concluída com atraso"),IF($L136="","Na carteira",IF($L136&lt;TODAY(),"VENCIDA",IF($N136="Em execução","Em execução",IF($L136=TODAY(),"Hoje","Programada")))))))</f>
        <v>Concluída</v>
      </c>
      <c r="S136" s="34" t="str">
        <f aca="false">IF($E136="","",IF(ISNUMBER(SEARCH("(externo)",$G136&amp;$H136&amp;$I136)),"Terceirizada","Interna"))</f>
        <v>Interna</v>
      </c>
      <c r="T136" s="40" t="n">
        <f aca="false">IF($L136="","",IF($O136="",$L136,$O136))</f>
        <v>46258</v>
      </c>
      <c r="U136" s="34" t="n">
        <f aca="false">IF($E136="","",IF(OR($M136="",$L136=""),0,IF($M136&lt;=$L136,1,0)))</f>
        <v>0</v>
      </c>
      <c r="V136" s="34" t="n">
        <f aca="false">IF($E136="","",IF(OR($M136="",$T136=""),0,IF($M136&lt;=$T136,1,0)))</f>
        <v>0</v>
      </c>
      <c r="W136" s="42" t="str">
        <f aca="false">IF(OR($M136="",$L136=""),"",MAX(0,$M136-$L136))</f>
        <v/>
      </c>
      <c r="X136" s="34" t="n">
        <f aca="false">IF($E136="","",IF(AND($O136&lt;&gt;"",$L136&lt;&gt;"",$O136&lt;&gt;$L136),1,0))</f>
        <v>0</v>
      </c>
      <c r="Y136" s="34" t="n">
        <f aca="false">IF($E136="","",IF($N136="Cancelada",0,IF(OR($M136&lt;&gt;"",$N136="Concluída"),1,0)))</f>
        <v>1</v>
      </c>
    </row>
    <row r="137" customFormat="false" ht="15" hidden="false" customHeight="true" outlineLevel="0" collapsed="false">
      <c r="A137" s="34" t="n">
        <f aca="false">IF($E137="","",COUNTA($E$5:$E137))</f>
        <v>133</v>
      </c>
      <c r="B137" s="35"/>
      <c r="C137" s="35" t="s">
        <v>115</v>
      </c>
      <c r="D137" s="35" t="s">
        <v>292</v>
      </c>
      <c r="E137" s="35" t="s">
        <v>295</v>
      </c>
      <c r="F137" s="36" t="s">
        <v>62</v>
      </c>
      <c r="G137" s="37" t="s">
        <v>96</v>
      </c>
      <c r="H137" s="37"/>
      <c r="I137" s="37"/>
      <c r="J137" s="38" t="n">
        <v>46258</v>
      </c>
      <c r="K137" s="39" t="s">
        <v>65</v>
      </c>
      <c r="L137" s="40" t="n">
        <f aca="false">IF(OR($J137="",$K137=""),"",$J137+MATCH($K137,Listas!$F$5:$F$11,0)-1)</f>
        <v>46258</v>
      </c>
      <c r="M137" s="41"/>
      <c r="N137" s="36" t="s">
        <v>63</v>
      </c>
      <c r="O137" s="41"/>
      <c r="P137" s="35"/>
      <c r="Q137" s="35"/>
      <c r="R137" s="42" t="str">
        <f aca="true">IF($E137="","",IF($N137="Cancelada","Cancelada",IF(OR($M137&lt;&gt;"",$N137="Concluída"),IF(OR($L137="",$M137="",$M137&lt;=$L137),"Concluída","Concluída com atraso"),IF($L137="","Na carteira",IF($L137&lt;TODAY(),"VENCIDA",IF($N137="Em execução","Em execução",IF($L137=TODAY(),"Hoje","Programada")))))))</f>
        <v>Concluída</v>
      </c>
      <c r="S137" s="34" t="str">
        <f aca="false">IF($E137="","",IF(ISNUMBER(SEARCH("(externo)",$G137&amp;$H137&amp;$I137)),"Terceirizada","Interna"))</f>
        <v>Interna</v>
      </c>
      <c r="T137" s="40" t="n">
        <f aca="false">IF($L137="","",IF($O137="",$L137,$O137))</f>
        <v>46258</v>
      </c>
      <c r="U137" s="34" t="n">
        <f aca="false">IF($E137="","",IF(OR($M137="",$L137=""),0,IF($M137&lt;=$L137,1,0)))</f>
        <v>0</v>
      </c>
      <c r="V137" s="34" t="n">
        <f aca="false">IF($E137="","",IF(OR($M137="",$T137=""),0,IF($M137&lt;=$T137,1,0)))</f>
        <v>0</v>
      </c>
      <c r="W137" s="42" t="str">
        <f aca="false">IF(OR($M137="",$L137=""),"",MAX(0,$M137-$L137))</f>
        <v/>
      </c>
      <c r="X137" s="34" t="n">
        <f aca="false">IF($E137="","",IF(AND($O137&lt;&gt;"",$L137&lt;&gt;"",$O137&lt;&gt;$L137),1,0))</f>
        <v>0</v>
      </c>
      <c r="Y137" s="34" t="n">
        <f aca="false">IF($E137="","",IF($N137="Cancelada",0,IF(OR($M137&lt;&gt;"",$N137="Concluída"),1,0)))</f>
        <v>1</v>
      </c>
    </row>
    <row r="138" customFormat="false" ht="15" hidden="false" customHeight="true" outlineLevel="0" collapsed="false">
      <c r="A138" s="34" t="n">
        <f aca="false">IF($E138="","",COUNTA($E$5:$E138))</f>
        <v>134</v>
      </c>
      <c r="B138" s="35" t="s">
        <v>296</v>
      </c>
      <c r="C138" s="35" t="s">
        <v>116</v>
      </c>
      <c r="D138" s="35" t="s">
        <v>297</v>
      </c>
      <c r="E138" s="35" t="s">
        <v>297</v>
      </c>
      <c r="F138" s="36" t="s">
        <v>62</v>
      </c>
      <c r="G138" s="37" t="s">
        <v>88</v>
      </c>
      <c r="H138" s="37"/>
      <c r="I138" s="37"/>
      <c r="J138" s="38" t="n">
        <v>46258</v>
      </c>
      <c r="K138" s="39" t="s">
        <v>82</v>
      </c>
      <c r="L138" s="40" t="n">
        <f aca="false">IF(OR($J138="",$K138=""),"",$J138+MATCH($K138,Listas!$F$5:$F$11,0)-1)</f>
        <v>46261</v>
      </c>
      <c r="M138" s="41"/>
      <c r="N138" s="36"/>
      <c r="O138" s="41"/>
      <c r="P138" s="35"/>
      <c r="Q138" s="35"/>
      <c r="R138" s="42" t="str">
        <f aca="true">IF($E138="","",IF($N138="Cancelada","Cancelada",IF(OR($M138&lt;&gt;"",$N138="Concluída"),IF(OR($L138="",$M138="",$M138&lt;=$L138),"Concluída","Concluída com atraso"),IF($L138="","Na carteira",IF($L138&lt;TODAY(),"VENCIDA",IF($N138="Em execução","Em execução",IF($L138=TODAY(),"Hoje","Programada")))))))</f>
        <v>Hoje</v>
      </c>
      <c r="S138" s="34" t="str">
        <f aca="false">IF($E138="","",IF(ISNUMBER(SEARCH("(externo)",$G138&amp;$H138&amp;$I138)),"Terceirizada","Interna"))</f>
        <v>Interna</v>
      </c>
      <c r="T138" s="40" t="n">
        <f aca="false">IF($L138="","",IF($O138="",$L138,$O138))</f>
        <v>46261</v>
      </c>
      <c r="U138" s="34" t="n">
        <f aca="false">IF($E138="","",IF(OR($M138="",$L138=""),0,IF($M138&lt;=$L138,1,0)))</f>
        <v>0</v>
      </c>
      <c r="V138" s="34" t="n">
        <f aca="false">IF($E138="","",IF(OR($M138="",$T138=""),0,IF($M138&lt;=$T138,1,0)))</f>
        <v>0</v>
      </c>
      <c r="W138" s="42" t="str">
        <f aca="false">IF(OR($M138="",$L138=""),"",MAX(0,$M138-$L138))</f>
        <v/>
      </c>
      <c r="X138" s="34" t="n">
        <f aca="false">IF($E138="","",IF(AND($O138&lt;&gt;"",$L138&lt;&gt;"",$O138&lt;&gt;$L138),1,0))</f>
        <v>0</v>
      </c>
      <c r="Y138" s="34" t="n">
        <f aca="false">IF($E138="","",IF($N138="Cancelada",0,IF(OR($M138&lt;&gt;"",$N138="Concluída"),1,0)))</f>
        <v>0</v>
      </c>
    </row>
    <row r="139" customFormat="false" ht="15" hidden="false" customHeight="true" outlineLevel="0" collapsed="false">
      <c r="A139" s="34" t="n">
        <f aca="false">IF($E139="","",COUNTA($E$5:$E139))</f>
        <v>135</v>
      </c>
      <c r="B139" s="35" t="s">
        <v>296</v>
      </c>
      <c r="C139" s="35" t="s">
        <v>116</v>
      </c>
      <c r="D139" s="35" t="s">
        <v>297</v>
      </c>
      <c r="E139" s="35" t="s">
        <v>298</v>
      </c>
      <c r="F139" s="36" t="s">
        <v>62</v>
      </c>
      <c r="G139" s="37" t="s">
        <v>88</v>
      </c>
      <c r="H139" s="37"/>
      <c r="I139" s="37"/>
      <c r="J139" s="38" t="n">
        <v>46258</v>
      </c>
      <c r="K139" s="39" t="s">
        <v>82</v>
      </c>
      <c r="L139" s="40" t="n">
        <f aca="false">IF(OR($J139="",$K139=""),"",$J139+MATCH($K139,Listas!$F$5:$F$11,0)-1)</f>
        <v>46261</v>
      </c>
      <c r="M139" s="41"/>
      <c r="N139" s="36"/>
      <c r="O139" s="41"/>
      <c r="P139" s="35"/>
      <c r="Q139" s="35"/>
      <c r="R139" s="42" t="str">
        <f aca="true">IF($E139="","",IF($N139="Cancelada","Cancelada",IF(OR($M139&lt;&gt;"",$N139="Concluída"),IF(OR($L139="",$M139="",$M139&lt;=$L139),"Concluída","Concluída com atraso"),IF($L139="","Na carteira",IF($L139&lt;TODAY(),"VENCIDA",IF($N139="Em execução","Em execução",IF($L139=TODAY(),"Hoje","Programada")))))))</f>
        <v>Hoje</v>
      </c>
      <c r="S139" s="34" t="str">
        <f aca="false">IF($E139="","",IF(ISNUMBER(SEARCH("(externo)",$G139&amp;$H139&amp;$I139)),"Terceirizada","Interna"))</f>
        <v>Interna</v>
      </c>
      <c r="T139" s="40" t="n">
        <f aca="false">IF($L139="","",IF($O139="",$L139,$O139))</f>
        <v>46261</v>
      </c>
      <c r="U139" s="34" t="n">
        <f aca="false">IF($E139="","",IF(OR($M139="",$L139=""),0,IF($M139&lt;=$L139,1,0)))</f>
        <v>0</v>
      </c>
      <c r="V139" s="34" t="n">
        <f aca="false">IF($E139="","",IF(OR($M139="",$T139=""),0,IF($M139&lt;=$T139,1,0)))</f>
        <v>0</v>
      </c>
      <c r="W139" s="42" t="str">
        <f aca="false">IF(OR($M139="",$L139=""),"",MAX(0,$M139-$L139))</f>
        <v/>
      </c>
      <c r="X139" s="34" t="n">
        <f aca="false">IF($E139="","",IF(AND($O139&lt;&gt;"",$L139&lt;&gt;"",$O139&lt;&gt;$L139),1,0))</f>
        <v>0</v>
      </c>
      <c r="Y139" s="34" t="n">
        <f aca="false">IF($E139="","",IF($N139="Cancelada",0,IF(OR($M139&lt;&gt;"",$N139="Concluída"),1,0)))</f>
        <v>0</v>
      </c>
    </row>
    <row r="140" customFormat="false" ht="15" hidden="false" customHeight="true" outlineLevel="0" collapsed="false">
      <c r="A140" s="34" t="n">
        <f aca="false">IF($E140="","",COUNTA($E$5:$E140))</f>
        <v>136</v>
      </c>
      <c r="B140" s="35" t="s">
        <v>296</v>
      </c>
      <c r="C140" s="35" t="s">
        <v>116</v>
      </c>
      <c r="D140" s="35" t="s">
        <v>297</v>
      </c>
      <c r="E140" s="35" t="s">
        <v>299</v>
      </c>
      <c r="F140" s="36" t="s">
        <v>62</v>
      </c>
      <c r="G140" s="37" t="s">
        <v>88</v>
      </c>
      <c r="H140" s="37"/>
      <c r="I140" s="37"/>
      <c r="J140" s="38" t="n">
        <v>46258</v>
      </c>
      <c r="K140" s="39" t="s">
        <v>82</v>
      </c>
      <c r="L140" s="40" t="n">
        <f aca="false">IF(OR($J140="",$K140=""),"",$J140+MATCH($K140,Listas!$F$5:$F$11,0)-1)</f>
        <v>46261</v>
      </c>
      <c r="M140" s="41"/>
      <c r="N140" s="36"/>
      <c r="O140" s="41"/>
      <c r="P140" s="35"/>
      <c r="Q140" s="35"/>
      <c r="R140" s="42" t="str">
        <f aca="true">IF($E140="","",IF($N140="Cancelada","Cancelada",IF(OR($M140&lt;&gt;"",$N140="Concluída"),IF(OR($L140="",$M140="",$M140&lt;=$L140),"Concluída","Concluída com atraso"),IF($L140="","Na carteira",IF($L140&lt;TODAY(),"VENCIDA",IF($N140="Em execução","Em execução",IF($L140=TODAY(),"Hoje","Programada")))))))</f>
        <v>Hoje</v>
      </c>
      <c r="S140" s="34" t="str">
        <f aca="false">IF($E140="","",IF(ISNUMBER(SEARCH("(externo)",$G140&amp;$H140&amp;$I140)),"Terceirizada","Interna"))</f>
        <v>Interna</v>
      </c>
      <c r="T140" s="40" t="n">
        <f aca="false">IF($L140="","",IF($O140="",$L140,$O140))</f>
        <v>46261</v>
      </c>
      <c r="U140" s="34" t="n">
        <f aca="false">IF($E140="","",IF(OR($M140="",$L140=""),0,IF($M140&lt;=$L140,1,0)))</f>
        <v>0</v>
      </c>
      <c r="V140" s="34" t="n">
        <f aca="false">IF($E140="","",IF(OR($M140="",$T140=""),0,IF($M140&lt;=$T140,1,0)))</f>
        <v>0</v>
      </c>
      <c r="W140" s="42" t="str">
        <f aca="false">IF(OR($M140="",$L140=""),"",MAX(0,$M140-$L140))</f>
        <v/>
      </c>
      <c r="X140" s="34" t="n">
        <f aca="false">IF($E140="","",IF(AND($O140&lt;&gt;"",$L140&lt;&gt;"",$O140&lt;&gt;$L140),1,0))</f>
        <v>0</v>
      </c>
      <c r="Y140" s="34" t="n">
        <f aca="false">IF($E140="","",IF($N140="Cancelada",0,IF(OR($M140&lt;&gt;"",$N140="Concluída"),1,0)))</f>
        <v>0</v>
      </c>
    </row>
    <row r="141" customFormat="false" ht="15" hidden="false" customHeight="true" outlineLevel="0" collapsed="false">
      <c r="A141" s="34" t="n">
        <f aca="false">IF($E141="","",COUNTA($E$5:$E141))</f>
        <v>137</v>
      </c>
      <c r="B141" s="35" t="s">
        <v>300</v>
      </c>
      <c r="C141" s="35" t="s">
        <v>117</v>
      </c>
      <c r="D141" s="35" t="s">
        <v>301</v>
      </c>
      <c r="E141" s="35" t="s">
        <v>302</v>
      </c>
      <c r="F141" s="36" t="s">
        <v>62</v>
      </c>
      <c r="G141" s="37" t="s">
        <v>99</v>
      </c>
      <c r="H141" s="37"/>
      <c r="I141" s="37"/>
      <c r="J141" s="38" t="n">
        <v>46258</v>
      </c>
      <c r="K141" s="39" t="s">
        <v>77</v>
      </c>
      <c r="L141" s="40" t="n">
        <f aca="false">IF(OR($J141="",$K141=""),"",$J141+MATCH($K141,Listas!$F$5:$F$11,0)-1)</f>
        <v>46260</v>
      </c>
      <c r="M141" s="41"/>
      <c r="N141" s="36" t="s">
        <v>69</v>
      </c>
      <c r="O141" s="41"/>
      <c r="P141" s="35"/>
      <c r="Q141" s="35"/>
      <c r="R141" s="42" t="str">
        <f aca="true">IF($E141="","",IF($N141="Cancelada","Cancelada",IF(OR($M141&lt;&gt;"",$N141="Concluída"),IF(OR($L141="",$M141="",$M141&lt;=$L141),"Concluída","Concluída com atraso"),IF($L141="","Na carteira",IF($L141&lt;TODAY(),"VENCIDA",IF($N141="Em execução","Em execução",IF($L141=TODAY(),"Hoje","Programada")))))))</f>
        <v>VENCIDA</v>
      </c>
      <c r="S141" s="34" t="str">
        <f aca="false">IF($E141="","",IF(ISNUMBER(SEARCH("(externo)",$G141&amp;$H141&amp;$I141)),"Terceirizada","Interna"))</f>
        <v>Terceirizada</v>
      </c>
      <c r="T141" s="40" t="n">
        <f aca="false">IF($L141="","",IF($O141="",$L141,$O141))</f>
        <v>46260</v>
      </c>
      <c r="U141" s="34" t="n">
        <f aca="false">IF($E141="","",IF(OR($M141="",$L141=""),0,IF($M141&lt;=$L141,1,0)))</f>
        <v>0</v>
      </c>
      <c r="V141" s="34" t="n">
        <f aca="false">IF($E141="","",IF(OR($M141="",$T141=""),0,IF($M141&lt;=$T141,1,0)))</f>
        <v>0</v>
      </c>
      <c r="W141" s="42" t="str">
        <f aca="false">IF(OR($M141="",$L141=""),"",MAX(0,$M141-$L141))</f>
        <v/>
      </c>
      <c r="X141" s="34" t="n">
        <f aca="false">IF($E141="","",IF(AND($O141&lt;&gt;"",$L141&lt;&gt;"",$O141&lt;&gt;$L141),1,0))</f>
        <v>0</v>
      </c>
      <c r="Y141" s="34" t="n">
        <f aca="false">IF($E141="","",IF($N141="Cancelada",0,IF(OR($M141&lt;&gt;"",$N141="Concluída"),1,0)))</f>
        <v>0</v>
      </c>
    </row>
    <row r="142" customFormat="false" ht="15" hidden="false" customHeight="true" outlineLevel="0" collapsed="false">
      <c r="A142" s="34" t="n">
        <f aca="false">IF($E142="","",COUNTA($E$5:$E142))</f>
        <v>138</v>
      </c>
      <c r="B142" s="35" t="s">
        <v>300</v>
      </c>
      <c r="C142" s="35" t="s">
        <v>117</v>
      </c>
      <c r="D142" s="35" t="s">
        <v>301</v>
      </c>
      <c r="E142" s="35" t="s">
        <v>303</v>
      </c>
      <c r="F142" s="36" t="s">
        <v>62</v>
      </c>
      <c r="G142" s="37" t="s">
        <v>99</v>
      </c>
      <c r="H142" s="37"/>
      <c r="I142" s="37"/>
      <c r="J142" s="38" t="n">
        <v>46258</v>
      </c>
      <c r="K142" s="39" t="s">
        <v>77</v>
      </c>
      <c r="L142" s="40" t="n">
        <f aca="false">IF(OR($J142="",$K142=""),"",$J142+MATCH($K142,Listas!$F$5:$F$11,0)-1)</f>
        <v>46260</v>
      </c>
      <c r="M142" s="41"/>
      <c r="N142" s="36" t="s">
        <v>69</v>
      </c>
      <c r="O142" s="41"/>
      <c r="P142" s="35"/>
      <c r="Q142" s="35"/>
      <c r="R142" s="42" t="str">
        <f aca="true">IF($E142="","",IF($N142="Cancelada","Cancelada",IF(OR($M142&lt;&gt;"",$N142="Concluída"),IF(OR($L142="",$M142="",$M142&lt;=$L142),"Concluída","Concluída com atraso"),IF($L142="","Na carteira",IF($L142&lt;TODAY(),"VENCIDA",IF($N142="Em execução","Em execução",IF($L142=TODAY(),"Hoje","Programada")))))))</f>
        <v>VENCIDA</v>
      </c>
      <c r="S142" s="34" t="str">
        <f aca="false">IF($E142="","",IF(ISNUMBER(SEARCH("(externo)",$G142&amp;$H142&amp;$I142)),"Terceirizada","Interna"))</f>
        <v>Terceirizada</v>
      </c>
      <c r="T142" s="40" t="n">
        <f aca="false">IF($L142="","",IF($O142="",$L142,$O142))</f>
        <v>46260</v>
      </c>
      <c r="U142" s="34" t="n">
        <f aca="false">IF($E142="","",IF(OR($M142="",$L142=""),0,IF($M142&lt;=$L142,1,0)))</f>
        <v>0</v>
      </c>
      <c r="V142" s="34" t="n">
        <f aca="false">IF($E142="","",IF(OR($M142="",$T142=""),0,IF($M142&lt;=$T142,1,0)))</f>
        <v>0</v>
      </c>
      <c r="W142" s="42" t="str">
        <f aca="false">IF(OR($M142="",$L142=""),"",MAX(0,$M142-$L142))</f>
        <v/>
      </c>
      <c r="X142" s="34" t="n">
        <f aca="false">IF($E142="","",IF(AND($O142&lt;&gt;"",$L142&lt;&gt;"",$O142&lt;&gt;$L142),1,0))</f>
        <v>0</v>
      </c>
      <c r="Y142" s="34" t="n">
        <f aca="false">IF($E142="","",IF($N142="Cancelada",0,IF(OR($M142&lt;&gt;"",$N142="Concluída"),1,0)))</f>
        <v>0</v>
      </c>
    </row>
    <row r="143" customFormat="false" ht="15" hidden="false" customHeight="true" outlineLevel="0" collapsed="false">
      <c r="A143" s="34" t="n">
        <f aca="false">IF($E143="","",COUNTA($E$5:$E143))</f>
        <v>139</v>
      </c>
      <c r="B143" s="35" t="s">
        <v>300</v>
      </c>
      <c r="C143" s="35" t="s">
        <v>117</v>
      </c>
      <c r="D143" s="35" t="s">
        <v>301</v>
      </c>
      <c r="E143" s="35" t="s">
        <v>304</v>
      </c>
      <c r="F143" s="36" t="s">
        <v>62</v>
      </c>
      <c r="G143" s="37" t="s">
        <v>99</v>
      </c>
      <c r="H143" s="37"/>
      <c r="I143" s="37"/>
      <c r="J143" s="38" t="n">
        <v>46258</v>
      </c>
      <c r="K143" s="39" t="s">
        <v>77</v>
      </c>
      <c r="L143" s="40" t="n">
        <f aca="false">IF(OR($J143="",$K143=""),"",$J143+MATCH($K143,Listas!$F$5:$F$11,0)-1)</f>
        <v>46260</v>
      </c>
      <c r="M143" s="41"/>
      <c r="N143" s="36" t="s">
        <v>69</v>
      </c>
      <c r="O143" s="41"/>
      <c r="P143" s="35"/>
      <c r="Q143" s="35"/>
      <c r="R143" s="42" t="str">
        <f aca="true">IF($E143="","",IF($N143="Cancelada","Cancelada",IF(OR($M143&lt;&gt;"",$N143="Concluída"),IF(OR($L143="",$M143="",$M143&lt;=$L143),"Concluída","Concluída com atraso"),IF($L143="","Na carteira",IF($L143&lt;TODAY(),"VENCIDA",IF($N143="Em execução","Em execução",IF($L143=TODAY(),"Hoje","Programada")))))))</f>
        <v>VENCIDA</v>
      </c>
      <c r="S143" s="34" t="str">
        <f aca="false">IF($E143="","",IF(ISNUMBER(SEARCH("(externo)",$G143&amp;$H143&amp;$I143)),"Terceirizada","Interna"))</f>
        <v>Terceirizada</v>
      </c>
      <c r="T143" s="40" t="n">
        <f aca="false">IF($L143="","",IF($O143="",$L143,$O143))</f>
        <v>46260</v>
      </c>
      <c r="U143" s="34" t="n">
        <f aca="false">IF($E143="","",IF(OR($M143="",$L143=""),0,IF($M143&lt;=$L143,1,0)))</f>
        <v>0</v>
      </c>
      <c r="V143" s="34" t="n">
        <f aca="false">IF($E143="","",IF(OR($M143="",$T143=""),0,IF($M143&lt;=$T143,1,0)))</f>
        <v>0</v>
      </c>
      <c r="W143" s="42" t="str">
        <f aca="false">IF(OR($M143="",$L143=""),"",MAX(0,$M143-$L143))</f>
        <v/>
      </c>
      <c r="X143" s="34" t="n">
        <f aca="false">IF($E143="","",IF(AND($O143&lt;&gt;"",$L143&lt;&gt;"",$O143&lt;&gt;$L143),1,0))</f>
        <v>0</v>
      </c>
      <c r="Y143" s="34" t="n">
        <f aca="false">IF($E143="","",IF($N143="Cancelada",0,IF(OR($M143&lt;&gt;"",$N143="Concluída"),1,0)))</f>
        <v>0</v>
      </c>
    </row>
    <row r="144" customFormat="false" ht="15" hidden="false" customHeight="true" outlineLevel="0" collapsed="false">
      <c r="A144" s="34" t="n">
        <f aca="false">IF($E144="","",COUNTA($E$5:$E144))</f>
        <v>140</v>
      </c>
      <c r="B144" s="35" t="s">
        <v>300</v>
      </c>
      <c r="C144" s="35" t="s">
        <v>117</v>
      </c>
      <c r="D144" s="35" t="s">
        <v>301</v>
      </c>
      <c r="E144" s="35" t="s">
        <v>305</v>
      </c>
      <c r="F144" s="36" t="s">
        <v>62</v>
      </c>
      <c r="G144" s="37" t="s">
        <v>99</v>
      </c>
      <c r="H144" s="37"/>
      <c r="I144" s="37"/>
      <c r="J144" s="38" t="n">
        <v>46258</v>
      </c>
      <c r="K144" s="39" t="s">
        <v>77</v>
      </c>
      <c r="L144" s="40" t="n">
        <f aca="false">IF(OR($J144="",$K144=""),"",$J144+MATCH($K144,Listas!$F$5:$F$11,0)-1)</f>
        <v>46260</v>
      </c>
      <c r="M144" s="41"/>
      <c r="N144" s="36" t="s">
        <v>69</v>
      </c>
      <c r="O144" s="41"/>
      <c r="P144" s="35"/>
      <c r="Q144" s="35"/>
      <c r="R144" s="42" t="str">
        <f aca="true">IF($E144="","",IF($N144="Cancelada","Cancelada",IF(OR($M144&lt;&gt;"",$N144="Concluída"),IF(OR($L144="",$M144="",$M144&lt;=$L144),"Concluída","Concluída com atraso"),IF($L144="","Na carteira",IF($L144&lt;TODAY(),"VENCIDA",IF($N144="Em execução","Em execução",IF($L144=TODAY(),"Hoje","Programada")))))))</f>
        <v>VENCIDA</v>
      </c>
      <c r="S144" s="34" t="str">
        <f aca="false">IF($E144="","",IF(ISNUMBER(SEARCH("(externo)",$G144&amp;$H144&amp;$I144)),"Terceirizada","Interna"))</f>
        <v>Terceirizada</v>
      </c>
      <c r="T144" s="40" t="n">
        <f aca="false">IF($L144="","",IF($O144="",$L144,$O144))</f>
        <v>46260</v>
      </c>
      <c r="U144" s="34" t="n">
        <f aca="false">IF($E144="","",IF(OR($M144="",$L144=""),0,IF($M144&lt;=$L144,1,0)))</f>
        <v>0</v>
      </c>
      <c r="V144" s="34" t="n">
        <f aca="false">IF($E144="","",IF(OR($M144="",$T144=""),0,IF($M144&lt;=$T144,1,0)))</f>
        <v>0</v>
      </c>
      <c r="W144" s="42" t="str">
        <f aca="false">IF(OR($M144="",$L144=""),"",MAX(0,$M144-$L144))</f>
        <v/>
      </c>
      <c r="X144" s="34" t="n">
        <f aca="false">IF($E144="","",IF(AND($O144&lt;&gt;"",$L144&lt;&gt;"",$O144&lt;&gt;$L144),1,0))</f>
        <v>0</v>
      </c>
      <c r="Y144" s="34" t="n">
        <f aca="false">IF($E144="","",IF($N144="Cancelada",0,IF(OR($M144&lt;&gt;"",$N144="Concluída"),1,0)))</f>
        <v>0</v>
      </c>
    </row>
    <row r="145" customFormat="false" ht="15" hidden="false" customHeight="true" outlineLevel="0" collapsed="false">
      <c r="A145" s="34" t="n">
        <f aca="false">IF($E145="","",COUNTA($E$5:$E145))</f>
        <v>141</v>
      </c>
      <c r="B145" s="35" t="s">
        <v>300</v>
      </c>
      <c r="C145" s="35" t="s">
        <v>117</v>
      </c>
      <c r="D145" s="35" t="s">
        <v>301</v>
      </c>
      <c r="E145" s="35" t="s">
        <v>306</v>
      </c>
      <c r="F145" s="36" t="s">
        <v>62</v>
      </c>
      <c r="G145" s="37" t="s">
        <v>99</v>
      </c>
      <c r="H145" s="37"/>
      <c r="I145" s="37"/>
      <c r="J145" s="38" t="n">
        <v>46258</v>
      </c>
      <c r="K145" s="39" t="s">
        <v>77</v>
      </c>
      <c r="L145" s="40" t="n">
        <f aca="false">IF(OR($J145="",$K145=""),"",$J145+MATCH($K145,Listas!$F$5:$F$11,0)-1)</f>
        <v>46260</v>
      </c>
      <c r="M145" s="41"/>
      <c r="N145" s="36" t="s">
        <v>69</v>
      </c>
      <c r="O145" s="41"/>
      <c r="P145" s="35"/>
      <c r="Q145" s="35"/>
      <c r="R145" s="42" t="str">
        <f aca="true">IF($E145="","",IF($N145="Cancelada","Cancelada",IF(OR($M145&lt;&gt;"",$N145="Concluída"),IF(OR($L145="",$M145="",$M145&lt;=$L145),"Concluída","Concluída com atraso"),IF($L145="","Na carteira",IF($L145&lt;TODAY(),"VENCIDA",IF($N145="Em execução","Em execução",IF($L145=TODAY(),"Hoje","Programada")))))))</f>
        <v>VENCIDA</v>
      </c>
      <c r="S145" s="34" t="str">
        <f aca="false">IF($E145="","",IF(ISNUMBER(SEARCH("(externo)",$G145&amp;$H145&amp;$I145)),"Terceirizada","Interna"))</f>
        <v>Terceirizada</v>
      </c>
      <c r="T145" s="40" t="n">
        <f aca="false">IF($L145="","",IF($O145="",$L145,$O145))</f>
        <v>46260</v>
      </c>
      <c r="U145" s="34" t="n">
        <f aca="false">IF($E145="","",IF(OR($M145="",$L145=""),0,IF($M145&lt;=$L145,1,0)))</f>
        <v>0</v>
      </c>
      <c r="V145" s="34" t="n">
        <f aca="false">IF($E145="","",IF(OR($M145="",$T145=""),0,IF($M145&lt;=$T145,1,0)))</f>
        <v>0</v>
      </c>
      <c r="W145" s="42" t="str">
        <f aca="false">IF(OR($M145="",$L145=""),"",MAX(0,$M145-$L145))</f>
        <v/>
      </c>
      <c r="X145" s="34" t="n">
        <f aca="false">IF($E145="","",IF(AND($O145&lt;&gt;"",$L145&lt;&gt;"",$O145&lt;&gt;$L145),1,0))</f>
        <v>0</v>
      </c>
      <c r="Y145" s="34" t="n">
        <f aca="false">IF($E145="","",IF($N145="Cancelada",0,IF(OR($M145&lt;&gt;"",$N145="Concluída"),1,0)))</f>
        <v>0</v>
      </c>
    </row>
    <row r="146" customFormat="false" ht="15" hidden="false" customHeight="true" outlineLevel="0" collapsed="false">
      <c r="A146" s="34" t="n">
        <f aca="false">IF($E146="","",COUNTA($E$5:$E146))</f>
        <v>142</v>
      </c>
      <c r="B146" s="35" t="s">
        <v>300</v>
      </c>
      <c r="C146" s="35" t="s">
        <v>117</v>
      </c>
      <c r="D146" s="35" t="s">
        <v>301</v>
      </c>
      <c r="E146" s="35" t="s">
        <v>307</v>
      </c>
      <c r="F146" s="36" t="s">
        <v>62</v>
      </c>
      <c r="G146" s="37" t="s">
        <v>99</v>
      </c>
      <c r="H146" s="37"/>
      <c r="I146" s="37"/>
      <c r="J146" s="38" t="n">
        <v>46258</v>
      </c>
      <c r="K146" s="39" t="s">
        <v>77</v>
      </c>
      <c r="L146" s="40" t="n">
        <f aca="false">IF(OR($J146="",$K146=""),"",$J146+MATCH($K146,Listas!$F$5:$F$11,0)-1)</f>
        <v>46260</v>
      </c>
      <c r="M146" s="41"/>
      <c r="N146" s="36" t="s">
        <v>69</v>
      </c>
      <c r="O146" s="41"/>
      <c r="P146" s="35"/>
      <c r="Q146" s="35"/>
      <c r="R146" s="42" t="str">
        <f aca="true">IF($E146="","",IF($N146="Cancelada","Cancelada",IF(OR($M146&lt;&gt;"",$N146="Concluída"),IF(OR($L146="",$M146="",$M146&lt;=$L146),"Concluída","Concluída com atraso"),IF($L146="","Na carteira",IF($L146&lt;TODAY(),"VENCIDA",IF($N146="Em execução","Em execução",IF($L146=TODAY(),"Hoje","Programada")))))))</f>
        <v>VENCIDA</v>
      </c>
      <c r="S146" s="34" t="str">
        <f aca="false">IF($E146="","",IF(ISNUMBER(SEARCH("(externo)",$G146&amp;$H146&amp;$I146)),"Terceirizada","Interna"))</f>
        <v>Terceirizada</v>
      </c>
      <c r="T146" s="40" t="n">
        <f aca="false">IF($L146="","",IF($O146="",$L146,$O146))</f>
        <v>46260</v>
      </c>
      <c r="U146" s="34" t="n">
        <f aca="false">IF($E146="","",IF(OR($M146="",$L146=""),0,IF($M146&lt;=$L146,1,0)))</f>
        <v>0</v>
      </c>
      <c r="V146" s="34" t="n">
        <f aca="false">IF($E146="","",IF(OR($M146="",$T146=""),0,IF($M146&lt;=$T146,1,0)))</f>
        <v>0</v>
      </c>
      <c r="W146" s="42" t="str">
        <f aca="false">IF(OR($M146="",$L146=""),"",MAX(0,$M146-$L146))</f>
        <v/>
      </c>
      <c r="X146" s="34" t="n">
        <f aca="false">IF($E146="","",IF(AND($O146&lt;&gt;"",$L146&lt;&gt;"",$O146&lt;&gt;$L146),1,0))</f>
        <v>0</v>
      </c>
      <c r="Y146" s="34" t="n">
        <f aca="false">IF($E146="","",IF($N146="Cancelada",0,IF(OR($M146&lt;&gt;"",$N146="Concluída"),1,0)))</f>
        <v>0</v>
      </c>
    </row>
    <row r="147" customFormat="false" ht="15" hidden="false" customHeight="true" outlineLevel="0" collapsed="false">
      <c r="A147" s="34" t="n">
        <f aca="false">IF($E147="","",COUNTA($E$5:$E147))</f>
        <v>143</v>
      </c>
      <c r="B147" s="35" t="s">
        <v>300</v>
      </c>
      <c r="C147" s="35" t="s">
        <v>117</v>
      </c>
      <c r="D147" s="35" t="s">
        <v>301</v>
      </c>
      <c r="E147" s="35" t="s">
        <v>308</v>
      </c>
      <c r="F147" s="36" t="s">
        <v>62</v>
      </c>
      <c r="G147" s="37" t="s">
        <v>99</v>
      </c>
      <c r="H147" s="37"/>
      <c r="I147" s="37"/>
      <c r="J147" s="38" t="n">
        <v>46258</v>
      </c>
      <c r="K147" s="39" t="s">
        <v>77</v>
      </c>
      <c r="L147" s="40" t="n">
        <f aca="false">IF(OR($J147="",$K147=""),"",$J147+MATCH($K147,Listas!$F$5:$F$11,0)-1)</f>
        <v>46260</v>
      </c>
      <c r="M147" s="41"/>
      <c r="N147" s="36" t="s">
        <v>69</v>
      </c>
      <c r="O147" s="41"/>
      <c r="P147" s="35"/>
      <c r="Q147" s="35"/>
      <c r="R147" s="42" t="str">
        <f aca="true">IF($E147="","",IF($N147="Cancelada","Cancelada",IF(OR($M147&lt;&gt;"",$N147="Concluída"),IF(OR($L147="",$M147="",$M147&lt;=$L147),"Concluída","Concluída com atraso"),IF($L147="","Na carteira",IF($L147&lt;TODAY(),"VENCIDA",IF($N147="Em execução","Em execução",IF($L147=TODAY(),"Hoje","Programada")))))))</f>
        <v>VENCIDA</v>
      </c>
      <c r="S147" s="34" t="str">
        <f aca="false">IF($E147="","",IF(ISNUMBER(SEARCH("(externo)",$G147&amp;$H147&amp;$I147)),"Terceirizada","Interna"))</f>
        <v>Terceirizada</v>
      </c>
      <c r="T147" s="40" t="n">
        <f aca="false">IF($L147="","",IF($O147="",$L147,$O147))</f>
        <v>46260</v>
      </c>
      <c r="U147" s="34" t="n">
        <f aca="false">IF($E147="","",IF(OR($M147="",$L147=""),0,IF($M147&lt;=$L147,1,0)))</f>
        <v>0</v>
      </c>
      <c r="V147" s="34" t="n">
        <f aca="false">IF($E147="","",IF(OR($M147="",$T147=""),0,IF($M147&lt;=$T147,1,0)))</f>
        <v>0</v>
      </c>
      <c r="W147" s="42" t="str">
        <f aca="false">IF(OR($M147="",$L147=""),"",MAX(0,$M147-$L147))</f>
        <v/>
      </c>
      <c r="X147" s="34" t="n">
        <f aca="false">IF($E147="","",IF(AND($O147&lt;&gt;"",$L147&lt;&gt;"",$O147&lt;&gt;$L147),1,0))</f>
        <v>0</v>
      </c>
      <c r="Y147" s="34" t="n">
        <f aca="false">IF($E147="","",IF($N147="Cancelada",0,IF(OR($M147&lt;&gt;"",$N147="Concluída"),1,0)))</f>
        <v>0</v>
      </c>
    </row>
    <row r="148" customFormat="false" ht="15" hidden="false" customHeight="true" outlineLevel="0" collapsed="false">
      <c r="A148" s="34" t="n">
        <f aca="false">IF($E148="","",COUNTA($E$5:$E148))</f>
        <v>144</v>
      </c>
      <c r="B148" s="35" t="s">
        <v>300</v>
      </c>
      <c r="C148" s="35" t="s">
        <v>117</v>
      </c>
      <c r="D148" s="35" t="s">
        <v>301</v>
      </c>
      <c r="E148" s="35" t="s">
        <v>309</v>
      </c>
      <c r="F148" s="36" t="s">
        <v>62</v>
      </c>
      <c r="G148" s="37" t="s">
        <v>99</v>
      </c>
      <c r="H148" s="37"/>
      <c r="I148" s="37"/>
      <c r="J148" s="38" t="n">
        <v>46258</v>
      </c>
      <c r="K148" s="39" t="s">
        <v>77</v>
      </c>
      <c r="L148" s="40" t="n">
        <f aca="false">IF(OR($J148="",$K148=""),"",$J148+MATCH($K148,Listas!$F$5:$F$11,0)-1)</f>
        <v>46260</v>
      </c>
      <c r="M148" s="41"/>
      <c r="N148" s="36" t="s">
        <v>69</v>
      </c>
      <c r="O148" s="41"/>
      <c r="P148" s="35"/>
      <c r="Q148" s="35"/>
      <c r="R148" s="42" t="str">
        <f aca="true">IF($E148="","",IF($N148="Cancelada","Cancelada",IF(OR($M148&lt;&gt;"",$N148="Concluída"),IF(OR($L148="",$M148="",$M148&lt;=$L148),"Concluída","Concluída com atraso"),IF($L148="","Na carteira",IF($L148&lt;TODAY(),"VENCIDA",IF($N148="Em execução","Em execução",IF($L148=TODAY(),"Hoje","Programada")))))))</f>
        <v>VENCIDA</v>
      </c>
      <c r="S148" s="34" t="str">
        <f aca="false">IF($E148="","",IF(ISNUMBER(SEARCH("(externo)",$G148&amp;$H148&amp;$I148)),"Terceirizada","Interna"))</f>
        <v>Terceirizada</v>
      </c>
      <c r="T148" s="40" t="n">
        <f aca="false">IF($L148="","",IF($O148="",$L148,$O148))</f>
        <v>46260</v>
      </c>
      <c r="U148" s="34" t="n">
        <f aca="false">IF($E148="","",IF(OR($M148="",$L148=""),0,IF($M148&lt;=$L148,1,0)))</f>
        <v>0</v>
      </c>
      <c r="V148" s="34" t="n">
        <f aca="false">IF($E148="","",IF(OR($M148="",$T148=""),0,IF($M148&lt;=$T148,1,0)))</f>
        <v>0</v>
      </c>
      <c r="W148" s="42" t="str">
        <f aca="false">IF(OR($M148="",$L148=""),"",MAX(0,$M148-$L148))</f>
        <v/>
      </c>
      <c r="X148" s="34" t="n">
        <f aca="false">IF($E148="","",IF(AND($O148&lt;&gt;"",$L148&lt;&gt;"",$O148&lt;&gt;$L148),1,0))</f>
        <v>0</v>
      </c>
      <c r="Y148" s="34" t="n">
        <f aca="false">IF($E148="","",IF($N148="Cancelada",0,IF(OR($M148&lt;&gt;"",$N148="Concluída"),1,0)))</f>
        <v>0</v>
      </c>
    </row>
    <row r="149" customFormat="false" ht="15" hidden="false" customHeight="true" outlineLevel="0" collapsed="false">
      <c r="A149" s="34" t="n">
        <f aca="false">IF($E149="","",COUNTA($E$5:$E149))</f>
        <v>145</v>
      </c>
      <c r="B149" s="35" t="s">
        <v>300</v>
      </c>
      <c r="C149" s="35" t="s">
        <v>117</v>
      </c>
      <c r="D149" s="35" t="s">
        <v>301</v>
      </c>
      <c r="E149" s="35" t="s">
        <v>310</v>
      </c>
      <c r="F149" s="36" t="s">
        <v>62</v>
      </c>
      <c r="G149" s="37" t="s">
        <v>99</v>
      </c>
      <c r="H149" s="37"/>
      <c r="I149" s="37"/>
      <c r="J149" s="38" t="n">
        <v>46258</v>
      </c>
      <c r="K149" s="39" t="s">
        <v>77</v>
      </c>
      <c r="L149" s="40" t="n">
        <f aca="false">IF(OR($J149="",$K149=""),"",$J149+MATCH($K149,Listas!$F$5:$F$11,0)-1)</f>
        <v>46260</v>
      </c>
      <c r="M149" s="41"/>
      <c r="N149" s="36" t="s">
        <v>69</v>
      </c>
      <c r="O149" s="41"/>
      <c r="P149" s="35"/>
      <c r="Q149" s="35"/>
      <c r="R149" s="42" t="str">
        <f aca="true">IF($E149="","",IF($N149="Cancelada","Cancelada",IF(OR($M149&lt;&gt;"",$N149="Concluída"),IF(OR($L149="",$M149="",$M149&lt;=$L149),"Concluída","Concluída com atraso"),IF($L149="","Na carteira",IF($L149&lt;TODAY(),"VENCIDA",IF($N149="Em execução","Em execução",IF($L149=TODAY(),"Hoje","Programada")))))))</f>
        <v>VENCIDA</v>
      </c>
      <c r="S149" s="34" t="str">
        <f aca="false">IF($E149="","",IF(ISNUMBER(SEARCH("(externo)",$G149&amp;$H149&amp;$I149)),"Terceirizada","Interna"))</f>
        <v>Terceirizada</v>
      </c>
      <c r="T149" s="40" t="n">
        <f aca="false">IF($L149="","",IF($O149="",$L149,$O149))</f>
        <v>46260</v>
      </c>
      <c r="U149" s="34" t="n">
        <f aca="false">IF($E149="","",IF(OR($M149="",$L149=""),0,IF($M149&lt;=$L149,1,0)))</f>
        <v>0</v>
      </c>
      <c r="V149" s="34" t="n">
        <f aca="false">IF($E149="","",IF(OR($M149="",$T149=""),0,IF($M149&lt;=$T149,1,0)))</f>
        <v>0</v>
      </c>
      <c r="W149" s="42" t="str">
        <f aca="false">IF(OR($M149="",$L149=""),"",MAX(0,$M149-$L149))</f>
        <v/>
      </c>
      <c r="X149" s="34" t="n">
        <f aca="false">IF($E149="","",IF(AND($O149&lt;&gt;"",$L149&lt;&gt;"",$O149&lt;&gt;$L149),1,0))</f>
        <v>0</v>
      </c>
      <c r="Y149" s="34" t="n">
        <f aca="false">IF($E149="","",IF($N149="Cancelada",0,IF(OR($M149&lt;&gt;"",$N149="Concluída"),1,0)))</f>
        <v>0</v>
      </c>
    </row>
    <row r="150" customFormat="false" ht="15" hidden="false" customHeight="true" outlineLevel="0" collapsed="false">
      <c r="A150" s="34" t="n">
        <f aca="false">IF($E150="","",COUNTA($E$5:$E150))</f>
        <v>146</v>
      </c>
      <c r="B150" s="35" t="s">
        <v>300</v>
      </c>
      <c r="C150" s="35" t="s">
        <v>117</v>
      </c>
      <c r="D150" s="35" t="s">
        <v>301</v>
      </c>
      <c r="E150" s="35" t="s">
        <v>311</v>
      </c>
      <c r="F150" s="36" t="s">
        <v>62</v>
      </c>
      <c r="G150" s="37" t="s">
        <v>99</v>
      </c>
      <c r="H150" s="37"/>
      <c r="I150" s="37"/>
      <c r="J150" s="38" t="n">
        <v>46258</v>
      </c>
      <c r="K150" s="39" t="s">
        <v>77</v>
      </c>
      <c r="L150" s="40" t="n">
        <f aca="false">IF(OR($J150="",$K150=""),"",$J150+MATCH($K150,Listas!$F$5:$F$11,0)-1)</f>
        <v>46260</v>
      </c>
      <c r="M150" s="41"/>
      <c r="N150" s="36" t="s">
        <v>69</v>
      </c>
      <c r="O150" s="41"/>
      <c r="P150" s="35"/>
      <c r="Q150" s="35"/>
      <c r="R150" s="42" t="str">
        <f aca="true">IF($E150="","",IF($N150="Cancelada","Cancelada",IF(OR($M150&lt;&gt;"",$N150="Concluída"),IF(OR($L150="",$M150="",$M150&lt;=$L150),"Concluída","Concluída com atraso"),IF($L150="","Na carteira",IF($L150&lt;TODAY(),"VENCIDA",IF($N150="Em execução","Em execução",IF($L150=TODAY(),"Hoje","Programada")))))))</f>
        <v>VENCIDA</v>
      </c>
      <c r="S150" s="34" t="str">
        <f aca="false">IF($E150="","",IF(ISNUMBER(SEARCH("(externo)",$G150&amp;$H150&amp;$I150)),"Terceirizada","Interna"))</f>
        <v>Terceirizada</v>
      </c>
      <c r="T150" s="40" t="n">
        <f aca="false">IF($L150="","",IF($O150="",$L150,$O150))</f>
        <v>46260</v>
      </c>
      <c r="U150" s="34" t="n">
        <f aca="false">IF($E150="","",IF(OR($M150="",$L150=""),0,IF($M150&lt;=$L150,1,0)))</f>
        <v>0</v>
      </c>
      <c r="V150" s="34" t="n">
        <f aca="false">IF($E150="","",IF(OR($M150="",$T150=""),0,IF($M150&lt;=$T150,1,0)))</f>
        <v>0</v>
      </c>
      <c r="W150" s="42" t="str">
        <f aca="false">IF(OR($M150="",$L150=""),"",MAX(0,$M150-$L150))</f>
        <v/>
      </c>
      <c r="X150" s="34" t="n">
        <f aca="false">IF($E150="","",IF(AND($O150&lt;&gt;"",$L150&lt;&gt;"",$O150&lt;&gt;$L150),1,0))</f>
        <v>0</v>
      </c>
      <c r="Y150" s="34" t="n">
        <f aca="false">IF($E150="","",IF($N150="Cancelada",0,IF(OR($M150&lt;&gt;"",$N150="Concluída"),1,0)))</f>
        <v>0</v>
      </c>
    </row>
    <row r="151" customFormat="false" ht="15" hidden="false" customHeight="true" outlineLevel="0" collapsed="false">
      <c r="A151" s="34" t="n">
        <f aca="false">IF($E151="","",COUNTA($E$5:$E151))</f>
        <v>147</v>
      </c>
      <c r="B151" s="35" t="s">
        <v>300</v>
      </c>
      <c r="C151" s="35" t="s">
        <v>117</v>
      </c>
      <c r="D151" s="35" t="s">
        <v>301</v>
      </c>
      <c r="E151" s="35" t="s">
        <v>312</v>
      </c>
      <c r="F151" s="36" t="s">
        <v>62</v>
      </c>
      <c r="G151" s="37" t="s">
        <v>99</v>
      </c>
      <c r="H151" s="37"/>
      <c r="I151" s="37"/>
      <c r="J151" s="38" t="n">
        <v>46258</v>
      </c>
      <c r="K151" s="39" t="s">
        <v>77</v>
      </c>
      <c r="L151" s="40" t="n">
        <f aca="false">IF(OR($J151="",$K151=""),"",$J151+MATCH($K151,Listas!$F$5:$F$11,0)-1)</f>
        <v>46260</v>
      </c>
      <c r="M151" s="41"/>
      <c r="N151" s="36" t="s">
        <v>69</v>
      </c>
      <c r="O151" s="41"/>
      <c r="P151" s="35"/>
      <c r="Q151" s="35"/>
      <c r="R151" s="42" t="str">
        <f aca="true">IF($E151="","",IF($N151="Cancelada","Cancelada",IF(OR($M151&lt;&gt;"",$N151="Concluída"),IF(OR($L151="",$M151="",$M151&lt;=$L151),"Concluída","Concluída com atraso"),IF($L151="","Na carteira",IF($L151&lt;TODAY(),"VENCIDA",IF($N151="Em execução","Em execução",IF($L151=TODAY(),"Hoje","Programada")))))))</f>
        <v>VENCIDA</v>
      </c>
      <c r="S151" s="34" t="str">
        <f aca="false">IF($E151="","",IF(ISNUMBER(SEARCH("(externo)",$G151&amp;$H151&amp;$I151)),"Terceirizada","Interna"))</f>
        <v>Terceirizada</v>
      </c>
      <c r="T151" s="40" t="n">
        <f aca="false">IF($L151="","",IF($O151="",$L151,$O151))</f>
        <v>46260</v>
      </c>
      <c r="U151" s="34" t="n">
        <f aca="false">IF($E151="","",IF(OR($M151="",$L151=""),0,IF($M151&lt;=$L151,1,0)))</f>
        <v>0</v>
      </c>
      <c r="V151" s="34" t="n">
        <f aca="false">IF($E151="","",IF(OR($M151="",$T151=""),0,IF($M151&lt;=$T151,1,0)))</f>
        <v>0</v>
      </c>
      <c r="W151" s="42" t="str">
        <f aca="false">IF(OR($M151="",$L151=""),"",MAX(0,$M151-$L151))</f>
        <v/>
      </c>
      <c r="X151" s="34" t="n">
        <f aca="false">IF($E151="","",IF(AND($O151&lt;&gt;"",$L151&lt;&gt;"",$O151&lt;&gt;$L151),1,0))</f>
        <v>0</v>
      </c>
      <c r="Y151" s="34" t="n">
        <f aca="false">IF($E151="","",IF($N151="Cancelada",0,IF(OR($M151&lt;&gt;"",$N151="Concluída"),1,0)))</f>
        <v>0</v>
      </c>
    </row>
    <row r="152" customFormat="false" ht="15" hidden="false" customHeight="true" outlineLevel="0" collapsed="false">
      <c r="A152" s="34" t="n">
        <f aca="false">IF($E152="","",COUNTA($E$5:$E152))</f>
        <v>148</v>
      </c>
      <c r="B152" s="35" t="s">
        <v>300</v>
      </c>
      <c r="C152" s="35" t="s">
        <v>117</v>
      </c>
      <c r="D152" s="35" t="s">
        <v>301</v>
      </c>
      <c r="E152" s="35" t="s">
        <v>313</v>
      </c>
      <c r="F152" s="36" t="s">
        <v>62</v>
      </c>
      <c r="G152" s="37" t="s">
        <v>99</v>
      </c>
      <c r="H152" s="37"/>
      <c r="I152" s="37"/>
      <c r="J152" s="38" t="n">
        <v>46258</v>
      </c>
      <c r="K152" s="39" t="s">
        <v>77</v>
      </c>
      <c r="L152" s="40" t="n">
        <f aca="false">IF(OR($J152="",$K152=""),"",$J152+MATCH($K152,Listas!$F$5:$F$11,0)-1)</f>
        <v>46260</v>
      </c>
      <c r="M152" s="41"/>
      <c r="N152" s="36" t="s">
        <v>69</v>
      </c>
      <c r="O152" s="41"/>
      <c r="P152" s="35"/>
      <c r="Q152" s="35"/>
      <c r="R152" s="42" t="str">
        <f aca="true">IF($E152="","",IF($N152="Cancelada","Cancelada",IF(OR($M152&lt;&gt;"",$N152="Concluída"),IF(OR($L152="",$M152="",$M152&lt;=$L152),"Concluída","Concluída com atraso"),IF($L152="","Na carteira",IF($L152&lt;TODAY(),"VENCIDA",IF($N152="Em execução","Em execução",IF($L152=TODAY(),"Hoje","Programada")))))))</f>
        <v>VENCIDA</v>
      </c>
      <c r="S152" s="34" t="str">
        <f aca="false">IF($E152="","",IF(ISNUMBER(SEARCH("(externo)",$G152&amp;$H152&amp;$I152)),"Terceirizada","Interna"))</f>
        <v>Terceirizada</v>
      </c>
      <c r="T152" s="40" t="n">
        <f aca="false">IF($L152="","",IF($O152="",$L152,$O152))</f>
        <v>46260</v>
      </c>
      <c r="U152" s="34" t="n">
        <f aca="false">IF($E152="","",IF(OR($M152="",$L152=""),0,IF($M152&lt;=$L152,1,0)))</f>
        <v>0</v>
      </c>
      <c r="V152" s="34" t="n">
        <f aca="false">IF($E152="","",IF(OR($M152="",$T152=""),0,IF($M152&lt;=$T152,1,0)))</f>
        <v>0</v>
      </c>
      <c r="W152" s="42" t="str">
        <f aca="false">IF(OR($M152="",$L152=""),"",MAX(0,$M152-$L152))</f>
        <v/>
      </c>
      <c r="X152" s="34" t="n">
        <f aca="false">IF($E152="","",IF(AND($O152&lt;&gt;"",$L152&lt;&gt;"",$O152&lt;&gt;$L152),1,0))</f>
        <v>0</v>
      </c>
      <c r="Y152" s="34" t="n">
        <f aca="false">IF($E152="","",IF($N152="Cancelada",0,IF(OR($M152&lt;&gt;"",$N152="Concluída"),1,0)))</f>
        <v>0</v>
      </c>
    </row>
    <row r="153" customFormat="false" ht="15" hidden="false" customHeight="true" outlineLevel="0" collapsed="false">
      <c r="A153" s="34" t="n">
        <f aca="false">IF($E153="","",COUNTA($E$5:$E153))</f>
        <v>149</v>
      </c>
      <c r="B153" s="35" t="s">
        <v>300</v>
      </c>
      <c r="C153" s="35" t="s">
        <v>117</v>
      </c>
      <c r="D153" s="35" t="s">
        <v>301</v>
      </c>
      <c r="E153" s="35" t="s">
        <v>314</v>
      </c>
      <c r="F153" s="36" t="s">
        <v>62</v>
      </c>
      <c r="G153" s="37" t="s">
        <v>99</v>
      </c>
      <c r="H153" s="37"/>
      <c r="I153" s="37"/>
      <c r="J153" s="38" t="n">
        <v>46258</v>
      </c>
      <c r="K153" s="39" t="s">
        <v>82</v>
      </c>
      <c r="L153" s="40" t="n">
        <f aca="false">IF(OR($J153="",$K153=""),"",$J153+MATCH($K153,Listas!$F$5:$F$11,0)-1)</f>
        <v>46261</v>
      </c>
      <c r="M153" s="41"/>
      <c r="N153" s="36" t="s">
        <v>69</v>
      </c>
      <c r="O153" s="41"/>
      <c r="P153" s="35"/>
      <c r="Q153" s="35"/>
      <c r="R153" s="42" t="str">
        <f aca="true">IF($E153="","",IF($N153="Cancelada","Cancelada",IF(OR($M153&lt;&gt;"",$N153="Concluída"),IF(OR($L153="",$M153="",$M153&lt;=$L153),"Concluída","Concluída com atraso"),IF($L153="","Na carteira",IF($L153&lt;TODAY(),"VENCIDA",IF($N153="Em execução","Em execução",IF($L153=TODAY(),"Hoje","Programada")))))))</f>
        <v>Em execução</v>
      </c>
      <c r="S153" s="34" t="str">
        <f aca="false">IF($E153="","",IF(ISNUMBER(SEARCH("(externo)",$G153&amp;$H153&amp;$I153)),"Terceirizada","Interna"))</f>
        <v>Terceirizada</v>
      </c>
      <c r="T153" s="40" t="n">
        <f aca="false">IF($L153="","",IF($O153="",$L153,$O153))</f>
        <v>46261</v>
      </c>
      <c r="U153" s="34" t="n">
        <f aca="false">IF($E153="","",IF(OR($M153="",$L153=""),0,IF($M153&lt;=$L153,1,0)))</f>
        <v>0</v>
      </c>
      <c r="V153" s="34" t="n">
        <f aca="false">IF($E153="","",IF(OR($M153="",$T153=""),0,IF($M153&lt;=$T153,1,0)))</f>
        <v>0</v>
      </c>
      <c r="W153" s="42" t="str">
        <f aca="false">IF(OR($M153="",$L153=""),"",MAX(0,$M153-$L153))</f>
        <v/>
      </c>
      <c r="X153" s="34" t="n">
        <f aca="false">IF($E153="","",IF(AND($O153&lt;&gt;"",$L153&lt;&gt;"",$O153&lt;&gt;$L153),1,0))</f>
        <v>0</v>
      </c>
      <c r="Y153" s="34" t="n">
        <f aca="false">IF($E153="","",IF($N153="Cancelada",0,IF(OR($M153&lt;&gt;"",$N153="Concluída"),1,0)))</f>
        <v>0</v>
      </c>
    </row>
    <row r="154" customFormat="false" ht="15" hidden="false" customHeight="true" outlineLevel="0" collapsed="false">
      <c r="A154" s="34" t="n">
        <f aca="false">IF($E154="","",COUNTA($E$5:$E154))</f>
        <v>150</v>
      </c>
      <c r="B154" s="35" t="s">
        <v>300</v>
      </c>
      <c r="C154" s="35" t="s">
        <v>117</v>
      </c>
      <c r="D154" s="35" t="s">
        <v>301</v>
      </c>
      <c r="E154" s="35" t="s">
        <v>315</v>
      </c>
      <c r="F154" s="36" t="s">
        <v>62</v>
      </c>
      <c r="G154" s="37" t="s">
        <v>99</v>
      </c>
      <c r="H154" s="37"/>
      <c r="I154" s="37"/>
      <c r="J154" s="38" t="n">
        <v>46258</v>
      </c>
      <c r="K154" s="39" t="s">
        <v>82</v>
      </c>
      <c r="L154" s="40" t="n">
        <f aca="false">IF(OR($J154="",$K154=""),"",$J154+MATCH($K154,Listas!$F$5:$F$11,0)-1)</f>
        <v>46261</v>
      </c>
      <c r="M154" s="41"/>
      <c r="N154" s="36" t="s">
        <v>69</v>
      </c>
      <c r="O154" s="41"/>
      <c r="P154" s="35"/>
      <c r="Q154" s="35"/>
      <c r="R154" s="42" t="str">
        <f aca="true">IF($E154="","",IF($N154="Cancelada","Cancelada",IF(OR($M154&lt;&gt;"",$N154="Concluída"),IF(OR($L154="",$M154="",$M154&lt;=$L154),"Concluída","Concluída com atraso"),IF($L154="","Na carteira",IF($L154&lt;TODAY(),"VENCIDA",IF($N154="Em execução","Em execução",IF($L154=TODAY(),"Hoje","Programada")))))))</f>
        <v>Em execução</v>
      </c>
      <c r="S154" s="34" t="str">
        <f aca="false">IF($E154="","",IF(ISNUMBER(SEARCH("(externo)",$G154&amp;$H154&amp;$I154)),"Terceirizada","Interna"))</f>
        <v>Terceirizada</v>
      </c>
      <c r="T154" s="40" t="n">
        <f aca="false">IF($L154="","",IF($O154="",$L154,$O154))</f>
        <v>46261</v>
      </c>
      <c r="U154" s="34" t="n">
        <f aca="false">IF($E154="","",IF(OR($M154="",$L154=""),0,IF($M154&lt;=$L154,1,0)))</f>
        <v>0</v>
      </c>
      <c r="V154" s="34" t="n">
        <f aca="false">IF($E154="","",IF(OR($M154="",$T154=""),0,IF($M154&lt;=$T154,1,0)))</f>
        <v>0</v>
      </c>
      <c r="W154" s="42" t="str">
        <f aca="false">IF(OR($M154="",$L154=""),"",MAX(0,$M154-$L154))</f>
        <v/>
      </c>
      <c r="X154" s="34" t="n">
        <f aca="false">IF($E154="","",IF(AND($O154&lt;&gt;"",$L154&lt;&gt;"",$O154&lt;&gt;$L154),1,0))</f>
        <v>0</v>
      </c>
      <c r="Y154" s="34" t="n">
        <f aca="false">IF($E154="","",IF($N154="Cancelada",0,IF(OR($M154&lt;&gt;"",$N154="Concluída"),1,0)))</f>
        <v>0</v>
      </c>
    </row>
    <row r="155" customFormat="false" ht="15" hidden="false" customHeight="true" outlineLevel="0" collapsed="false">
      <c r="A155" s="34" t="n">
        <f aca="false">IF($E155="","",COUNTA($E$5:$E155))</f>
        <v>151</v>
      </c>
      <c r="B155" s="35" t="s">
        <v>300</v>
      </c>
      <c r="C155" s="35" t="s">
        <v>117</v>
      </c>
      <c r="D155" s="35" t="s">
        <v>301</v>
      </c>
      <c r="E155" s="35" t="s">
        <v>316</v>
      </c>
      <c r="F155" s="36" t="s">
        <v>62</v>
      </c>
      <c r="G155" s="37" t="s">
        <v>99</v>
      </c>
      <c r="H155" s="37"/>
      <c r="I155" s="37"/>
      <c r="J155" s="38" t="n">
        <v>46258</v>
      </c>
      <c r="K155" s="39" t="s">
        <v>82</v>
      </c>
      <c r="L155" s="40" t="n">
        <f aca="false">IF(OR($J155="",$K155=""),"",$J155+MATCH($K155,Listas!$F$5:$F$11,0)-1)</f>
        <v>46261</v>
      </c>
      <c r="M155" s="41"/>
      <c r="N155" s="36" t="s">
        <v>69</v>
      </c>
      <c r="O155" s="41"/>
      <c r="P155" s="35"/>
      <c r="Q155" s="35"/>
      <c r="R155" s="42" t="str">
        <f aca="true">IF($E155="","",IF($N155="Cancelada","Cancelada",IF(OR($M155&lt;&gt;"",$N155="Concluída"),IF(OR($L155="",$M155="",$M155&lt;=$L155),"Concluída","Concluída com atraso"),IF($L155="","Na carteira",IF($L155&lt;TODAY(),"VENCIDA",IF($N155="Em execução","Em execução",IF($L155=TODAY(),"Hoje","Programada")))))))</f>
        <v>Em execução</v>
      </c>
      <c r="S155" s="34" t="str">
        <f aca="false">IF($E155="","",IF(ISNUMBER(SEARCH("(externo)",$G155&amp;$H155&amp;$I155)),"Terceirizada","Interna"))</f>
        <v>Terceirizada</v>
      </c>
      <c r="T155" s="40" t="n">
        <f aca="false">IF($L155="","",IF($O155="",$L155,$O155))</f>
        <v>46261</v>
      </c>
      <c r="U155" s="34" t="n">
        <f aca="false">IF($E155="","",IF(OR($M155="",$L155=""),0,IF($M155&lt;=$L155,1,0)))</f>
        <v>0</v>
      </c>
      <c r="V155" s="34" t="n">
        <f aca="false">IF($E155="","",IF(OR($M155="",$T155=""),0,IF($M155&lt;=$T155,1,0)))</f>
        <v>0</v>
      </c>
      <c r="W155" s="42" t="str">
        <f aca="false">IF(OR($M155="",$L155=""),"",MAX(0,$M155-$L155))</f>
        <v/>
      </c>
      <c r="X155" s="34" t="n">
        <f aca="false">IF($E155="","",IF(AND($O155&lt;&gt;"",$L155&lt;&gt;"",$O155&lt;&gt;$L155),1,0))</f>
        <v>0</v>
      </c>
      <c r="Y155" s="34" t="n">
        <f aca="false">IF($E155="","",IF($N155="Cancelada",0,IF(OR($M155&lt;&gt;"",$N155="Concluída"),1,0)))</f>
        <v>0</v>
      </c>
    </row>
    <row r="156" customFormat="false" ht="15" hidden="false" customHeight="true" outlineLevel="0" collapsed="false">
      <c r="A156" s="34" t="n">
        <f aca="false">IF($E156="","",COUNTA($E$5:$E156))</f>
        <v>152</v>
      </c>
      <c r="B156" s="35" t="s">
        <v>300</v>
      </c>
      <c r="C156" s="35" t="s">
        <v>117</v>
      </c>
      <c r="D156" s="35" t="s">
        <v>301</v>
      </c>
      <c r="E156" s="35" t="s">
        <v>317</v>
      </c>
      <c r="F156" s="36" t="s">
        <v>62</v>
      </c>
      <c r="G156" s="37" t="s">
        <v>99</v>
      </c>
      <c r="H156" s="37"/>
      <c r="I156" s="37"/>
      <c r="J156" s="38" t="n">
        <v>46258</v>
      </c>
      <c r="K156" s="39" t="s">
        <v>82</v>
      </c>
      <c r="L156" s="40" t="n">
        <f aca="false">IF(OR($J156="",$K156=""),"",$J156+MATCH($K156,Listas!$F$5:$F$11,0)-1)</f>
        <v>46261</v>
      </c>
      <c r="M156" s="41"/>
      <c r="N156" s="36" t="s">
        <v>69</v>
      </c>
      <c r="O156" s="41"/>
      <c r="P156" s="35"/>
      <c r="Q156" s="35"/>
      <c r="R156" s="42" t="str">
        <f aca="true">IF($E156="","",IF($N156="Cancelada","Cancelada",IF(OR($M156&lt;&gt;"",$N156="Concluída"),IF(OR($L156="",$M156="",$M156&lt;=$L156),"Concluída","Concluída com atraso"),IF($L156="","Na carteira",IF($L156&lt;TODAY(),"VENCIDA",IF($N156="Em execução","Em execução",IF($L156=TODAY(),"Hoje","Programada")))))))</f>
        <v>Em execução</v>
      </c>
      <c r="S156" s="34" t="str">
        <f aca="false">IF($E156="","",IF(ISNUMBER(SEARCH("(externo)",$G156&amp;$H156&amp;$I156)),"Terceirizada","Interna"))</f>
        <v>Terceirizada</v>
      </c>
      <c r="T156" s="40" t="n">
        <f aca="false">IF($L156="","",IF($O156="",$L156,$O156))</f>
        <v>46261</v>
      </c>
      <c r="U156" s="34" t="n">
        <f aca="false">IF($E156="","",IF(OR($M156="",$L156=""),0,IF($M156&lt;=$L156,1,0)))</f>
        <v>0</v>
      </c>
      <c r="V156" s="34" t="n">
        <f aca="false">IF($E156="","",IF(OR($M156="",$T156=""),0,IF($M156&lt;=$T156,1,0)))</f>
        <v>0</v>
      </c>
      <c r="W156" s="42" t="str">
        <f aca="false">IF(OR($M156="",$L156=""),"",MAX(0,$M156-$L156))</f>
        <v/>
      </c>
      <c r="X156" s="34" t="n">
        <f aca="false">IF($E156="","",IF(AND($O156&lt;&gt;"",$L156&lt;&gt;"",$O156&lt;&gt;$L156),1,0))</f>
        <v>0</v>
      </c>
      <c r="Y156" s="34" t="n">
        <f aca="false">IF($E156="","",IF($N156="Cancelada",0,IF(OR($M156&lt;&gt;"",$N156="Concluída"),1,0)))</f>
        <v>0</v>
      </c>
    </row>
    <row r="157" customFormat="false" ht="15" hidden="false" customHeight="true" outlineLevel="0" collapsed="false">
      <c r="A157" s="34" t="n">
        <f aca="false">IF($E157="","",COUNTA($E$5:$E157))</f>
        <v>153</v>
      </c>
      <c r="B157" s="35" t="s">
        <v>300</v>
      </c>
      <c r="C157" s="35" t="s">
        <v>117</v>
      </c>
      <c r="D157" s="35" t="s">
        <v>301</v>
      </c>
      <c r="E157" s="35" t="s">
        <v>318</v>
      </c>
      <c r="F157" s="36" t="s">
        <v>62</v>
      </c>
      <c r="G157" s="37" t="s">
        <v>99</v>
      </c>
      <c r="H157" s="37"/>
      <c r="I157" s="37"/>
      <c r="J157" s="38" t="n">
        <v>46258</v>
      </c>
      <c r="K157" s="39" t="s">
        <v>82</v>
      </c>
      <c r="L157" s="40" t="n">
        <f aca="false">IF(OR($J157="",$K157=""),"",$J157+MATCH($K157,Listas!$F$5:$F$11,0)-1)</f>
        <v>46261</v>
      </c>
      <c r="M157" s="41"/>
      <c r="N157" s="36" t="s">
        <v>69</v>
      </c>
      <c r="O157" s="41"/>
      <c r="P157" s="35"/>
      <c r="Q157" s="35"/>
      <c r="R157" s="42" t="str">
        <f aca="true">IF($E157="","",IF($N157="Cancelada","Cancelada",IF(OR($M157&lt;&gt;"",$N157="Concluída"),IF(OR($L157="",$M157="",$M157&lt;=$L157),"Concluída","Concluída com atraso"),IF($L157="","Na carteira",IF($L157&lt;TODAY(),"VENCIDA",IF($N157="Em execução","Em execução",IF($L157=TODAY(),"Hoje","Programada")))))))</f>
        <v>Em execução</v>
      </c>
      <c r="S157" s="34" t="str">
        <f aca="false">IF($E157="","",IF(ISNUMBER(SEARCH("(externo)",$G157&amp;$H157&amp;$I157)),"Terceirizada","Interna"))</f>
        <v>Terceirizada</v>
      </c>
      <c r="T157" s="40" t="n">
        <f aca="false">IF($L157="","",IF($O157="",$L157,$O157))</f>
        <v>46261</v>
      </c>
      <c r="U157" s="34" t="n">
        <f aca="false">IF($E157="","",IF(OR($M157="",$L157=""),0,IF($M157&lt;=$L157,1,0)))</f>
        <v>0</v>
      </c>
      <c r="V157" s="34" t="n">
        <f aca="false">IF($E157="","",IF(OR($M157="",$T157=""),0,IF($M157&lt;=$T157,1,0)))</f>
        <v>0</v>
      </c>
      <c r="W157" s="42" t="str">
        <f aca="false">IF(OR($M157="",$L157=""),"",MAX(0,$M157-$L157))</f>
        <v/>
      </c>
      <c r="X157" s="34" t="n">
        <f aca="false">IF($E157="","",IF(AND($O157&lt;&gt;"",$L157&lt;&gt;"",$O157&lt;&gt;$L157),1,0))</f>
        <v>0</v>
      </c>
      <c r="Y157" s="34" t="n">
        <f aca="false">IF($E157="","",IF($N157="Cancelada",0,IF(OR($M157&lt;&gt;"",$N157="Concluída"),1,0)))</f>
        <v>0</v>
      </c>
    </row>
    <row r="158" customFormat="false" ht="15" hidden="false" customHeight="true" outlineLevel="0" collapsed="false">
      <c r="A158" s="34" t="n">
        <f aca="false">IF($E158="","",COUNTA($E$5:$E158))</f>
        <v>154</v>
      </c>
      <c r="B158" s="35" t="s">
        <v>300</v>
      </c>
      <c r="C158" s="35" t="s">
        <v>117</v>
      </c>
      <c r="D158" s="35" t="s">
        <v>301</v>
      </c>
      <c r="E158" s="35" t="s">
        <v>319</v>
      </c>
      <c r="F158" s="36" t="s">
        <v>62</v>
      </c>
      <c r="G158" s="37" t="s">
        <v>99</v>
      </c>
      <c r="H158" s="37"/>
      <c r="I158" s="37"/>
      <c r="J158" s="38" t="n">
        <v>46258</v>
      </c>
      <c r="K158" s="39" t="s">
        <v>82</v>
      </c>
      <c r="L158" s="40" t="n">
        <f aca="false">IF(OR($J158="",$K158=""),"",$J158+MATCH($K158,Listas!$F$5:$F$11,0)-1)</f>
        <v>46261</v>
      </c>
      <c r="M158" s="41"/>
      <c r="N158" s="36" t="s">
        <v>69</v>
      </c>
      <c r="O158" s="41"/>
      <c r="P158" s="35"/>
      <c r="Q158" s="35"/>
      <c r="R158" s="42" t="str">
        <f aca="true">IF($E158="","",IF($N158="Cancelada","Cancelada",IF(OR($M158&lt;&gt;"",$N158="Concluída"),IF(OR($L158="",$M158="",$M158&lt;=$L158),"Concluída","Concluída com atraso"),IF($L158="","Na carteira",IF($L158&lt;TODAY(),"VENCIDA",IF($N158="Em execução","Em execução",IF($L158=TODAY(),"Hoje","Programada")))))))</f>
        <v>Em execução</v>
      </c>
      <c r="S158" s="34" t="str">
        <f aca="false">IF($E158="","",IF(ISNUMBER(SEARCH("(externo)",$G158&amp;$H158&amp;$I158)),"Terceirizada","Interna"))</f>
        <v>Terceirizada</v>
      </c>
      <c r="T158" s="40" t="n">
        <f aca="false">IF($L158="","",IF($O158="",$L158,$O158))</f>
        <v>46261</v>
      </c>
      <c r="U158" s="34" t="n">
        <f aca="false">IF($E158="","",IF(OR($M158="",$L158=""),0,IF($M158&lt;=$L158,1,0)))</f>
        <v>0</v>
      </c>
      <c r="V158" s="34" t="n">
        <f aca="false">IF($E158="","",IF(OR($M158="",$T158=""),0,IF($M158&lt;=$T158,1,0)))</f>
        <v>0</v>
      </c>
      <c r="W158" s="42" t="str">
        <f aca="false">IF(OR($M158="",$L158=""),"",MAX(0,$M158-$L158))</f>
        <v/>
      </c>
      <c r="X158" s="34" t="n">
        <f aca="false">IF($E158="","",IF(AND($O158&lt;&gt;"",$L158&lt;&gt;"",$O158&lt;&gt;$L158),1,0))</f>
        <v>0</v>
      </c>
      <c r="Y158" s="34" t="n">
        <f aca="false">IF($E158="","",IF($N158="Cancelada",0,IF(OR($M158&lt;&gt;"",$N158="Concluída"),1,0)))</f>
        <v>0</v>
      </c>
    </row>
    <row r="159" customFormat="false" ht="15" hidden="false" customHeight="true" outlineLevel="0" collapsed="false">
      <c r="A159" s="34" t="n">
        <f aca="false">IF($E159="","",COUNTA($E$5:$E159))</f>
        <v>155</v>
      </c>
      <c r="B159" s="35" t="s">
        <v>300</v>
      </c>
      <c r="C159" s="35" t="s">
        <v>117</v>
      </c>
      <c r="D159" s="35" t="s">
        <v>301</v>
      </c>
      <c r="E159" s="35" t="s">
        <v>320</v>
      </c>
      <c r="F159" s="36" t="s">
        <v>62</v>
      </c>
      <c r="G159" s="37" t="s">
        <v>99</v>
      </c>
      <c r="H159" s="37"/>
      <c r="I159" s="37"/>
      <c r="J159" s="38" t="n">
        <v>46258</v>
      </c>
      <c r="K159" s="39" t="s">
        <v>82</v>
      </c>
      <c r="L159" s="40" t="n">
        <f aca="false">IF(OR($J159="",$K159=""),"",$J159+MATCH($K159,Listas!$F$5:$F$11,0)-1)</f>
        <v>46261</v>
      </c>
      <c r="M159" s="41"/>
      <c r="N159" s="36" t="s">
        <v>69</v>
      </c>
      <c r="O159" s="41"/>
      <c r="P159" s="35"/>
      <c r="Q159" s="35"/>
      <c r="R159" s="42" t="str">
        <f aca="true">IF($E159="","",IF($N159="Cancelada","Cancelada",IF(OR($M159&lt;&gt;"",$N159="Concluída"),IF(OR($L159="",$M159="",$M159&lt;=$L159),"Concluída","Concluída com atraso"),IF($L159="","Na carteira",IF($L159&lt;TODAY(),"VENCIDA",IF($N159="Em execução","Em execução",IF($L159=TODAY(),"Hoje","Programada")))))))</f>
        <v>Em execução</v>
      </c>
      <c r="S159" s="34" t="str">
        <f aca="false">IF($E159="","",IF(ISNUMBER(SEARCH("(externo)",$G159&amp;$H159&amp;$I159)),"Terceirizada","Interna"))</f>
        <v>Terceirizada</v>
      </c>
      <c r="T159" s="40" t="n">
        <f aca="false">IF($L159="","",IF($O159="",$L159,$O159))</f>
        <v>46261</v>
      </c>
      <c r="U159" s="34" t="n">
        <f aca="false">IF($E159="","",IF(OR($M159="",$L159=""),0,IF($M159&lt;=$L159,1,0)))</f>
        <v>0</v>
      </c>
      <c r="V159" s="34" t="n">
        <f aca="false">IF($E159="","",IF(OR($M159="",$T159=""),0,IF($M159&lt;=$T159,1,0)))</f>
        <v>0</v>
      </c>
      <c r="W159" s="42" t="str">
        <f aca="false">IF(OR($M159="",$L159=""),"",MAX(0,$M159-$L159))</f>
        <v/>
      </c>
      <c r="X159" s="34" t="n">
        <f aca="false">IF($E159="","",IF(AND($O159&lt;&gt;"",$L159&lt;&gt;"",$O159&lt;&gt;$L159),1,0))</f>
        <v>0</v>
      </c>
      <c r="Y159" s="34" t="n">
        <f aca="false">IF($E159="","",IF($N159="Cancelada",0,IF(OR($M159&lt;&gt;"",$N159="Concluída"),1,0)))</f>
        <v>0</v>
      </c>
    </row>
    <row r="160" customFormat="false" ht="15" hidden="false" customHeight="true" outlineLevel="0" collapsed="false">
      <c r="A160" s="34" t="n">
        <f aca="false">IF($E160="","",COUNTA($E$5:$E160))</f>
        <v>156</v>
      </c>
      <c r="B160" s="35" t="s">
        <v>300</v>
      </c>
      <c r="C160" s="35" t="s">
        <v>117</v>
      </c>
      <c r="D160" s="35" t="s">
        <v>301</v>
      </c>
      <c r="E160" s="35" t="s">
        <v>321</v>
      </c>
      <c r="F160" s="36" t="s">
        <v>62</v>
      </c>
      <c r="G160" s="37" t="s">
        <v>99</v>
      </c>
      <c r="H160" s="37"/>
      <c r="I160" s="37"/>
      <c r="J160" s="38" t="n">
        <v>46258</v>
      </c>
      <c r="K160" s="39" t="s">
        <v>82</v>
      </c>
      <c r="L160" s="40" t="n">
        <f aca="false">IF(OR($J160="",$K160=""),"",$J160+MATCH($K160,Listas!$F$5:$F$11,0)-1)</f>
        <v>46261</v>
      </c>
      <c r="M160" s="41"/>
      <c r="N160" s="36" t="s">
        <v>69</v>
      </c>
      <c r="O160" s="41"/>
      <c r="P160" s="35"/>
      <c r="Q160" s="35"/>
      <c r="R160" s="42" t="str">
        <f aca="true">IF($E160="","",IF($N160="Cancelada","Cancelada",IF(OR($M160&lt;&gt;"",$N160="Concluída"),IF(OR($L160="",$M160="",$M160&lt;=$L160),"Concluída","Concluída com atraso"),IF($L160="","Na carteira",IF($L160&lt;TODAY(),"VENCIDA",IF($N160="Em execução","Em execução",IF($L160=TODAY(),"Hoje","Programada")))))))</f>
        <v>Em execução</v>
      </c>
      <c r="S160" s="34" t="str">
        <f aca="false">IF($E160="","",IF(ISNUMBER(SEARCH("(externo)",$G160&amp;$H160&amp;$I160)),"Terceirizada","Interna"))</f>
        <v>Terceirizada</v>
      </c>
      <c r="T160" s="40" t="n">
        <f aca="false">IF($L160="","",IF($O160="",$L160,$O160))</f>
        <v>46261</v>
      </c>
      <c r="U160" s="34" t="n">
        <f aca="false">IF($E160="","",IF(OR($M160="",$L160=""),0,IF($M160&lt;=$L160,1,0)))</f>
        <v>0</v>
      </c>
      <c r="V160" s="34" t="n">
        <f aca="false">IF($E160="","",IF(OR($M160="",$T160=""),0,IF($M160&lt;=$T160,1,0)))</f>
        <v>0</v>
      </c>
      <c r="W160" s="42" t="str">
        <f aca="false">IF(OR($M160="",$L160=""),"",MAX(0,$M160-$L160))</f>
        <v/>
      </c>
      <c r="X160" s="34" t="n">
        <f aca="false">IF($E160="","",IF(AND($O160&lt;&gt;"",$L160&lt;&gt;"",$O160&lt;&gt;$L160),1,0))</f>
        <v>0</v>
      </c>
      <c r="Y160" s="34" t="n">
        <f aca="false">IF($E160="","",IF($N160="Cancelada",0,IF(OR($M160&lt;&gt;"",$N160="Concluída"),1,0)))</f>
        <v>0</v>
      </c>
    </row>
    <row r="161" customFormat="false" ht="15" hidden="false" customHeight="true" outlineLevel="0" collapsed="false">
      <c r="A161" s="34" t="n">
        <f aca="false">IF($E161="","",COUNTA($E$5:$E161))</f>
        <v>157</v>
      </c>
      <c r="B161" s="35" t="s">
        <v>300</v>
      </c>
      <c r="C161" s="35" t="s">
        <v>117</v>
      </c>
      <c r="D161" s="35" t="s">
        <v>301</v>
      </c>
      <c r="E161" s="35" t="s">
        <v>322</v>
      </c>
      <c r="F161" s="36" t="s">
        <v>62</v>
      </c>
      <c r="G161" s="37" t="s">
        <v>99</v>
      </c>
      <c r="H161" s="37"/>
      <c r="I161" s="37"/>
      <c r="J161" s="38" t="n">
        <v>46258</v>
      </c>
      <c r="K161" s="39" t="s">
        <v>82</v>
      </c>
      <c r="L161" s="40" t="n">
        <f aca="false">IF(OR($J161="",$K161=""),"",$J161+MATCH($K161,Listas!$F$5:$F$11,0)-1)</f>
        <v>46261</v>
      </c>
      <c r="M161" s="41"/>
      <c r="N161" s="36" t="s">
        <v>69</v>
      </c>
      <c r="O161" s="41"/>
      <c r="P161" s="35"/>
      <c r="Q161" s="35"/>
      <c r="R161" s="42" t="str">
        <f aca="true">IF($E161="","",IF($N161="Cancelada","Cancelada",IF(OR($M161&lt;&gt;"",$N161="Concluída"),IF(OR($L161="",$M161="",$M161&lt;=$L161),"Concluída","Concluída com atraso"),IF($L161="","Na carteira",IF($L161&lt;TODAY(),"VENCIDA",IF($N161="Em execução","Em execução",IF($L161=TODAY(),"Hoje","Programada")))))))</f>
        <v>Em execução</v>
      </c>
      <c r="S161" s="34" t="str">
        <f aca="false">IF($E161="","",IF(ISNUMBER(SEARCH("(externo)",$G161&amp;$H161&amp;$I161)),"Terceirizada","Interna"))</f>
        <v>Terceirizada</v>
      </c>
      <c r="T161" s="40" t="n">
        <f aca="false">IF($L161="","",IF($O161="",$L161,$O161))</f>
        <v>46261</v>
      </c>
      <c r="U161" s="34" t="n">
        <f aca="false">IF($E161="","",IF(OR($M161="",$L161=""),0,IF($M161&lt;=$L161,1,0)))</f>
        <v>0</v>
      </c>
      <c r="V161" s="34" t="n">
        <f aca="false">IF($E161="","",IF(OR($M161="",$T161=""),0,IF($M161&lt;=$T161,1,0)))</f>
        <v>0</v>
      </c>
      <c r="W161" s="42" t="str">
        <f aca="false">IF(OR($M161="",$L161=""),"",MAX(0,$M161-$L161))</f>
        <v/>
      </c>
      <c r="X161" s="34" t="n">
        <f aca="false">IF($E161="","",IF(AND($O161&lt;&gt;"",$L161&lt;&gt;"",$O161&lt;&gt;$L161),1,0))</f>
        <v>0</v>
      </c>
      <c r="Y161" s="34" t="n">
        <f aca="false">IF($E161="","",IF($N161="Cancelada",0,IF(OR($M161&lt;&gt;"",$N161="Concluída"),1,0)))</f>
        <v>0</v>
      </c>
    </row>
    <row r="162" customFormat="false" ht="15" hidden="false" customHeight="true" outlineLevel="0" collapsed="false">
      <c r="A162" s="34" t="n">
        <f aca="false">IF($E162="","",COUNTA($E$5:$E162))</f>
        <v>158</v>
      </c>
      <c r="B162" s="35" t="s">
        <v>300</v>
      </c>
      <c r="C162" s="35" t="s">
        <v>117</v>
      </c>
      <c r="D162" s="35" t="s">
        <v>301</v>
      </c>
      <c r="E162" s="35" t="s">
        <v>323</v>
      </c>
      <c r="F162" s="36" t="s">
        <v>62</v>
      </c>
      <c r="G162" s="37" t="s">
        <v>99</v>
      </c>
      <c r="H162" s="37"/>
      <c r="I162" s="37"/>
      <c r="J162" s="38" t="n">
        <v>46258</v>
      </c>
      <c r="K162" s="39" t="s">
        <v>82</v>
      </c>
      <c r="L162" s="40" t="n">
        <f aca="false">IF(OR($J162="",$K162=""),"",$J162+MATCH($K162,Listas!$F$5:$F$11,0)-1)</f>
        <v>46261</v>
      </c>
      <c r="M162" s="41"/>
      <c r="N162" s="36" t="s">
        <v>69</v>
      </c>
      <c r="O162" s="41"/>
      <c r="P162" s="35"/>
      <c r="Q162" s="35"/>
      <c r="R162" s="42" t="str">
        <f aca="true">IF($E162="","",IF($N162="Cancelada","Cancelada",IF(OR($M162&lt;&gt;"",$N162="Concluída"),IF(OR($L162="",$M162="",$M162&lt;=$L162),"Concluída","Concluída com atraso"),IF($L162="","Na carteira",IF($L162&lt;TODAY(),"VENCIDA",IF($N162="Em execução","Em execução",IF($L162=TODAY(),"Hoje","Programada")))))))</f>
        <v>Em execução</v>
      </c>
      <c r="S162" s="34" t="str">
        <f aca="false">IF($E162="","",IF(ISNUMBER(SEARCH("(externo)",$G162&amp;$H162&amp;$I162)),"Terceirizada","Interna"))</f>
        <v>Terceirizada</v>
      </c>
      <c r="T162" s="40" t="n">
        <f aca="false">IF($L162="","",IF($O162="",$L162,$O162))</f>
        <v>46261</v>
      </c>
      <c r="U162" s="34" t="n">
        <f aca="false">IF($E162="","",IF(OR($M162="",$L162=""),0,IF($M162&lt;=$L162,1,0)))</f>
        <v>0</v>
      </c>
      <c r="V162" s="34" t="n">
        <f aca="false">IF($E162="","",IF(OR($M162="",$T162=""),0,IF($M162&lt;=$T162,1,0)))</f>
        <v>0</v>
      </c>
      <c r="W162" s="42" t="str">
        <f aca="false">IF(OR($M162="",$L162=""),"",MAX(0,$M162-$L162))</f>
        <v/>
      </c>
      <c r="X162" s="34" t="n">
        <f aca="false">IF($E162="","",IF(AND($O162&lt;&gt;"",$L162&lt;&gt;"",$O162&lt;&gt;$L162),1,0))</f>
        <v>0</v>
      </c>
      <c r="Y162" s="34" t="n">
        <f aca="false">IF($E162="","",IF($N162="Cancelada",0,IF(OR($M162&lt;&gt;"",$N162="Concluída"),1,0)))</f>
        <v>0</v>
      </c>
    </row>
    <row r="163" customFormat="false" ht="15" hidden="false" customHeight="true" outlineLevel="0" collapsed="false">
      <c r="A163" s="34" t="n">
        <f aca="false">IF($E163="","",COUNTA($E$5:$E163))</f>
        <v>159</v>
      </c>
      <c r="B163" s="35" t="s">
        <v>300</v>
      </c>
      <c r="C163" s="35" t="s">
        <v>117</v>
      </c>
      <c r="D163" s="35" t="s">
        <v>301</v>
      </c>
      <c r="E163" s="35" t="s">
        <v>324</v>
      </c>
      <c r="F163" s="36" t="s">
        <v>62</v>
      </c>
      <c r="G163" s="37" t="s">
        <v>99</v>
      </c>
      <c r="H163" s="37"/>
      <c r="I163" s="37"/>
      <c r="J163" s="38" t="n">
        <v>46258</v>
      </c>
      <c r="K163" s="39" t="s">
        <v>82</v>
      </c>
      <c r="L163" s="40" t="n">
        <f aca="false">IF(OR($J163="",$K163=""),"",$J163+MATCH($K163,Listas!$F$5:$F$11,0)-1)</f>
        <v>46261</v>
      </c>
      <c r="M163" s="41"/>
      <c r="N163" s="36" t="s">
        <v>69</v>
      </c>
      <c r="O163" s="41"/>
      <c r="P163" s="35"/>
      <c r="Q163" s="35"/>
      <c r="R163" s="42" t="str">
        <f aca="true">IF($E163="","",IF($N163="Cancelada","Cancelada",IF(OR($M163&lt;&gt;"",$N163="Concluída"),IF(OR($L163="",$M163="",$M163&lt;=$L163),"Concluída","Concluída com atraso"),IF($L163="","Na carteira",IF($L163&lt;TODAY(),"VENCIDA",IF($N163="Em execução","Em execução",IF($L163=TODAY(),"Hoje","Programada")))))))</f>
        <v>Em execução</v>
      </c>
      <c r="S163" s="34" t="str">
        <f aca="false">IF($E163="","",IF(ISNUMBER(SEARCH("(externo)",$G163&amp;$H163&amp;$I163)),"Terceirizada","Interna"))</f>
        <v>Terceirizada</v>
      </c>
      <c r="T163" s="40" t="n">
        <f aca="false">IF($L163="","",IF($O163="",$L163,$O163))</f>
        <v>46261</v>
      </c>
      <c r="U163" s="34" t="n">
        <f aca="false">IF($E163="","",IF(OR($M163="",$L163=""),0,IF($M163&lt;=$L163,1,0)))</f>
        <v>0</v>
      </c>
      <c r="V163" s="34" t="n">
        <f aca="false">IF($E163="","",IF(OR($M163="",$T163=""),0,IF($M163&lt;=$T163,1,0)))</f>
        <v>0</v>
      </c>
      <c r="W163" s="42" t="str">
        <f aca="false">IF(OR($M163="",$L163=""),"",MAX(0,$M163-$L163))</f>
        <v/>
      </c>
      <c r="X163" s="34" t="n">
        <f aca="false">IF($E163="","",IF(AND($O163&lt;&gt;"",$L163&lt;&gt;"",$O163&lt;&gt;$L163),1,0))</f>
        <v>0</v>
      </c>
      <c r="Y163" s="34" t="n">
        <f aca="false">IF($E163="","",IF($N163="Cancelada",0,IF(OR($M163&lt;&gt;"",$N163="Concluída"),1,0)))</f>
        <v>0</v>
      </c>
    </row>
    <row r="164" customFormat="false" ht="15" hidden="false" customHeight="true" outlineLevel="0" collapsed="false">
      <c r="A164" s="34" t="n">
        <f aca="false">IF($E164="","",COUNTA($E$5:$E164))</f>
        <v>160</v>
      </c>
      <c r="B164" s="35" t="s">
        <v>300</v>
      </c>
      <c r="C164" s="35" t="s">
        <v>117</v>
      </c>
      <c r="D164" s="35" t="s">
        <v>301</v>
      </c>
      <c r="E164" s="35" t="s">
        <v>325</v>
      </c>
      <c r="F164" s="36" t="s">
        <v>62</v>
      </c>
      <c r="G164" s="37" t="s">
        <v>99</v>
      </c>
      <c r="H164" s="37"/>
      <c r="I164" s="37"/>
      <c r="J164" s="38" t="n">
        <v>46258</v>
      </c>
      <c r="K164" s="39" t="s">
        <v>87</v>
      </c>
      <c r="L164" s="40" t="n">
        <f aca="false">IF(OR($J164="",$K164=""),"",$J164+MATCH($K164,Listas!$F$5:$F$11,0)-1)</f>
        <v>46262</v>
      </c>
      <c r="M164" s="41"/>
      <c r="N164" s="36" t="s">
        <v>69</v>
      </c>
      <c r="O164" s="41"/>
      <c r="P164" s="35"/>
      <c r="Q164" s="35"/>
      <c r="R164" s="42" t="str">
        <f aca="true">IF($E164="","",IF($N164="Cancelada","Cancelada",IF(OR($M164&lt;&gt;"",$N164="Concluída"),IF(OR($L164="",$M164="",$M164&lt;=$L164),"Concluída","Concluída com atraso"),IF($L164="","Na carteira",IF($L164&lt;TODAY(),"VENCIDA",IF($N164="Em execução","Em execução",IF($L164=TODAY(),"Hoje","Programada")))))))</f>
        <v>Em execução</v>
      </c>
      <c r="S164" s="34" t="str">
        <f aca="false">IF($E164="","",IF(ISNUMBER(SEARCH("(externo)",$G164&amp;$H164&amp;$I164)),"Terceirizada","Interna"))</f>
        <v>Terceirizada</v>
      </c>
      <c r="T164" s="40" t="n">
        <f aca="false">IF($L164="","",IF($O164="",$L164,$O164))</f>
        <v>46262</v>
      </c>
      <c r="U164" s="34" t="n">
        <f aca="false">IF($E164="","",IF(OR($M164="",$L164=""),0,IF($M164&lt;=$L164,1,0)))</f>
        <v>0</v>
      </c>
      <c r="V164" s="34" t="n">
        <f aca="false">IF($E164="","",IF(OR($M164="",$T164=""),0,IF($M164&lt;=$T164,1,0)))</f>
        <v>0</v>
      </c>
      <c r="W164" s="42" t="str">
        <f aca="false">IF(OR($M164="",$L164=""),"",MAX(0,$M164-$L164))</f>
        <v/>
      </c>
      <c r="X164" s="34" t="n">
        <f aca="false">IF($E164="","",IF(AND($O164&lt;&gt;"",$L164&lt;&gt;"",$O164&lt;&gt;$L164),1,0))</f>
        <v>0</v>
      </c>
      <c r="Y164" s="34" t="n">
        <f aca="false">IF($E164="","",IF($N164="Cancelada",0,IF(OR($M164&lt;&gt;"",$N164="Concluída"),1,0)))</f>
        <v>0</v>
      </c>
    </row>
    <row r="165" customFormat="false" ht="15" hidden="false" customHeight="true" outlineLevel="0" collapsed="false">
      <c r="A165" s="34" t="n">
        <f aca="false">IF($E165="","",COUNTA($E$5:$E165))</f>
        <v>161</v>
      </c>
      <c r="B165" s="35" t="s">
        <v>300</v>
      </c>
      <c r="C165" s="35" t="s">
        <v>117</v>
      </c>
      <c r="D165" s="35" t="s">
        <v>301</v>
      </c>
      <c r="E165" s="35" t="s">
        <v>326</v>
      </c>
      <c r="F165" s="36" t="s">
        <v>62</v>
      </c>
      <c r="G165" s="37" t="s">
        <v>99</v>
      </c>
      <c r="H165" s="37"/>
      <c r="I165" s="37"/>
      <c r="J165" s="38" t="n">
        <v>46258</v>
      </c>
      <c r="K165" s="39" t="s">
        <v>87</v>
      </c>
      <c r="L165" s="40" t="n">
        <f aca="false">IF(OR($J165="",$K165=""),"",$J165+MATCH($K165,Listas!$F$5:$F$11,0)-1)</f>
        <v>46262</v>
      </c>
      <c r="M165" s="41"/>
      <c r="N165" s="36" t="s">
        <v>69</v>
      </c>
      <c r="O165" s="41"/>
      <c r="P165" s="35"/>
      <c r="Q165" s="35"/>
      <c r="R165" s="42" t="str">
        <f aca="true">IF($E165="","",IF($N165="Cancelada","Cancelada",IF(OR($M165&lt;&gt;"",$N165="Concluída"),IF(OR($L165="",$M165="",$M165&lt;=$L165),"Concluída","Concluída com atraso"),IF($L165="","Na carteira",IF($L165&lt;TODAY(),"VENCIDA",IF($N165="Em execução","Em execução",IF($L165=TODAY(),"Hoje","Programada")))))))</f>
        <v>Em execução</v>
      </c>
      <c r="S165" s="34" t="str">
        <f aca="false">IF($E165="","",IF(ISNUMBER(SEARCH("(externo)",$G165&amp;$H165&amp;$I165)),"Terceirizada","Interna"))</f>
        <v>Terceirizada</v>
      </c>
      <c r="T165" s="40" t="n">
        <f aca="false">IF($L165="","",IF($O165="",$L165,$O165))</f>
        <v>46262</v>
      </c>
      <c r="U165" s="34" t="n">
        <f aca="false">IF($E165="","",IF(OR($M165="",$L165=""),0,IF($M165&lt;=$L165,1,0)))</f>
        <v>0</v>
      </c>
      <c r="V165" s="34" t="n">
        <f aca="false">IF($E165="","",IF(OR($M165="",$T165=""),0,IF($M165&lt;=$T165,1,0)))</f>
        <v>0</v>
      </c>
      <c r="W165" s="42" t="str">
        <f aca="false">IF(OR($M165="",$L165=""),"",MAX(0,$M165-$L165))</f>
        <v/>
      </c>
      <c r="X165" s="34" t="n">
        <f aca="false">IF($E165="","",IF(AND($O165&lt;&gt;"",$L165&lt;&gt;"",$O165&lt;&gt;$L165),1,0))</f>
        <v>0</v>
      </c>
      <c r="Y165" s="34" t="n">
        <f aca="false">IF($E165="","",IF($N165="Cancelada",0,IF(OR($M165&lt;&gt;"",$N165="Concluída"),1,0)))</f>
        <v>0</v>
      </c>
    </row>
    <row r="166" customFormat="false" ht="15" hidden="false" customHeight="true" outlineLevel="0" collapsed="false">
      <c r="A166" s="34" t="n">
        <f aca="false">IF($E166="","",COUNTA($E$5:$E166))</f>
        <v>162</v>
      </c>
      <c r="B166" s="35" t="s">
        <v>300</v>
      </c>
      <c r="C166" s="35" t="s">
        <v>117</v>
      </c>
      <c r="D166" s="35" t="s">
        <v>301</v>
      </c>
      <c r="E166" s="35" t="s">
        <v>327</v>
      </c>
      <c r="F166" s="36" t="s">
        <v>62</v>
      </c>
      <c r="G166" s="37" t="s">
        <v>99</v>
      </c>
      <c r="H166" s="37"/>
      <c r="I166" s="37"/>
      <c r="J166" s="38" t="n">
        <v>46258</v>
      </c>
      <c r="K166" s="39" t="s">
        <v>87</v>
      </c>
      <c r="L166" s="40" t="n">
        <f aca="false">IF(OR($J166="",$K166=""),"",$J166+MATCH($K166,Listas!$F$5:$F$11,0)-1)</f>
        <v>46262</v>
      </c>
      <c r="M166" s="41"/>
      <c r="N166" s="36" t="s">
        <v>69</v>
      </c>
      <c r="O166" s="41"/>
      <c r="P166" s="35"/>
      <c r="Q166" s="35"/>
      <c r="R166" s="42" t="str">
        <f aca="true">IF($E166="","",IF($N166="Cancelada","Cancelada",IF(OR($M166&lt;&gt;"",$N166="Concluída"),IF(OR($L166="",$M166="",$M166&lt;=$L166),"Concluída","Concluída com atraso"),IF($L166="","Na carteira",IF($L166&lt;TODAY(),"VENCIDA",IF($N166="Em execução","Em execução",IF($L166=TODAY(),"Hoje","Programada")))))))</f>
        <v>Em execução</v>
      </c>
      <c r="S166" s="34" t="str">
        <f aca="false">IF($E166="","",IF(ISNUMBER(SEARCH("(externo)",$G166&amp;$H166&amp;$I166)),"Terceirizada","Interna"))</f>
        <v>Terceirizada</v>
      </c>
      <c r="T166" s="40" t="n">
        <f aca="false">IF($L166="","",IF($O166="",$L166,$O166))</f>
        <v>46262</v>
      </c>
      <c r="U166" s="34" t="n">
        <f aca="false">IF($E166="","",IF(OR($M166="",$L166=""),0,IF($M166&lt;=$L166,1,0)))</f>
        <v>0</v>
      </c>
      <c r="V166" s="34" t="n">
        <f aca="false">IF($E166="","",IF(OR($M166="",$T166=""),0,IF($M166&lt;=$T166,1,0)))</f>
        <v>0</v>
      </c>
      <c r="W166" s="42" t="str">
        <f aca="false">IF(OR($M166="",$L166=""),"",MAX(0,$M166-$L166))</f>
        <v/>
      </c>
      <c r="X166" s="34" t="n">
        <f aca="false">IF($E166="","",IF(AND($O166&lt;&gt;"",$L166&lt;&gt;"",$O166&lt;&gt;$L166),1,0))</f>
        <v>0</v>
      </c>
      <c r="Y166" s="34" t="n">
        <f aca="false">IF($E166="","",IF($N166="Cancelada",0,IF(OR($M166&lt;&gt;"",$N166="Concluída"),1,0)))</f>
        <v>0</v>
      </c>
    </row>
    <row r="167" customFormat="false" ht="15" hidden="false" customHeight="true" outlineLevel="0" collapsed="false">
      <c r="A167" s="34" t="n">
        <f aca="false">IF($E167="","",COUNTA($E$5:$E167))</f>
        <v>163</v>
      </c>
      <c r="B167" s="35" t="s">
        <v>300</v>
      </c>
      <c r="C167" s="35" t="s">
        <v>117</v>
      </c>
      <c r="D167" s="35" t="s">
        <v>301</v>
      </c>
      <c r="E167" s="35" t="s">
        <v>328</v>
      </c>
      <c r="F167" s="36" t="s">
        <v>62</v>
      </c>
      <c r="G167" s="37" t="s">
        <v>99</v>
      </c>
      <c r="H167" s="37"/>
      <c r="I167" s="37"/>
      <c r="J167" s="38" t="n">
        <v>46258</v>
      </c>
      <c r="K167" s="39" t="s">
        <v>87</v>
      </c>
      <c r="L167" s="40" t="n">
        <f aca="false">IF(OR($J167="",$K167=""),"",$J167+MATCH($K167,Listas!$F$5:$F$11,0)-1)</f>
        <v>46262</v>
      </c>
      <c r="M167" s="41"/>
      <c r="N167" s="36" t="s">
        <v>69</v>
      </c>
      <c r="O167" s="41"/>
      <c r="P167" s="35"/>
      <c r="Q167" s="35"/>
      <c r="R167" s="42" t="str">
        <f aca="true">IF($E167="","",IF($N167="Cancelada","Cancelada",IF(OR($M167&lt;&gt;"",$N167="Concluída"),IF(OR($L167="",$M167="",$M167&lt;=$L167),"Concluída","Concluída com atraso"),IF($L167="","Na carteira",IF($L167&lt;TODAY(),"VENCIDA",IF($N167="Em execução","Em execução",IF($L167=TODAY(),"Hoje","Programada")))))))</f>
        <v>Em execução</v>
      </c>
      <c r="S167" s="34" t="str">
        <f aca="false">IF($E167="","",IF(ISNUMBER(SEARCH("(externo)",$G167&amp;$H167&amp;$I167)),"Terceirizada","Interna"))</f>
        <v>Terceirizada</v>
      </c>
      <c r="T167" s="40" t="n">
        <f aca="false">IF($L167="","",IF($O167="",$L167,$O167))</f>
        <v>46262</v>
      </c>
      <c r="U167" s="34" t="n">
        <f aca="false">IF($E167="","",IF(OR($M167="",$L167=""),0,IF($M167&lt;=$L167,1,0)))</f>
        <v>0</v>
      </c>
      <c r="V167" s="34" t="n">
        <f aca="false">IF($E167="","",IF(OR($M167="",$T167=""),0,IF($M167&lt;=$T167,1,0)))</f>
        <v>0</v>
      </c>
      <c r="W167" s="42" t="str">
        <f aca="false">IF(OR($M167="",$L167=""),"",MAX(0,$M167-$L167))</f>
        <v/>
      </c>
      <c r="X167" s="34" t="n">
        <f aca="false">IF($E167="","",IF(AND($O167&lt;&gt;"",$L167&lt;&gt;"",$O167&lt;&gt;$L167),1,0))</f>
        <v>0</v>
      </c>
      <c r="Y167" s="34" t="n">
        <f aca="false">IF($E167="","",IF($N167="Cancelada",0,IF(OR($M167&lt;&gt;"",$N167="Concluída"),1,0)))</f>
        <v>0</v>
      </c>
    </row>
    <row r="168" customFormat="false" ht="15" hidden="false" customHeight="true" outlineLevel="0" collapsed="false">
      <c r="A168" s="34" t="n">
        <f aca="false">IF($E168="","",COUNTA($E$5:$E168))</f>
        <v>164</v>
      </c>
      <c r="B168" s="35" t="s">
        <v>300</v>
      </c>
      <c r="C168" s="35" t="s">
        <v>117</v>
      </c>
      <c r="D168" s="35" t="s">
        <v>301</v>
      </c>
      <c r="E168" s="35" t="s">
        <v>329</v>
      </c>
      <c r="F168" s="36" t="s">
        <v>62</v>
      </c>
      <c r="G168" s="37" t="s">
        <v>99</v>
      </c>
      <c r="H168" s="37"/>
      <c r="I168" s="37"/>
      <c r="J168" s="38" t="n">
        <v>46258</v>
      </c>
      <c r="K168" s="39" t="s">
        <v>87</v>
      </c>
      <c r="L168" s="40" t="n">
        <f aca="false">IF(OR($J168="",$K168=""),"",$J168+MATCH($K168,Listas!$F$5:$F$11,0)-1)</f>
        <v>46262</v>
      </c>
      <c r="M168" s="41"/>
      <c r="N168" s="36" t="s">
        <v>69</v>
      </c>
      <c r="O168" s="41"/>
      <c r="P168" s="35"/>
      <c r="Q168" s="35"/>
      <c r="R168" s="42" t="str">
        <f aca="true">IF($E168="","",IF($N168="Cancelada","Cancelada",IF(OR($M168&lt;&gt;"",$N168="Concluída"),IF(OR($L168="",$M168="",$M168&lt;=$L168),"Concluída","Concluída com atraso"),IF($L168="","Na carteira",IF($L168&lt;TODAY(),"VENCIDA",IF($N168="Em execução","Em execução",IF($L168=TODAY(),"Hoje","Programada")))))))</f>
        <v>Em execução</v>
      </c>
      <c r="S168" s="34" t="str">
        <f aca="false">IF($E168="","",IF(ISNUMBER(SEARCH("(externo)",$G168&amp;$H168&amp;$I168)),"Terceirizada","Interna"))</f>
        <v>Terceirizada</v>
      </c>
      <c r="T168" s="40" t="n">
        <f aca="false">IF($L168="","",IF($O168="",$L168,$O168))</f>
        <v>46262</v>
      </c>
      <c r="U168" s="34" t="n">
        <f aca="false">IF($E168="","",IF(OR($M168="",$L168=""),0,IF($M168&lt;=$L168,1,0)))</f>
        <v>0</v>
      </c>
      <c r="V168" s="34" t="n">
        <f aca="false">IF($E168="","",IF(OR($M168="",$T168=""),0,IF($M168&lt;=$T168,1,0)))</f>
        <v>0</v>
      </c>
      <c r="W168" s="42" t="str">
        <f aca="false">IF(OR($M168="",$L168=""),"",MAX(0,$M168-$L168))</f>
        <v/>
      </c>
      <c r="X168" s="34" t="n">
        <f aca="false">IF($E168="","",IF(AND($O168&lt;&gt;"",$L168&lt;&gt;"",$O168&lt;&gt;$L168),1,0))</f>
        <v>0</v>
      </c>
      <c r="Y168" s="34" t="n">
        <f aca="false">IF($E168="","",IF($N168="Cancelada",0,IF(OR($M168&lt;&gt;"",$N168="Concluída"),1,0)))</f>
        <v>0</v>
      </c>
    </row>
    <row r="169" customFormat="false" ht="15" hidden="false" customHeight="true" outlineLevel="0" collapsed="false">
      <c r="A169" s="34" t="n">
        <f aca="false">IF($E169="","",COUNTA($E$5:$E169))</f>
        <v>165</v>
      </c>
      <c r="B169" s="35" t="s">
        <v>300</v>
      </c>
      <c r="C169" s="35" t="s">
        <v>117</v>
      </c>
      <c r="D169" s="35" t="s">
        <v>301</v>
      </c>
      <c r="E169" s="35" t="s">
        <v>330</v>
      </c>
      <c r="F169" s="36" t="s">
        <v>62</v>
      </c>
      <c r="G169" s="37" t="s">
        <v>99</v>
      </c>
      <c r="H169" s="37"/>
      <c r="I169" s="37"/>
      <c r="J169" s="38" t="n">
        <v>46258</v>
      </c>
      <c r="K169" s="39" t="s">
        <v>87</v>
      </c>
      <c r="L169" s="40" t="n">
        <f aca="false">IF(OR($J169="",$K169=""),"",$J169+MATCH($K169,Listas!$F$5:$F$11,0)-1)</f>
        <v>46262</v>
      </c>
      <c r="M169" s="41"/>
      <c r="N169" s="36" t="s">
        <v>69</v>
      </c>
      <c r="O169" s="41"/>
      <c r="P169" s="35"/>
      <c r="Q169" s="35"/>
      <c r="R169" s="42" t="str">
        <f aca="true">IF($E169="","",IF($N169="Cancelada","Cancelada",IF(OR($M169&lt;&gt;"",$N169="Concluída"),IF(OR($L169="",$M169="",$M169&lt;=$L169),"Concluída","Concluída com atraso"),IF($L169="","Na carteira",IF($L169&lt;TODAY(),"VENCIDA",IF($N169="Em execução","Em execução",IF($L169=TODAY(),"Hoje","Programada")))))))</f>
        <v>Em execução</v>
      </c>
      <c r="S169" s="34" t="str">
        <f aca="false">IF($E169="","",IF(ISNUMBER(SEARCH("(externo)",$G169&amp;$H169&amp;$I169)),"Terceirizada","Interna"))</f>
        <v>Terceirizada</v>
      </c>
      <c r="T169" s="40" t="n">
        <f aca="false">IF($L169="","",IF($O169="",$L169,$O169))</f>
        <v>46262</v>
      </c>
      <c r="U169" s="34" t="n">
        <f aca="false">IF($E169="","",IF(OR($M169="",$L169=""),0,IF($M169&lt;=$L169,1,0)))</f>
        <v>0</v>
      </c>
      <c r="V169" s="34" t="n">
        <f aca="false">IF($E169="","",IF(OR($M169="",$T169=""),0,IF($M169&lt;=$T169,1,0)))</f>
        <v>0</v>
      </c>
      <c r="W169" s="42" t="str">
        <f aca="false">IF(OR($M169="",$L169=""),"",MAX(0,$M169-$L169))</f>
        <v/>
      </c>
      <c r="X169" s="34" t="n">
        <f aca="false">IF($E169="","",IF(AND($O169&lt;&gt;"",$L169&lt;&gt;"",$O169&lt;&gt;$L169),1,0))</f>
        <v>0</v>
      </c>
      <c r="Y169" s="34" t="n">
        <f aca="false">IF($E169="","",IF($N169="Cancelada",0,IF(OR($M169&lt;&gt;"",$N169="Concluída"),1,0)))</f>
        <v>0</v>
      </c>
    </row>
    <row r="170" customFormat="false" ht="15" hidden="false" customHeight="true" outlineLevel="0" collapsed="false">
      <c r="A170" s="34" t="n">
        <f aca="false">IF($E170="","",COUNTA($E$5:$E170))</f>
        <v>166</v>
      </c>
      <c r="B170" s="35" t="s">
        <v>300</v>
      </c>
      <c r="C170" s="35" t="s">
        <v>117</v>
      </c>
      <c r="D170" s="35" t="s">
        <v>301</v>
      </c>
      <c r="E170" s="35" t="s">
        <v>331</v>
      </c>
      <c r="F170" s="36" t="s">
        <v>62</v>
      </c>
      <c r="G170" s="37" t="s">
        <v>99</v>
      </c>
      <c r="H170" s="37"/>
      <c r="I170" s="37"/>
      <c r="J170" s="38" t="n">
        <v>46258</v>
      </c>
      <c r="K170" s="39" t="s">
        <v>87</v>
      </c>
      <c r="L170" s="40" t="n">
        <f aca="false">IF(OR($J170="",$K170=""),"",$J170+MATCH($K170,Listas!$F$5:$F$11,0)-1)</f>
        <v>46262</v>
      </c>
      <c r="M170" s="41"/>
      <c r="N170" s="36" t="s">
        <v>69</v>
      </c>
      <c r="O170" s="41"/>
      <c r="P170" s="35"/>
      <c r="Q170" s="35"/>
      <c r="R170" s="42" t="str">
        <f aca="true">IF($E170="","",IF($N170="Cancelada","Cancelada",IF(OR($M170&lt;&gt;"",$N170="Concluída"),IF(OR($L170="",$M170="",$M170&lt;=$L170),"Concluída","Concluída com atraso"),IF($L170="","Na carteira",IF($L170&lt;TODAY(),"VENCIDA",IF($N170="Em execução","Em execução",IF($L170=TODAY(),"Hoje","Programada")))))))</f>
        <v>Em execução</v>
      </c>
      <c r="S170" s="34" t="str">
        <f aca="false">IF($E170="","",IF(ISNUMBER(SEARCH("(externo)",$G170&amp;$H170&amp;$I170)),"Terceirizada","Interna"))</f>
        <v>Terceirizada</v>
      </c>
      <c r="T170" s="40" t="n">
        <f aca="false">IF($L170="","",IF($O170="",$L170,$O170))</f>
        <v>46262</v>
      </c>
      <c r="U170" s="34" t="n">
        <f aca="false">IF($E170="","",IF(OR($M170="",$L170=""),0,IF($M170&lt;=$L170,1,0)))</f>
        <v>0</v>
      </c>
      <c r="V170" s="34" t="n">
        <f aca="false">IF($E170="","",IF(OR($M170="",$T170=""),0,IF($M170&lt;=$T170,1,0)))</f>
        <v>0</v>
      </c>
      <c r="W170" s="42" t="str">
        <f aca="false">IF(OR($M170="",$L170=""),"",MAX(0,$M170-$L170))</f>
        <v/>
      </c>
      <c r="X170" s="34" t="n">
        <f aca="false">IF($E170="","",IF(AND($O170&lt;&gt;"",$L170&lt;&gt;"",$O170&lt;&gt;$L170),1,0))</f>
        <v>0</v>
      </c>
      <c r="Y170" s="34" t="n">
        <f aca="false">IF($E170="","",IF($N170="Cancelada",0,IF(OR($M170&lt;&gt;"",$N170="Concluída"),1,0)))</f>
        <v>0</v>
      </c>
    </row>
    <row r="171" customFormat="false" ht="15" hidden="false" customHeight="true" outlineLevel="0" collapsed="false">
      <c r="A171" s="34" t="n">
        <f aca="false">IF($E171="","",COUNTA($E$5:$E171))</f>
        <v>167</v>
      </c>
      <c r="B171" s="35" t="s">
        <v>300</v>
      </c>
      <c r="C171" s="35" t="s">
        <v>117</v>
      </c>
      <c r="D171" s="35" t="s">
        <v>301</v>
      </c>
      <c r="E171" s="35" t="s">
        <v>332</v>
      </c>
      <c r="F171" s="36" t="s">
        <v>62</v>
      </c>
      <c r="G171" s="37" t="s">
        <v>99</v>
      </c>
      <c r="H171" s="37"/>
      <c r="I171" s="37"/>
      <c r="J171" s="38" t="n">
        <v>46258</v>
      </c>
      <c r="K171" s="39" t="s">
        <v>87</v>
      </c>
      <c r="L171" s="40" t="n">
        <f aca="false">IF(OR($J171="",$K171=""),"",$J171+MATCH($K171,Listas!$F$5:$F$11,0)-1)</f>
        <v>46262</v>
      </c>
      <c r="M171" s="41"/>
      <c r="N171" s="36" t="s">
        <v>69</v>
      </c>
      <c r="O171" s="41"/>
      <c r="P171" s="35"/>
      <c r="Q171" s="35"/>
      <c r="R171" s="42" t="str">
        <f aca="true">IF($E171="","",IF($N171="Cancelada","Cancelada",IF(OR($M171&lt;&gt;"",$N171="Concluída"),IF(OR($L171="",$M171="",$M171&lt;=$L171),"Concluída","Concluída com atraso"),IF($L171="","Na carteira",IF($L171&lt;TODAY(),"VENCIDA",IF($N171="Em execução","Em execução",IF($L171=TODAY(),"Hoje","Programada")))))))</f>
        <v>Em execução</v>
      </c>
      <c r="S171" s="34" t="str">
        <f aca="false">IF($E171="","",IF(ISNUMBER(SEARCH("(externo)",$G171&amp;$H171&amp;$I171)),"Terceirizada","Interna"))</f>
        <v>Terceirizada</v>
      </c>
      <c r="T171" s="40" t="n">
        <f aca="false">IF($L171="","",IF($O171="",$L171,$O171))</f>
        <v>46262</v>
      </c>
      <c r="U171" s="34" t="n">
        <f aca="false">IF($E171="","",IF(OR($M171="",$L171=""),0,IF($M171&lt;=$L171,1,0)))</f>
        <v>0</v>
      </c>
      <c r="V171" s="34" t="n">
        <f aca="false">IF($E171="","",IF(OR($M171="",$T171=""),0,IF($M171&lt;=$T171,1,0)))</f>
        <v>0</v>
      </c>
      <c r="W171" s="42" t="str">
        <f aca="false">IF(OR($M171="",$L171=""),"",MAX(0,$M171-$L171))</f>
        <v/>
      </c>
      <c r="X171" s="34" t="n">
        <f aca="false">IF($E171="","",IF(AND($O171&lt;&gt;"",$L171&lt;&gt;"",$O171&lt;&gt;$L171),1,0))</f>
        <v>0</v>
      </c>
      <c r="Y171" s="34" t="n">
        <f aca="false">IF($E171="","",IF($N171="Cancelada",0,IF(OR($M171&lt;&gt;"",$N171="Concluída"),1,0)))</f>
        <v>0</v>
      </c>
    </row>
    <row r="172" customFormat="false" ht="15" hidden="false" customHeight="true" outlineLevel="0" collapsed="false">
      <c r="A172" s="34" t="n">
        <f aca="false">IF($E172="","",COUNTA($E$5:$E172))</f>
        <v>168</v>
      </c>
      <c r="B172" s="35" t="s">
        <v>300</v>
      </c>
      <c r="C172" s="35" t="s">
        <v>117</v>
      </c>
      <c r="D172" s="35" t="s">
        <v>301</v>
      </c>
      <c r="E172" s="35" t="s">
        <v>333</v>
      </c>
      <c r="F172" s="36" t="s">
        <v>62</v>
      </c>
      <c r="G172" s="37" t="s">
        <v>99</v>
      </c>
      <c r="H172" s="37"/>
      <c r="I172" s="37"/>
      <c r="J172" s="38" t="n">
        <v>46258</v>
      </c>
      <c r="K172" s="39" t="s">
        <v>87</v>
      </c>
      <c r="L172" s="40" t="n">
        <f aca="false">IF(OR($J172="",$K172=""),"",$J172+MATCH($K172,Listas!$F$5:$F$11,0)-1)</f>
        <v>46262</v>
      </c>
      <c r="M172" s="41"/>
      <c r="N172" s="36" t="s">
        <v>69</v>
      </c>
      <c r="O172" s="41"/>
      <c r="P172" s="35"/>
      <c r="Q172" s="35"/>
      <c r="R172" s="42" t="str">
        <f aca="true">IF($E172="","",IF($N172="Cancelada","Cancelada",IF(OR($M172&lt;&gt;"",$N172="Concluída"),IF(OR($L172="",$M172="",$M172&lt;=$L172),"Concluída","Concluída com atraso"),IF($L172="","Na carteira",IF($L172&lt;TODAY(),"VENCIDA",IF($N172="Em execução","Em execução",IF($L172=TODAY(),"Hoje","Programada")))))))</f>
        <v>Em execução</v>
      </c>
      <c r="S172" s="34" t="str">
        <f aca="false">IF($E172="","",IF(ISNUMBER(SEARCH("(externo)",$G172&amp;$H172&amp;$I172)),"Terceirizada","Interna"))</f>
        <v>Terceirizada</v>
      </c>
      <c r="T172" s="40" t="n">
        <f aca="false">IF($L172="","",IF($O172="",$L172,$O172))</f>
        <v>46262</v>
      </c>
      <c r="U172" s="34" t="n">
        <f aca="false">IF($E172="","",IF(OR($M172="",$L172=""),0,IF($M172&lt;=$L172,1,0)))</f>
        <v>0</v>
      </c>
      <c r="V172" s="34" t="n">
        <f aca="false">IF($E172="","",IF(OR($M172="",$T172=""),0,IF($M172&lt;=$T172,1,0)))</f>
        <v>0</v>
      </c>
      <c r="W172" s="42" t="str">
        <f aca="false">IF(OR($M172="",$L172=""),"",MAX(0,$M172-$L172))</f>
        <v/>
      </c>
      <c r="X172" s="34" t="n">
        <f aca="false">IF($E172="","",IF(AND($O172&lt;&gt;"",$L172&lt;&gt;"",$O172&lt;&gt;$L172),1,0))</f>
        <v>0</v>
      </c>
      <c r="Y172" s="34" t="n">
        <f aca="false">IF($E172="","",IF($N172="Cancelada",0,IF(OR($M172&lt;&gt;"",$N172="Concluída"),1,0)))</f>
        <v>0</v>
      </c>
    </row>
    <row r="173" customFormat="false" ht="15" hidden="false" customHeight="true" outlineLevel="0" collapsed="false">
      <c r="A173" s="34" t="n">
        <f aca="false">IF($E173="","",COUNTA($E$5:$E173))</f>
        <v>169</v>
      </c>
      <c r="B173" s="35" t="s">
        <v>300</v>
      </c>
      <c r="C173" s="35" t="s">
        <v>117</v>
      </c>
      <c r="D173" s="35" t="s">
        <v>301</v>
      </c>
      <c r="E173" s="35" t="s">
        <v>334</v>
      </c>
      <c r="F173" s="36" t="s">
        <v>62</v>
      </c>
      <c r="G173" s="37" t="s">
        <v>99</v>
      </c>
      <c r="H173" s="37"/>
      <c r="I173" s="37"/>
      <c r="J173" s="38" t="n">
        <v>46258</v>
      </c>
      <c r="K173" s="39" t="s">
        <v>87</v>
      </c>
      <c r="L173" s="40" t="n">
        <f aca="false">IF(OR($J173="",$K173=""),"",$J173+MATCH($K173,Listas!$F$5:$F$11,0)-1)</f>
        <v>46262</v>
      </c>
      <c r="M173" s="41"/>
      <c r="N173" s="36" t="s">
        <v>69</v>
      </c>
      <c r="O173" s="41"/>
      <c r="P173" s="35"/>
      <c r="Q173" s="35"/>
      <c r="R173" s="42" t="str">
        <f aca="true">IF($E173="","",IF($N173="Cancelada","Cancelada",IF(OR($M173&lt;&gt;"",$N173="Concluída"),IF(OR($L173="",$M173="",$M173&lt;=$L173),"Concluída","Concluída com atraso"),IF($L173="","Na carteira",IF($L173&lt;TODAY(),"VENCIDA",IF($N173="Em execução","Em execução",IF($L173=TODAY(),"Hoje","Programada")))))))</f>
        <v>Em execução</v>
      </c>
      <c r="S173" s="34" t="str">
        <f aca="false">IF($E173="","",IF(ISNUMBER(SEARCH("(externo)",$G173&amp;$H173&amp;$I173)),"Terceirizada","Interna"))</f>
        <v>Terceirizada</v>
      </c>
      <c r="T173" s="40" t="n">
        <f aca="false">IF($L173="","",IF($O173="",$L173,$O173))</f>
        <v>46262</v>
      </c>
      <c r="U173" s="34" t="n">
        <f aca="false">IF($E173="","",IF(OR($M173="",$L173=""),0,IF($M173&lt;=$L173,1,0)))</f>
        <v>0</v>
      </c>
      <c r="V173" s="34" t="n">
        <f aca="false">IF($E173="","",IF(OR($M173="",$T173=""),0,IF($M173&lt;=$T173,1,0)))</f>
        <v>0</v>
      </c>
      <c r="W173" s="42" t="str">
        <f aca="false">IF(OR($M173="",$L173=""),"",MAX(0,$M173-$L173))</f>
        <v/>
      </c>
      <c r="X173" s="34" t="n">
        <f aca="false">IF($E173="","",IF(AND($O173&lt;&gt;"",$L173&lt;&gt;"",$O173&lt;&gt;$L173),1,0))</f>
        <v>0</v>
      </c>
      <c r="Y173" s="34" t="n">
        <f aca="false">IF($E173="","",IF($N173="Cancelada",0,IF(OR($M173&lt;&gt;"",$N173="Concluída"),1,0)))</f>
        <v>0</v>
      </c>
    </row>
    <row r="174" customFormat="false" ht="15" hidden="false" customHeight="true" outlineLevel="0" collapsed="false">
      <c r="A174" s="34" t="n">
        <f aca="false">IF($E174="","",COUNTA($E$5:$E174))</f>
        <v>170</v>
      </c>
      <c r="B174" s="35" t="s">
        <v>300</v>
      </c>
      <c r="C174" s="35" t="s">
        <v>117</v>
      </c>
      <c r="D174" s="35" t="s">
        <v>301</v>
      </c>
      <c r="E174" s="35" t="s">
        <v>335</v>
      </c>
      <c r="F174" s="36" t="s">
        <v>62</v>
      </c>
      <c r="G174" s="37" t="s">
        <v>99</v>
      </c>
      <c r="H174" s="37"/>
      <c r="I174" s="37"/>
      <c r="J174" s="38" t="n">
        <v>46258</v>
      </c>
      <c r="K174" s="39" t="s">
        <v>87</v>
      </c>
      <c r="L174" s="40" t="n">
        <f aca="false">IF(OR($J174="",$K174=""),"",$J174+MATCH($K174,Listas!$F$5:$F$11,0)-1)</f>
        <v>46262</v>
      </c>
      <c r="M174" s="41"/>
      <c r="N174" s="36" t="s">
        <v>69</v>
      </c>
      <c r="O174" s="41"/>
      <c r="P174" s="35"/>
      <c r="Q174" s="35"/>
      <c r="R174" s="42" t="str">
        <f aca="true">IF($E174="","",IF($N174="Cancelada","Cancelada",IF(OR($M174&lt;&gt;"",$N174="Concluída"),IF(OR($L174="",$M174="",$M174&lt;=$L174),"Concluída","Concluída com atraso"),IF($L174="","Na carteira",IF($L174&lt;TODAY(),"VENCIDA",IF($N174="Em execução","Em execução",IF($L174=TODAY(),"Hoje","Programada")))))))</f>
        <v>Em execução</v>
      </c>
      <c r="S174" s="34" t="str">
        <f aca="false">IF($E174="","",IF(ISNUMBER(SEARCH("(externo)",$G174&amp;$H174&amp;$I174)),"Terceirizada","Interna"))</f>
        <v>Terceirizada</v>
      </c>
      <c r="T174" s="40" t="n">
        <f aca="false">IF($L174="","",IF($O174="",$L174,$O174))</f>
        <v>46262</v>
      </c>
      <c r="U174" s="34" t="n">
        <f aca="false">IF($E174="","",IF(OR($M174="",$L174=""),0,IF($M174&lt;=$L174,1,0)))</f>
        <v>0</v>
      </c>
      <c r="V174" s="34" t="n">
        <f aca="false">IF($E174="","",IF(OR($M174="",$T174=""),0,IF($M174&lt;=$T174,1,0)))</f>
        <v>0</v>
      </c>
      <c r="W174" s="42" t="str">
        <f aca="false">IF(OR($M174="",$L174=""),"",MAX(0,$M174-$L174))</f>
        <v/>
      </c>
      <c r="X174" s="34" t="n">
        <f aca="false">IF($E174="","",IF(AND($O174&lt;&gt;"",$L174&lt;&gt;"",$O174&lt;&gt;$L174),1,0))</f>
        <v>0</v>
      </c>
      <c r="Y174" s="34" t="n">
        <f aca="false">IF($E174="","",IF($N174="Cancelada",0,IF(OR($M174&lt;&gt;"",$N174="Concluída"),1,0)))</f>
        <v>0</v>
      </c>
    </row>
    <row r="175" customFormat="false" ht="15" hidden="false" customHeight="true" outlineLevel="0" collapsed="false">
      <c r="A175" s="34" t="n">
        <f aca="false">IF($E175="","",COUNTA($E$5:$E175))</f>
        <v>171</v>
      </c>
      <c r="B175" s="35"/>
      <c r="C175" s="35" t="s">
        <v>61</v>
      </c>
      <c r="D175" s="35" t="s">
        <v>150</v>
      </c>
      <c r="E175" s="35" t="s">
        <v>336</v>
      </c>
      <c r="F175" s="36" t="s">
        <v>62</v>
      </c>
      <c r="G175" s="37" t="s">
        <v>66</v>
      </c>
      <c r="H175" s="37" t="s">
        <v>92</v>
      </c>
      <c r="I175" s="37"/>
      <c r="J175" s="38" t="n">
        <v>46258</v>
      </c>
      <c r="K175" s="39" t="s">
        <v>77</v>
      </c>
      <c r="L175" s="40" t="n">
        <f aca="false">IF(OR($J175="",$K175=""),"",$J175+MATCH($K175,Listas!$F$5:$F$11,0)-1)</f>
        <v>46260</v>
      </c>
      <c r="M175" s="41"/>
      <c r="N175" s="36"/>
      <c r="O175" s="41"/>
      <c r="P175" s="35"/>
      <c r="Q175" s="35"/>
      <c r="R175" s="42" t="str">
        <f aca="true">IF($E175="","",IF($N175="Cancelada","Cancelada",IF(OR($M175&lt;&gt;"",$N175="Concluída"),IF(OR($L175="",$M175="",$M175&lt;=$L175),"Concluída","Concluída com atraso"),IF($L175="","Na carteira",IF($L175&lt;TODAY(),"VENCIDA",IF($N175="Em execução","Em execução",IF($L175=TODAY(),"Hoje","Programada")))))))</f>
        <v>VENCIDA</v>
      </c>
      <c r="S175" s="34" t="str">
        <f aca="false">IF($E175="","",IF(ISNUMBER(SEARCH("(externo)",$G175&amp;$H175&amp;$I175)),"Terceirizada","Interna"))</f>
        <v>Interna</v>
      </c>
      <c r="T175" s="40" t="n">
        <f aca="false">IF($L175="","",IF($O175="",$L175,$O175))</f>
        <v>46260</v>
      </c>
      <c r="U175" s="34" t="n">
        <f aca="false">IF($E175="","",IF(OR($M175="",$L175=""),0,IF($M175&lt;=$L175,1,0)))</f>
        <v>0</v>
      </c>
      <c r="V175" s="34" t="n">
        <f aca="false">IF($E175="","",IF(OR($M175="",$T175=""),0,IF($M175&lt;=$T175,1,0)))</f>
        <v>0</v>
      </c>
      <c r="W175" s="42" t="str">
        <f aca="false">IF(OR($M175="",$L175=""),"",MAX(0,$M175-$L175))</f>
        <v/>
      </c>
      <c r="X175" s="34" t="n">
        <f aca="false">IF($E175="","",IF(AND($O175&lt;&gt;"",$L175&lt;&gt;"",$O175&lt;&gt;$L175),1,0))</f>
        <v>0</v>
      </c>
      <c r="Y175" s="34" t="n">
        <f aca="false">IF($E175="","",IF($N175="Cancelada",0,IF(OR($M175&lt;&gt;"",$N175="Concluída"),1,0)))</f>
        <v>0</v>
      </c>
    </row>
    <row r="176" customFormat="false" ht="15" hidden="false" customHeight="true" outlineLevel="0" collapsed="false">
      <c r="A176" s="34" t="n">
        <f aca="false">IF($E176="","",COUNTA($E$5:$E176))</f>
        <v>172</v>
      </c>
      <c r="B176" s="35"/>
      <c r="C176" s="35" t="s">
        <v>67</v>
      </c>
      <c r="D176" s="35" t="s">
        <v>150</v>
      </c>
      <c r="E176" s="35" t="s">
        <v>336</v>
      </c>
      <c r="F176" s="36" t="s">
        <v>62</v>
      </c>
      <c r="G176" s="37" t="s">
        <v>66</v>
      </c>
      <c r="H176" s="37" t="s">
        <v>92</v>
      </c>
      <c r="I176" s="37"/>
      <c r="J176" s="38" t="n">
        <v>46258</v>
      </c>
      <c r="K176" s="39" t="s">
        <v>77</v>
      </c>
      <c r="L176" s="40" t="n">
        <f aca="false">IF(OR($J176="",$K176=""),"",$J176+MATCH($K176,Listas!$F$5:$F$11,0)-1)</f>
        <v>46260</v>
      </c>
      <c r="M176" s="41"/>
      <c r="N176" s="36"/>
      <c r="O176" s="41"/>
      <c r="P176" s="35"/>
      <c r="Q176" s="35"/>
      <c r="R176" s="42" t="str">
        <f aca="true">IF($E176="","",IF($N176="Cancelada","Cancelada",IF(OR($M176&lt;&gt;"",$N176="Concluída"),IF(OR($L176="",$M176="",$M176&lt;=$L176),"Concluída","Concluída com atraso"),IF($L176="","Na carteira",IF($L176&lt;TODAY(),"VENCIDA",IF($N176="Em execução","Em execução",IF($L176=TODAY(),"Hoje","Programada")))))))</f>
        <v>VENCIDA</v>
      </c>
      <c r="S176" s="34" t="str">
        <f aca="false">IF($E176="","",IF(ISNUMBER(SEARCH("(externo)",$G176&amp;$H176&amp;$I176)),"Terceirizada","Interna"))</f>
        <v>Interna</v>
      </c>
      <c r="T176" s="40" t="n">
        <f aca="false">IF($L176="","",IF($O176="",$L176,$O176))</f>
        <v>46260</v>
      </c>
      <c r="U176" s="34" t="n">
        <f aca="false">IF($E176="","",IF(OR($M176="",$L176=""),0,IF($M176&lt;=$L176,1,0)))</f>
        <v>0</v>
      </c>
      <c r="V176" s="34" t="n">
        <f aca="false">IF($E176="","",IF(OR($M176="",$T176=""),0,IF($M176&lt;=$T176,1,0)))</f>
        <v>0</v>
      </c>
      <c r="W176" s="42" t="str">
        <f aca="false">IF(OR($M176="",$L176=""),"",MAX(0,$M176-$L176))</f>
        <v/>
      </c>
      <c r="X176" s="34" t="n">
        <f aca="false">IF($E176="","",IF(AND($O176&lt;&gt;"",$L176&lt;&gt;"",$O176&lt;&gt;$L176),1,0))</f>
        <v>0</v>
      </c>
      <c r="Y176" s="34" t="n">
        <f aca="false">IF($E176="","",IF($N176="Cancelada",0,IF(OR($M176&lt;&gt;"",$N176="Concluída"),1,0)))</f>
        <v>0</v>
      </c>
    </row>
    <row r="177" customFormat="false" ht="15" hidden="false" customHeight="true" outlineLevel="0" collapsed="false">
      <c r="A177" s="34" t="str">
        <f aca="false">IF($E177="","",COUNTA($E$5:$E177))</f>
        <v/>
      </c>
      <c r="B177" s="35"/>
      <c r="C177" s="35"/>
      <c r="D177" s="35"/>
      <c r="E177" s="35"/>
      <c r="F177" s="36"/>
      <c r="G177" s="37"/>
      <c r="H177" s="37"/>
      <c r="I177" s="37"/>
      <c r="J177" s="38"/>
      <c r="K177" s="39"/>
      <c r="L177" s="40" t="str">
        <f aca="false">IF(OR($J177="",$K177=""),"",$J177+MATCH($K177,Listas!$F$5:$F$11,0)-1)</f>
        <v/>
      </c>
      <c r="M177" s="41"/>
      <c r="N177" s="36"/>
      <c r="O177" s="41"/>
      <c r="P177" s="35"/>
      <c r="Q177" s="35"/>
      <c r="R177" s="42" t="str">
        <f aca="true">IF($E177="","",IF($N177="Cancelada","Cancelada",IF(OR($M177&lt;&gt;"",$N177="Concluída"),IF(OR($L177="",$M177="",$M177&lt;=$L177),"Concluída","Concluída com atraso"),IF($L177="","Na carteira",IF($L177&lt;TODAY(),"VENCIDA",IF($N177="Em execução","Em execução",IF($L177=TODAY(),"Hoje","Programada")))))))</f>
        <v/>
      </c>
      <c r="S177" s="34" t="str">
        <f aca="false">IF($E177="","",IF(ISNUMBER(SEARCH("(externo)",$G177&amp;$H177&amp;$I177)),"Terceirizada","Interna"))</f>
        <v/>
      </c>
      <c r="T177" s="40" t="str">
        <f aca="false">IF($L177="","",IF($O177="",$L177,$O177))</f>
        <v/>
      </c>
      <c r="U177" s="34" t="str">
        <f aca="false">IF($E177="","",IF(OR($M177="",$L177=""),0,IF($M177&lt;=$L177,1,0)))</f>
        <v/>
      </c>
      <c r="V177" s="34" t="str">
        <f aca="false">IF($E177="","",IF(OR($M177="",$T177=""),0,IF($M177&lt;=$T177,1,0)))</f>
        <v/>
      </c>
      <c r="W177" s="42" t="str">
        <f aca="false">IF(OR($M177="",$L177=""),"",MAX(0,$M177-$L177))</f>
        <v/>
      </c>
      <c r="X177" s="34" t="str">
        <f aca="false">IF($E177="","",IF(AND($O177&lt;&gt;"",$L177&lt;&gt;"",$O177&lt;&gt;$L177),1,0))</f>
        <v/>
      </c>
      <c r="Y177" s="34" t="str">
        <f aca="false">IF($E177="","",IF($N177="Cancelada",0,IF(OR($M177&lt;&gt;"",$N177="Concluída"),1,0)))</f>
        <v/>
      </c>
    </row>
    <row r="178" customFormat="false" ht="15" hidden="false" customHeight="true" outlineLevel="0" collapsed="false">
      <c r="A178" s="34" t="str">
        <f aca="false">IF($E178="","",COUNTA($E$5:$E178))</f>
        <v/>
      </c>
      <c r="B178" s="35"/>
      <c r="C178" s="35"/>
      <c r="D178" s="35"/>
      <c r="E178" s="35"/>
      <c r="F178" s="36"/>
      <c r="G178" s="37"/>
      <c r="H178" s="37"/>
      <c r="I178" s="37"/>
      <c r="J178" s="38"/>
      <c r="K178" s="39"/>
      <c r="L178" s="40" t="str">
        <f aca="false">IF(OR($J178="",$K178=""),"",$J178+MATCH($K178,Listas!$F$5:$F$11,0)-1)</f>
        <v/>
      </c>
      <c r="M178" s="41"/>
      <c r="N178" s="36"/>
      <c r="O178" s="41"/>
      <c r="P178" s="35"/>
      <c r="Q178" s="35"/>
      <c r="R178" s="42" t="str">
        <f aca="true">IF($E178="","",IF($N178="Cancelada","Cancelada",IF(OR($M178&lt;&gt;"",$N178="Concluída"),IF(OR($L178="",$M178="",$M178&lt;=$L178),"Concluída","Concluída com atraso"),IF($L178="","Na carteira",IF($L178&lt;TODAY(),"VENCIDA",IF($N178="Em execução","Em execução",IF($L178=TODAY(),"Hoje","Programada")))))))</f>
        <v/>
      </c>
      <c r="S178" s="34" t="str">
        <f aca="false">IF($E178="","",IF(ISNUMBER(SEARCH("(externo)",$G178&amp;$H178&amp;$I178)),"Terceirizada","Interna"))</f>
        <v/>
      </c>
      <c r="T178" s="40" t="str">
        <f aca="false">IF($L178="","",IF($O178="",$L178,$O178))</f>
        <v/>
      </c>
      <c r="U178" s="34" t="str">
        <f aca="false">IF($E178="","",IF(OR($M178="",$L178=""),0,IF($M178&lt;=$L178,1,0)))</f>
        <v/>
      </c>
      <c r="V178" s="34" t="str">
        <f aca="false">IF($E178="","",IF(OR($M178="",$T178=""),0,IF($M178&lt;=$T178,1,0)))</f>
        <v/>
      </c>
      <c r="W178" s="42" t="str">
        <f aca="false">IF(OR($M178="",$L178=""),"",MAX(0,$M178-$L178))</f>
        <v/>
      </c>
      <c r="X178" s="34" t="str">
        <f aca="false">IF($E178="","",IF(AND($O178&lt;&gt;"",$L178&lt;&gt;"",$O178&lt;&gt;$L178),1,0))</f>
        <v/>
      </c>
      <c r="Y178" s="34" t="str">
        <f aca="false">IF($E178="","",IF($N178="Cancelada",0,IF(OR($M178&lt;&gt;"",$N178="Concluída"),1,0)))</f>
        <v/>
      </c>
    </row>
    <row r="179" customFormat="false" ht="15" hidden="false" customHeight="true" outlineLevel="0" collapsed="false">
      <c r="A179" s="34" t="str">
        <f aca="false">IF($E179="","",COUNTA($E$5:$E179))</f>
        <v/>
      </c>
      <c r="B179" s="35"/>
      <c r="C179" s="35"/>
      <c r="D179" s="35"/>
      <c r="E179" s="35"/>
      <c r="F179" s="36"/>
      <c r="G179" s="37"/>
      <c r="H179" s="37"/>
      <c r="I179" s="37"/>
      <c r="J179" s="38"/>
      <c r="K179" s="39"/>
      <c r="L179" s="40" t="str">
        <f aca="false">IF(OR($J179="",$K179=""),"",$J179+MATCH($K179,Listas!$F$5:$F$11,0)-1)</f>
        <v/>
      </c>
      <c r="M179" s="41"/>
      <c r="N179" s="36"/>
      <c r="O179" s="41"/>
      <c r="P179" s="35"/>
      <c r="Q179" s="35"/>
      <c r="R179" s="42" t="str">
        <f aca="true">IF($E179="","",IF($N179="Cancelada","Cancelada",IF(OR($M179&lt;&gt;"",$N179="Concluída"),IF(OR($L179="",$M179="",$M179&lt;=$L179),"Concluída","Concluída com atraso"),IF($L179="","Na carteira",IF($L179&lt;TODAY(),"VENCIDA",IF($N179="Em execução","Em execução",IF($L179=TODAY(),"Hoje","Programada")))))))</f>
        <v/>
      </c>
      <c r="S179" s="34" t="str">
        <f aca="false">IF($E179="","",IF(ISNUMBER(SEARCH("(externo)",$G179&amp;$H179&amp;$I179)),"Terceirizada","Interna"))</f>
        <v/>
      </c>
      <c r="T179" s="40" t="str">
        <f aca="false">IF($L179="","",IF($O179="",$L179,$O179))</f>
        <v/>
      </c>
      <c r="U179" s="34" t="str">
        <f aca="false">IF($E179="","",IF(OR($M179="",$L179=""),0,IF($M179&lt;=$L179,1,0)))</f>
        <v/>
      </c>
      <c r="V179" s="34" t="str">
        <f aca="false">IF($E179="","",IF(OR($M179="",$T179=""),0,IF($M179&lt;=$T179,1,0)))</f>
        <v/>
      </c>
      <c r="W179" s="42" t="str">
        <f aca="false">IF(OR($M179="",$L179=""),"",MAX(0,$M179-$L179))</f>
        <v/>
      </c>
      <c r="X179" s="34" t="str">
        <f aca="false">IF($E179="","",IF(AND($O179&lt;&gt;"",$L179&lt;&gt;"",$O179&lt;&gt;$L179),1,0))</f>
        <v/>
      </c>
      <c r="Y179" s="34" t="str">
        <f aca="false">IF($E179="","",IF($N179="Cancelada",0,IF(OR($M179&lt;&gt;"",$N179="Concluída"),1,0)))</f>
        <v/>
      </c>
    </row>
    <row r="180" customFormat="false" ht="15" hidden="false" customHeight="true" outlineLevel="0" collapsed="false">
      <c r="A180" s="34" t="str">
        <f aca="false">IF($E180="","",COUNTA($E$5:$E180))</f>
        <v/>
      </c>
      <c r="B180" s="35"/>
      <c r="C180" s="35"/>
      <c r="D180" s="35"/>
      <c r="E180" s="35"/>
      <c r="F180" s="36"/>
      <c r="G180" s="37"/>
      <c r="H180" s="37"/>
      <c r="I180" s="37"/>
      <c r="J180" s="38"/>
      <c r="K180" s="39"/>
      <c r="L180" s="40" t="str">
        <f aca="false">IF(OR($J180="",$K180=""),"",$J180+MATCH($K180,Listas!$F$5:$F$11,0)-1)</f>
        <v/>
      </c>
      <c r="M180" s="41"/>
      <c r="N180" s="36"/>
      <c r="O180" s="41"/>
      <c r="P180" s="35"/>
      <c r="Q180" s="35"/>
      <c r="R180" s="42" t="str">
        <f aca="true">IF($E180="","",IF($N180="Cancelada","Cancelada",IF(OR($M180&lt;&gt;"",$N180="Concluída"),IF(OR($L180="",$M180="",$M180&lt;=$L180),"Concluída","Concluída com atraso"),IF($L180="","Na carteira",IF($L180&lt;TODAY(),"VENCIDA",IF($N180="Em execução","Em execução",IF($L180=TODAY(),"Hoje","Programada")))))))</f>
        <v/>
      </c>
      <c r="S180" s="34" t="str">
        <f aca="false">IF($E180="","",IF(ISNUMBER(SEARCH("(externo)",$G180&amp;$H180&amp;$I180)),"Terceirizada","Interna"))</f>
        <v/>
      </c>
      <c r="T180" s="40" t="str">
        <f aca="false">IF($L180="","",IF($O180="",$L180,$O180))</f>
        <v/>
      </c>
      <c r="U180" s="34" t="str">
        <f aca="false">IF($E180="","",IF(OR($M180="",$L180=""),0,IF($M180&lt;=$L180,1,0)))</f>
        <v/>
      </c>
      <c r="V180" s="34" t="str">
        <f aca="false">IF($E180="","",IF(OR($M180="",$T180=""),0,IF($M180&lt;=$T180,1,0)))</f>
        <v/>
      </c>
      <c r="W180" s="42" t="str">
        <f aca="false">IF(OR($M180="",$L180=""),"",MAX(0,$M180-$L180))</f>
        <v/>
      </c>
      <c r="X180" s="34" t="str">
        <f aca="false">IF($E180="","",IF(AND($O180&lt;&gt;"",$L180&lt;&gt;"",$O180&lt;&gt;$L180),1,0))</f>
        <v/>
      </c>
      <c r="Y180" s="34" t="str">
        <f aca="false">IF($E180="","",IF($N180="Cancelada",0,IF(OR($M180&lt;&gt;"",$N180="Concluída"),1,0)))</f>
        <v/>
      </c>
    </row>
    <row r="181" customFormat="false" ht="15" hidden="false" customHeight="true" outlineLevel="0" collapsed="false">
      <c r="A181" s="34" t="str">
        <f aca="false">IF($E181="","",COUNTA($E$5:$E181))</f>
        <v/>
      </c>
      <c r="B181" s="35"/>
      <c r="C181" s="35"/>
      <c r="D181" s="35"/>
      <c r="E181" s="35"/>
      <c r="F181" s="36"/>
      <c r="G181" s="37"/>
      <c r="H181" s="37"/>
      <c r="I181" s="37"/>
      <c r="J181" s="38"/>
      <c r="K181" s="39"/>
      <c r="L181" s="40" t="str">
        <f aca="false">IF(OR($J181="",$K181=""),"",$J181+MATCH($K181,Listas!$F$5:$F$11,0)-1)</f>
        <v/>
      </c>
      <c r="M181" s="41"/>
      <c r="N181" s="36"/>
      <c r="O181" s="41"/>
      <c r="P181" s="35"/>
      <c r="Q181" s="35"/>
      <c r="R181" s="42" t="str">
        <f aca="true">IF($E181="","",IF($N181="Cancelada","Cancelada",IF(OR($M181&lt;&gt;"",$N181="Concluída"),IF(OR($L181="",$M181="",$M181&lt;=$L181),"Concluída","Concluída com atraso"),IF($L181="","Na carteira",IF($L181&lt;TODAY(),"VENCIDA",IF($N181="Em execução","Em execução",IF($L181=TODAY(),"Hoje","Programada")))))))</f>
        <v/>
      </c>
      <c r="S181" s="34" t="str">
        <f aca="false">IF($E181="","",IF(ISNUMBER(SEARCH("(externo)",$G181&amp;$H181&amp;$I181)),"Terceirizada","Interna"))</f>
        <v/>
      </c>
      <c r="T181" s="40" t="str">
        <f aca="false">IF($L181="","",IF($O181="",$L181,$O181))</f>
        <v/>
      </c>
      <c r="U181" s="34" t="str">
        <f aca="false">IF($E181="","",IF(OR($M181="",$L181=""),0,IF($M181&lt;=$L181,1,0)))</f>
        <v/>
      </c>
      <c r="V181" s="34" t="str">
        <f aca="false">IF($E181="","",IF(OR($M181="",$T181=""),0,IF($M181&lt;=$T181,1,0)))</f>
        <v/>
      </c>
      <c r="W181" s="42" t="str">
        <f aca="false">IF(OR($M181="",$L181=""),"",MAX(0,$M181-$L181))</f>
        <v/>
      </c>
      <c r="X181" s="34" t="str">
        <f aca="false">IF($E181="","",IF(AND($O181&lt;&gt;"",$L181&lt;&gt;"",$O181&lt;&gt;$L181),1,0))</f>
        <v/>
      </c>
      <c r="Y181" s="34" t="str">
        <f aca="false">IF($E181="","",IF($N181="Cancelada",0,IF(OR($M181&lt;&gt;"",$N181="Concluída"),1,0)))</f>
        <v/>
      </c>
    </row>
    <row r="182" customFormat="false" ht="15" hidden="false" customHeight="true" outlineLevel="0" collapsed="false">
      <c r="A182" s="34" t="str">
        <f aca="false">IF($E182="","",COUNTA($E$5:$E182))</f>
        <v/>
      </c>
      <c r="B182" s="35"/>
      <c r="C182" s="35"/>
      <c r="D182" s="35"/>
      <c r="E182" s="35"/>
      <c r="F182" s="36"/>
      <c r="G182" s="37"/>
      <c r="H182" s="37"/>
      <c r="I182" s="37"/>
      <c r="J182" s="38"/>
      <c r="K182" s="39"/>
      <c r="L182" s="40" t="str">
        <f aca="false">IF(OR($J182="",$K182=""),"",$J182+MATCH($K182,Listas!$F$5:$F$11,0)-1)</f>
        <v/>
      </c>
      <c r="M182" s="41"/>
      <c r="N182" s="36"/>
      <c r="O182" s="41"/>
      <c r="P182" s="35"/>
      <c r="Q182" s="35"/>
      <c r="R182" s="42" t="str">
        <f aca="true">IF($E182="","",IF($N182="Cancelada","Cancelada",IF(OR($M182&lt;&gt;"",$N182="Concluída"),IF(OR($L182="",$M182="",$M182&lt;=$L182),"Concluída","Concluída com atraso"),IF($L182="","Na carteira",IF($L182&lt;TODAY(),"VENCIDA",IF($N182="Em execução","Em execução",IF($L182=TODAY(),"Hoje","Programada")))))))</f>
        <v/>
      </c>
      <c r="S182" s="34" t="str">
        <f aca="false">IF($E182="","",IF(ISNUMBER(SEARCH("(externo)",$G182&amp;$H182&amp;$I182)),"Terceirizada","Interna"))</f>
        <v/>
      </c>
      <c r="T182" s="40" t="str">
        <f aca="false">IF($L182="","",IF($O182="",$L182,$O182))</f>
        <v/>
      </c>
      <c r="U182" s="34" t="str">
        <f aca="false">IF($E182="","",IF(OR($M182="",$L182=""),0,IF($M182&lt;=$L182,1,0)))</f>
        <v/>
      </c>
      <c r="V182" s="34" t="str">
        <f aca="false">IF($E182="","",IF(OR($M182="",$T182=""),0,IF($M182&lt;=$T182,1,0)))</f>
        <v/>
      </c>
      <c r="W182" s="42" t="str">
        <f aca="false">IF(OR($M182="",$L182=""),"",MAX(0,$M182-$L182))</f>
        <v/>
      </c>
      <c r="X182" s="34" t="str">
        <f aca="false">IF($E182="","",IF(AND($O182&lt;&gt;"",$L182&lt;&gt;"",$O182&lt;&gt;$L182),1,0))</f>
        <v/>
      </c>
      <c r="Y182" s="34" t="str">
        <f aca="false">IF($E182="","",IF($N182="Cancelada",0,IF(OR($M182&lt;&gt;"",$N182="Concluída"),1,0)))</f>
        <v/>
      </c>
    </row>
    <row r="183" customFormat="false" ht="15" hidden="false" customHeight="true" outlineLevel="0" collapsed="false">
      <c r="A183" s="34" t="str">
        <f aca="false">IF($E183="","",COUNTA($E$5:$E183))</f>
        <v/>
      </c>
      <c r="B183" s="35"/>
      <c r="C183" s="35"/>
      <c r="D183" s="35"/>
      <c r="E183" s="35"/>
      <c r="F183" s="36"/>
      <c r="G183" s="37"/>
      <c r="H183" s="37"/>
      <c r="I183" s="37"/>
      <c r="J183" s="38"/>
      <c r="K183" s="39"/>
      <c r="L183" s="40" t="str">
        <f aca="false">IF(OR($J183="",$K183=""),"",$J183+MATCH($K183,Listas!$F$5:$F$11,0)-1)</f>
        <v/>
      </c>
      <c r="M183" s="41"/>
      <c r="N183" s="36"/>
      <c r="O183" s="41"/>
      <c r="P183" s="35"/>
      <c r="Q183" s="35"/>
      <c r="R183" s="42" t="str">
        <f aca="true">IF($E183="","",IF($N183="Cancelada","Cancelada",IF(OR($M183&lt;&gt;"",$N183="Concluída"),IF(OR($L183="",$M183="",$M183&lt;=$L183),"Concluída","Concluída com atraso"),IF($L183="","Na carteira",IF($L183&lt;TODAY(),"VENCIDA",IF($N183="Em execução","Em execução",IF($L183=TODAY(),"Hoje","Programada")))))))</f>
        <v/>
      </c>
      <c r="S183" s="34" t="str">
        <f aca="false">IF($E183="","",IF(ISNUMBER(SEARCH("(externo)",$G183&amp;$H183&amp;$I183)),"Terceirizada","Interna"))</f>
        <v/>
      </c>
      <c r="T183" s="40" t="str">
        <f aca="false">IF($L183="","",IF($O183="",$L183,$O183))</f>
        <v/>
      </c>
      <c r="U183" s="34" t="str">
        <f aca="false">IF($E183="","",IF(OR($M183="",$L183=""),0,IF($M183&lt;=$L183,1,0)))</f>
        <v/>
      </c>
      <c r="V183" s="34" t="str">
        <f aca="false">IF($E183="","",IF(OR($M183="",$T183=""),0,IF($M183&lt;=$T183,1,0)))</f>
        <v/>
      </c>
      <c r="W183" s="42" t="str">
        <f aca="false">IF(OR($M183="",$L183=""),"",MAX(0,$M183-$L183))</f>
        <v/>
      </c>
      <c r="X183" s="34" t="str">
        <f aca="false">IF($E183="","",IF(AND($O183&lt;&gt;"",$L183&lt;&gt;"",$O183&lt;&gt;$L183),1,0))</f>
        <v/>
      </c>
      <c r="Y183" s="34" t="str">
        <f aca="false">IF($E183="","",IF($N183="Cancelada",0,IF(OR($M183&lt;&gt;"",$N183="Concluída"),1,0)))</f>
        <v/>
      </c>
    </row>
    <row r="184" customFormat="false" ht="15" hidden="false" customHeight="true" outlineLevel="0" collapsed="false">
      <c r="A184" s="34" t="str">
        <f aca="false">IF($E184="","",COUNTA($E$5:$E184))</f>
        <v/>
      </c>
      <c r="B184" s="35"/>
      <c r="C184" s="35"/>
      <c r="D184" s="35"/>
      <c r="E184" s="35"/>
      <c r="F184" s="36"/>
      <c r="G184" s="37"/>
      <c r="H184" s="37"/>
      <c r="I184" s="37"/>
      <c r="J184" s="38"/>
      <c r="K184" s="39"/>
      <c r="L184" s="40" t="str">
        <f aca="false">IF(OR($J184="",$K184=""),"",$J184+MATCH($K184,Listas!$F$5:$F$11,0)-1)</f>
        <v/>
      </c>
      <c r="M184" s="41"/>
      <c r="N184" s="36"/>
      <c r="O184" s="41"/>
      <c r="P184" s="35"/>
      <c r="Q184" s="35"/>
      <c r="R184" s="42" t="str">
        <f aca="true">IF($E184="","",IF($N184="Cancelada","Cancelada",IF(OR($M184&lt;&gt;"",$N184="Concluída"),IF(OR($L184="",$M184="",$M184&lt;=$L184),"Concluída","Concluída com atraso"),IF($L184="","Na carteira",IF($L184&lt;TODAY(),"VENCIDA",IF($N184="Em execução","Em execução",IF($L184=TODAY(),"Hoje","Programada")))))))</f>
        <v/>
      </c>
      <c r="S184" s="34" t="str">
        <f aca="false">IF($E184="","",IF(ISNUMBER(SEARCH("(externo)",$G184&amp;$H184&amp;$I184)),"Terceirizada","Interna"))</f>
        <v/>
      </c>
      <c r="T184" s="40" t="str">
        <f aca="false">IF($L184="","",IF($O184="",$L184,$O184))</f>
        <v/>
      </c>
      <c r="U184" s="34" t="str">
        <f aca="false">IF($E184="","",IF(OR($M184="",$L184=""),0,IF($M184&lt;=$L184,1,0)))</f>
        <v/>
      </c>
      <c r="V184" s="34" t="str">
        <f aca="false">IF($E184="","",IF(OR($M184="",$T184=""),0,IF($M184&lt;=$T184,1,0)))</f>
        <v/>
      </c>
      <c r="W184" s="42" t="str">
        <f aca="false">IF(OR($M184="",$L184=""),"",MAX(0,$M184-$L184))</f>
        <v/>
      </c>
      <c r="X184" s="34" t="str">
        <f aca="false">IF($E184="","",IF(AND($O184&lt;&gt;"",$L184&lt;&gt;"",$O184&lt;&gt;$L184),1,0))</f>
        <v/>
      </c>
      <c r="Y184" s="34" t="str">
        <f aca="false">IF($E184="","",IF($N184="Cancelada",0,IF(OR($M184&lt;&gt;"",$N184="Concluída"),1,0)))</f>
        <v/>
      </c>
    </row>
    <row r="185" customFormat="false" ht="15" hidden="false" customHeight="true" outlineLevel="0" collapsed="false">
      <c r="A185" s="34" t="str">
        <f aca="false">IF($E185="","",COUNTA($E$5:$E185))</f>
        <v/>
      </c>
      <c r="B185" s="35"/>
      <c r="C185" s="35"/>
      <c r="D185" s="35"/>
      <c r="E185" s="35"/>
      <c r="F185" s="36"/>
      <c r="G185" s="37"/>
      <c r="H185" s="37"/>
      <c r="I185" s="37"/>
      <c r="J185" s="38"/>
      <c r="K185" s="39"/>
      <c r="L185" s="40" t="str">
        <f aca="false">IF(OR($J185="",$K185=""),"",$J185+MATCH($K185,Listas!$F$5:$F$11,0)-1)</f>
        <v/>
      </c>
      <c r="M185" s="41"/>
      <c r="N185" s="36"/>
      <c r="O185" s="41"/>
      <c r="P185" s="35"/>
      <c r="Q185" s="35"/>
      <c r="R185" s="42" t="str">
        <f aca="true">IF($E185="","",IF($N185="Cancelada","Cancelada",IF(OR($M185&lt;&gt;"",$N185="Concluída"),IF(OR($L185="",$M185="",$M185&lt;=$L185),"Concluída","Concluída com atraso"),IF($L185="","Na carteira",IF($L185&lt;TODAY(),"VENCIDA",IF($N185="Em execução","Em execução",IF($L185=TODAY(),"Hoje","Programada")))))))</f>
        <v/>
      </c>
      <c r="S185" s="34" t="str">
        <f aca="false">IF($E185="","",IF(ISNUMBER(SEARCH("(externo)",$G185&amp;$H185&amp;$I185)),"Terceirizada","Interna"))</f>
        <v/>
      </c>
      <c r="T185" s="40" t="str">
        <f aca="false">IF($L185="","",IF($O185="",$L185,$O185))</f>
        <v/>
      </c>
      <c r="U185" s="34" t="str">
        <f aca="false">IF($E185="","",IF(OR($M185="",$L185=""),0,IF($M185&lt;=$L185,1,0)))</f>
        <v/>
      </c>
      <c r="V185" s="34" t="str">
        <f aca="false">IF($E185="","",IF(OR($M185="",$T185=""),0,IF($M185&lt;=$T185,1,0)))</f>
        <v/>
      </c>
      <c r="W185" s="42" t="str">
        <f aca="false">IF(OR($M185="",$L185=""),"",MAX(0,$M185-$L185))</f>
        <v/>
      </c>
      <c r="X185" s="34" t="str">
        <f aca="false">IF($E185="","",IF(AND($O185&lt;&gt;"",$L185&lt;&gt;"",$O185&lt;&gt;$L185),1,0))</f>
        <v/>
      </c>
      <c r="Y185" s="34" t="str">
        <f aca="false">IF($E185="","",IF($N185="Cancelada",0,IF(OR($M185&lt;&gt;"",$N185="Concluída"),1,0)))</f>
        <v/>
      </c>
    </row>
    <row r="186" customFormat="false" ht="15" hidden="false" customHeight="true" outlineLevel="0" collapsed="false">
      <c r="A186" s="34" t="str">
        <f aca="false">IF($E186="","",COUNTA($E$5:$E186))</f>
        <v/>
      </c>
      <c r="B186" s="35"/>
      <c r="C186" s="35"/>
      <c r="D186" s="35"/>
      <c r="E186" s="35"/>
      <c r="F186" s="36"/>
      <c r="G186" s="37"/>
      <c r="H186" s="37"/>
      <c r="I186" s="37"/>
      <c r="J186" s="38"/>
      <c r="K186" s="39"/>
      <c r="L186" s="40" t="str">
        <f aca="false">IF(OR($J186="",$K186=""),"",$J186+MATCH($K186,Listas!$F$5:$F$11,0)-1)</f>
        <v/>
      </c>
      <c r="M186" s="41"/>
      <c r="N186" s="36"/>
      <c r="O186" s="41"/>
      <c r="P186" s="35"/>
      <c r="Q186" s="35"/>
      <c r="R186" s="42" t="str">
        <f aca="true">IF($E186="","",IF($N186="Cancelada","Cancelada",IF(OR($M186&lt;&gt;"",$N186="Concluída"),IF(OR($L186="",$M186="",$M186&lt;=$L186),"Concluída","Concluída com atraso"),IF($L186="","Na carteira",IF($L186&lt;TODAY(),"VENCIDA",IF($N186="Em execução","Em execução",IF($L186=TODAY(),"Hoje","Programada")))))))</f>
        <v/>
      </c>
      <c r="S186" s="34" t="str">
        <f aca="false">IF($E186="","",IF(ISNUMBER(SEARCH("(externo)",$G186&amp;$H186&amp;$I186)),"Terceirizada","Interna"))</f>
        <v/>
      </c>
      <c r="T186" s="40" t="str">
        <f aca="false">IF($L186="","",IF($O186="",$L186,$O186))</f>
        <v/>
      </c>
      <c r="U186" s="34" t="str">
        <f aca="false">IF($E186="","",IF(OR($M186="",$L186=""),0,IF($M186&lt;=$L186,1,0)))</f>
        <v/>
      </c>
      <c r="V186" s="34" t="str">
        <f aca="false">IF($E186="","",IF(OR($M186="",$T186=""),0,IF($M186&lt;=$T186,1,0)))</f>
        <v/>
      </c>
      <c r="W186" s="42" t="str">
        <f aca="false">IF(OR($M186="",$L186=""),"",MAX(0,$M186-$L186))</f>
        <v/>
      </c>
      <c r="X186" s="34" t="str">
        <f aca="false">IF($E186="","",IF(AND($O186&lt;&gt;"",$L186&lt;&gt;"",$O186&lt;&gt;$L186),1,0))</f>
        <v/>
      </c>
      <c r="Y186" s="34" t="str">
        <f aca="false">IF($E186="","",IF($N186="Cancelada",0,IF(OR($M186&lt;&gt;"",$N186="Concluída"),1,0)))</f>
        <v/>
      </c>
    </row>
    <row r="187" customFormat="false" ht="15" hidden="false" customHeight="true" outlineLevel="0" collapsed="false">
      <c r="A187" s="34" t="str">
        <f aca="false">IF($E187="","",COUNTA($E$5:$E187))</f>
        <v/>
      </c>
      <c r="B187" s="35"/>
      <c r="C187" s="35"/>
      <c r="D187" s="35"/>
      <c r="E187" s="35"/>
      <c r="F187" s="36"/>
      <c r="G187" s="37"/>
      <c r="H187" s="37"/>
      <c r="I187" s="37"/>
      <c r="J187" s="38"/>
      <c r="K187" s="39"/>
      <c r="L187" s="40" t="str">
        <f aca="false">IF(OR($J187="",$K187=""),"",$J187+MATCH($K187,Listas!$F$5:$F$11,0)-1)</f>
        <v/>
      </c>
      <c r="M187" s="41"/>
      <c r="N187" s="36"/>
      <c r="O187" s="41"/>
      <c r="P187" s="35"/>
      <c r="Q187" s="35"/>
      <c r="R187" s="42" t="str">
        <f aca="true">IF($E187="","",IF($N187="Cancelada","Cancelada",IF(OR($M187&lt;&gt;"",$N187="Concluída"),IF(OR($L187="",$M187="",$M187&lt;=$L187),"Concluída","Concluída com atraso"),IF($L187="","Na carteira",IF($L187&lt;TODAY(),"VENCIDA",IF($N187="Em execução","Em execução",IF($L187=TODAY(),"Hoje","Programada")))))))</f>
        <v/>
      </c>
      <c r="S187" s="34" t="str">
        <f aca="false">IF($E187="","",IF(ISNUMBER(SEARCH("(externo)",$G187&amp;$H187&amp;$I187)),"Terceirizada","Interna"))</f>
        <v/>
      </c>
      <c r="T187" s="40" t="str">
        <f aca="false">IF($L187="","",IF($O187="",$L187,$O187))</f>
        <v/>
      </c>
      <c r="U187" s="34" t="str">
        <f aca="false">IF($E187="","",IF(OR($M187="",$L187=""),0,IF($M187&lt;=$L187,1,0)))</f>
        <v/>
      </c>
      <c r="V187" s="34" t="str">
        <f aca="false">IF($E187="","",IF(OR($M187="",$T187=""),0,IF($M187&lt;=$T187,1,0)))</f>
        <v/>
      </c>
      <c r="W187" s="42" t="str">
        <f aca="false">IF(OR($M187="",$L187=""),"",MAX(0,$M187-$L187))</f>
        <v/>
      </c>
      <c r="X187" s="34" t="str">
        <f aca="false">IF($E187="","",IF(AND($O187&lt;&gt;"",$L187&lt;&gt;"",$O187&lt;&gt;$L187),1,0))</f>
        <v/>
      </c>
      <c r="Y187" s="34" t="str">
        <f aca="false">IF($E187="","",IF($N187="Cancelada",0,IF(OR($M187&lt;&gt;"",$N187="Concluída"),1,0)))</f>
        <v/>
      </c>
    </row>
    <row r="188" customFormat="false" ht="15" hidden="false" customHeight="true" outlineLevel="0" collapsed="false">
      <c r="A188" s="34" t="str">
        <f aca="false">IF($E188="","",COUNTA($E$5:$E188))</f>
        <v/>
      </c>
      <c r="B188" s="35"/>
      <c r="C188" s="35"/>
      <c r="D188" s="35"/>
      <c r="E188" s="35"/>
      <c r="F188" s="36"/>
      <c r="G188" s="37"/>
      <c r="H188" s="37"/>
      <c r="I188" s="37"/>
      <c r="J188" s="38"/>
      <c r="K188" s="39"/>
      <c r="L188" s="40" t="str">
        <f aca="false">IF(OR($J188="",$K188=""),"",$J188+MATCH($K188,Listas!$F$5:$F$11,0)-1)</f>
        <v/>
      </c>
      <c r="M188" s="41"/>
      <c r="N188" s="36"/>
      <c r="O188" s="41"/>
      <c r="P188" s="35"/>
      <c r="Q188" s="35"/>
      <c r="R188" s="42" t="str">
        <f aca="true">IF($E188="","",IF($N188="Cancelada","Cancelada",IF(OR($M188&lt;&gt;"",$N188="Concluída"),IF(OR($L188="",$M188="",$M188&lt;=$L188),"Concluída","Concluída com atraso"),IF($L188="","Na carteira",IF($L188&lt;TODAY(),"VENCIDA",IF($N188="Em execução","Em execução",IF($L188=TODAY(),"Hoje","Programada")))))))</f>
        <v/>
      </c>
      <c r="S188" s="34" t="str">
        <f aca="false">IF($E188="","",IF(ISNUMBER(SEARCH("(externo)",$G188&amp;$H188&amp;$I188)),"Terceirizada","Interna"))</f>
        <v/>
      </c>
      <c r="T188" s="40" t="str">
        <f aca="false">IF($L188="","",IF($O188="",$L188,$O188))</f>
        <v/>
      </c>
      <c r="U188" s="34" t="str">
        <f aca="false">IF($E188="","",IF(OR($M188="",$L188=""),0,IF($M188&lt;=$L188,1,0)))</f>
        <v/>
      </c>
      <c r="V188" s="34" t="str">
        <f aca="false">IF($E188="","",IF(OR($M188="",$T188=""),0,IF($M188&lt;=$T188,1,0)))</f>
        <v/>
      </c>
      <c r="W188" s="42" t="str">
        <f aca="false">IF(OR($M188="",$L188=""),"",MAX(0,$M188-$L188))</f>
        <v/>
      </c>
      <c r="X188" s="34" t="str">
        <f aca="false">IF($E188="","",IF(AND($O188&lt;&gt;"",$L188&lt;&gt;"",$O188&lt;&gt;$L188),1,0))</f>
        <v/>
      </c>
      <c r="Y188" s="34" t="str">
        <f aca="false">IF($E188="","",IF($N188="Cancelada",0,IF(OR($M188&lt;&gt;"",$N188="Concluída"),1,0)))</f>
        <v/>
      </c>
    </row>
    <row r="189" customFormat="false" ht="15" hidden="false" customHeight="true" outlineLevel="0" collapsed="false">
      <c r="A189" s="34" t="str">
        <f aca="false">IF($E189="","",COUNTA($E$5:$E189))</f>
        <v/>
      </c>
      <c r="B189" s="35"/>
      <c r="C189" s="35"/>
      <c r="D189" s="35"/>
      <c r="E189" s="35"/>
      <c r="F189" s="36"/>
      <c r="G189" s="37"/>
      <c r="H189" s="37"/>
      <c r="I189" s="37"/>
      <c r="J189" s="38"/>
      <c r="K189" s="39"/>
      <c r="L189" s="40" t="str">
        <f aca="false">IF(OR($J189="",$K189=""),"",$J189+MATCH($K189,Listas!$F$5:$F$11,0)-1)</f>
        <v/>
      </c>
      <c r="M189" s="41"/>
      <c r="N189" s="36"/>
      <c r="O189" s="41"/>
      <c r="P189" s="35"/>
      <c r="Q189" s="35"/>
      <c r="R189" s="42" t="str">
        <f aca="true">IF($E189="","",IF($N189="Cancelada","Cancelada",IF(OR($M189&lt;&gt;"",$N189="Concluída"),IF(OR($L189="",$M189="",$M189&lt;=$L189),"Concluída","Concluída com atraso"),IF($L189="","Na carteira",IF($L189&lt;TODAY(),"VENCIDA",IF($N189="Em execução","Em execução",IF($L189=TODAY(),"Hoje","Programada")))))))</f>
        <v/>
      </c>
      <c r="S189" s="34" t="str">
        <f aca="false">IF($E189="","",IF(ISNUMBER(SEARCH("(externo)",$G189&amp;$H189&amp;$I189)),"Terceirizada","Interna"))</f>
        <v/>
      </c>
      <c r="T189" s="40" t="str">
        <f aca="false">IF($L189="","",IF($O189="",$L189,$O189))</f>
        <v/>
      </c>
      <c r="U189" s="34" t="str">
        <f aca="false">IF($E189="","",IF(OR($M189="",$L189=""),0,IF($M189&lt;=$L189,1,0)))</f>
        <v/>
      </c>
      <c r="V189" s="34" t="str">
        <f aca="false">IF($E189="","",IF(OR($M189="",$T189=""),0,IF($M189&lt;=$T189,1,0)))</f>
        <v/>
      </c>
      <c r="W189" s="42" t="str">
        <f aca="false">IF(OR($M189="",$L189=""),"",MAX(0,$M189-$L189))</f>
        <v/>
      </c>
      <c r="X189" s="34" t="str">
        <f aca="false">IF($E189="","",IF(AND($O189&lt;&gt;"",$L189&lt;&gt;"",$O189&lt;&gt;$L189),1,0))</f>
        <v/>
      </c>
      <c r="Y189" s="34" t="str">
        <f aca="false">IF($E189="","",IF($N189="Cancelada",0,IF(OR($M189&lt;&gt;"",$N189="Concluída"),1,0)))</f>
        <v/>
      </c>
    </row>
    <row r="190" customFormat="false" ht="15" hidden="false" customHeight="true" outlineLevel="0" collapsed="false">
      <c r="A190" s="34" t="str">
        <f aca="false">IF($E190="","",COUNTA($E$5:$E190))</f>
        <v/>
      </c>
      <c r="B190" s="35"/>
      <c r="C190" s="35"/>
      <c r="D190" s="35"/>
      <c r="E190" s="35"/>
      <c r="F190" s="36"/>
      <c r="G190" s="37"/>
      <c r="H190" s="37"/>
      <c r="I190" s="37"/>
      <c r="J190" s="38"/>
      <c r="K190" s="39"/>
      <c r="L190" s="40" t="str">
        <f aca="false">IF(OR($J190="",$K190=""),"",$J190+MATCH($K190,Listas!$F$5:$F$11,0)-1)</f>
        <v/>
      </c>
      <c r="M190" s="41"/>
      <c r="N190" s="36"/>
      <c r="O190" s="41"/>
      <c r="P190" s="35"/>
      <c r="Q190" s="35"/>
      <c r="R190" s="42" t="str">
        <f aca="true">IF($E190="","",IF($N190="Cancelada","Cancelada",IF(OR($M190&lt;&gt;"",$N190="Concluída"),IF(OR($L190="",$M190="",$M190&lt;=$L190),"Concluída","Concluída com atraso"),IF($L190="","Na carteira",IF($L190&lt;TODAY(),"VENCIDA",IF($N190="Em execução","Em execução",IF($L190=TODAY(),"Hoje","Programada")))))))</f>
        <v/>
      </c>
      <c r="S190" s="34" t="str">
        <f aca="false">IF($E190="","",IF(ISNUMBER(SEARCH("(externo)",$G190&amp;$H190&amp;$I190)),"Terceirizada","Interna"))</f>
        <v/>
      </c>
      <c r="T190" s="40" t="str">
        <f aca="false">IF($L190="","",IF($O190="",$L190,$O190))</f>
        <v/>
      </c>
      <c r="U190" s="34" t="str">
        <f aca="false">IF($E190="","",IF(OR($M190="",$L190=""),0,IF($M190&lt;=$L190,1,0)))</f>
        <v/>
      </c>
      <c r="V190" s="34" t="str">
        <f aca="false">IF($E190="","",IF(OR($M190="",$T190=""),0,IF($M190&lt;=$T190,1,0)))</f>
        <v/>
      </c>
      <c r="W190" s="42" t="str">
        <f aca="false">IF(OR($M190="",$L190=""),"",MAX(0,$M190-$L190))</f>
        <v/>
      </c>
      <c r="X190" s="34" t="str">
        <f aca="false">IF($E190="","",IF(AND($O190&lt;&gt;"",$L190&lt;&gt;"",$O190&lt;&gt;$L190),1,0))</f>
        <v/>
      </c>
      <c r="Y190" s="34" t="str">
        <f aca="false">IF($E190="","",IF($N190="Cancelada",0,IF(OR($M190&lt;&gt;"",$N190="Concluída"),1,0)))</f>
        <v/>
      </c>
    </row>
    <row r="191" customFormat="false" ht="15" hidden="false" customHeight="true" outlineLevel="0" collapsed="false">
      <c r="A191" s="34" t="str">
        <f aca="false">IF($E191="","",COUNTA($E$5:$E191))</f>
        <v/>
      </c>
      <c r="B191" s="35"/>
      <c r="C191" s="35"/>
      <c r="D191" s="35"/>
      <c r="E191" s="35"/>
      <c r="F191" s="36"/>
      <c r="G191" s="37"/>
      <c r="H191" s="37"/>
      <c r="I191" s="37"/>
      <c r="J191" s="38"/>
      <c r="K191" s="39"/>
      <c r="L191" s="40" t="str">
        <f aca="false">IF(OR($J191="",$K191=""),"",$J191+MATCH($K191,Listas!$F$5:$F$11,0)-1)</f>
        <v/>
      </c>
      <c r="M191" s="41"/>
      <c r="N191" s="36"/>
      <c r="O191" s="41"/>
      <c r="P191" s="35"/>
      <c r="Q191" s="35"/>
      <c r="R191" s="42" t="str">
        <f aca="true">IF($E191="","",IF($N191="Cancelada","Cancelada",IF(OR($M191&lt;&gt;"",$N191="Concluída"),IF(OR($L191="",$M191="",$M191&lt;=$L191),"Concluída","Concluída com atraso"),IF($L191="","Na carteira",IF($L191&lt;TODAY(),"VENCIDA",IF($N191="Em execução","Em execução",IF($L191=TODAY(),"Hoje","Programada")))))))</f>
        <v/>
      </c>
      <c r="S191" s="34" t="str">
        <f aca="false">IF($E191="","",IF(ISNUMBER(SEARCH("(externo)",$G191&amp;$H191&amp;$I191)),"Terceirizada","Interna"))</f>
        <v/>
      </c>
      <c r="T191" s="40" t="str">
        <f aca="false">IF($L191="","",IF($O191="",$L191,$O191))</f>
        <v/>
      </c>
      <c r="U191" s="34" t="str">
        <f aca="false">IF($E191="","",IF(OR($M191="",$L191=""),0,IF($M191&lt;=$L191,1,0)))</f>
        <v/>
      </c>
      <c r="V191" s="34" t="str">
        <f aca="false">IF($E191="","",IF(OR($M191="",$T191=""),0,IF($M191&lt;=$T191,1,0)))</f>
        <v/>
      </c>
      <c r="W191" s="42" t="str">
        <f aca="false">IF(OR($M191="",$L191=""),"",MAX(0,$M191-$L191))</f>
        <v/>
      </c>
      <c r="X191" s="34" t="str">
        <f aca="false">IF($E191="","",IF(AND($O191&lt;&gt;"",$L191&lt;&gt;"",$O191&lt;&gt;$L191),1,0))</f>
        <v/>
      </c>
      <c r="Y191" s="34" t="str">
        <f aca="false">IF($E191="","",IF($N191="Cancelada",0,IF(OR($M191&lt;&gt;"",$N191="Concluída"),1,0)))</f>
        <v/>
      </c>
    </row>
    <row r="192" customFormat="false" ht="15" hidden="false" customHeight="true" outlineLevel="0" collapsed="false">
      <c r="A192" s="34" t="str">
        <f aca="false">IF($E192="","",COUNTA($E$5:$E192))</f>
        <v/>
      </c>
      <c r="B192" s="35"/>
      <c r="C192" s="35"/>
      <c r="D192" s="35"/>
      <c r="E192" s="35"/>
      <c r="F192" s="36"/>
      <c r="G192" s="37"/>
      <c r="H192" s="37"/>
      <c r="I192" s="37"/>
      <c r="J192" s="38"/>
      <c r="K192" s="39"/>
      <c r="L192" s="40" t="str">
        <f aca="false">IF(OR($J192="",$K192=""),"",$J192+MATCH($K192,Listas!$F$5:$F$11,0)-1)</f>
        <v/>
      </c>
      <c r="M192" s="41"/>
      <c r="N192" s="36"/>
      <c r="O192" s="41"/>
      <c r="P192" s="35"/>
      <c r="Q192" s="35"/>
      <c r="R192" s="42" t="str">
        <f aca="true">IF($E192="","",IF($N192="Cancelada","Cancelada",IF(OR($M192&lt;&gt;"",$N192="Concluída"),IF(OR($L192="",$M192="",$M192&lt;=$L192),"Concluída","Concluída com atraso"),IF($L192="","Na carteira",IF($L192&lt;TODAY(),"VENCIDA",IF($N192="Em execução","Em execução",IF($L192=TODAY(),"Hoje","Programada")))))))</f>
        <v/>
      </c>
      <c r="S192" s="34" t="str">
        <f aca="false">IF($E192="","",IF(ISNUMBER(SEARCH("(externo)",$G192&amp;$H192&amp;$I192)),"Terceirizada","Interna"))</f>
        <v/>
      </c>
      <c r="T192" s="40" t="str">
        <f aca="false">IF($L192="","",IF($O192="",$L192,$O192))</f>
        <v/>
      </c>
      <c r="U192" s="34" t="str">
        <f aca="false">IF($E192="","",IF(OR($M192="",$L192=""),0,IF($M192&lt;=$L192,1,0)))</f>
        <v/>
      </c>
      <c r="V192" s="34" t="str">
        <f aca="false">IF($E192="","",IF(OR($M192="",$T192=""),0,IF($M192&lt;=$T192,1,0)))</f>
        <v/>
      </c>
      <c r="W192" s="42" t="str">
        <f aca="false">IF(OR($M192="",$L192=""),"",MAX(0,$M192-$L192))</f>
        <v/>
      </c>
      <c r="X192" s="34" t="str">
        <f aca="false">IF($E192="","",IF(AND($O192&lt;&gt;"",$L192&lt;&gt;"",$O192&lt;&gt;$L192),1,0))</f>
        <v/>
      </c>
      <c r="Y192" s="34" t="str">
        <f aca="false">IF($E192="","",IF($N192="Cancelada",0,IF(OR($M192&lt;&gt;"",$N192="Concluída"),1,0)))</f>
        <v/>
      </c>
    </row>
    <row r="193" customFormat="false" ht="15" hidden="false" customHeight="true" outlineLevel="0" collapsed="false">
      <c r="A193" s="34" t="str">
        <f aca="false">IF($E193="","",COUNTA($E$5:$E193))</f>
        <v/>
      </c>
      <c r="B193" s="35"/>
      <c r="C193" s="35"/>
      <c r="D193" s="35"/>
      <c r="E193" s="35"/>
      <c r="F193" s="36"/>
      <c r="G193" s="37"/>
      <c r="H193" s="37"/>
      <c r="I193" s="37"/>
      <c r="J193" s="38"/>
      <c r="K193" s="39"/>
      <c r="L193" s="40" t="str">
        <f aca="false">IF(OR($J193="",$K193=""),"",$J193+MATCH($K193,Listas!$F$5:$F$11,0)-1)</f>
        <v/>
      </c>
      <c r="M193" s="41"/>
      <c r="N193" s="36"/>
      <c r="O193" s="41"/>
      <c r="P193" s="35"/>
      <c r="Q193" s="35"/>
      <c r="R193" s="42" t="str">
        <f aca="true">IF($E193="","",IF($N193="Cancelada","Cancelada",IF(OR($M193&lt;&gt;"",$N193="Concluída"),IF(OR($L193="",$M193="",$M193&lt;=$L193),"Concluída","Concluída com atraso"),IF($L193="","Na carteira",IF($L193&lt;TODAY(),"VENCIDA",IF($N193="Em execução","Em execução",IF($L193=TODAY(),"Hoje","Programada")))))))</f>
        <v/>
      </c>
      <c r="S193" s="34" t="str">
        <f aca="false">IF($E193="","",IF(ISNUMBER(SEARCH("(externo)",$G193&amp;$H193&amp;$I193)),"Terceirizada","Interna"))</f>
        <v/>
      </c>
      <c r="T193" s="40" t="str">
        <f aca="false">IF($L193="","",IF($O193="",$L193,$O193))</f>
        <v/>
      </c>
      <c r="U193" s="34" t="str">
        <f aca="false">IF($E193="","",IF(OR($M193="",$L193=""),0,IF($M193&lt;=$L193,1,0)))</f>
        <v/>
      </c>
      <c r="V193" s="34" t="str">
        <f aca="false">IF($E193="","",IF(OR($M193="",$T193=""),0,IF($M193&lt;=$T193,1,0)))</f>
        <v/>
      </c>
      <c r="W193" s="42" t="str">
        <f aca="false">IF(OR($M193="",$L193=""),"",MAX(0,$M193-$L193))</f>
        <v/>
      </c>
      <c r="X193" s="34" t="str">
        <f aca="false">IF($E193="","",IF(AND($O193&lt;&gt;"",$L193&lt;&gt;"",$O193&lt;&gt;$L193),1,0))</f>
        <v/>
      </c>
      <c r="Y193" s="34" t="str">
        <f aca="false">IF($E193="","",IF($N193="Cancelada",0,IF(OR($M193&lt;&gt;"",$N193="Concluída"),1,0)))</f>
        <v/>
      </c>
    </row>
    <row r="194" customFormat="false" ht="15" hidden="false" customHeight="true" outlineLevel="0" collapsed="false">
      <c r="A194" s="34" t="str">
        <f aca="false">IF($E194="","",COUNTA($E$5:$E194))</f>
        <v/>
      </c>
      <c r="B194" s="35"/>
      <c r="C194" s="35"/>
      <c r="D194" s="35"/>
      <c r="E194" s="35"/>
      <c r="F194" s="36"/>
      <c r="G194" s="37"/>
      <c r="H194" s="37"/>
      <c r="I194" s="37"/>
      <c r="J194" s="38"/>
      <c r="K194" s="39"/>
      <c r="L194" s="40" t="str">
        <f aca="false">IF(OR($J194="",$K194=""),"",$J194+MATCH($K194,Listas!$F$5:$F$11,0)-1)</f>
        <v/>
      </c>
      <c r="M194" s="41"/>
      <c r="N194" s="36"/>
      <c r="O194" s="41"/>
      <c r="P194" s="35"/>
      <c r="Q194" s="35"/>
      <c r="R194" s="42" t="str">
        <f aca="true">IF($E194="","",IF($N194="Cancelada","Cancelada",IF(OR($M194&lt;&gt;"",$N194="Concluída"),IF(OR($L194="",$M194="",$M194&lt;=$L194),"Concluída","Concluída com atraso"),IF($L194="","Na carteira",IF($L194&lt;TODAY(),"VENCIDA",IF($N194="Em execução","Em execução",IF($L194=TODAY(),"Hoje","Programada")))))))</f>
        <v/>
      </c>
      <c r="S194" s="34" t="str">
        <f aca="false">IF($E194="","",IF(ISNUMBER(SEARCH("(externo)",$G194&amp;$H194&amp;$I194)),"Terceirizada","Interna"))</f>
        <v/>
      </c>
      <c r="T194" s="40" t="str">
        <f aca="false">IF($L194="","",IF($O194="",$L194,$O194))</f>
        <v/>
      </c>
      <c r="U194" s="34" t="str">
        <f aca="false">IF($E194="","",IF(OR($M194="",$L194=""),0,IF($M194&lt;=$L194,1,0)))</f>
        <v/>
      </c>
      <c r="V194" s="34" t="str">
        <f aca="false">IF($E194="","",IF(OR($M194="",$T194=""),0,IF($M194&lt;=$T194,1,0)))</f>
        <v/>
      </c>
      <c r="W194" s="42" t="str">
        <f aca="false">IF(OR($M194="",$L194=""),"",MAX(0,$M194-$L194))</f>
        <v/>
      </c>
      <c r="X194" s="34" t="str">
        <f aca="false">IF($E194="","",IF(AND($O194&lt;&gt;"",$L194&lt;&gt;"",$O194&lt;&gt;$L194),1,0))</f>
        <v/>
      </c>
      <c r="Y194" s="34" t="str">
        <f aca="false">IF($E194="","",IF($N194="Cancelada",0,IF(OR($M194&lt;&gt;"",$N194="Concluída"),1,0)))</f>
        <v/>
      </c>
    </row>
    <row r="195" customFormat="false" ht="15" hidden="false" customHeight="true" outlineLevel="0" collapsed="false">
      <c r="A195" s="34" t="str">
        <f aca="false">IF($E195="","",COUNTA($E$5:$E195))</f>
        <v/>
      </c>
      <c r="B195" s="35"/>
      <c r="C195" s="35"/>
      <c r="D195" s="35"/>
      <c r="E195" s="35"/>
      <c r="F195" s="36"/>
      <c r="G195" s="37"/>
      <c r="H195" s="37"/>
      <c r="I195" s="37"/>
      <c r="J195" s="38"/>
      <c r="K195" s="39"/>
      <c r="L195" s="40" t="str">
        <f aca="false">IF(OR($J195="",$K195=""),"",$J195+MATCH($K195,Listas!$F$5:$F$11,0)-1)</f>
        <v/>
      </c>
      <c r="M195" s="41"/>
      <c r="N195" s="36"/>
      <c r="O195" s="41"/>
      <c r="P195" s="35"/>
      <c r="Q195" s="35"/>
      <c r="R195" s="42" t="str">
        <f aca="true">IF($E195="","",IF($N195="Cancelada","Cancelada",IF(OR($M195&lt;&gt;"",$N195="Concluída"),IF(OR($L195="",$M195="",$M195&lt;=$L195),"Concluída","Concluída com atraso"),IF($L195="","Na carteira",IF($L195&lt;TODAY(),"VENCIDA",IF($N195="Em execução","Em execução",IF($L195=TODAY(),"Hoje","Programada")))))))</f>
        <v/>
      </c>
      <c r="S195" s="34" t="str">
        <f aca="false">IF($E195="","",IF(ISNUMBER(SEARCH("(externo)",$G195&amp;$H195&amp;$I195)),"Terceirizada","Interna"))</f>
        <v/>
      </c>
      <c r="T195" s="40" t="str">
        <f aca="false">IF($L195="","",IF($O195="",$L195,$O195))</f>
        <v/>
      </c>
      <c r="U195" s="34" t="str">
        <f aca="false">IF($E195="","",IF(OR($M195="",$L195=""),0,IF($M195&lt;=$L195,1,0)))</f>
        <v/>
      </c>
      <c r="V195" s="34" t="str">
        <f aca="false">IF($E195="","",IF(OR($M195="",$T195=""),0,IF($M195&lt;=$T195,1,0)))</f>
        <v/>
      </c>
      <c r="W195" s="42" t="str">
        <f aca="false">IF(OR($M195="",$L195=""),"",MAX(0,$M195-$L195))</f>
        <v/>
      </c>
      <c r="X195" s="34" t="str">
        <f aca="false">IF($E195="","",IF(AND($O195&lt;&gt;"",$L195&lt;&gt;"",$O195&lt;&gt;$L195),1,0))</f>
        <v/>
      </c>
      <c r="Y195" s="34" t="str">
        <f aca="false">IF($E195="","",IF($N195="Cancelada",0,IF(OR($M195&lt;&gt;"",$N195="Concluída"),1,0)))</f>
        <v/>
      </c>
    </row>
    <row r="196" customFormat="false" ht="15" hidden="false" customHeight="true" outlineLevel="0" collapsed="false">
      <c r="A196" s="34" t="str">
        <f aca="false">IF($E196="","",COUNTA($E$5:$E196))</f>
        <v/>
      </c>
      <c r="B196" s="35"/>
      <c r="C196" s="35"/>
      <c r="D196" s="35"/>
      <c r="E196" s="35"/>
      <c r="F196" s="36"/>
      <c r="G196" s="37"/>
      <c r="H196" s="37"/>
      <c r="I196" s="37"/>
      <c r="J196" s="38"/>
      <c r="K196" s="39"/>
      <c r="L196" s="40" t="str">
        <f aca="false">IF(OR($J196="",$K196=""),"",$J196+MATCH($K196,Listas!$F$5:$F$11,0)-1)</f>
        <v/>
      </c>
      <c r="M196" s="41"/>
      <c r="N196" s="36"/>
      <c r="O196" s="41"/>
      <c r="P196" s="35"/>
      <c r="Q196" s="35"/>
      <c r="R196" s="42" t="str">
        <f aca="true">IF($E196="","",IF($N196="Cancelada","Cancelada",IF(OR($M196&lt;&gt;"",$N196="Concluída"),IF(OR($L196="",$M196="",$M196&lt;=$L196),"Concluída","Concluída com atraso"),IF($L196="","Na carteira",IF($L196&lt;TODAY(),"VENCIDA",IF($N196="Em execução","Em execução",IF($L196=TODAY(),"Hoje","Programada")))))))</f>
        <v/>
      </c>
      <c r="S196" s="34" t="str">
        <f aca="false">IF($E196="","",IF(ISNUMBER(SEARCH("(externo)",$G196&amp;$H196&amp;$I196)),"Terceirizada","Interna"))</f>
        <v/>
      </c>
      <c r="T196" s="40" t="str">
        <f aca="false">IF($L196="","",IF($O196="",$L196,$O196))</f>
        <v/>
      </c>
      <c r="U196" s="34" t="str">
        <f aca="false">IF($E196="","",IF(OR($M196="",$L196=""),0,IF($M196&lt;=$L196,1,0)))</f>
        <v/>
      </c>
      <c r="V196" s="34" t="str">
        <f aca="false">IF($E196="","",IF(OR($M196="",$T196=""),0,IF($M196&lt;=$T196,1,0)))</f>
        <v/>
      </c>
      <c r="W196" s="42" t="str">
        <f aca="false">IF(OR($M196="",$L196=""),"",MAX(0,$M196-$L196))</f>
        <v/>
      </c>
      <c r="X196" s="34" t="str">
        <f aca="false">IF($E196="","",IF(AND($O196&lt;&gt;"",$L196&lt;&gt;"",$O196&lt;&gt;$L196),1,0))</f>
        <v/>
      </c>
      <c r="Y196" s="34" t="str">
        <f aca="false">IF($E196="","",IF($N196="Cancelada",0,IF(OR($M196&lt;&gt;"",$N196="Concluída"),1,0)))</f>
        <v/>
      </c>
    </row>
    <row r="197" customFormat="false" ht="15" hidden="false" customHeight="true" outlineLevel="0" collapsed="false">
      <c r="A197" s="34" t="str">
        <f aca="false">IF($E197="","",COUNTA($E$5:$E197))</f>
        <v/>
      </c>
      <c r="B197" s="35"/>
      <c r="C197" s="35"/>
      <c r="D197" s="35"/>
      <c r="E197" s="35"/>
      <c r="F197" s="36"/>
      <c r="G197" s="37"/>
      <c r="H197" s="37"/>
      <c r="I197" s="37"/>
      <c r="J197" s="38"/>
      <c r="K197" s="39"/>
      <c r="L197" s="40" t="str">
        <f aca="false">IF(OR($J197="",$K197=""),"",$J197+MATCH($K197,Listas!$F$5:$F$11,0)-1)</f>
        <v/>
      </c>
      <c r="M197" s="41"/>
      <c r="N197" s="36"/>
      <c r="O197" s="41"/>
      <c r="P197" s="35"/>
      <c r="Q197" s="35"/>
      <c r="R197" s="42" t="str">
        <f aca="true">IF($E197="","",IF($N197="Cancelada","Cancelada",IF(OR($M197&lt;&gt;"",$N197="Concluída"),IF(OR($L197="",$M197="",$M197&lt;=$L197),"Concluída","Concluída com atraso"),IF($L197="","Na carteira",IF($L197&lt;TODAY(),"VENCIDA",IF($N197="Em execução","Em execução",IF($L197=TODAY(),"Hoje","Programada")))))))</f>
        <v/>
      </c>
      <c r="S197" s="34" t="str">
        <f aca="false">IF($E197="","",IF(ISNUMBER(SEARCH("(externo)",$G197&amp;$H197&amp;$I197)),"Terceirizada","Interna"))</f>
        <v/>
      </c>
      <c r="T197" s="40" t="str">
        <f aca="false">IF($L197="","",IF($O197="",$L197,$O197))</f>
        <v/>
      </c>
      <c r="U197" s="34" t="str">
        <f aca="false">IF($E197="","",IF(OR($M197="",$L197=""),0,IF($M197&lt;=$L197,1,0)))</f>
        <v/>
      </c>
      <c r="V197" s="34" t="str">
        <f aca="false">IF($E197="","",IF(OR($M197="",$T197=""),0,IF($M197&lt;=$T197,1,0)))</f>
        <v/>
      </c>
      <c r="W197" s="42" t="str">
        <f aca="false">IF(OR($M197="",$L197=""),"",MAX(0,$M197-$L197))</f>
        <v/>
      </c>
      <c r="X197" s="34" t="str">
        <f aca="false">IF($E197="","",IF(AND($O197&lt;&gt;"",$L197&lt;&gt;"",$O197&lt;&gt;$L197),1,0))</f>
        <v/>
      </c>
      <c r="Y197" s="34" t="str">
        <f aca="false">IF($E197="","",IF($N197="Cancelada",0,IF(OR($M197&lt;&gt;"",$N197="Concluída"),1,0)))</f>
        <v/>
      </c>
    </row>
    <row r="198" customFormat="false" ht="15" hidden="false" customHeight="true" outlineLevel="0" collapsed="false">
      <c r="A198" s="34" t="str">
        <f aca="false">IF($E198="","",COUNTA($E$5:$E198))</f>
        <v/>
      </c>
      <c r="B198" s="35"/>
      <c r="C198" s="35"/>
      <c r="D198" s="35"/>
      <c r="E198" s="35"/>
      <c r="F198" s="36"/>
      <c r="G198" s="37"/>
      <c r="H198" s="37"/>
      <c r="I198" s="37"/>
      <c r="J198" s="38"/>
      <c r="K198" s="39"/>
      <c r="L198" s="40" t="str">
        <f aca="false">IF(OR($J198="",$K198=""),"",$J198+MATCH($K198,Listas!$F$5:$F$11,0)-1)</f>
        <v/>
      </c>
      <c r="M198" s="41"/>
      <c r="N198" s="36"/>
      <c r="O198" s="41"/>
      <c r="P198" s="35"/>
      <c r="Q198" s="35"/>
      <c r="R198" s="42" t="str">
        <f aca="true">IF($E198="","",IF($N198="Cancelada","Cancelada",IF(OR($M198&lt;&gt;"",$N198="Concluída"),IF(OR($L198="",$M198="",$M198&lt;=$L198),"Concluída","Concluída com atraso"),IF($L198="","Na carteira",IF($L198&lt;TODAY(),"VENCIDA",IF($N198="Em execução","Em execução",IF($L198=TODAY(),"Hoje","Programada")))))))</f>
        <v/>
      </c>
      <c r="S198" s="34" t="str">
        <f aca="false">IF($E198="","",IF(ISNUMBER(SEARCH("(externo)",$G198&amp;$H198&amp;$I198)),"Terceirizada","Interna"))</f>
        <v/>
      </c>
      <c r="T198" s="40" t="str">
        <f aca="false">IF($L198="","",IF($O198="",$L198,$O198))</f>
        <v/>
      </c>
      <c r="U198" s="34" t="str">
        <f aca="false">IF($E198="","",IF(OR($M198="",$L198=""),0,IF($M198&lt;=$L198,1,0)))</f>
        <v/>
      </c>
      <c r="V198" s="34" t="str">
        <f aca="false">IF($E198="","",IF(OR($M198="",$T198=""),0,IF($M198&lt;=$T198,1,0)))</f>
        <v/>
      </c>
      <c r="W198" s="42" t="str">
        <f aca="false">IF(OR($M198="",$L198=""),"",MAX(0,$M198-$L198))</f>
        <v/>
      </c>
      <c r="X198" s="34" t="str">
        <f aca="false">IF($E198="","",IF(AND($O198&lt;&gt;"",$L198&lt;&gt;"",$O198&lt;&gt;$L198),1,0))</f>
        <v/>
      </c>
      <c r="Y198" s="34" t="str">
        <f aca="false">IF($E198="","",IF($N198="Cancelada",0,IF(OR($M198&lt;&gt;"",$N198="Concluída"),1,0)))</f>
        <v/>
      </c>
    </row>
    <row r="199" customFormat="false" ht="15" hidden="false" customHeight="true" outlineLevel="0" collapsed="false">
      <c r="A199" s="34" t="str">
        <f aca="false">IF($E199="","",COUNTA($E$5:$E199))</f>
        <v/>
      </c>
      <c r="B199" s="35"/>
      <c r="C199" s="35"/>
      <c r="D199" s="35"/>
      <c r="E199" s="35"/>
      <c r="F199" s="36"/>
      <c r="G199" s="37"/>
      <c r="H199" s="37"/>
      <c r="I199" s="37"/>
      <c r="J199" s="38"/>
      <c r="K199" s="39"/>
      <c r="L199" s="40" t="str">
        <f aca="false">IF(OR($J199="",$K199=""),"",$J199+MATCH($K199,Listas!$F$5:$F$11,0)-1)</f>
        <v/>
      </c>
      <c r="M199" s="41"/>
      <c r="N199" s="36"/>
      <c r="O199" s="41"/>
      <c r="P199" s="35"/>
      <c r="Q199" s="35"/>
      <c r="R199" s="42" t="str">
        <f aca="true">IF($E199="","",IF($N199="Cancelada","Cancelada",IF(OR($M199&lt;&gt;"",$N199="Concluída"),IF(OR($L199="",$M199="",$M199&lt;=$L199),"Concluída","Concluída com atraso"),IF($L199="","Na carteira",IF($L199&lt;TODAY(),"VENCIDA",IF($N199="Em execução","Em execução",IF($L199=TODAY(),"Hoje","Programada")))))))</f>
        <v/>
      </c>
      <c r="S199" s="34" t="str">
        <f aca="false">IF($E199="","",IF(ISNUMBER(SEARCH("(externo)",$G199&amp;$H199&amp;$I199)),"Terceirizada","Interna"))</f>
        <v/>
      </c>
      <c r="T199" s="40" t="str">
        <f aca="false">IF($L199="","",IF($O199="",$L199,$O199))</f>
        <v/>
      </c>
      <c r="U199" s="34" t="str">
        <f aca="false">IF($E199="","",IF(OR($M199="",$L199=""),0,IF($M199&lt;=$L199,1,0)))</f>
        <v/>
      </c>
      <c r="V199" s="34" t="str">
        <f aca="false">IF($E199="","",IF(OR($M199="",$T199=""),0,IF($M199&lt;=$T199,1,0)))</f>
        <v/>
      </c>
      <c r="W199" s="42" t="str">
        <f aca="false">IF(OR($M199="",$L199=""),"",MAX(0,$M199-$L199))</f>
        <v/>
      </c>
      <c r="X199" s="34" t="str">
        <f aca="false">IF($E199="","",IF(AND($O199&lt;&gt;"",$L199&lt;&gt;"",$O199&lt;&gt;$L199),1,0))</f>
        <v/>
      </c>
      <c r="Y199" s="34" t="str">
        <f aca="false">IF($E199="","",IF($N199="Cancelada",0,IF(OR($M199&lt;&gt;"",$N199="Concluída"),1,0)))</f>
        <v/>
      </c>
    </row>
    <row r="200" customFormat="false" ht="15" hidden="false" customHeight="true" outlineLevel="0" collapsed="false">
      <c r="A200" s="34" t="str">
        <f aca="false">IF($E200="","",COUNTA($E$5:$E200))</f>
        <v/>
      </c>
      <c r="B200" s="35"/>
      <c r="C200" s="35"/>
      <c r="D200" s="35"/>
      <c r="E200" s="35"/>
      <c r="F200" s="36"/>
      <c r="G200" s="37"/>
      <c r="H200" s="37"/>
      <c r="I200" s="37"/>
      <c r="J200" s="38"/>
      <c r="K200" s="39"/>
      <c r="L200" s="40" t="str">
        <f aca="false">IF(OR($J200="",$K200=""),"",$J200+MATCH($K200,Listas!$F$5:$F$11,0)-1)</f>
        <v/>
      </c>
      <c r="M200" s="41"/>
      <c r="N200" s="36"/>
      <c r="O200" s="41"/>
      <c r="P200" s="35"/>
      <c r="Q200" s="35"/>
      <c r="R200" s="42" t="str">
        <f aca="true">IF($E200="","",IF($N200="Cancelada","Cancelada",IF(OR($M200&lt;&gt;"",$N200="Concluída"),IF(OR($L200="",$M200="",$M200&lt;=$L200),"Concluída","Concluída com atraso"),IF($L200="","Na carteira",IF($L200&lt;TODAY(),"VENCIDA",IF($N200="Em execução","Em execução",IF($L200=TODAY(),"Hoje","Programada")))))))</f>
        <v/>
      </c>
      <c r="S200" s="34" t="str">
        <f aca="false">IF($E200="","",IF(ISNUMBER(SEARCH("(externo)",$G200&amp;$H200&amp;$I200)),"Terceirizada","Interna"))</f>
        <v/>
      </c>
      <c r="T200" s="40" t="str">
        <f aca="false">IF($L200="","",IF($O200="",$L200,$O200))</f>
        <v/>
      </c>
      <c r="U200" s="34" t="str">
        <f aca="false">IF($E200="","",IF(OR($M200="",$L200=""),0,IF($M200&lt;=$L200,1,0)))</f>
        <v/>
      </c>
      <c r="V200" s="34" t="str">
        <f aca="false">IF($E200="","",IF(OR($M200="",$T200=""),0,IF($M200&lt;=$T200,1,0)))</f>
        <v/>
      </c>
      <c r="W200" s="42" t="str">
        <f aca="false">IF(OR($M200="",$L200=""),"",MAX(0,$M200-$L200))</f>
        <v/>
      </c>
      <c r="X200" s="34" t="str">
        <f aca="false">IF($E200="","",IF(AND($O200&lt;&gt;"",$L200&lt;&gt;"",$O200&lt;&gt;$L200),1,0))</f>
        <v/>
      </c>
      <c r="Y200" s="34" t="str">
        <f aca="false">IF($E200="","",IF($N200="Cancelada",0,IF(OR($M200&lt;&gt;"",$N200="Concluída"),1,0)))</f>
        <v/>
      </c>
    </row>
    <row r="201" customFormat="false" ht="15" hidden="false" customHeight="true" outlineLevel="0" collapsed="false">
      <c r="A201" s="34" t="str">
        <f aca="false">IF($E201="","",COUNTA($E$5:$E201))</f>
        <v/>
      </c>
      <c r="B201" s="35"/>
      <c r="C201" s="35"/>
      <c r="D201" s="35"/>
      <c r="E201" s="35"/>
      <c r="F201" s="36"/>
      <c r="G201" s="37"/>
      <c r="H201" s="37"/>
      <c r="I201" s="37"/>
      <c r="J201" s="38"/>
      <c r="K201" s="39"/>
      <c r="L201" s="40" t="str">
        <f aca="false">IF(OR($J201="",$K201=""),"",$J201+MATCH($K201,Listas!$F$5:$F$11,0)-1)</f>
        <v/>
      </c>
      <c r="M201" s="41"/>
      <c r="N201" s="36"/>
      <c r="O201" s="41"/>
      <c r="P201" s="35"/>
      <c r="Q201" s="35"/>
      <c r="R201" s="42" t="str">
        <f aca="true">IF($E201="","",IF($N201="Cancelada","Cancelada",IF(OR($M201&lt;&gt;"",$N201="Concluída"),IF(OR($L201="",$M201="",$M201&lt;=$L201),"Concluída","Concluída com atraso"),IF($L201="","Na carteira",IF($L201&lt;TODAY(),"VENCIDA",IF($N201="Em execução","Em execução",IF($L201=TODAY(),"Hoje","Programada")))))))</f>
        <v/>
      </c>
      <c r="S201" s="34" t="str">
        <f aca="false">IF($E201="","",IF(ISNUMBER(SEARCH("(externo)",$G201&amp;$H201&amp;$I201)),"Terceirizada","Interna"))</f>
        <v/>
      </c>
      <c r="T201" s="40" t="str">
        <f aca="false">IF($L201="","",IF($O201="",$L201,$O201))</f>
        <v/>
      </c>
      <c r="U201" s="34" t="str">
        <f aca="false">IF($E201="","",IF(OR($M201="",$L201=""),0,IF($M201&lt;=$L201,1,0)))</f>
        <v/>
      </c>
      <c r="V201" s="34" t="str">
        <f aca="false">IF($E201="","",IF(OR($M201="",$T201=""),0,IF($M201&lt;=$T201,1,0)))</f>
        <v/>
      </c>
      <c r="W201" s="42" t="str">
        <f aca="false">IF(OR($M201="",$L201=""),"",MAX(0,$M201-$L201))</f>
        <v/>
      </c>
      <c r="X201" s="34" t="str">
        <f aca="false">IF($E201="","",IF(AND($O201&lt;&gt;"",$L201&lt;&gt;"",$O201&lt;&gt;$L201),1,0))</f>
        <v/>
      </c>
      <c r="Y201" s="34" t="str">
        <f aca="false">IF($E201="","",IF($N201="Cancelada",0,IF(OR($M201&lt;&gt;"",$N201="Concluída"),1,0)))</f>
        <v/>
      </c>
    </row>
    <row r="202" customFormat="false" ht="15" hidden="false" customHeight="true" outlineLevel="0" collapsed="false">
      <c r="A202" s="34" t="str">
        <f aca="false">IF($E202="","",COUNTA($E$5:$E202))</f>
        <v/>
      </c>
      <c r="B202" s="35"/>
      <c r="C202" s="35"/>
      <c r="D202" s="35"/>
      <c r="E202" s="35"/>
      <c r="F202" s="36"/>
      <c r="G202" s="37"/>
      <c r="H202" s="37"/>
      <c r="I202" s="37"/>
      <c r="J202" s="38"/>
      <c r="K202" s="39"/>
      <c r="L202" s="40" t="str">
        <f aca="false">IF(OR($J202="",$K202=""),"",$J202+MATCH($K202,Listas!$F$5:$F$11,0)-1)</f>
        <v/>
      </c>
      <c r="M202" s="41"/>
      <c r="N202" s="36"/>
      <c r="O202" s="41"/>
      <c r="P202" s="35"/>
      <c r="Q202" s="35"/>
      <c r="R202" s="42" t="str">
        <f aca="true">IF($E202="","",IF($N202="Cancelada","Cancelada",IF(OR($M202&lt;&gt;"",$N202="Concluída"),IF(OR($L202="",$M202="",$M202&lt;=$L202),"Concluída","Concluída com atraso"),IF($L202="","Na carteira",IF($L202&lt;TODAY(),"VENCIDA",IF($N202="Em execução","Em execução",IF($L202=TODAY(),"Hoje","Programada")))))))</f>
        <v/>
      </c>
      <c r="S202" s="34" t="str">
        <f aca="false">IF($E202="","",IF(ISNUMBER(SEARCH("(externo)",$G202&amp;$H202&amp;$I202)),"Terceirizada","Interna"))</f>
        <v/>
      </c>
      <c r="T202" s="40" t="str">
        <f aca="false">IF($L202="","",IF($O202="",$L202,$O202))</f>
        <v/>
      </c>
      <c r="U202" s="34" t="str">
        <f aca="false">IF($E202="","",IF(OR($M202="",$L202=""),0,IF($M202&lt;=$L202,1,0)))</f>
        <v/>
      </c>
      <c r="V202" s="34" t="str">
        <f aca="false">IF($E202="","",IF(OR($M202="",$T202=""),0,IF($M202&lt;=$T202,1,0)))</f>
        <v/>
      </c>
      <c r="W202" s="42" t="str">
        <f aca="false">IF(OR($M202="",$L202=""),"",MAX(0,$M202-$L202))</f>
        <v/>
      </c>
      <c r="X202" s="34" t="str">
        <f aca="false">IF($E202="","",IF(AND($O202&lt;&gt;"",$L202&lt;&gt;"",$O202&lt;&gt;$L202),1,0))</f>
        <v/>
      </c>
      <c r="Y202" s="34" t="str">
        <f aca="false">IF($E202="","",IF($N202="Cancelada",0,IF(OR($M202&lt;&gt;"",$N202="Concluída"),1,0)))</f>
        <v/>
      </c>
    </row>
    <row r="203" customFormat="false" ht="15" hidden="false" customHeight="true" outlineLevel="0" collapsed="false">
      <c r="A203" s="34" t="str">
        <f aca="false">IF($E203="","",COUNTA($E$5:$E203))</f>
        <v/>
      </c>
      <c r="B203" s="35"/>
      <c r="C203" s="35"/>
      <c r="D203" s="35"/>
      <c r="E203" s="35"/>
      <c r="F203" s="36"/>
      <c r="G203" s="37"/>
      <c r="H203" s="37"/>
      <c r="I203" s="37"/>
      <c r="J203" s="38"/>
      <c r="K203" s="39"/>
      <c r="L203" s="40" t="str">
        <f aca="false">IF(OR($J203="",$K203=""),"",$J203+MATCH($K203,Listas!$F$5:$F$11,0)-1)</f>
        <v/>
      </c>
      <c r="M203" s="41"/>
      <c r="N203" s="36"/>
      <c r="O203" s="41"/>
      <c r="P203" s="35"/>
      <c r="Q203" s="35"/>
      <c r="R203" s="42" t="str">
        <f aca="true">IF($E203="","",IF($N203="Cancelada","Cancelada",IF(OR($M203&lt;&gt;"",$N203="Concluída"),IF(OR($L203="",$M203="",$M203&lt;=$L203),"Concluída","Concluída com atraso"),IF($L203="","Na carteira",IF($L203&lt;TODAY(),"VENCIDA",IF($N203="Em execução","Em execução",IF($L203=TODAY(),"Hoje","Programada")))))))</f>
        <v/>
      </c>
      <c r="S203" s="34" t="str">
        <f aca="false">IF($E203="","",IF(ISNUMBER(SEARCH("(externo)",$G203&amp;$H203&amp;$I203)),"Terceirizada","Interna"))</f>
        <v/>
      </c>
      <c r="T203" s="40" t="str">
        <f aca="false">IF($L203="","",IF($O203="",$L203,$O203))</f>
        <v/>
      </c>
      <c r="U203" s="34" t="str">
        <f aca="false">IF($E203="","",IF(OR($M203="",$L203=""),0,IF($M203&lt;=$L203,1,0)))</f>
        <v/>
      </c>
      <c r="V203" s="34" t="str">
        <f aca="false">IF($E203="","",IF(OR($M203="",$T203=""),0,IF($M203&lt;=$T203,1,0)))</f>
        <v/>
      </c>
      <c r="W203" s="42" t="str">
        <f aca="false">IF(OR($M203="",$L203=""),"",MAX(0,$M203-$L203))</f>
        <v/>
      </c>
      <c r="X203" s="34" t="str">
        <f aca="false">IF($E203="","",IF(AND($O203&lt;&gt;"",$L203&lt;&gt;"",$O203&lt;&gt;$L203),1,0))</f>
        <v/>
      </c>
      <c r="Y203" s="34" t="str">
        <f aca="false">IF($E203="","",IF($N203="Cancelada",0,IF(OR($M203&lt;&gt;"",$N203="Concluída"),1,0)))</f>
        <v/>
      </c>
    </row>
    <row r="204" customFormat="false" ht="15" hidden="false" customHeight="true" outlineLevel="0" collapsed="false">
      <c r="A204" s="34" t="str">
        <f aca="false">IF($E204="","",COUNTA($E$5:$E204))</f>
        <v/>
      </c>
      <c r="B204" s="35"/>
      <c r="C204" s="35"/>
      <c r="D204" s="35"/>
      <c r="E204" s="35"/>
      <c r="F204" s="36"/>
      <c r="G204" s="37"/>
      <c r="H204" s="37"/>
      <c r="I204" s="37"/>
      <c r="J204" s="38"/>
      <c r="K204" s="39"/>
      <c r="L204" s="40" t="str">
        <f aca="false">IF(OR($J204="",$K204=""),"",$J204+MATCH($K204,Listas!$F$5:$F$11,0)-1)</f>
        <v/>
      </c>
      <c r="M204" s="41"/>
      <c r="N204" s="36"/>
      <c r="O204" s="41"/>
      <c r="P204" s="35"/>
      <c r="Q204" s="35"/>
      <c r="R204" s="42" t="str">
        <f aca="true">IF($E204="","",IF($N204="Cancelada","Cancelada",IF(OR($M204&lt;&gt;"",$N204="Concluída"),IF(OR($L204="",$M204="",$M204&lt;=$L204),"Concluída","Concluída com atraso"),IF($L204="","Na carteira",IF($L204&lt;TODAY(),"VENCIDA",IF($N204="Em execução","Em execução",IF($L204=TODAY(),"Hoje","Programada")))))))</f>
        <v/>
      </c>
      <c r="S204" s="34" t="str">
        <f aca="false">IF($E204="","",IF(ISNUMBER(SEARCH("(externo)",$G204&amp;$H204&amp;$I204)),"Terceirizada","Interna"))</f>
        <v/>
      </c>
      <c r="T204" s="40" t="str">
        <f aca="false">IF($L204="","",IF($O204="",$L204,$O204))</f>
        <v/>
      </c>
      <c r="U204" s="34" t="str">
        <f aca="false">IF($E204="","",IF(OR($M204="",$L204=""),0,IF($M204&lt;=$L204,1,0)))</f>
        <v/>
      </c>
      <c r="V204" s="34" t="str">
        <f aca="false">IF($E204="","",IF(OR($M204="",$T204=""),0,IF($M204&lt;=$T204,1,0)))</f>
        <v/>
      </c>
      <c r="W204" s="42" t="str">
        <f aca="false">IF(OR($M204="",$L204=""),"",MAX(0,$M204-$L204))</f>
        <v/>
      </c>
      <c r="X204" s="34" t="str">
        <f aca="false">IF($E204="","",IF(AND($O204&lt;&gt;"",$L204&lt;&gt;"",$O204&lt;&gt;$L204),1,0))</f>
        <v/>
      </c>
      <c r="Y204" s="34" t="str">
        <f aca="false">IF($E204="","",IF($N204="Cancelada",0,IF(OR($M204&lt;&gt;"",$N204="Concluída"),1,0)))</f>
        <v/>
      </c>
    </row>
    <row r="205" customFormat="false" ht="15" hidden="false" customHeight="true" outlineLevel="0" collapsed="false">
      <c r="A205" s="34" t="str">
        <f aca="false">IF($E205="","",COUNTA($E$5:$E205))</f>
        <v/>
      </c>
      <c r="B205" s="35"/>
      <c r="C205" s="35"/>
      <c r="D205" s="35"/>
      <c r="E205" s="35"/>
      <c r="F205" s="36"/>
      <c r="G205" s="37"/>
      <c r="H205" s="37"/>
      <c r="I205" s="37"/>
      <c r="J205" s="38"/>
      <c r="K205" s="39"/>
      <c r="L205" s="40" t="str">
        <f aca="false">IF(OR($J205="",$K205=""),"",$J205+MATCH($K205,Listas!$F$5:$F$11,0)-1)</f>
        <v/>
      </c>
      <c r="M205" s="41"/>
      <c r="N205" s="36"/>
      <c r="O205" s="41"/>
      <c r="P205" s="35"/>
      <c r="Q205" s="35"/>
      <c r="R205" s="42" t="str">
        <f aca="true">IF($E205="","",IF($N205="Cancelada","Cancelada",IF(OR($M205&lt;&gt;"",$N205="Concluída"),IF(OR($L205="",$M205="",$M205&lt;=$L205),"Concluída","Concluída com atraso"),IF($L205="","Na carteira",IF($L205&lt;TODAY(),"VENCIDA",IF($N205="Em execução","Em execução",IF($L205=TODAY(),"Hoje","Programada")))))))</f>
        <v/>
      </c>
      <c r="S205" s="34" t="str">
        <f aca="false">IF($E205="","",IF(ISNUMBER(SEARCH("(externo)",$G205&amp;$H205&amp;$I205)),"Terceirizada","Interna"))</f>
        <v/>
      </c>
      <c r="T205" s="40" t="str">
        <f aca="false">IF($L205="","",IF($O205="",$L205,$O205))</f>
        <v/>
      </c>
      <c r="U205" s="34" t="str">
        <f aca="false">IF($E205="","",IF(OR($M205="",$L205=""),0,IF($M205&lt;=$L205,1,0)))</f>
        <v/>
      </c>
      <c r="V205" s="34" t="str">
        <f aca="false">IF($E205="","",IF(OR($M205="",$T205=""),0,IF($M205&lt;=$T205,1,0)))</f>
        <v/>
      </c>
      <c r="W205" s="42" t="str">
        <f aca="false">IF(OR($M205="",$L205=""),"",MAX(0,$M205-$L205))</f>
        <v/>
      </c>
      <c r="X205" s="34" t="str">
        <f aca="false">IF($E205="","",IF(AND($O205&lt;&gt;"",$L205&lt;&gt;"",$O205&lt;&gt;$L205),1,0))</f>
        <v/>
      </c>
      <c r="Y205" s="34" t="str">
        <f aca="false">IF($E205="","",IF($N205="Cancelada",0,IF(OR($M205&lt;&gt;"",$N205="Concluída"),1,0)))</f>
        <v/>
      </c>
    </row>
    <row r="206" customFormat="false" ht="15" hidden="false" customHeight="true" outlineLevel="0" collapsed="false">
      <c r="A206" s="34" t="str">
        <f aca="false">IF($E206="","",COUNTA($E$5:$E206))</f>
        <v/>
      </c>
      <c r="B206" s="35"/>
      <c r="C206" s="35"/>
      <c r="D206" s="35"/>
      <c r="E206" s="35"/>
      <c r="F206" s="36"/>
      <c r="G206" s="37"/>
      <c r="H206" s="37"/>
      <c r="I206" s="37"/>
      <c r="J206" s="38"/>
      <c r="K206" s="39"/>
      <c r="L206" s="40" t="str">
        <f aca="false">IF(OR($J206="",$K206=""),"",$J206+MATCH($K206,Listas!$F$5:$F$11,0)-1)</f>
        <v/>
      </c>
      <c r="M206" s="41"/>
      <c r="N206" s="36"/>
      <c r="O206" s="41"/>
      <c r="P206" s="35"/>
      <c r="Q206" s="35"/>
      <c r="R206" s="42" t="str">
        <f aca="true">IF($E206="","",IF($N206="Cancelada","Cancelada",IF(OR($M206&lt;&gt;"",$N206="Concluída"),IF(OR($L206="",$M206="",$M206&lt;=$L206),"Concluída","Concluída com atraso"),IF($L206="","Na carteira",IF($L206&lt;TODAY(),"VENCIDA",IF($N206="Em execução","Em execução",IF($L206=TODAY(),"Hoje","Programada")))))))</f>
        <v/>
      </c>
      <c r="S206" s="34" t="str">
        <f aca="false">IF($E206="","",IF(ISNUMBER(SEARCH("(externo)",$G206&amp;$H206&amp;$I206)),"Terceirizada","Interna"))</f>
        <v/>
      </c>
      <c r="T206" s="40" t="str">
        <f aca="false">IF($L206="","",IF($O206="",$L206,$O206))</f>
        <v/>
      </c>
      <c r="U206" s="34" t="str">
        <f aca="false">IF($E206="","",IF(OR($M206="",$L206=""),0,IF($M206&lt;=$L206,1,0)))</f>
        <v/>
      </c>
      <c r="V206" s="34" t="str">
        <f aca="false">IF($E206="","",IF(OR($M206="",$T206=""),0,IF($M206&lt;=$T206,1,0)))</f>
        <v/>
      </c>
      <c r="W206" s="42" t="str">
        <f aca="false">IF(OR($M206="",$L206=""),"",MAX(0,$M206-$L206))</f>
        <v/>
      </c>
      <c r="X206" s="34" t="str">
        <f aca="false">IF($E206="","",IF(AND($O206&lt;&gt;"",$L206&lt;&gt;"",$O206&lt;&gt;$L206),1,0))</f>
        <v/>
      </c>
      <c r="Y206" s="34" t="str">
        <f aca="false">IF($E206="","",IF($N206="Cancelada",0,IF(OR($M206&lt;&gt;"",$N206="Concluída"),1,0)))</f>
        <v/>
      </c>
    </row>
    <row r="207" customFormat="false" ht="15" hidden="false" customHeight="true" outlineLevel="0" collapsed="false">
      <c r="A207" s="34" t="str">
        <f aca="false">IF($E207="","",COUNTA($E$5:$E207))</f>
        <v/>
      </c>
      <c r="B207" s="35"/>
      <c r="C207" s="35"/>
      <c r="D207" s="35"/>
      <c r="E207" s="35"/>
      <c r="F207" s="36"/>
      <c r="G207" s="37"/>
      <c r="H207" s="37"/>
      <c r="I207" s="37"/>
      <c r="J207" s="38"/>
      <c r="K207" s="39"/>
      <c r="L207" s="40" t="str">
        <f aca="false">IF(OR($J207="",$K207=""),"",$J207+MATCH($K207,Listas!$F$5:$F$11,0)-1)</f>
        <v/>
      </c>
      <c r="M207" s="41"/>
      <c r="N207" s="36"/>
      <c r="O207" s="41"/>
      <c r="P207" s="35"/>
      <c r="Q207" s="35"/>
      <c r="R207" s="42" t="str">
        <f aca="true">IF($E207="","",IF($N207="Cancelada","Cancelada",IF(OR($M207&lt;&gt;"",$N207="Concluída"),IF(OR($L207="",$M207="",$M207&lt;=$L207),"Concluída","Concluída com atraso"),IF($L207="","Na carteira",IF($L207&lt;TODAY(),"VENCIDA",IF($N207="Em execução","Em execução",IF($L207=TODAY(),"Hoje","Programada")))))))</f>
        <v/>
      </c>
      <c r="S207" s="34" t="str">
        <f aca="false">IF($E207="","",IF(ISNUMBER(SEARCH("(externo)",$G207&amp;$H207&amp;$I207)),"Terceirizada","Interna"))</f>
        <v/>
      </c>
      <c r="T207" s="40" t="str">
        <f aca="false">IF($L207="","",IF($O207="",$L207,$O207))</f>
        <v/>
      </c>
      <c r="U207" s="34" t="str">
        <f aca="false">IF($E207="","",IF(OR($M207="",$L207=""),0,IF($M207&lt;=$L207,1,0)))</f>
        <v/>
      </c>
      <c r="V207" s="34" t="str">
        <f aca="false">IF($E207="","",IF(OR($M207="",$T207=""),0,IF($M207&lt;=$T207,1,0)))</f>
        <v/>
      </c>
      <c r="W207" s="42" t="str">
        <f aca="false">IF(OR($M207="",$L207=""),"",MAX(0,$M207-$L207))</f>
        <v/>
      </c>
      <c r="X207" s="34" t="str">
        <f aca="false">IF($E207="","",IF(AND($O207&lt;&gt;"",$L207&lt;&gt;"",$O207&lt;&gt;$L207),1,0))</f>
        <v/>
      </c>
      <c r="Y207" s="34" t="str">
        <f aca="false">IF($E207="","",IF($N207="Cancelada",0,IF(OR($M207&lt;&gt;"",$N207="Concluída"),1,0)))</f>
        <v/>
      </c>
    </row>
    <row r="208" customFormat="false" ht="15" hidden="false" customHeight="true" outlineLevel="0" collapsed="false">
      <c r="A208" s="34" t="str">
        <f aca="false">IF($E208="","",COUNTA($E$5:$E208))</f>
        <v/>
      </c>
      <c r="B208" s="35"/>
      <c r="C208" s="35"/>
      <c r="D208" s="35"/>
      <c r="E208" s="35"/>
      <c r="F208" s="36"/>
      <c r="G208" s="37"/>
      <c r="H208" s="37"/>
      <c r="I208" s="37"/>
      <c r="J208" s="38"/>
      <c r="K208" s="39"/>
      <c r="L208" s="40" t="str">
        <f aca="false">IF(OR($J208="",$K208=""),"",$J208+MATCH($K208,Listas!$F$5:$F$11,0)-1)</f>
        <v/>
      </c>
      <c r="M208" s="41"/>
      <c r="N208" s="36"/>
      <c r="O208" s="41"/>
      <c r="P208" s="35"/>
      <c r="Q208" s="35"/>
      <c r="R208" s="42" t="str">
        <f aca="true">IF($E208="","",IF($N208="Cancelada","Cancelada",IF(OR($M208&lt;&gt;"",$N208="Concluída"),IF(OR($L208="",$M208="",$M208&lt;=$L208),"Concluída","Concluída com atraso"),IF($L208="","Na carteira",IF($L208&lt;TODAY(),"VENCIDA",IF($N208="Em execução","Em execução",IF($L208=TODAY(),"Hoje","Programada")))))))</f>
        <v/>
      </c>
      <c r="S208" s="34" t="str">
        <f aca="false">IF($E208="","",IF(ISNUMBER(SEARCH("(externo)",$G208&amp;$H208&amp;$I208)),"Terceirizada","Interna"))</f>
        <v/>
      </c>
      <c r="T208" s="40" t="str">
        <f aca="false">IF($L208="","",IF($O208="",$L208,$O208))</f>
        <v/>
      </c>
      <c r="U208" s="34" t="str">
        <f aca="false">IF($E208="","",IF(OR($M208="",$L208=""),0,IF($M208&lt;=$L208,1,0)))</f>
        <v/>
      </c>
      <c r="V208" s="34" t="str">
        <f aca="false">IF($E208="","",IF(OR($M208="",$T208=""),0,IF($M208&lt;=$T208,1,0)))</f>
        <v/>
      </c>
      <c r="W208" s="42" t="str">
        <f aca="false">IF(OR($M208="",$L208=""),"",MAX(0,$M208-$L208))</f>
        <v/>
      </c>
      <c r="X208" s="34" t="str">
        <f aca="false">IF($E208="","",IF(AND($O208&lt;&gt;"",$L208&lt;&gt;"",$O208&lt;&gt;$L208),1,0))</f>
        <v/>
      </c>
      <c r="Y208" s="34" t="str">
        <f aca="false">IF($E208="","",IF($N208="Cancelada",0,IF(OR($M208&lt;&gt;"",$N208="Concluída"),1,0)))</f>
        <v/>
      </c>
    </row>
    <row r="209" customFormat="false" ht="15" hidden="false" customHeight="true" outlineLevel="0" collapsed="false">
      <c r="A209" s="34" t="str">
        <f aca="false">IF($E209="","",COUNTA($E$5:$E209))</f>
        <v/>
      </c>
      <c r="B209" s="35"/>
      <c r="C209" s="35"/>
      <c r="D209" s="35"/>
      <c r="E209" s="35"/>
      <c r="F209" s="36"/>
      <c r="G209" s="37"/>
      <c r="H209" s="37"/>
      <c r="I209" s="37"/>
      <c r="J209" s="38"/>
      <c r="K209" s="39"/>
      <c r="L209" s="40" t="str">
        <f aca="false">IF(OR($J209="",$K209=""),"",$J209+MATCH($K209,Listas!$F$5:$F$11,0)-1)</f>
        <v/>
      </c>
      <c r="M209" s="41"/>
      <c r="N209" s="36"/>
      <c r="O209" s="41"/>
      <c r="P209" s="35"/>
      <c r="Q209" s="35"/>
      <c r="R209" s="42" t="str">
        <f aca="true">IF($E209="","",IF($N209="Cancelada","Cancelada",IF(OR($M209&lt;&gt;"",$N209="Concluída"),IF(OR($L209="",$M209="",$M209&lt;=$L209),"Concluída","Concluída com atraso"),IF($L209="","Na carteira",IF($L209&lt;TODAY(),"VENCIDA",IF($N209="Em execução","Em execução",IF($L209=TODAY(),"Hoje","Programada")))))))</f>
        <v/>
      </c>
      <c r="S209" s="34" t="str">
        <f aca="false">IF($E209="","",IF(ISNUMBER(SEARCH("(externo)",$G209&amp;$H209&amp;$I209)),"Terceirizada","Interna"))</f>
        <v/>
      </c>
      <c r="T209" s="40" t="str">
        <f aca="false">IF($L209="","",IF($O209="",$L209,$O209))</f>
        <v/>
      </c>
      <c r="U209" s="34" t="str">
        <f aca="false">IF($E209="","",IF(OR($M209="",$L209=""),0,IF($M209&lt;=$L209,1,0)))</f>
        <v/>
      </c>
      <c r="V209" s="34" t="str">
        <f aca="false">IF($E209="","",IF(OR($M209="",$T209=""),0,IF($M209&lt;=$T209,1,0)))</f>
        <v/>
      </c>
      <c r="W209" s="42" t="str">
        <f aca="false">IF(OR($M209="",$L209=""),"",MAX(0,$M209-$L209))</f>
        <v/>
      </c>
      <c r="X209" s="34" t="str">
        <f aca="false">IF($E209="","",IF(AND($O209&lt;&gt;"",$L209&lt;&gt;"",$O209&lt;&gt;$L209),1,0))</f>
        <v/>
      </c>
      <c r="Y209" s="34" t="str">
        <f aca="false">IF($E209="","",IF($N209="Cancelada",0,IF(OR($M209&lt;&gt;"",$N209="Concluída"),1,0)))</f>
        <v/>
      </c>
    </row>
    <row r="210" customFormat="false" ht="15" hidden="false" customHeight="true" outlineLevel="0" collapsed="false">
      <c r="A210" s="34" t="str">
        <f aca="false">IF($E210="","",COUNTA($E$5:$E210))</f>
        <v/>
      </c>
      <c r="B210" s="35"/>
      <c r="C210" s="35"/>
      <c r="D210" s="35"/>
      <c r="E210" s="35"/>
      <c r="F210" s="36"/>
      <c r="G210" s="37"/>
      <c r="H210" s="37"/>
      <c r="I210" s="37"/>
      <c r="J210" s="38"/>
      <c r="K210" s="39"/>
      <c r="L210" s="40" t="str">
        <f aca="false">IF(OR($J210="",$K210=""),"",$J210+MATCH($K210,Listas!$F$5:$F$11,0)-1)</f>
        <v/>
      </c>
      <c r="M210" s="41"/>
      <c r="N210" s="36"/>
      <c r="O210" s="41"/>
      <c r="P210" s="35"/>
      <c r="Q210" s="35"/>
      <c r="R210" s="42" t="str">
        <f aca="true">IF($E210="","",IF($N210="Cancelada","Cancelada",IF(OR($M210&lt;&gt;"",$N210="Concluída"),IF(OR($L210="",$M210="",$M210&lt;=$L210),"Concluída","Concluída com atraso"),IF($L210="","Na carteira",IF($L210&lt;TODAY(),"VENCIDA",IF($N210="Em execução","Em execução",IF($L210=TODAY(),"Hoje","Programada")))))))</f>
        <v/>
      </c>
      <c r="S210" s="34" t="str">
        <f aca="false">IF($E210="","",IF(ISNUMBER(SEARCH("(externo)",$G210&amp;$H210&amp;$I210)),"Terceirizada","Interna"))</f>
        <v/>
      </c>
      <c r="T210" s="40" t="str">
        <f aca="false">IF($L210="","",IF($O210="",$L210,$O210))</f>
        <v/>
      </c>
      <c r="U210" s="34" t="str">
        <f aca="false">IF($E210="","",IF(OR($M210="",$L210=""),0,IF($M210&lt;=$L210,1,0)))</f>
        <v/>
      </c>
      <c r="V210" s="34" t="str">
        <f aca="false">IF($E210="","",IF(OR($M210="",$T210=""),0,IF($M210&lt;=$T210,1,0)))</f>
        <v/>
      </c>
      <c r="W210" s="42" t="str">
        <f aca="false">IF(OR($M210="",$L210=""),"",MAX(0,$M210-$L210))</f>
        <v/>
      </c>
      <c r="X210" s="34" t="str">
        <f aca="false">IF($E210="","",IF(AND($O210&lt;&gt;"",$L210&lt;&gt;"",$O210&lt;&gt;$L210),1,0))</f>
        <v/>
      </c>
      <c r="Y210" s="34" t="str">
        <f aca="false">IF($E210="","",IF($N210="Cancelada",0,IF(OR($M210&lt;&gt;"",$N210="Concluída"),1,0)))</f>
        <v/>
      </c>
    </row>
    <row r="211" customFormat="false" ht="15" hidden="false" customHeight="true" outlineLevel="0" collapsed="false">
      <c r="A211" s="34" t="str">
        <f aca="false">IF($E211="","",COUNTA($E$5:$E211))</f>
        <v/>
      </c>
      <c r="B211" s="35"/>
      <c r="C211" s="35"/>
      <c r="D211" s="35"/>
      <c r="E211" s="35"/>
      <c r="F211" s="36"/>
      <c r="G211" s="37"/>
      <c r="H211" s="37"/>
      <c r="I211" s="37"/>
      <c r="J211" s="38"/>
      <c r="K211" s="39"/>
      <c r="L211" s="40" t="str">
        <f aca="false">IF(OR($J211="",$K211=""),"",$J211+MATCH($K211,Listas!$F$5:$F$11,0)-1)</f>
        <v/>
      </c>
      <c r="M211" s="41"/>
      <c r="N211" s="36"/>
      <c r="O211" s="41"/>
      <c r="P211" s="35"/>
      <c r="Q211" s="35"/>
      <c r="R211" s="42" t="str">
        <f aca="true">IF($E211="","",IF($N211="Cancelada","Cancelada",IF(OR($M211&lt;&gt;"",$N211="Concluída"),IF(OR($L211="",$M211="",$M211&lt;=$L211),"Concluída","Concluída com atraso"),IF($L211="","Na carteira",IF($L211&lt;TODAY(),"VENCIDA",IF($N211="Em execução","Em execução",IF($L211=TODAY(),"Hoje","Programada")))))))</f>
        <v/>
      </c>
      <c r="S211" s="34" t="str">
        <f aca="false">IF($E211="","",IF(ISNUMBER(SEARCH("(externo)",$G211&amp;$H211&amp;$I211)),"Terceirizada","Interna"))</f>
        <v/>
      </c>
      <c r="T211" s="40" t="str">
        <f aca="false">IF($L211="","",IF($O211="",$L211,$O211))</f>
        <v/>
      </c>
      <c r="U211" s="34" t="str">
        <f aca="false">IF($E211="","",IF(OR($M211="",$L211=""),0,IF($M211&lt;=$L211,1,0)))</f>
        <v/>
      </c>
      <c r="V211" s="34" t="str">
        <f aca="false">IF($E211="","",IF(OR($M211="",$T211=""),0,IF($M211&lt;=$T211,1,0)))</f>
        <v/>
      </c>
      <c r="W211" s="42" t="str">
        <f aca="false">IF(OR($M211="",$L211=""),"",MAX(0,$M211-$L211))</f>
        <v/>
      </c>
      <c r="X211" s="34" t="str">
        <f aca="false">IF($E211="","",IF(AND($O211&lt;&gt;"",$L211&lt;&gt;"",$O211&lt;&gt;$L211),1,0))</f>
        <v/>
      </c>
      <c r="Y211" s="34" t="str">
        <f aca="false">IF($E211="","",IF($N211="Cancelada",0,IF(OR($M211&lt;&gt;"",$N211="Concluída"),1,0)))</f>
        <v/>
      </c>
    </row>
    <row r="212" customFormat="false" ht="15" hidden="false" customHeight="true" outlineLevel="0" collapsed="false">
      <c r="A212" s="34" t="str">
        <f aca="false">IF($E212="","",COUNTA($E$5:$E212))</f>
        <v/>
      </c>
      <c r="B212" s="35"/>
      <c r="C212" s="35"/>
      <c r="D212" s="35"/>
      <c r="E212" s="35"/>
      <c r="F212" s="36"/>
      <c r="G212" s="37"/>
      <c r="H212" s="37"/>
      <c r="I212" s="37"/>
      <c r="J212" s="38"/>
      <c r="K212" s="39"/>
      <c r="L212" s="40" t="str">
        <f aca="false">IF(OR($J212="",$K212=""),"",$J212+MATCH($K212,Listas!$F$5:$F$11,0)-1)</f>
        <v/>
      </c>
      <c r="M212" s="41"/>
      <c r="N212" s="36"/>
      <c r="O212" s="41"/>
      <c r="P212" s="35"/>
      <c r="Q212" s="35"/>
      <c r="R212" s="42" t="str">
        <f aca="true">IF($E212="","",IF($N212="Cancelada","Cancelada",IF(OR($M212&lt;&gt;"",$N212="Concluída"),IF(OR($L212="",$M212="",$M212&lt;=$L212),"Concluída","Concluída com atraso"),IF($L212="","Na carteira",IF($L212&lt;TODAY(),"VENCIDA",IF($N212="Em execução","Em execução",IF($L212=TODAY(),"Hoje","Programada")))))))</f>
        <v/>
      </c>
      <c r="S212" s="34" t="str">
        <f aca="false">IF($E212="","",IF(ISNUMBER(SEARCH("(externo)",$G212&amp;$H212&amp;$I212)),"Terceirizada","Interna"))</f>
        <v/>
      </c>
      <c r="T212" s="40" t="str">
        <f aca="false">IF($L212="","",IF($O212="",$L212,$O212))</f>
        <v/>
      </c>
      <c r="U212" s="34" t="str">
        <f aca="false">IF($E212="","",IF(OR($M212="",$L212=""),0,IF($M212&lt;=$L212,1,0)))</f>
        <v/>
      </c>
      <c r="V212" s="34" t="str">
        <f aca="false">IF($E212="","",IF(OR($M212="",$T212=""),0,IF($M212&lt;=$T212,1,0)))</f>
        <v/>
      </c>
      <c r="W212" s="42" t="str">
        <f aca="false">IF(OR($M212="",$L212=""),"",MAX(0,$M212-$L212))</f>
        <v/>
      </c>
      <c r="X212" s="34" t="str">
        <f aca="false">IF($E212="","",IF(AND($O212&lt;&gt;"",$L212&lt;&gt;"",$O212&lt;&gt;$L212),1,0))</f>
        <v/>
      </c>
      <c r="Y212" s="34" t="str">
        <f aca="false">IF($E212="","",IF($N212="Cancelada",0,IF(OR($M212&lt;&gt;"",$N212="Concluída"),1,0)))</f>
        <v/>
      </c>
    </row>
    <row r="213" customFormat="false" ht="15" hidden="false" customHeight="true" outlineLevel="0" collapsed="false">
      <c r="A213" s="34" t="str">
        <f aca="false">IF($E213="","",COUNTA($E$5:$E213))</f>
        <v/>
      </c>
      <c r="B213" s="35"/>
      <c r="C213" s="35"/>
      <c r="D213" s="35"/>
      <c r="E213" s="35"/>
      <c r="F213" s="36"/>
      <c r="G213" s="37"/>
      <c r="H213" s="37"/>
      <c r="I213" s="37"/>
      <c r="J213" s="38"/>
      <c r="K213" s="39"/>
      <c r="L213" s="40" t="str">
        <f aca="false">IF(OR($J213="",$K213=""),"",$J213+MATCH($K213,Listas!$F$5:$F$11,0)-1)</f>
        <v/>
      </c>
      <c r="M213" s="41"/>
      <c r="N213" s="36"/>
      <c r="O213" s="41"/>
      <c r="P213" s="35"/>
      <c r="Q213" s="35"/>
      <c r="R213" s="42" t="str">
        <f aca="true">IF($E213="","",IF($N213="Cancelada","Cancelada",IF(OR($M213&lt;&gt;"",$N213="Concluída"),IF(OR($L213="",$M213="",$M213&lt;=$L213),"Concluída","Concluída com atraso"),IF($L213="","Na carteira",IF($L213&lt;TODAY(),"VENCIDA",IF($N213="Em execução","Em execução",IF($L213=TODAY(),"Hoje","Programada")))))))</f>
        <v/>
      </c>
      <c r="S213" s="34" t="str">
        <f aca="false">IF($E213="","",IF(ISNUMBER(SEARCH("(externo)",$G213&amp;$H213&amp;$I213)),"Terceirizada","Interna"))</f>
        <v/>
      </c>
      <c r="T213" s="40" t="str">
        <f aca="false">IF($L213="","",IF($O213="",$L213,$O213))</f>
        <v/>
      </c>
      <c r="U213" s="34" t="str">
        <f aca="false">IF($E213="","",IF(OR($M213="",$L213=""),0,IF($M213&lt;=$L213,1,0)))</f>
        <v/>
      </c>
      <c r="V213" s="34" t="str">
        <f aca="false">IF($E213="","",IF(OR($M213="",$T213=""),0,IF($M213&lt;=$T213,1,0)))</f>
        <v/>
      </c>
      <c r="W213" s="42" t="str">
        <f aca="false">IF(OR($M213="",$L213=""),"",MAX(0,$M213-$L213))</f>
        <v/>
      </c>
      <c r="X213" s="34" t="str">
        <f aca="false">IF($E213="","",IF(AND($O213&lt;&gt;"",$L213&lt;&gt;"",$O213&lt;&gt;$L213),1,0))</f>
        <v/>
      </c>
      <c r="Y213" s="34" t="str">
        <f aca="false">IF($E213="","",IF($N213="Cancelada",0,IF(OR($M213&lt;&gt;"",$N213="Concluída"),1,0)))</f>
        <v/>
      </c>
    </row>
    <row r="214" customFormat="false" ht="15" hidden="false" customHeight="true" outlineLevel="0" collapsed="false">
      <c r="A214" s="34" t="str">
        <f aca="false">IF($E214="","",COUNTA($E$5:$E214))</f>
        <v/>
      </c>
      <c r="B214" s="35"/>
      <c r="C214" s="35"/>
      <c r="D214" s="35"/>
      <c r="E214" s="35"/>
      <c r="F214" s="36"/>
      <c r="G214" s="37"/>
      <c r="H214" s="37"/>
      <c r="I214" s="37"/>
      <c r="J214" s="38"/>
      <c r="K214" s="39"/>
      <c r="L214" s="40" t="str">
        <f aca="false">IF(OR($J214="",$K214=""),"",$J214+MATCH($K214,Listas!$F$5:$F$11,0)-1)</f>
        <v/>
      </c>
      <c r="M214" s="41"/>
      <c r="N214" s="36"/>
      <c r="O214" s="41"/>
      <c r="P214" s="35"/>
      <c r="Q214" s="35"/>
      <c r="R214" s="42" t="str">
        <f aca="true">IF($E214="","",IF($N214="Cancelada","Cancelada",IF(OR($M214&lt;&gt;"",$N214="Concluída"),IF(OR($L214="",$M214="",$M214&lt;=$L214),"Concluída","Concluída com atraso"),IF($L214="","Na carteira",IF($L214&lt;TODAY(),"VENCIDA",IF($N214="Em execução","Em execução",IF($L214=TODAY(),"Hoje","Programada")))))))</f>
        <v/>
      </c>
      <c r="S214" s="34" t="str">
        <f aca="false">IF($E214="","",IF(ISNUMBER(SEARCH("(externo)",$G214&amp;$H214&amp;$I214)),"Terceirizada","Interna"))</f>
        <v/>
      </c>
      <c r="T214" s="40" t="str">
        <f aca="false">IF($L214="","",IF($O214="",$L214,$O214))</f>
        <v/>
      </c>
      <c r="U214" s="34" t="str">
        <f aca="false">IF($E214="","",IF(OR($M214="",$L214=""),0,IF($M214&lt;=$L214,1,0)))</f>
        <v/>
      </c>
      <c r="V214" s="34" t="str">
        <f aca="false">IF($E214="","",IF(OR($M214="",$T214=""),0,IF($M214&lt;=$T214,1,0)))</f>
        <v/>
      </c>
      <c r="W214" s="42" t="str">
        <f aca="false">IF(OR($M214="",$L214=""),"",MAX(0,$M214-$L214))</f>
        <v/>
      </c>
      <c r="X214" s="34" t="str">
        <f aca="false">IF($E214="","",IF(AND($O214&lt;&gt;"",$L214&lt;&gt;"",$O214&lt;&gt;$L214),1,0))</f>
        <v/>
      </c>
      <c r="Y214" s="34" t="str">
        <f aca="false">IF($E214="","",IF($N214="Cancelada",0,IF(OR($M214&lt;&gt;"",$N214="Concluída"),1,0)))</f>
        <v/>
      </c>
    </row>
    <row r="215" customFormat="false" ht="15" hidden="false" customHeight="true" outlineLevel="0" collapsed="false">
      <c r="A215" s="34" t="str">
        <f aca="false">IF($E215="","",COUNTA($E$5:$E215))</f>
        <v/>
      </c>
      <c r="B215" s="35"/>
      <c r="C215" s="35"/>
      <c r="D215" s="35"/>
      <c r="E215" s="35"/>
      <c r="F215" s="36"/>
      <c r="G215" s="37"/>
      <c r="H215" s="37"/>
      <c r="I215" s="37"/>
      <c r="J215" s="38"/>
      <c r="K215" s="39"/>
      <c r="L215" s="40" t="str">
        <f aca="false">IF(OR($J215="",$K215=""),"",$J215+MATCH($K215,Listas!$F$5:$F$11,0)-1)</f>
        <v/>
      </c>
      <c r="M215" s="41"/>
      <c r="N215" s="36"/>
      <c r="O215" s="41"/>
      <c r="P215" s="35"/>
      <c r="Q215" s="35"/>
      <c r="R215" s="42" t="str">
        <f aca="true">IF($E215="","",IF($N215="Cancelada","Cancelada",IF(OR($M215&lt;&gt;"",$N215="Concluída"),IF(OR($L215="",$M215="",$M215&lt;=$L215),"Concluída","Concluída com atraso"),IF($L215="","Na carteira",IF($L215&lt;TODAY(),"VENCIDA",IF($N215="Em execução","Em execução",IF($L215=TODAY(),"Hoje","Programada")))))))</f>
        <v/>
      </c>
      <c r="S215" s="34" t="str">
        <f aca="false">IF($E215="","",IF(ISNUMBER(SEARCH("(externo)",$G215&amp;$H215&amp;$I215)),"Terceirizada","Interna"))</f>
        <v/>
      </c>
      <c r="T215" s="40" t="str">
        <f aca="false">IF($L215="","",IF($O215="",$L215,$O215))</f>
        <v/>
      </c>
      <c r="U215" s="34" t="str">
        <f aca="false">IF($E215="","",IF(OR($M215="",$L215=""),0,IF($M215&lt;=$L215,1,0)))</f>
        <v/>
      </c>
      <c r="V215" s="34" t="str">
        <f aca="false">IF($E215="","",IF(OR($M215="",$T215=""),0,IF($M215&lt;=$T215,1,0)))</f>
        <v/>
      </c>
      <c r="W215" s="42" t="str">
        <f aca="false">IF(OR($M215="",$L215=""),"",MAX(0,$M215-$L215))</f>
        <v/>
      </c>
      <c r="X215" s="34" t="str">
        <f aca="false">IF($E215="","",IF(AND($O215&lt;&gt;"",$L215&lt;&gt;"",$O215&lt;&gt;$L215),1,0))</f>
        <v/>
      </c>
      <c r="Y215" s="34" t="str">
        <f aca="false">IF($E215="","",IF($N215="Cancelada",0,IF(OR($M215&lt;&gt;"",$N215="Concluída"),1,0)))</f>
        <v/>
      </c>
    </row>
    <row r="216" customFormat="false" ht="15" hidden="false" customHeight="true" outlineLevel="0" collapsed="false">
      <c r="A216" s="34" t="str">
        <f aca="false">IF($E216="","",COUNTA($E$5:$E216))</f>
        <v/>
      </c>
      <c r="B216" s="35"/>
      <c r="C216" s="35"/>
      <c r="D216" s="35"/>
      <c r="E216" s="35"/>
      <c r="F216" s="36"/>
      <c r="G216" s="37"/>
      <c r="H216" s="37"/>
      <c r="I216" s="37"/>
      <c r="J216" s="38"/>
      <c r="K216" s="39"/>
      <c r="L216" s="40" t="str">
        <f aca="false">IF(OR($J216="",$K216=""),"",$J216+MATCH($K216,Listas!$F$5:$F$11,0)-1)</f>
        <v/>
      </c>
      <c r="M216" s="41"/>
      <c r="N216" s="36"/>
      <c r="O216" s="41"/>
      <c r="P216" s="35"/>
      <c r="Q216" s="35"/>
      <c r="R216" s="42" t="str">
        <f aca="true">IF($E216="","",IF($N216="Cancelada","Cancelada",IF(OR($M216&lt;&gt;"",$N216="Concluída"),IF(OR($L216="",$M216="",$M216&lt;=$L216),"Concluída","Concluída com atraso"),IF($L216="","Na carteira",IF($L216&lt;TODAY(),"VENCIDA",IF($N216="Em execução","Em execução",IF($L216=TODAY(),"Hoje","Programada")))))))</f>
        <v/>
      </c>
      <c r="S216" s="34" t="str">
        <f aca="false">IF($E216="","",IF(ISNUMBER(SEARCH("(externo)",$G216&amp;$H216&amp;$I216)),"Terceirizada","Interna"))</f>
        <v/>
      </c>
      <c r="T216" s="40" t="str">
        <f aca="false">IF($L216="","",IF($O216="",$L216,$O216))</f>
        <v/>
      </c>
      <c r="U216" s="34" t="str">
        <f aca="false">IF($E216="","",IF(OR($M216="",$L216=""),0,IF($M216&lt;=$L216,1,0)))</f>
        <v/>
      </c>
      <c r="V216" s="34" t="str">
        <f aca="false">IF($E216="","",IF(OR($M216="",$T216=""),0,IF($M216&lt;=$T216,1,0)))</f>
        <v/>
      </c>
      <c r="W216" s="42" t="str">
        <f aca="false">IF(OR($M216="",$L216=""),"",MAX(0,$M216-$L216))</f>
        <v/>
      </c>
      <c r="X216" s="34" t="str">
        <f aca="false">IF($E216="","",IF(AND($O216&lt;&gt;"",$L216&lt;&gt;"",$O216&lt;&gt;$L216),1,0))</f>
        <v/>
      </c>
      <c r="Y216" s="34" t="str">
        <f aca="false">IF($E216="","",IF($N216="Cancelada",0,IF(OR($M216&lt;&gt;"",$N216="Concluída"),1,0)))</f>
        <v/>
      </c>
    </row>
    <row r="217" customFormat="false" ht="15" hidden="false" customHeight="true" outlineLevel="0" collapsed="false">
      <c r="A217" s="34" t="str">
        <f aca="false">IF($E217="","",COUNTA($E$5:$E217))</f>
        <v/>
      </c>
      <c r="B217" s="35"/>
      <c r="C217" s="35"/>
      <c r="D217" s="35"/>
      <c r="E217" s="35"/>
      <c r="F217" s="36"/>
      <c r="G217" s="37"/>
      <c r="H217" s="37"/>
      <c r="I217" s="37"/>
      <c r="J217" s="38"/>
      <c r="K217" s="39"/>
      <c r="L217" s="40" t="str">
        <f aca="false">IF(OR($J217="",$K217=""),"",$J217+MATCH($K217,Listas!$F$5:$F$11,0)-1)</f>
        <v/>
      </c>
      <c r="M217" s="41"/>
      <c r="N217" s="36"/>
      <c r="O217" s="41"/>
      <c r="P217" s="35"/>
      <c r="Q217" s="35"/>
      <c r="R217" s="42" t="str">
        <f aca="true">IF($E217="","",IF($N217="Cancelada","Cancelada",IF(OR($M217&lt;&gt;"",$N217="Concluída"),IF(OR($L217="",$M217="",$M217&lt;=$L217),"Concluída","Concluída com atraso"),IF($L217="","Na carteira",IF($L217&lt;TODAY(),"VENCIDA",IF($N217="Em execução","Em execução",IF($L217=TODAY(),"Hoje","Programada")))))))</f>
        <v/>
      </c>
      <c r="S217" s="34" t="str">
        <f aca="false">IF($E217="","",IF(ISNUMBER(SEARCH("(externo)",$G217&amp;$H217&amp;$I217)),"Terceirizada","Interna"))</f>
        <v/>
      </c>
      <c r="T217" s="40" t="str">
        <f aca="false">IF($L217="","",IF($O217="",$L217,$O217))</f>
        <v/>
      </c>
      <c r="U217" s="34" t="str">
        <f aca="false">IF($E217="","",IF(OR($M217="",$L217=""),0,IF($M217&lt;=$L217,1,0)))</f>
        <v/>
      </c>
      <c r="V217" s="34" t="str">
        <f aca="false">IF($E217="","",IF(OR($M217="",$T217=""),0,IF($M217&lt;=$T217,1,0)))</f>
        <v/>
      </c>
      <c r="W217" s="42" t="str">
        <f aca="false">IF(OR($M217="",$L217=""),"",MAX(0,$M217-$L217))</f>
        <v/>
      </c>
      <c r="X217" s="34" t="str">
        <f aca="false">IF($E217="","",IF(AND($O217&lt;&gt;"",$L217&lt;&gt;"",$O217&lt;&gt;$L217),1,0))</f>
        <v/>
      </c>
      <c r="Y217" s="34" t="str">
        <f aca="false">IF($E217="","",IF($N217="Cancelada",0,IF(OR($M217&lt;&gt;"",$N217="Concluída"),1,0)))</f>
        <v/>
      </c>
    </row>
    <row r="218" customFormat="false" ht="15" hidden="false" customHeight="true" outlineLevel="0" collapsed="false">
      <c r="A218" s="34" t="str">
        <f aca="false">IF($E218="","",COUNTA($E$5:$E218))</f>
        <v/>
      </c>
      <c r="B218" s="35"/>
      <c r="C218" s="35"/>
      <c r="D218" s="35"/>
      <c r="E218" s="35"/>
      <c r="F218" s="36"/>
      <c r="G218" s="37"/>
      <c r="H218" s="37"/>
      <c r="I218" s="37"/>
      <c r="J218" s="38"/>
      <c r="K218" s="39"/>
      <c r="L218" s="40" t="str">
        <f aca="false">IF(OR($J218="",$K218=""),"",$J218+MATCH($K218,Listas!$F$5:$F$11,0)-1)</f>
        <v/>
      </c>
      <c r="M218" s="41"/>
      <c r="N218" s="36"/>
      <c r="O218" s="41"/>
      <c r="P218" s="35"/>
      <c r="Q218" s="35"/>
      <c r="R218" s="42" t="str">
        <f aca="true">IF($E218="","",IF($N218="Cancelada","Cancelada",IF(OR($M218&lt;&gt;"",$N218="Concluída"),IF(OR($L218="",$M218="",$M218&lt;=$L218),"Concluída","Concluída com atraso"),IF($L218="","Na carteira",IF($L218&lt;TODAY(),"VENCIDA",IF($N218="Em execução","Em execução",IF($L218=TODAY(),"Hoje","Programada")))))))</f>
        <v/>
      </c>
      <c r="S218" s="34" t="str">
        <f aca="false">IF($E218="","",IF(ISNUMBER(SEARCH("(externo)",$G218&amp;$H218&amp;$I218)),"Terceirizada","Interna"))</f>
        <v/>
      </c>
      <c r="T218" s="40" t="str">
        <f aca="false">IF($L218="","",IF($O218="",$L218,$O218))</f>
        <v/>
      </c>
      <c r="U218" s="34" t="str">
        <f aca="false">IF($E218="","",IF(OR($M218="",$L218=""),0,IF($M218&lt;=$L218,1,0)))</f>
        <v/>
      </c>
      <c r="V218" s="34" t="str">
        <f aca="false">IF($E218="","",IF(OR($M218="",$T218=""),0,IF($M218&lt;=$T218,1,0)))</f>
        <v/>
      </c>
      <c r="W218" s="42" t="str">
        <f aca="false">IF(OR($M218="",$L218=""),"",MAX(0,$M218-$L218))</f>
        <v/>
      </c>
      <c r="X218" s="34" t="str">
        <f aca="false">IF($E218="","",IF(AND($O218&lt;&gt;"",$L218&lt;&gt;"",$O218&lt;&gt;$L218),1,0))</f>
        <v/>
      </c>
      <c r="Y218" s="34" t="str">
        <f aca="false">IF($E218="","",IF($N218="Cancelada",0,IF(OR($M218&lt;&gt;"",$N218="Concluída"),1,0)))</f>
        <v/>
      </c>
    </row>
    <row r="219" customFormat="false" ht="15" hidden="false" customHeight="true" outlineLevel="0" collapsed="false">
      <c r="A219" s="34" t="str">
        <f aca="false">IF($E219="","",COUNTA($E$5:$E219))</f>
        <v/>
      </c>
      <c r="B219" s="35"/>
      <c r="C219" s="35"/>
      <c r="D219" s="35"/>
      <c r="E219" s="35"/>
      <c r="F219" s="36"/>
      <c r="G219" s="37"/>
      <c r="H219" s="37"/>
      <c r="I219" s="37"/>
      <c r="J219" s="38"/>
      <c r="K219" s="39"/>
      <c r="L219" s="40" t="str">
        <f aca="false">IF(OR($J219="",$K219=""),"",$J219+MATCH($K219,Listas!$F$5:$F$11,0)-1)</f>
        <v/>
      </c>
      <c r="M219" s="41"/>
      <c r="N219" s="36"/>
      <c r="O219" s="41"/>
      <c r="P219" s="35"/>
      <c r="Q219" s="35"/>
      <c r="R219" s="42" t="str">
        <f aca="true">IF($E219="","",IF($N219="Cancelada","Cancelada",IF(OR($M219&lt;&gt;"",$N219="Concluída"),IF(OR($L219="",$M219="",$M219&lt;=$L219),"Concluída","Concluída com atraso"),IF($L219="","Na carteira",IF($L219&lt;TODAY(),"VENCIDA",IF($N219="Em execução","Em execução",IF($L219=TODAY(),"Hoje","Programada")))))))</f>
        <v/>
      </c>
      <c r="S219" s="34" t="str">
        <f aca="false">IF($E219="","",IF(ISNUMBER(SEARCH("(externo)",$G219&amp;$H219&amp;$I219)),"Terceirizada","Interna"))</f>
        <v/>
      </c>
      <c r="T219" s="40" t="str">
        <f aca="false">IF($L219="","",IF($O219="",$L219,$O219))</f>
        <v/>
      </c>
      <c r="U219" s="34" t="str">
        <f aca="false">IF($E219="","",IF(OR($M219="",$L219=""),0,IF($M219&lt;=$L219,1,0)))</f>
        <v/>
      </c>
      <c r="V219" s="34" t="str">
        <f aca="false">IF($E219="","",IF(OR($M219="",$T219=""),0,IF($M219&lt;=$T219,1,0)))</f>
        <v/>
      </c>
      <c r="W219" s="42" t="str">
        <f aca="false">IF(OR($M219="",$L219=""),"",MAX(0,$M219-$L219))</f>
        <v/>
      </c>
      <c r="X219" s="34" t="str">
        <f aca="false">IF($E219="","",IF(AND($O219&lt;&gt;"",$L219&lt;&gt;"",$O219&lt;&gt;$L219),1,0))</f>
        <v/>
      </c>
      <c r="Y219" s="34" t="str">
        <f aca="false">IF($E219="","",IF($N219="Cancelada",0,IF(OR($M219&lt;&gt;"",$N219="Concluída"),1,0)))</f>
        <v/>
      </c>
    </row>
    <row r="220" customFormat="false" ht="15" hidden="false" customHeight="true" outlineLevel="0" collapsed="false">
      <c r="A220" s="34" t="str">
        <f aca="false">IF($E220="","",COUNTA($E$5:$E220))</f>
        <v/>
      </c>
      <c r="B220" s="35"/>
      <c r="C220" s="35"/>
      <c r="D220" s="35"/>
      <c r="E220" s="35"/>
      <c r="F220" s="36"/>
      <c r="G220" s="37"/>
      <c r="H220" s="37"/>
      <c r="I220" s="37"/>
      <c r="J220" s="38"/>
      <c r="K220" s="39"/>
      <c r="L220" s="40" t="str">
        <f aca="false">IF(OR($J220="",$K220=""),"",$J220+MATCH($K220,Listas!$F$5:$F$11,0)-1)</f>
        <v/>
      </c>
      <c r="M220" s="41"/>
      <c r="N220" s="36"/>
      <c r="O220" s="41"/>
      <c r="P220" s="35"/>
      <c r="Q220" s="35"/>
      <c r="R220" s="42" t="str">
        <f aca="true">IF($E220="","",IF($N220="Cancelada","Cancelada",IF(OR($M220&lt;&gt;"",$N220="Concluída"),IF(OR($L220="",$M220="",$M220&lt;=$L220),"Concluída","Concluída com atraso"),IF($L220="","Na carteira",IF($L220&lt;TODAY(),"VENCIDA",IF($N220="Em execução","Em execução",IF($L220=TODAY(),"Hoje","Programada")))))))</f>
        <v/>
      </c>
      <c r="S220" s="34" t="str">
        <f aca="false">IF($E220="","",IF(ISNUMBER(SEARCH("(externo)",$G220&amp;$H220&amp;$I220)),"Terceirizada","Interna"))</f>
        <v/>
      </c>
      <c r="T220" s="40" t="str">
        <f aca="false">IF($L220="","",IF($O220="",$L220,$O220))</f>
        <v/>
      </c>
      <c r="U220" s="34" t="str">
        <f aca="false">IF($E220="","",IF(OR($M220="",$L220=""),0,IF($M220&lt;=$L220,1,0)))</f>
        <v/>
      </c>
      <c r="V220" s="34" t="str">
        <f aca="false">IF($E220="","",IF(OR($M220="",$T220=""),0,IF($M220&lt;=$T220,1,0)))</f>
        <v/>
      </c>
      <c r="W220" s="42" t="str">
        <f aca="false">IF(OR($M220="",$L220=""),"",MAX(0,$M220-$L220))</f>
        <v/>
      </c>
      <c r="X220" s="34" t="str">
        <f aca="false">IF($E220="","",IF(AND($O220&lt;&gt;"",$L220&lt;&gt;"",$O220&lt;&gt;$L220),1,0))</f>
        <v/>
      </c>
      <c r="Y220" s="34" t="str">
        <f aca="false">IF($E220="","",IF($N220="Cancelada",0,IF(OR($M220&lt;&gt;"",$N220="Concluída"),1,0)))</f>
        <v/>
      </c>
    </row>
    <row r="221" customFormat="false" ht="15" hidden="false" customHeight="true" outlineLevel="0" collapsed="false">
      <c r="A221" s="34" t="str">
        <f aca="false">IF($E221="","",COUNTA($E$5:$E221))</f>
        <v/>
      </c>
      <c r="B221" s="35"/>
      <c r="C221" s="35"/>
      <c r="D221" s="35"/>
      <c r="E221" s="35"/>
      <c r="F221" s="36"/>
      <c r="G221" s="37"/>
      <c r="H221" s="37"/>
      <c r="I221" s="37"/>
      <c r="J221" s="38"/>
      <c r="K221" s="39"/>
      <c r="L221" s="40" t="str">
        <f aca="false">IF(OR($J221="",$K221=""),"",$J221+MATCH($K221,Listas!$F$5:$F$11,0)-1)</f>
        <v/>
      </c>
      <c r="M221" s="41"/>
      <c r="N221" s="36"/>
      <c r="O221" s="41"/>
      <c r="P221" s="35"/>
      <c r="Q221" s="35"/>
      <c r="R221" s="42" t="str">
        <f aca="true">IF($E221="","",IF($N221="Cancelada","Cancelada",IF(OR($M221&lt;&gt;"",$N221="Concluída"),IF(OR($L221="",$M221="",$M221&lt;=$L221),"Concluída","Concluída com atraso"),IF($L221="","Na carteira",IF($L221&lt;TODAY(),"VENCIDA",IF($N221="Em execução","Em execução",IF($L221=TODAY(),"Hoje","Programada")))))))</f>
        <v/>
      </c>
      <c r="S221" s="34" t="str">
        <f aca="false">IF($E221="","",IF(ISNUMBER(SEARCH("(externo)",$G221&amp;$H221&amp;$I221)),"Terceirizada","Interna"))</f>
        <v/>
      </c>
      <c r="T221" s="40" t="str">
        <f aca="false">IF($L221="","",IF($O221="",$L221,$O221))</f>
        <v/>
      </c>
      <c r="U221" s="34" t="str">
        <f aca="false">IF($E221="","",IF(OR($M221="",$L221=""),0,IF($M221&lt;=$L221,1,0)))</f>
        <v/>
      </c>
      <c r="V221" s="34" t="str">
        <f aca="false">IF($E221="","",IF(OR($M221="",$T221=""),0,IF($M221&lt;=$T221,1,0)))</f>
        <v/>
      </c>
      <c r="W221" s="42" t="str">
        <f aca="false">IF(OR($M221="",$L221=""),"",MAX(0,$M221-$L221))</f>
        <v/>
      </c>
      <c r="X221" s="34" t="str">
        <f aca="false">IF($E221="","",IF(AND($O221&lt;&gt;"",$L221&lt;&gt;"",$O221&lt;&gt;$L221),1,0))</f>
        <v/>
      </c>
      <c r="Y221" s="34" t="str">
        <f aca="false">IF($E221="","",IF($N221="Cancelada",0,IF(OR($M221&lt;&gt;"",$N221="Concluída"),1,0)))</f>
        <v/>
      </c>
    </row>
    <row r="222" customFormat="false" ht="15" hidden="false" customHeight="true" outlineLevel="0" collapsed="false">
      <c r="A222" s="34" t="str">
        <f aca="false">IF($E222="","",COUNTA($E$5:$E222))</f>
        <v/>
      </c>
      <c r="B222" s="35"/>
      <c r="C222" s="35"/>
      <c r="D222" s="35"/>
      <c r="E222" s="35"/>
      <c r="F222" s="36"/>
      <c r="G222" s="37"/>
      <c r="H222" s="37"/>
      <c r="I222" s="37"/>
      <c r="J222" s="38"/>
      <c r="K222" s="39"/>
      <c r="L222" s="40" t="str">
        <f aca="false">IF(OR($J222="",$K222=""),"",$J222+MATCH($K222,Listas!$F$5:$F$11,0)-1)</f>
        <v/>
      </c>
      <c r="M222" s="41"/>
      <c r="N222" s="36"/>
      <c r="O222" s="41"/>
      <c r="P222" s="35"/>
      <c r="Q222" s="35"/>
      <c r="R222" s="42" t="str">
        <f aca="true">IF($E222="","",IF($N222="Cancelada","Cancelada",IF(OR($M222&lt;&gt;"",$N222="Concluída"),IF(OR($L222="",$M222="",$M222&lt;=$L222),"Concluída","Concluída com atraso"),IF($L222="","Na carteira",IF($L222&lt;TODAY(),"VENCIDA",IF($N222="Em execução","Em execução",IF($L222=TODAY(),"Hoje","Programada")))))))</f>
        <v/>
      </c>
      <c r="S222" s="34" t="str">
        <f aca="false">IF($E222="","",IF(ISNUMBER(SEARCH("(externo)",$G222&amp;$H222&amp;$I222)),"Terceirizada","Interna"))</f>
        <v/>
      </c>
      <c r="T222" s="40" t="str">
        <f aca="false">IF($L222="","",IF($O222="",$L222,$O222))</f>
        <v/>
      </c>
      <c r="U222" s="34" t="str">
        <f aca="false">IF($E222="","",IF(OR($M222="",$L222=""),0,IF($M222&lt;=$L222,1,0)))</f>
        <v/>
      </c>
      <c r="V222" s="34" t="str">
        <f aca="false">IF($E222="","",IF(OR($M222="",$T222=""),0,IF($M222&lt;=$T222,1,0)))</f>
        <v/>
      </c>
      <c r="W222" s="42" t="str">
        <f aca="false">IF(OR($M222="",$L222=""),"",MAX(0,$M222-$L222))</f>
        <v/>
      </c>
      <c r="X222" s="34" t="str">
        <f aca="false">IF($E222="","",IF(AND($O222&lt;&gt;"",$L222&lt;&gt;"",$O222&lt;&gt;$L222),1,0))</f>
        <v/>
      </c>
      <c r="Y222" s="34" t="str">
        <f aca="false">IF($E222="","",IF($N222="Cancelada",0,IF(OR($M222&lt;&gt;"",$N222="Concluída"),1,0)))</f>
        <v/>
      </c>
    </row>
    <row r="223" customFormat="false" ht="15" hidden="false" customHeight="true" outlineLevel="0" collapsed="false">
      <c r="A223" s="34" t="str">
        <f aca="false">IF($E223="","",COUNTA($E$5:$E223))</f>
        <v/>
      </c>
      <c r="B223" s="35"/>
      <c r="C223" s="35"/>
      <c r="D223" s="35"/>
      <c r="E223" s="35"/>
      <c r="F223" s="36"/>
      <c r="G223" s="37"/>
      <c r="H223" s="37"/>
      <c r="I223" s="37"/>
      <c r="J223" s="38"/>
      <c r="K223" s="39"/>
      <c r="L223" s="40" t="str">
        <f aca="false">IF(OR($J223="",$K223=""),"",$J223+MATCH($K223,Listas!$F$5:$F$11,0)-1)</f>
        <v/>
      </c>
      <c r="M223" s="41"/>
      <c r="N223" s="36"/>
      <c r="O223" s="41"/>
      <c r="P223" s="35"/>
      <c r="Q223" s="35"/>
      <c r="R223" s="42" t="str">
        <f aca="true">IF($E223="","",IF($N223="Cancelada","Cancelada",IF(OR($M223&lt;&gt;"",$N223="Concluída"),IF(OR($L223="",$M223="",$M223&lt;=$L223),"Concluída","Concluída com atraso"),IF($L223="","Na carteira",IF($L223&lt;TODAY(),"VENCIDA",IF($N223="Em execução","Em execução",IF($L223=TODAY(),"Hoje","Programada")))))))</f>
        <v/>
      </c>
      <c r="S223" s="34" t="str">
        <f aca="false">IF($E223="","",IF(ISNUMBER(SEARCH("(externo)",$G223&amp;$H223&amp;$I223)),"Terceirizada","Interna"))</f>
        <v/>
      </c>
      <c r="T223" s="40" t="str">
        <f aca="false">IF($L223="","",IF($O223="",$L223,$O223))</f>
        <v/>
      </c>
      <c r="U223" s="34" t="str">
        <f aca="false">IF($E223="","",IF(OR($M223="",$L223=""),0,IF($M223&lt;=$L223,1,0)))</f>
        <v/>
      </c>
      <c r="V223" s="34" t="str">
        <f aca="false">IF($E223="","",IF(OR($M223="",$T223=""),0,IF($M223&lt;=$T223,1,0)))</f>
        <v/>
      </c>
      <c r="W223" s="42" t="str">
        <f aca="false">IF(OR($M223="",$L223=""),"",MAX(0,$M223-$L223))</f>
        <v/>
      </c>
      <c r="X223" s="34" t="str">
        <f aca="false">IF($E223="","",IF(AND($O223&lt;&gt;"",$L223&lt;&gt;"",$O223&lt;&gt;$L223),1,0))</f>
        <v/>
      </c>
      <c r="Y223" s="34" t="str">
        <f aca="false">IF($E223="","",IF($N223="Cancelada",0,IF(OR($M223&lt;&gt;"",$N223="Concluída"),1,0)))</f>
        <v/>
      </c>
    </row>
    <row r="224" customFormat="false" ht="15" hidden="false" customHeight="true" outlineLevel="0" collapsed="false">
      <c r="A224" s="34" t="str">
        <f aca="false">IF($E224="","",COUNTA($E$5:$E224))</f>
        <v/>
      </c>
      <c r="B224" s="35"/>
      <c r="C224" s="35"/>
      <c r="D224" s="35"/>
      <c r="E224" s="35"/>
      <c r="F224" s="36"/>
      <c r="G224" s="37"/>
      <c r="H224" s="37"/>
      <c r="I224" s="37"/>
      <c r="J224" s="38"/>
      <c r="K224" s="39"/>
      <c r="L224" s="40" t="str">
        <f aca="false">IF(OR($J224="",$K224=""),"",$J224+MATCH($K224,Listas!$F$5:$F$11,0)-1)</f>
        <v/>
      </c>
      <c r="M224" s="41"/>
      <c r="N224" s="36"/>
      <c r="O224" s="41"/>
      <c r="P224" s="35"/>
      <c r="Q224" s="35"/>
      <c r="R224" s="42" t="str">
        <f aca="true">IF($E224="","",IF($N224="Cancelada","Cancelada",IF(OR($M224&lt;&gt;"",$N224="Concluída"),IF(OR($L224="",$M224="",$M224&lt;=$L224),"Concluída","Concluída com atraso"),IF($L224="","Na carteira",IF($L224&lt;TODAY(),"VENCIDA",IF($N224="Em execução","Em execução",IF($L224=TODAY(),"Hoje","Programada")))))))</f>
        <v/>
      </c>
      <c r="S224" s="34" t="str">
        <f aca="false">IF($E224="","",IF(ISNUMBER(SEARCH("(externo)",$G224&amp;$H224&amp;$I224)),"Terceirizada","Interna"))</f>
        <v/>
      </c>
      <c r="T224" s="40" t="str">
        <f aca="false">IF($L224="","",IF($O224="",$L224,$O224))</f>
        <v/>
      </c>
      <c r="U224" s="34" t="str">
        <f aca="false">IF($E224="","",IF(OR($M224="",$L224=""),0,IF($M224&lt;=$L224,1,0)))</f>
        <v/>
      </c>
      <c r="V224" s="34" t="str">
        <f aca="false">IF($E224="","",IF(OR($M224="",$T224=""),0,IF($M224&lt;=$T224,1,0)))</f>
        <v/>
      </c>
      <c r="W224" s="42" t="str">
        <f aca="false">IF(OR($M224="",$L224=""),"",MAX(0,$M224-$L224))</f>
        <v/>
      </c>
      <c r="X224" s="34" t="str">
        <f aca="false">IF($E224="","",IF(AND($O224&lt;&gt;"",$L224&lt;&gt;"",$O224&lt;&gt;$L224),1,0))</f>
        <v/>
      </c>
      <c r="Y224" s="34" t="str">
        <f aca="false">IF($E224="","",IF($N224="Cancelada",0,IF(OR($M224&lt;&gt;"",$N224="Concluída"),1,0)))</f>
        <v/>
      </c>
    </row>
    <row r="225" customFormat="false" ht="15" hidden="false" customHeight="true" outlineLevel="0" collapsed="false">
      <c r="A225" s="34" t="str">
        <f aca="false">IF($E225="","",COUNTA($E$5:$E225))</f>
        <v/>
      </c>
      <c r="B225" s="35"/>
      <c r="C225" s="35"/>
      <c r="D225" s="35"/>
      <c r="E225" s="35"/>
      <c r="F225" s="36"/>
      <c r="G225" s="37"/>
      <c r="H225" s="37"/>
      <c r="I225" s="37"/>
      <c r="J225" s="38"/>
      <c r="K225" s="39"/>
      <c r="L225" s="40" t="str">
        <f aca="false">IF(OR($J225="",$K225=""),"",$J225+MATCH($K225,Listas!$F$5:$F$11,0)-1)</f>
        <v/>
      </c>
      <c r="M225" s="41"/>
      <c r="N225" s="36"/>
      <c r="O225" s="41"/>
      <c r="P225" s="35"/>
      <c r="Q225" s="35"/>
      <c r="R225" s="42" t="str">
        <f aca="true">IF($E225="","",IF($N225="Cancelada","Cancelada",IF(OR($M225&lt;&gt;"",$N225="Concluída"),IF(OR($L225="",$M225="",$M225&lt;=$L225),"Concluída","Concluída com atraso"),IF($L225="","Na carteira",IF($L225&lt;TODAY(),"VENCIDA",IF($N225="Em execução","Em execução",IF($L225=TODAY(),"Hoje","Programada")))))))</f>
        <v/>
      </c>
      <c r="S225" s="34" t="str">
        <f aca="false">IF($E225="","",IF(ISNUMBER(SEARCH("(externo)",$G225&amp;$H225&amp;$I225)),"Terceirizada","Interna"))</f>
        <v/>
      </c>
      <c r="T225" s="40" t="str">
        <f aca="false">IF($L225="","",IF($O225="",$L225,$O225))</f>
        <v/>
      </c>
      <c r="U225" s="34" t="str">
        <f aca="false">IF($E225="","",IF(OR($M225="",$L225=""),0,IF($M225&lt;=$L225,1,0)))</f>
        <v/>
      </c>
      <c r="V225" s="34" t="str">
        <f aca="false">IF($E225="","",IF(OR($M225="",$T225=""),0,IF($M225&lt;=$T225,1,0)))</f>
        <v/>
      </c>
      <c r="W225" s="42" t="str">
        <f aca="false">IF(OR($M225="",$L225=""),"",MAX(0,$M225-$L225))</f>
        <v/>
      </c>
      <c r="X225" s="34" t="str">
        <f aca="false">IF($E225="","",IF(AND($O225&lt;&gt;"",$L225&lt;&gt;"",$O225&lt;&gt;$L225),1,0))</f>
        <v/>
      </c>
      <c r="Y225" s="34" t="str">
        <f aca="false">IF($E225="","",IF($N225="Cancelada",0,IF(OR($M225&lt;&gt;"",$N225="Concluída"),1,0)))</f>
        <v/>
      </c>
    </row>
    <row r="226" customFormat="false" ht="15" hidden="false" customHeight="true" outlineLevel="0" collapsed="false">
      <c r="A226" s="34" t="str">
        <f aca="false">IF($E226="","",COUNTA($E$5:$E226))</f>
        <v/>
      </c>
      <c r="B226" s="35"/>
      <c r="C226" s="35"/>
      <c r="D226" s="35"/>
      <c r="E226" s="35"/>
      <c r="F226" s="36"/>
      <c r="G226" s="37"/>
      <c r="H226" s="37"/>
      <c r="I226" s="37"/>
      <c r="J226" s="38"/>
      <c r="K226" s="39"/>
      <c r="L226" s="40" t="str">
        <f aca="false">IF(OR($J226="",$K226=""),"",$J226+MATCH($K226,Listas!$F$5:$F$11,0)-1)</f>
        <v/>
      </c>
      <c r="M226" s="41"/>
      <c r="N226" s="36"/>
      <c r="O226" s="41"/>
      <c r="P226" s="35"/>
      <c r="Q226" s="35"/>
      <c r="R226" s="42" t="str">
        <f aca="true">IF($E226="","",IF($N226="Cancelada","Cancelada",IF(OR($M226&lt;&gt;"",$N226="Concluída"),IF(OR($L226="",$M226="",$M226&lt;=$L226),"Concluída","Concluída com atraso"),IF($L226="","Na carteira",IF($L226&lt;TODAY(),"VENCIDA",IF($N226="Em execução","Em execução",IF($L226=TODAY(),"Hoje","Programada")))))))</f>
        <v/>
      </c>
      <c r="S226" s="34" t="str">
        <f aca="false">IF($E226="","",IF(ISNUMBER(SEARCH("(externo)",$G226&amp;$H226&amp;$I226)),"Terceirizada","Interna"))</f>
        <v/>
      </c>
      <c r="T226" s="40" t="str">
        <f aca="false">IF($L226="","",IF($O226="",$L226,$O226))</f>
        <v/>
      </c>
      <c r="U226" s="34" t="str">
        <f aca="false">IF($E226="","",IF(OR($M226="",$L226=""),0,IF($M226&lt;=$L226,1,0)))</f>
        <v/>
      </c>
      <c r="V226" s="34" t="str">
        <f aca="false">IF($E226="","",IF(OR($M226="",$T226=""),0,IF($M226&lt;=$T226,1,0)))</f>
        <v/>
      </c>
      <c r="W226" s="42" t="str">
        <f aca="false">IF(OR($M226="",$L226=""),"",MAX(0,$M226-$L226))</f>
        <v/>
      </c>
      <c r="X226" s="34" t="str">
        <f aca="false">IF($E226="","",IF(AND($O226&lt;&gt;"",$L226&lt;&gt;"",$O226&lt;&gt;$L226),1,0))</f>
        <v/>
      </c>
      <c r="Y226" s="34" t="str">
        <f aca="false">IF($E226="","",IF($N226="Cancelada",0,IF(OR($M226&lt;&gt;"",$N226="Concluída"),1,0)))</f>
        <v/>
      </c>
    </row>
    <row r="227" customFormat="false" ht="15" hidden="false" customHeight="true" outlineLevel="0" collapsed="false">
      <c r="A227" s="34" t="str">
        <f aca="false">IF($E227="","",COUNTA($E$5:$E227))</f>
        <v/>
      </c>
      <c r="B227" s="35"/>
      <c r="C227" s="35"/>
      <c r="D227" s="35"/>
      <c r="E227" s="35"/>
      <c r="F227" s="36"/>
      <c r="G227" s="37"/>
      <c r="H227" s="37"/>
      <c r="I227" s="37"/>
      <c r="J227" s="38"/>
      <c r="K227" s="39"/>
      <c r="L227" s="40" t="str">
        <f aca="false">IF(OR($J227="",$K227=""),"",$J227+MATCH($K227,Listas!$F$5:$F$11,0)-1)</f>
        <v/>
      </c>
      <c r="M227" s="41"/>
      <c r="N227" s="36"/>
      <c r="O227" s="41"/>
      <c r="P227" s="35"/>
      <c r="Q227" s="35"/>
      <c r="R227" s="42" t="str">
        <f aca="true">IF($E227="","",IF($N227="Cancelada","Cancelada",IF(OR($M227&lt;&gt;"",$N227="Concluída"),IF(OR($L227="",$M227="",$M227&lt;=$L227),"Concluída","Concluída com atraso"),IF($L227="","Na carteira",IF($L227&lt;TODAY(),"VENCIDA",IF($N227="Em execução","Em execução",IF($L227=TODAY(),"Hoje","Programada")))))))</f>
        <v/>
      </c>
      <c r="S227" s="34" t="str">
        <f aca="false">IF($E227="","",IF(ISNUMBER(SEARCH("(externo)",$G227&amp;$H227&amp;$I227)),"Terceirizada","Interna"))</f>
        <v/>
      </c>
      <c r="T227" s="40" t="str">
        <f aca="false">IF($L227="","",IF($O227="",$L227,$O227))</f>
        <v/>
      </c>
      <c r="U227" s="34" t="str">
        <f aca="false">IF($E227="","",IF(OR($M227="",$L227=""),0,IF($M227&lt;=$L227,1,0)))</f>
        <v/>
      </c>
      <c r="V227" s="34" t="str">
        <f aca="false">IF($E227="","",IF(OR($M227="",$T227=""),0,IF($M227&lt;=$T227,1,0)))</f>
        <v/>
      </c>
      <c r="W227" s="42" t="str">
        <f aca="false">IF(OR($M227="",$L227=""),"",MAX(0,$M227-$L227))</f>
        <v/>
      </c>
      <c r="X227" s="34" t="str">
        <f aca="false">IF($E227="","",IF(AND($O227&lt;&gt;"",$L227&lt;&gt;"",$O227&lt;&gt;$L227),1,0))</f>
        <v/>
      </c>
      <c r="Y227" s="34" t="str">
        <f aca="false">IF($E227="","",IF($N227="Cancelada",0,IF(OR($M227&lt;&gt;"",$N227="Concluída"),1,0)))</f>
        <v/>
      </c>
    </row>
    <row r="228" customFormat="false" ht="15" hidden="false" customHeight="true" outlineLevel="0" collapsed="false">
      <c r="A228" s="34" t="str">
        <f aca="false">IF($E228="","",COUNTA($E$5:$E228))</f>
        <v/>
      </c>
      <c r="B228" s="35"/>
      <c r="C228" s="35"/>
      <c r="D228" s="35"/>
      <c r="E228" s="35"/>
      <c r="F228" s="36"/>
      <c r="G228" s="37"/>
      <c r="H228" s="37"/>
      <c r="I228" s="37"/>
      <c r="J228" s="38"/>
      <c r="K228" s="39"/>
      <c r="L228" s="40" t="str">
        <f aca="false">IF(OR($J228="",$K228=""),"",$J228+MATCH($K228,Listas!$F$5:$F$11,0)-1)</f>
        <v/>
      </c>
      <c r="M228" s="41"/>
      <c r="N228" s="36"/>
      <c r="O228" s="41"/>
      <c r="P228" s="35"/>
      <c r="Q228" s="35"/>
      <c r="R228" s="42" t="str">
        <f aca="true">IF($E228="","",IF($N228="Cancelada","Cancelada",IF(OR($M228&lt;&gt;"",$N228="Concluída"),IF(OR($L228="",$M228="",$M228&lt;=$L228),"Concluída","Concluída com atraso"),IF($L228="","Na carteira",IF($L228&lt;TODAY(),"VENCIDA",IF($N228="Em execução","Em execução",IF($L228=TODAY(),"Hoje","Programada")))))))</f>
        <v/>
      </c>
      <c r="S228" s="34" t="str">
        <f aca="false">IF($E228="","",IF(ISNUMBER(SEARCH("(externo)",$G228&amp;$H228&amp;$I228)),"Terceirizada","Interna"))</f>
        <v/>
      </c>
      <c r="T228" s="40" t="str">
        <f aca="false">IF($L228="","",IF($O228="",$L228,$O228))</f>
        <v/>
      </c>
      <c r="U228" s="34" t="str">
        <f aca="false">IF($E228="","",IF(OR($M228="",$L228=""),0,IF($M228&lt;=$L228,1,0)))</f>
        <v/>
      </c>
      <c r="V228" s="34" t="str">
        <f aca="false">IF($E228="","",IF(OR($M228="",$T228=""),0,IF($M228&lt;=$T228,1,0)))</f>
        <v/>
      </c>
      <c r="W228" s="42" t="str">
        <f aca="false">IF(OR($M228="",$L228=""),"",MAX(0,$M228-$L228))</f>
        <v/>
      </c>
      <c r="X228" s="34" t="str">
        <f aca="false">IF($E228="","",IF(AND($O228&lt;&gt;"",$L228&lt;&gt;"",$O228&lt;&gt;$L228),1,0))</f>
        <v/>
      </c>
      <c r="Y228" s="34" t="str">
        <f aca="false">IF($E228="","",IF($N228="Cancelada",0,IF(OR($M228&lt;&gt;"",$N228="Concluída"),1,0)))</f>
        <v/>
      </c>
    </row>
    <row r="229" customFormat="false" ht="15" hidden="false" customHeight="true" outlineLevel="0" collapsed="false">
      <c r="A229" s="34" t="str">
        <f aca="false">IF($E229="","",COUNTA($E$5:$E229))</f>
        <v/>
      </c>
      <c r="B229" s="35"/>
      <c r="C229" s="35"/>
      <c r="D229" s="35"/>
      <c r="E229" s="35"/>
      <c r="F229" s="36"/>
      <c r="G229" s="37"/>
      <c r="H229" s="37"/>
      <c r="I229" s="37"/>
      <c r="J229" s="38"/>
      <c r="K229" s="39"/>
      <c r="L229" s="40" t="str">
        <f aca="false">IF(OR($J229="",$K229=""),"",$J229+MATCH($K229,Listas!$F$5:$F$11,0)-1)</f>
        <v/>
      </c>
      <c r="M229" s="41"/>
      <c r="N229" s="36"/>
      <c r="O229" s="41"/>
      <c r="P229" s="35"/>
      <c r="Q229" s="35"/>
      <c r="R229" s="42" t="str">
        <f aca="true">IF($E229="","",IF($N229="Cancelada","Cancelada",IF(OR($M229&lt;&gt;"",$N229="Concluída"),IF(OR($L229="",$M229="",$M229&lt;=$L229),"Concluída","Concluída com atraso"),IF($L229="","Na carteira",IF($L229&lt;TODAY(),"VENCIDA",IF($N229="Em execução","Em execução",IF($L229=TODAY(),"Hoje","Programada")))))))</f>
        <v/>
      </c>
      <c r="S229" s="34" t="str">
        <f aca="false">IF($E229="","",IF(ISNUMBER(SEARCH("(externo)",$G229&amp;$H229&amp;$I229)),"Terceirizada","Interna"))</f>
        <v/>
      </c>
      <c r="T229" s="40" t="str">
        <f aca="false">IF($L229="","",IF($O229="",$L229,$O229))</f>
        <v/>
      </c>
      <c r="U229" s="34" t="str">
        <f aca="false">IF($E229="","",IF(OR($M229="",$L229=""),0,IF($M229&lt;=$L229,1,0)))</f>
        <v/>
      </c>
      <c r="V229" s="34" t="str">
        <f aca="false">IF($E229="","",IF(OR($M229="",$T229=""),0,IF($M229&lt;=$T229,1,0)))</f>
        <v/>
      </c>
      <c r="W229" s="42" t="str">
        <f aca="false">IF(OR($M229="",$L229=""),"",MAX(0,$M229-$L229))</f>
        <v/>
      </c>
      <c r="X229" s="34" t="str">
        <f aca="false">IF($E229="","",IF(AND($O229&lt;&gt;"",$L229&lt;&gt;"",$O229&lt;&gt;$L229),1,0))</f>
        <v/>
      </c>
      <c r="Y229" s="34" t="str">
        <f aca="false">IF($E229="","",IF($N229="Cancelada",0,IF(OR($M229&lt;&gt;"",$N229="Concluída"),1,0)))</f>
        <v/>
      </c>
    </row>
    <row r="230" customFormat="false" ht="15" hidden="false" customHeight="true" outlineLevel="0" collapsed="false">
      <c r="A230" s="34" t="str">
        <f aca="false">IF($E230="","",COUNTA($E$5:$E230))</f>
        <v/>
      </c>
      <c r="B230" s="35"/>
      <c r="C230" s="35"/>
      <c r="D230" s="35"/>
      <c r="E230" s="35"/>
      <c r="F230" s="36"/>
      <c r="G230" s="37"/>
      <c r="H230" s="37"/>
      <c r="I230" s="37"/>
      <c r="J230" s="38"/>
      <c r="K230" s="39"/>
      <c r="L230" s="40" t="str">
        <f aca="false">IF(OR($J230="",$K230=""),"",$J230+MATCH($K230,Listas!$F$5:$F$11,0)-1)</f>
        <v/>
      </c>
      <c r="M230" s="41"/>
      <c r="N230" s="36"/>
      <c r="O230" s="41"/>
      <c r="P230" s="35"/>
      <c r="Q230" s="35"/>
      <c r="R230" s="42" t="str">
        <f aca="true">IF($E230="","",IF($N230="Cancelada","Cancelada",IF(OR($M230&lt;&gt;"",$N230="Concluída"),IF(OR($L230="",$M230="",$M230&lt;=$L230),"Concluída","Concluída com atraso"),IF($L230="","Na carteira",IF($L230&lt;TODAY(),"VENCIDA",IF($N230="Em execução","Em execução",IF($L230=TODAY(),"Hoje","Programada")))))))</f>
        <v/>
      </c>
      <c r="S230" s="34" t="str">
        <f aca="false">IF($E230="","",IF(ISNUMBER(SEARCH("(externo)",$G230&amp;$H230&amp;$I230)),"Terceirizada","Interna"))</f>
        <v/>
      </c>
      <c r="T230" s="40" t="str">
        <f aca="false">IF($L230="","",IF($O230="",$L230,$O230))</f>
        <v/>
      </c>
      <c r="U230" s="34" t="str">
        <f aca="false">IF($E230="","",IF(OR($M230="",$L230=""),0,IF($M230&lt;=$L230,1,0)))</f>
        <v/>
      </c>
      <c r="V230" s="34" t="str">
        <f aca="false">IF($E230="","",IF(OR($M230="",$T230=""),0,IF($M230&lt;=$T230,1,0)))</f>
        <v/>
      </c>
      <c r="W230" s="42" t="str">
        <f aca="false">IF(OR($M230="",$L230=""),"",MAX(0,$M230-$L230))</f>
        <v/>
      </c>
      <c r="X230" s="34" t="str">
        <f aca="false">IF($E230="","",IF(AND($O230&lt;&gt;"",$L230&lt;&gt;"",$O230&lt;&gt;$L230),1,0))</f>
        <v/>
      </c>
      <c r="Y230" s="34" t="str">
        <f aca="false">IF($E230="","",IF($N230="Cancelada",0,IF(OR($M230&lt;&gt;"",$N230="Concluída"),1,0)))</f>
        <v/>
      </c>
    </row>
    <row r="231" customFormat="false" ht="15" hidden="false" customHeight="true" outlineLevel="0" collapsed="false">
      <c r="A231" s="34" t="str">
        <f aca="false">IF($E231="","",COUNTA($E$5:$E231))</f>
        <v/>
      </c>
      <c r="B231" s="35"/>
      <c r="C231" s="35"/>
      <c r="D231" s="35"/>
      <c r="E231" s="35"/>
      <c r="F231" s="36"/>
      <c r="G231" s="37"/>
      <c r="H231" s="37"/>
      <c r="I231" s="37"/>
      <c r="J231" s="38"/>
      <c r="K231" s="39"/>
      <c r="L231" s="40" t="str">
        <f aca="false">IF(OR($J231="",$K231=""),"",$J231+MATCH($K231,Listas!$F$5:$F$11,0)-1)</f>
        <v/>
      </c>
      <c r="M231" s="41"/>
      <c r="N231" s="36"/>
      <c r="O231" s="41"/>
      <c r="P231" s="35"/>
      <c r="Q231" s="35"/>
      <c r="R231" s="42" t="str">
        <f aca="true">IF($E231="","",IF($N231="Cancelada","Cancelada",IF(OR($M231&lt;&gt;"",$N231="Concluída"),IF(OR($L231="",$M231="",$M231&lt;=$L231),"Concluída","Concluída com atraso"),IF($L231="","Na carteira",IF($L231&lt;TODAY(),"VENCIDA",IF($N231="Em execução","Em execução",IF($L231=TODAY(),"Hoje","Programada")))))))</f>
        <v/>
      </c>
      <c r="S231" s="34" t="str">
        <f aca="false">IF($E231="","",IF(ISNUMBER(SEARCH("(externo)",$G231&amp;$H231&amp;$I231)),"Terceirizada","Interna"))</f>
        <v/>
      </c>
      <c r="T231" s="40" t="str">
        <f aca="false">IF($L231="","",IF($O231="",$L231,$O231))</f>
        <v/>
      </c>
      <c r="U231" s="34" t="str">
        <f aca="false">IF($E231="","",IF(OR($M231="",$L231=""),0,IF($M231&lt;=$L231,1,0)))</f>
        <v/>
      </c>
      <c r="V231" s="34" t="str">
        <f aca="false">IF($E231="","",IF(OR($M231="",$T231=""),0,IF($M231&lt;=$T231,1,0)))</f>
        <v/>
      </c>
      <c r="W231" s="42" t="str">
        <f aca="false">IF(OR($M231="",$L231=""),"",MAX(0,$M231-$L231))</f>
        <v/>
      </c>
      <c r="X231" s="34" t="str">
        <f aca="false">IF($E231="","",IF(AND($O231&lt;&gt;"",$L231&lt;&gt;"",$O231&lt;&gt;$L231),1,0))</f>
        <v/>
      </c>
      <c r="Y231" s="34" t="str">
        <f aca="false">IF($E231="","",IF($N231="Cancelada",0,IF(OR($M231&lt;&gt;"",$N231="Concluída"),1,0)))</f>
        <v/>
      </c>
    </row>
    <row r="232" customFormat="false" ht="15" hidden="false" customHeight="true" outlineLevel="0" collapsed="false">
      <c r="A232" s="34" t="str">
        <f aca="false">IF($E232="","",COUNTA($E$5:$E232))</f>
        <v/>
      </c>
      <c r="B232" s="35"/>
      <c r="C232" s="35"/>
      <c r="D232" s="35"/>
      <c r="E232" s="35"/>
      <c r="F232" s="36"/>
      <c r="G232" s="37"/>
      <c r="H232" s="37"/>
      <c r="I232" s="37"/>
      <c r="J232" s="38"/>
      <c r="K232" s="39"/>
      <c r="L232" s="40" t="str">
        <f aca="false">IF(OR($J232="",$K232=""),"",$J232+MATCH($K232,Listas!$F$5:$F$11,0)-1)</f>
        <v/>
      </c>
      <c r="M232" s="41"/>
      <c r="N232" s="36"/>
      <c r="O232" s="41"/>
      <c r="P232" s="35"/>
      <c r="Q232" s="35"/>
      <c r="R232" s="42" t="str">
        <f aca="true">IF($E232="","",IF($N232="Cancelada","Cancelada",IF(OR($M232&lt;&gt;"",$N232="Concluída"),IF(OR($L232="",$M232="",$M232&lt;=$L232),"Concluída","Concluída com atraso"),IF($L232="","Na carteira",IF($L232&lt;TODAY(),"VENCIDA",IF($N232="Em execução","Em execução",IF($L232=TODAY(),"Hoje","Programada")))))))</f>
        <v/>
      </c>
      <c r="S232" s="34" t="str">
        <f aca="false">IF($E232="","",IF(ISNUMBER(SEARCH("(externo)",$G232&amp;$H232&amp;$I232)),"Terceirizada","Interna"))</f>
        <v/>
      </c>
      <c r="T232" s="40" t="str">
        <f aca="false">IF($L232="","",IF($O232="",$L232,$O232))</f>
        <v/>
      </c>
      <c r="U232" s="34" t="str">
        <f aca="false">IF($E232="","",IF(OR($M232="",$L232=""),0,IF($M232&lt;=$L232,1,0)))</f>
        <v/>
      </c>
      <c r="V232" s="34" t="str">
        <f aca="false">IF($E232="","",IF(OR($M232="",$T232=""),0,IF($M232&lt;=$T232,1,0)))</f>
        <v/>
      </c>
      <c r="W232" s="42" t="str">
        <f aca="false">IF(OR($M232="",$L232=""),"",MAX(0,$M232-$L232))</f>
        <v/>
      </c>
      <c r="X232" s="34" t="str">
        <f aca="false">IF($E232="","",IF(AND($O232&lt;&gt;"",$L232&lt;&gt;"",$O232&lt;&gt;$L232),1,0))</f>
        <v/>
      </c>
      <c r="Y232" s="34" t="str">
        <f aca="false">IF($E232="","",IF($N232="Cancelada",0,IF(OR($M232&lt;&gt;"",$N232="Concluída"),1,0)))</f>
        <v/>
      </c>
    </row>
    <row r="233" customFormat="false" ht="15" hidden="false" customHeight="true" outlineLevel="0" collapsed="false">
      <c r="A233" s="34" t="str">
        <f aca="false">IF($E233="","",COUNTA($E$5:$E233))</f>
        <v/>
      </c>
      <c r="B233" s="35"/>
      <c r="C233" s="35"/>
      <c r="D233" s="35"/>
      <c r="E233" s="35"/>
      <c r="F233" s="36"/>
      <c r="G233" s="37"/>
      <c r="H233" s="37"/>
      <c r="I233" s="37"/>
      <c r="J233" s="38"/>
      <c r="K233" s="39"/>
      <c r="L233" s="40" t="str">
        <f aca="false">IF(OR($J233="",$K233=""),"",$J233+MATCH($K233,Listas!$F$5:$F$11,0)-1)</f>
        <v/>
      </c>
      <c r="M233" s="41"/>
      <c r="N233" s="36"/>
      <c r="O233" s="41"/>
      <c r="P233" s="35"/>
      <c r="Q233" s="35"/>
      <c r="R233" s="42" t="str">
        <f aca="true">IF($E233="","",IF($N233="Cancelada","Cancelada",IF(OR($M233&lt;&gt;"",$N233="Concluída"),IF(OR($L233="",$M233="",$M233&lt;=$L233),"Concluída","Concluída com atraso"),IF($L233="","Na carteira",IF($L233&lt;TODAY(),"VENCIDA",IF($N233="Em execução","Em execução",IF($L233=TODAY(),"Hoje","Programada")))))))</f>
        <v/>
      </c>
      <c r="S233" s="34" t="str">
        <f aca="false">IF($E233="","",IF(ISNUMBER(SEARCH("(externo)",$G233&amp;$H233&amp;$I233)),"Terceirizada","Interna"))</f>
        <v/>
      </c>
      <c r="T233" s="40" t="str">
        <f aca="false">IF($L233="","",IF($O233="",$L233,$O233))</f>
        <v/>
      </c>
      <c r="U233" s="34" t="str">
        <f aca="false">IF($E233="","",IF(OR($M233="",$L233=""),0,IF($M233&lt;=$L233,1,0)))</f>
        <v/>
      </c>
      <c r="V233" s="34" t="str">
        <f aca="false">IF($E233="","",IF(OR($M233="",$T233=""),0,IF($M233&lt;=$T233,1,0)))</f>
        <v/>
      </c>
      <c r="W233" s="42" t="str">
        <f aca="false">IF(OR($M233="",$L233=""),"",MAX(0,$M233-$L233))</f>
        <v/>
      </c>
      <c r="X233" s="34" t="str">
        <f aca="false">IF($E233="","",IF(AND($O233&lt;&gt;"",$L233&lt;&gt;"",$O233&lt;&gt;$L233),1,0))</f>
        <v/>
      </c>
      <c r="Y233" s="34" t="str">
        <f aca="false">IF($E233="","",IF($N233="Cancelada",0,IF(OR($M233&lt;&gt;"",$N233="Concluída"),1,0)))</f>
        <v/>
      </c>
    </row>
    <row r="234" customFormat="false" ht="15" hidden="false" customHeight="true" outlineLevel="0" collapsed="false">
      <c r="A234" s="34" t="str">
        <f aca="false">IF($E234="","",COUNTA($E$5:$E234))</f>
        <v/>
      </c>
      <c r="B234" s="35"/>
      <c r="C234" s="35"/>
      <c r="D234" s="35"/>
      <c r="E234" s="35"/>
      <c r="F234" s="36"/>
      <c r="G234" s="37"/>
      <c r="H234" s="37"/>
      <c r="I234" s="37"/>
      <c r="J234" s="38"/>
      <c r="K234" s="39"/>
      <c r="L234" s="40" t="str">
        <f aca="false">IF(OR($J234="",$K234=""),"",$J234+MATCH($K234,Listas!$F$5:$F$11,0)-1)</f>
        <v/>
      </c>
      <c r="M234" s="41"/>
      <c r="N234" s="36"/>
      <c r="O234" s="41"/>
      <c r="P234" s="35"/>
      <c r="Q234" s="35"/>
      <c r="R234" s="42" t="str">
        <f aca="true">IF($E234="","",IF($N234="Cancelada","Cancelada",IF(OR($M234&lt;&gt;"",$N234="Concluída"),IF(OR($L234="",$M234="",$M234&lt;=$L234),"Concluída","Concluída com atraso"),IF($L234="","Na carteira",IF($L234&lt;TODAY(),"VENCIDA",IF($N234="Em execução","Em execução",IF($L234=TODAY(),"Hoje","Programada")))))))</f>
        <v/>
      </c>
      <c r="S234" s="34" t="str">
        <f aca="false">IF($E234="","",IF(ISNUMBER(SEARCH("(externo)",$G234&amp;$H234&amp;$I234)),"Terceirizada","Interna"))</f>
        <v/>
      </c>
      <c r="T234" s="40" t="str">
        <f aca="false">IF($L234="","",IF($O234="",$L234,$O234))</f>
        <v/>
      </c>
      <c r="U234" s="34" t="str">
        <f aca="false">IF($E234="","",IF(OR($M234="",$L234=""),0,IF($M234&lt;=$L234,1,0)))</f>
        <v/>
      </c>
      <c r="V234" s="34" t="str">
        <f aca="false">IF($E234="","",IF(OR($M234="",$T234=""),0,IF($M234&lt;=$T234,1,0)))</f>
        <v/>
      </c>
      <c r="W234" s="42" t="str">
        <f aca="false">IF(OR($M234="",$L234=""),"",MAX(0,$M234-$L234))</f>
        <v/>
      </c>
      <c r="X234" s="34" t="str">
        <f aca="false">IF($E234="","",IF(AND($O234&lt;&gt;"",$L234&lt;&gt;"",$O234&lt;&gt;$L234),1,0))</f>
        <v/>
      </c>
      <c r="Y234" s="34" t="str">
        <f aca="false">IF($E234="","",IF($N234="Cancelada",0,IF(OR($M234&lt;&gt;"",$N234="Concluída"),1,0)))</f>
        <v/>
      </c>
    </row>
    <row r="235" customFormat="false" ht="15" hidden="false" customHeight="true" outlineLevel="0" collapsed="false">
      <c r="A235" s="34" t="str">
        <f aca="false">IF($E235="","",COUNTA($E$5:$E235))</f>
        <v/>
      </c>
      <c r="B235" s="35"/>
      <c r="C235" s="35"/>
      <c r="D235" s="35"/>
      <c r="E235" s="35"/>
      <c r="F235" s="36"/>
      <c r="G235" s="37"/>
      <c r="H235" s="37"/>
      <c r="I235" s="37"/>
      <c r="J235" s="38"/>
      <c r="K235" s="39"/>
      <c r="L235" s="40" t="str">
        <f aca="false">IF(OR($J235="",$K235=""),"",$J235+MATCH($K235,Listas!$F$5:$F$11,0)-1)</f>
        <v/>
      </c>
      <c r="M235" s="41"/>
      <c r="N235" s="36"/>
      <c r="O235" s="41"/>
      <c r="P235" s="35"/>
      <c r="Q235" s="35"/>
      <c r="R235" s="42" t="str">
        <f aca="true">IF($E235="","",IF($N235="Cancelada","Cancelada",IF(OR($M235&lt;&gt;"",$N235="Concluída"),IF(OR($L235="",$M235="",$M235&lt;=$L235),"Concluída","Concluída com atraso"),IF($L235="","Na carteira",IF($L235&lt;TODAY(),"VENCIDA",IF($N235="Em execução","Em execução",IF($L235=TODAY(),"Hoje","Programada")))))))</f>
        <v/>
      </c>
      <c r="S235" s="34" t="str">
        <f aca="false">IF($E235="","",IF(ISNUMBER(SEARCH("(externo)",$G235&amp;$H235&amp;$I235)),"Terceirizada","Interna"))</f>
        <v/>
      </c>
      <c r="T235" s="40" t="str">
        <f aca="false">IF($L235="","",IF($O235="",$L235,$O235))</f>
        <v/>
      </c>
      <c r="U235" s="34" t="str">
        <f aca="false">IF($E235="","",IF(OR($M235="",$L235=""),0,IF($M235&lt;=$L235,1,0)))</f>
        <v/>
      </c>
      <c r="V235" s="34" t="str">
        <f aca="false">IF($E235="","",IF(OR($M235="",$T235=""),0,IF($M235&lt;=$T235,1,0)))</f>
        <v/>
      </c>
      <c r="W235" s="42" t="str">
        <f aca="false">IF(OR($M235="",$L235=""),"",MAX(0,$M235-$L235))</f>
        <v/>
      </c>
      <c r="X235" s="34" t="str">
        <f aca="false">IF($E235="","",IF(AND($O235&lt;&gt;"",$L235&lt;&gt;"",$O235&lt;&gt;$L235),1,0))</f>
        <v/>
      </c>
      <c r="Y235" s="34" t="str">
        <f aca="false">IF($E235="","",IF($N235="Cancelada",0,IF(OR($M235&lt;&gt;"",$N235="Concluída"),1,0)))</f>
        <v/>
      </c>
    </row>
    <row r="236" customFormat="false" ht="15" hidden="false" customHeight="true" outlineLevel="0" collapsed="false">
      <c r="A236" s="34" t="str">
        <f aca="false">IF($E236="","",COUNTA($E$5:$E236))</f>
        <v/>
      </c>
      <c r="B236" s="35"/>
      <c r="C236" s="35"/>
      <c r="D236" s="35"/>
      <c r="E236" s="35"/>
      <c r="F236" s="36"/>
      <c r="G236" s="37"/>
      <c r="H236" s="37"/>
      <c r="I236" s="37"/>
      <c r="J236" s="38"/>
      <c r="K236" s="39"/>
      <c r="L236" s="40" t="str">
        <f aca="false">IF(OR($J236="",$K236=""),"",$J236+MATCH($K236,Listas!$F$5:$F$11,0)-1)</f>
        <v/>
      </c>
      <c r="M236" s="41"/>
      <c r="N236" s="36"/>
      <c r="O236" s="41"/>
      <c r="P236" s="35"/>
      <c r="Q236" s="35"/>
      <c r="R236" s="42" t="str">
        <f aca="true">IF($E236="","",IF($N236="Cancelada","Cancelada",IF(OR($M236&lt;&gt;"",$N236="Concluída"),IF(OR($L236="",$M236="",$M236&lt;=$L236),"Concluída","Concluída com atraso"),IF($L236="","Na carteira",IF($L236&lt;TODAY(),"VENCIDA",IF($N236="Em execução","Em execução",IF($L236=TODAY(),"Hoje","Programada")))))))</f>
        <v/>
      </c>
      <c r="S236" s="34" t="str">
        <f aca="false">IF($E236="","",IF(ISNUMBER(SEARCH("(externo)",$G236&amp;$H236&amp;$I236)),"Terceirizada","Interna"))</f>
        <v/>
      </c>
      <c r="T236" s="40" t="str">
        <f aca="false">IF($L236="","",IF($O236="",$L236,$O236))</f>
        <v/>
      </c>
      <c r="U236" s="34" t="str">
        <f aca="false">IF($E236="","",IF(OR($M236="",$L236=""),0,IF($M236&lt;=$L236,1,0)))</f>
        <v/>
      </c>
      <c r="V236" s="34" t="str">
        <f aca="false">IF($E236="","",IF(OR($M236="",$T236=""),0,IF($M236&lt;=$T236,1,0)))</f>
        <v/>
      </c>
      <c r="W236" s="42" t="str">
        <f aca="false">IF(OR($M236="",$L236=""),"",MAX(0,$M236-$L236))</f>
        <v/>
      </c>
      <c r="X236" s="34" t="str">
        <f aca="false">IF($E236="","",IF(AND($O236&lt;&gt;"",$L236&lt;&gt;"",$O236&lt;&gt;$L236),1,0))</f>
        <v/>
      </c>
      <c r="Y236" s="34" t="str">
        <f aca="false">IF($E236="","",IF($N236="Cancelada",0,IF(OR($M236&lt;&gt;"",$N236="Concluída"),1,0)))</f>
        <v/>
      </c>
    </row>
    <row r="237" customFormat="false" ht="15" hidden="false" customHeight="true" outlineLevel="0" collapsed="false">
      <c r="A237" s="34" t="str">
        <f aca="false">IF($E237="","",COUNTA($E$5:$E237))</f>
        <v/>
      </c>
      <c r="B237" s="35"/>
      <c r="C237" s="35"/>
      <c r="D237" s="35"/>
      <c r="E237" s="35"/>
      <c r="F237" s="36"/>
      <c r="G237" s="37"/>
      <c r="H237" s="37"/>
      <c r="I237" s="37"/>
      <c r="J237" s="38"/>
      <c r="K237" s="39"/>
      <c r="L237" s="40" t="str">
        <f aca="false">IF(OR($J237="",$K237=""),"",$J237+MATCH($K237,Listas!$F$5:$F$11,0)-1)</f>
        <v/>
      </c>
      <c r="M237" s="41"/>
      <c r="N237" s="36"/>
      <c r="O237" s="41"/>
      <c r="P237" s="35"/>
      <c r="Q237" s="35"/>
      <c r="R237" s="42" t="str">
        <f aca="true">IF($E237="","",IF($N237="Cancelada","Cancelada",IF(OR($M237&lt;&gt;"",$N237="Concluída"),IF(OR($L237="",$M237="",$M237&lt;=$L237),"Concluída","Concluída com atraso"),IF($L237="","Na carteira",IF($L237&lt;TODAY(),"VENCIDA",IF($N237="Em execução","Em execução",IF($L237=TODAY(),"Hoje","Programada")))))))</f>
        <v/>
      </c>
      <c r="S237" s="34" t="str">
        <f aca="false">IF($E237="","",IF(ISNUMBER(SEARCH("(externo)",$G237&amp;$H237&amp;$I237)),"Terceirizada","Interna"))</f>
        <v/>
      </c>
      <c r="T237" s="40" t="str">
        <f aca="false">IF($L237="","",IF($O237="",$L237,$O237))</f>
        <v/>
      </c>
      <c r="U237" s="34" t="str">
        <f aca="false">IF($E237="","",IF(OR($M237="",$L237=""),0,IF($M237&lt;=$L237,1,0)))</f>
        <v/>
      </c>
      <c r="V237" s="34" t="str">
        <f aca="false">IF($E237="","",IF(OR($M237="",$T237=""),0,IF($M237&lt;=$T237,1,0)))</f>
        <v/>
      </c>
      <c r="W237" s="42" t="str">
        <f aca="false">IF(OR($M237="",$L237=""),"",MAX(0,$M237-$L237))</f>
        <v/>
      </c>
      <c r="X237" s="34" t="str">
        <f aca="false">IF($E237="","",IF(AND($O237&lt;&gt;"",$L237&lt;&gt;"",$O237&lt;&gt;$L237),1,0))</f>
        <v/>
      </c>
      <c r="Y237" s="34" t="str">
        <f aca="false">IF($E237="","",IF($N237="Cancelada",0,IF(OR($M237&lt;&gt;"",$N237="Concluída"),1,0)))</f>
        <v/>
      </c>
    </row>
    <row r="238" customFormat="false" ht="15" hidden="false" customHeight="true" outlineLevel="0" collapsed="false">
      <c r="A238" s="34" t="str">
        <f aca="false">IF($E238="","",COUNTA($E$5:$E238))</f>
        <v/>
      </c>
      <c r="B238" s="35"/>
      <c r="C238" s="35"/>
      <c r="D238" s="35"/>
      <c r="E238" s="35"/>
      <c r="F238" s="36"/>
      <c r="G238" s="37"/>
      <c r="H238" s="37"/>
      <c r="I238" s="37"/>
      <c r="J238" s="38"/>
      <c r="K238" s="39"/>
      <c r="L238" s="40" t="str">
        <f aca="false">IF(OR($J238="",$K238=""),"",$J238+MATCH($K238,Listas!$F$5:$F$11,0)-1)</f>
        <v/>
      </c>
      <c r="M238" s="41"/>
      <c r="N238" s="36"/>
      <c r="O238" s="41"/>
      <c r="P238" s="35"/>
      <c r="Q238" s="35"/>
      <c r="R238" s="42" t="str">
        <f aca="true">IF($E238="","",IF($N238="Cancelada","Cancelada",IF(OR($M238&lt;&gt;"",$N238="Concluída"),IF(OR($L238="",$M238="",$M238&lt;=$L238),"Concluída","Concluída com atraso"),IF($L238="","Na carteira",IF($L238&lt;TODAY(),"VENCIDA",IF($N238="Em execução","Em execução",IF($L238=TODAY(),"Hoje","Programada")))))))</f>
        <v/>
      </c>
      <c r="S238" s="34" t="str">
        <f aca="false">IF($E238="","",IF(ISNUMBER(SEARCH("(externo)",$G238&amp;$H238&amp;$I238)),"Terceirizada","Interna"))</f>
        <v/>
      </c>
      <c r="T238" s="40" t="str">
        <f aca="false">IF($L238="","",IF($O238="",$L238,$O238))</f>
        <v/>
      </c>
      <c r="U238" s="34" t="str">
        <f aca="false">IF($E238="","",IF(OR($M238="",$L238=""),0,IF($M238&lt;=$L238,1,0)))</f>
        <v/>
      </c>
      <c r="V238" s="34" t="str">
        <f aca="false">IF($E238="","",IF(OR($M238="",$T238=""),0,IF($M238&lt;=$T238,1,0)))</f>
        <v/>
      </c>
      <c r="W238" s="42" t="str">
        <f aca="false">IF(OR($M238="",$L238=""),"",MAX(0,$M238-$L238))</f>
        <v/>
      </c>
      <c r="X238" s="34" t="str">
        <f aca="false">IF($E238="","",IF(AND($O238&lt;&gt;"",$L238&lt;&gt;"",$O238&lt;&gt;$L238),1,0))</f>
        <v/>
      </c>
      <c r="Y238" s="34" t="str">
        <f aca="false">IF($E238="","",IF($N238="Cancelada",0,IF(OR($M238&lt;&gt;"",$N238="Concluída"),1,0)))</f>
        <v/>
      </c>
    </row>
    <row r="239" customFormat="false" ht="15" hidden="false" customHeight="true" outlineLevel="0" collapsed="false">
      <c r="A239" s="34" t="str">
        <f aca="false">IF($E239="","",COUNTA($E$5:$E239))</f>
        <v/>
      </c>
      <c r="B239" s="35"/>
      <c r="C239" s="35"/>
      <c r="D239" s="35"/>
      <c r="E239" s="35"/>
      <c r="F239" s="36"/>
      <c r="G239" s="37"/>
      <c r="H239" s="37"/>
      <c r="I239" s="37"/>
      <c r="J239" s="38"/>
      <c r="K239" s="39"/>
      <c r="L239" s="40" t="str">
        <f aca="false">IF(OR($J239="",$K239=""),"",$J239+MATCH($K239,Listas!$F$5:$F$11,0)-1)</f>
        <v/>
      </c>
      <c r="M239" s="41"/>
      <c r="N239" s="36"/>
      <c r="O239" s="41"/>
      <c r="P239" s="35"/>
      <c r="Q239" s="35"/>
      <c r="R239" s="42" t="str">
        <f aca="true">IF($E239="","",IF($N239="Cancelada","Cancelada",IF(OR($M239&lt;&gt;"",$N239="Concluída"),IF(OR($L239="",$M239="",$M239&lt;=$L239),"Concluída","Concluída com atraso"),IF($L239="","Na carteira",IF($L239&lt;TODAY(),"VENCIDA",IF($N239="Em execução","Em execução",IF($L239=TODAY(),"Hoje","Programada")))))))</f>
        <v/>
      </c>
      <c r="S239" s="34" t="str">
        <f aca="false">IF($E239="","",IF(ISNUMBER(SEARCH("(externo)",$G239&amp;$H239&amp;$I239)),"Terceirizada","Interna"))</f>
        <v/>
      </c>
      <c r="T239" s="40" t="str">
        <f aca="false">IF($L239="","",IF($O239="",$L239,$O239))</f>
        <v/>
      </c>
      <c r="U239" s="34" t="str">
        <f aca="false">IF($E239="","",IF(OR($M239="",$L239=""),0,IF($M239&lt;=$L239,1,0)))</f>
        <v/>
      </c>
      <c r="V239" s="34" t="str">
        <f aca="false">IF($E239="","",IF(OR($M239="",$T239=""),0,IF($M239&lt;=$T239,1,0)))</f>
        <v/>
      </c>
      <c r="W239" s="42" t="str">
        <f aca="false">IF(OR($M239="",$L239=""),"",MAX(0,$M239-$L239))</f>
        <v/>
      </c>
      <c r="X239" s="34" t="str">
        <f aca="false">IF($E239="","",IF(AND($O239&lt;&gt;"",$L239&lt;&gt;"",$O239&lt;&gt;$L239),1,0))</f>
        <v/>
      </c>
      <c r="Y239" s="34" t="str">
        <f aca="false">IF($E239="","",IF($N239="Cancelada",0,IF(OR($M239&lt;&gt;"",$N239="Concluída"),1,0)))</f>
        <v/>
      </c>
    </row>
    <row r="240" customFormat="false" ht="15" hidden="false" customHeight="true" outlineLevel="0" collapsed="false">
      <c r="A240" s="34" t="str">
        <f aca="false">IF($E240="","",COUNTA($E$5:$E240))</f>
        <v/>
      </c>
      <c r="B240" s="35"/>
      <c r="C240" s="35"/>
      <c r="D240" s="35"/>
      <c r="E240" s="35"/>
      <c r="F240" s="36"/>
      <c r="G240" s="37"/>
      <c r="H240" s="37"/>
      <c r="I240" s="37"/>
      <c r="J240" s="38"/>
      <c r="K240" s="39"/>
      <c r="L240" s="40" t="str">
        <f aca="false">IF(OR($J240="",$K240=""),"",$J240+MATCH($K240,Listas!$F$5:$F$11,0)-1)</f>
        <v/>
      </c>
      <c r="M240" s="41"/>
      <c r="N240" s="36"/>
      <c r="O240" s="41"/>
      <c r="P240" s="35"/>
      <c r="Q240" s="35"/>
      <c r="R240" s="42" t="str">
        <f aca="true">IF($E240="","",IF($N240="Cancelada","Cancelada",IF(OR($M240&lt;&gt;"",$N240="Concluída"),IF(OR($L240="",$M240="",$M240&lt;=$L240),"Concluída","Concluída com atraso"),IF($L240="","Na carteira",IF($L240&lt;TODAY(),"VENCIDA",IF($N240="Em execução","Em execução",IF($L240=TODAY(),"Hoje","Programada")))))))</f>
        <v/>
      </c>
      <c r="S240" s="34" t="str">
        <f aca="false">IF($E240="","",IF(ISNUMBER(SEARCH("(externo)",$G240&amp;$H240&amp;$I240)),"Terceirizada","Interna"))</f>
        <v/>
      </c>
      <c r="T240" s="40" t="str">
        <f aca="false">IF($L240="","",IF($O240="",$L240,$O240))</f>
        <v/>
      </c>
      <c r="U240" s="34" t="str">
        <f aca="false">IF($E240="","",IF(OR($M240="",$L240=""),0,IF($M240&lt;=$L240,1,0)))</f>
        <v/>
      </c>
      <c r="V240" s="34" t="str">
        <f aca="false">IF($E240="","",IF(OR($M240="",$T240=""),0,IF($M240&lt;=$T240,1,0)))</f>
        <v/>
      </c>
      <c r="W240" s="42" t="str">
        <f aca="false">IF(OR($M240="",$L240=""),"",MAX(0,$M240-$L240))</f>
        <v/>
      </c>
      <c r="X240" s="34" t="str">
        <f aca="false">IF($E240="","",IF(AND($O240&lt;&gt;"",$L240&lt;&gt;"",$O240&lt;&gt;$L240),1,0))</f>
        <v/>
      </c>
      <c r="Y240" s="34" t="str">
        <f aca="false">IF($E240="","",IF($N240="Cancelada",0,IF(OR($M240&lt;&gt;"",$N240="Concluída"),1,0)))</f>
        <v/>
      </c>
    </row>
    <row r="241" customFormat="false" ht="15" hidden="false" customHeight="true" outlineLevel="0" collapsed="false">
      <c r="A241" s="34" t="str">
        <f aca="false">IF($E241="","",COUNTA($E$5:$E241))</f>
        <v/>
      </c>
      <c r="B241" s="35"/>
      <c r="C241" s="35"/>
      <c r="D241" s="35"/>
      <c r="E241" s="35"/>
      <c r="F241" s="36"/>
      <c r="G241" s="37"/>
      <c r="H241" s="37"/>
      <c r="I241" s="37"/>
      <c r="J241" s="38"/>
      <c r="K241" s="39"/>
      <c r="L241" s="40" t="str">
        <f aca="false">IF(OR($J241="",$K241=""),"",$J241+MATCH($K241,Listas!$F$5:$F$11,0)-1)</f>
        <v/>
      </c>
      <c r="M241" s="41"/>
      <c r="N241" s="36"/>
      <c r="O241" s="41"/>
      <c r="P241" s="35"/>
      <c r="Q241" s="35"/>
      <c r="R241" s="42" t="str">
        <f aca="true">IF($E241="","",IF($N241="Cancelada","Cancelada",IF(OR($M241&lt;&gt;"",$N241="Concluída"),IF(OR($L241="",$M241="",$M241&lt;=$L241),"Concluída","Concluída com atraso"),IF($L241="","Na carteira",IF($L241&lt;TODAY(),"VENCIDA",IF($N241="Em execução","Em execução",IF($L241=TODAY(),"Hoje","Programada")))))))</f>
        <v/>
      </c>
      <c r="S241" s="34" t="str">
        <f aca="false">IF($E241="","",IF(ISNUMBER(SEARCH("(externo)",$G241&amp;$H241&amp;$I241)),"Terceirizada","Interna"))</f>
        <v/>
      </c>
      <c r="T241" s="40" t="str">
        <f aca="false">IF($L241="","",IF($O241="",$L241,$O241))</f>
        <v/>
      </c>
      <c r="U241" s="34" t="str">
        <f aca="false">IF($E241="","",IF(OR($M241="",$L241=""),0,IF($M241&lt;=$L241,1,0)))</f>
        <v/>
      </c>
      <c r="V241" s="34" t="str">
        <f aca="false">IF($E241="","",IF(OR($M241="",$T241=""),0,IF($M241&lt;=$T241,1,0)))</f>
        <v/>
      </c>
      <c r="W241" s="42" t="str">
        <f aca="false">IF(OR($M241="",$L241=""),"",MAX(0,$M241-$L241))</f>
        <v/>
      </c>
      <c r="X241" s="34" t="str">
        <f aca="false">IF($E241="","",IF(AND($O241&lt;&gt;"",$L241&lt;&gt;"",$O241&lt;&gt;$L241),1,0))</f>
        <v/>
      </c>
      <c r="Y241" s="34" t="str">
        <f aca="false">IF($E241="","",IF($N241="Cancelada",0,IF(OR($M241&lt;&gt;"",$N241="Concluída"),1,0)))</f>
        <v/>
      </c>
    </row>
    <row r="242" customFormat="false" ht="15" hidden="false" customHeight="true" outlineLevel="0" collapsed="false">
      <c r="A242" s="34" t="str">
        <f aca="false">IF($E242="","",COUNTA($E$5:$E242))</f>
        <v/>
      </c>
      <c r="B242" s="35"/>
      <c r="C242" s="35"/>
      <c r="D242" s="35"/>
      <c r="E242" s="35"/>
      <c r="F242" s="36"/>
      <c r="G242" s="37"/>
      <c r="H242" s="37"/>
      <c r="I242" s="37"/>
      <c r="J242" s="38"/>
      <c r="K242" s="39"/>
      <c r="L242" s="40" t="str">
        <f aca="false">IF(OR($J242="",$K242=""),"",$J242+MATCH($K242,Listas!$F$5:$F$11,0)-1)</f>
        <v/>
      </c>
      <c r="M242" s="41"/>
      <c r="N242" s="36"/>
      <c r="O242" s="41"/>
      <c r="P242" s="35"/>
      <c r="Q242" s="35"/>
      <c r="R242" s="42" t="str">
        <f aca="true">IF($E242="","",IF($N242="Cancelada","Cancelada",IF(OR($M242&lt;&gt;"",$N242="Concluída"),IF(OR($L242="",$M242="",$M242&lt;=$L242),"Concluída","Concluída com atraso"),IF($L242="","Na carteira",IF($L242&lt;TODAY(),"VENCIDA",IF($N242="Em execução","Em execução",IF($L242=TODAY(),"Hoje","Programada")))))))</f>
        <v/>
      </c>
      <c r="S242" s="34" t="str">
        <f aca="false">IF($E242="","",IF(ISNUMBER(SEARCH("(externo)",$G242&amp;$H242&amp;$I242)),"Terceirizada","Interna"))</f>
        <v/>
      </c>
      <c r="T242" s="40" t="str">
        <f aca="false">IF($L242="","",IF($O242="",$L242,$O242))</f>
        <v/>
      </c>
      <c r="U242" s="34" t="str">
        <f aca="false">IF($E242="","",IF(OR($M242="",$L242=""),0,IF($M242&lt;=$L242,1,0)))</f>
        <v/>
      </c>
      <c r="V242" s="34" t="str">
        <f aca="false">IF($E242="","",IF(OR($M242="",$T242=""),0,IF($M242&lt;=$T242,1,0)))</f>
        <v/>
      </c>
      <c r="W242" s="42" t="str">
        <f aca="false">IF(OR($M242="",$L242=""),"",MAX(0,$M242-$L242))</f>
        <v/>
      </c>
      <c r="X242" s="34" t="str">
        <f aca="false">IF($E242="","",IF(AND($O242&lt;&gt;"",$L242&lt;&gt;"",$O242&lt;&gt;$L242),1,0))</f>
        <v/>
      </c>
      <c r="Y242" s="34" t="str">
        <f aca="false">IF($E242="","",IF($N242="Cancelada",0,IF(OR($M242&lt;&gt;"",$N242="Concluída"),1,0)))</f>
        <v/>
      </c>
    </row>
    <row r="243" customFormat="false" ht="15" hidden="false" customHeight="true" outlineLevel="0" collapsed="false">
      <c r="A243" s="34" t="str">
        <f aca="false">IF($E243="","",COUNTA($E$5:$E243))</f>
        <v/>
      </c>
      <c r="B243" s="35"/>
      <c r="C243" s="35"/>
      <c r="D243" s="35"/>
      <c r="E243" s="35"/>
      <c r="F243" s="36"/>
      <c r="G243" s="37"/>
      <c r="H243" s="37"/>
      <c r="I243" s="37"/>
      <c r="J243" s="38"/>
      <c r="K243" s="39"/>
      <c r="L243" s="40" t="str">
        <f aca="false">IF(OR($J243="",$K243=""),"",$J243+MATCH($K243,Listas!$F$5:$F$11,0)-1)</f>
        <v/>
      </c>
      <c r="M243" s="41"/>
      <c r="N243" s="36"/>
      <c r="O243" s="41"/>
      <c r="P243" s="35"/>
      <c r="Q243" s="35"/>
      <c r="R243" s="42" t="str">
        <f aca="true">IF($E243="","",IF($N243="Cancelada","Cancelada",IF(OR($M243&lt;&gt;"",$N243="Concluída"),IF(OR($L243="",$M243="",$M243&lt;=$L243),"Concluída","Concluída com atraso"),IF($L243="","Na carteira",IF($L243&lt;TODAY(),"VENCIDA",IF($N243="Em execução","Em execução",IF($L243=TODAY(),"Hoje","Programada")))))))</f>
        <v/>
      </c>
      <c r="S243" s="34" t="str">
        <f aca="false">IF($E243="","",IF(ISNUMBER(SEARCH("(externo)",$G243&amp;$H243&amp;$I243)),"Terceirizada","Interna"))</f>
        <v/>
      </c>
      <c r="T243" s="40" t="str">
        <f aca="false">IF($L243="","",IF($O243="",$L243,$O243))</f>
        <v/>
      </c>
      <c r="U243" s="34" t="str">
        <f aca="false">IF($E243="","",IF(OR($M243="",$L243=""),0,IF($M243&lt;=$L243,1,0)))</f>
        <v/>
      </c>
      <c r="V243" s="34" t="str">
        <f aca="false">IF($E243="","",IF(OR($M243="",$T243=""),0,IF($M243&lt;=$T243,1,0)))</f>
        <v/>
      </c>
      <c r="W243" s="42" t="str">
        <f aca="false">IF(OR($M243="",$L243=""),"",MAX(0,$M243-$L243))</f>
        <v/>
      </c>
      <c r="X243" s="34" t="str">
        <f aca="false">IF($E243="","",IF(AND($O243&lt;&gt;"",$L243&lt;&gt;"",$O243&lt;&gt;$L243),1,0))</f>
        <v/>
      </c>
      <c r="Y243" s="34" t="str">
        <f aca="false">IF($E243="","",IF($N243="Cancelada",0,IF(OR($M243&lt;&gt;"",$N243="Concluída"),1,0)))</f>
        <v/>
      </c>
    </row>
    <row r="244" customFormat="false" ht="15" hidden="false" customHeight="true" outlineLevel="0" collapsed="false">
      <c r="A244" s="34" t="str">
        <f aca="false">IF($E244="","",COUNTA($E$5:$E244))</f>
        <v/>
      </c>
      <c r="B244" s="35"/>
      <c r="C244" s="35"/>
      <c r="D244" s="35"/>
      <c r="E244" s="35"/>
      <c r="F244" s="36"/>
      <c r="G244" s="37"/>
      <c r="H244" s="37"/>
      <c r="I244" s="37"/>
      <c r="J244" s="38"/>
      <c r="K244" s="39"/>
      <c r="L244" s="40" t="str">
        <f aca="false">IF(OR($J244="",$K244=""),"",$J244+MATCH($K244,Listas!$F$5:$F$11,0)-1)</f>
        <v/>
      </c>
      <c r="M244" s="41"/>
      <c r="N244" s="36"/>
      <c r="O244" s="41"/>
      <c r="P244" s="35"/>
      <c r="Q244" s="35"/>
      <c r="R244" s="42" t="str">
        <f aca="true">IF($E244="","",IF($N244="Cancelada","Cancelada",IF(OR($M244&lt;&gt;"",$N244="Concluída"),IF(OR($L244="",$M244="",$M244&lt;=$L244),"Concluída","Concluída com atraso"),IF($L244="","Na carteira",IF($L244&lt;TODAY(),"VENCIDA",IF($N244="Em execução","Em execução",IF($L244=TODAY(),"Hoje","Programada")))))))</f>
        <v/>
      </c>
      <c r="S244" s="34" t="str">
        <f aca="false">IF($E244="","",IF(ISNUMBER(SEARCH("(externo)",$G244&amp;$H244&amp;$I244)),"Terceirizada","Interna"))</f>
        <v/>
      </c>
      <c r="T244" s="40" t="str">
        <f aca="false">IF($L244="","",IF($O244="",$L244,$O244))</f>
        <v/>
      </c>
      <c r="U244" s="34" t="str">
        <f aca="false">IF($E244="","",IF(OR($M244="",$L244=""),0,IF($M244&lt;=$L244,1,0)))</f>
        <v/>
      </c>
      <c r="V244" s="34" t="str">
        <f aca="false">IF($E244="","",IF(OR($M244="",$T244=""),0,IF($M244&lt;=$T244,1,0)))</f>
        <v/>
      </c>
      <c r="W244" s="42" t="str">
        <f aca="false">IF(OR($M244="",$L244=""),"",MAX(0,$M244-$L244))</f>
        <v/>
      </c>
      <c r="X244" s="34" t="str">
        <f aca="false">IF($E244="","",IF(AND($O244&lt;&gt;"",$L244&lt;&gt;"",$O244&lt;&gt;$L244),1,0))</f>
        <v/>
      </c>
      <c r="Y244" s="34" t="str">
        <f aca="false">IF($E244="","",IF($N244="Cancelada",0,IF(OR($M244&lt;&gt;"",$N244="Concluída"),1,0)))</f>
        <v/>
      </c>
    </row>
    <row r="245" customFormat="false" ht="15" hidden="false" customHeight="true" outlineLevel="0" collapsed="false">
      <c r="A245" s="34" t="str">
        <f aca="false">IF($E245="","",COUNTA($E$5:$E245))</f>
        <v/>
      </c>
      <c r="B245" s="35"/>
      <c r="C245" s="35"/>
      <c r="D245" s="35"/>
      <c r="E245" s="35"/>
      <c r="F245" s="36"/>
      <c r="G245" s="37"/>
      <c r="H245" s="37"/>
      <c r="I245" s="37"/>
      <c r="J245" s="38"/>
      <c r="K245" s="39"/>
      <c r="L245" s="40" t="str">
        <f aca="false">IF(OR($J245="",$K245=""),"",$J245+MATCH($K245,Listas!$F$5:$F$11,0)-1)</f>
        <v/>
      </c>
      <c r="M245" s="41"/>
      <c r="N245" s="36"/>
      <c r="O245" s="41"/>
      <c r="P245" s="35"/>
      <c r="Q245" s="35"/>
      <c r="R245" s="42" t="str">
        <f aca="true">IF($E245="","",IF($N245="Cancelada","Cancelada",IF(OR($M245&lt;&gt;"",$N245="Concluída"),IF(OR($L245="",$M245="",$M245&lt;=$L245),"Concluída","Concluída com atraso"),IF($L245="","Na carteira",IF($L245&lt;TODAY(),"VENCIDA",IF($N245="Em execução","Em execução",IF($L245=TODAY(),"Hoje","Programada")))))))</f>
        <v/>
      </c>
      <c r="S245" s="34" t="str">
        <f aca="false">IF($E245="","",IF(ISNUMBER(SEARCH("(externo)",$G245&amp;$H245&amp;$I245)),"Terceirizada","Interna"))</f>
        <v/>
      </c>
      <c r="T245" s="40" t="str">
        <f aca="false">IF($L245="","",IF($O245="",$L245,$O245))</f>
        <v/>
      </c>
      <c r="U245" s="34" t="str">
        <f aca="false">IF($E245="","",IF(OR($M245="",$L245=""),0,IF($M245&lt;=$L245,1,0)))</f>
        <v/>
      </c>
      <c r="V245" s="34" t="str">
        <f aca="false">IF($E245="","",IF(OR($M245="",$T245=""),0,IF($M245&lt;=$T245,1,0)))</f>
        <v/>
      </c>
      <c r="W245" s="42" t="str">
        <f aca="false">IF(OR($M245="",$L245=""),"",MAX(0,$M245-$L245))</f>
        <v/>
      </c>
      <c r="X245" s="34" t="str">
        <f aca="false">IF($E245="","",IF(AND($O245&lt;&gt;"",$L245&lt;&gt;"",$O245&lt;&gt;$L245),1,0))</f>
        <v/>
      </c>
      <c r="Y245" s="34" t="str">
        <f aca="false">IF($E245="","",IF($N245="Cancelada",0,IF(OR($M245&lt;&gt;"",$N245="Concluída"),1,0)))</f>
        <v/>
      </c>
    </row>
    <row r="246" customFormat="false" ht="15" hidden="false" customHeight="true" outlineLevel="0" collapsed="false">
      <c r="A246" s="34" t="str">
        <f aca="false">IF($E246="","",COUNTA($E$5:$E246))</f>
        <v/>
      </c>
      <c r="B246" s="35"/>
      <c r="C246" s="35"/>
      <c r="D246" s="35"/>
      <c r="E246" s="35"/>
      <c r="F246" s="36"/>
      <c r="G246" s="37"/>
      <c r="H246" s="37"/>
      <c r="I246" s="37"/>
      <c r="J246" s="38"/>
      <c r="K246" s="39"/>
      <c r="L246" s="40" t="str">
        <f aca="false">IF(OR($J246="",$K246=""),"",$J246+MATCH($K246,Listas!$F$5:$F$11,0)-1)</f>
        <v/>
      </c>
      <c r="M246" s="41"/>
      <c r="N246" s="36"/>
      <c r="O246" s="41"/>
      <c r="P246" s="35"/>
      <c r="Q246" s="35"/>
      <c r="R246" s="42" t="str">
        <f aca="true">IF($E246="","",IF($N246="Cancelada","Cancelada",IF(OR($M246&lt;&gt;"",$N246="Concluída"),IF(OR($L246="",$M246="",$M246&lt;=$L246),"Concluída","Concluída com atraso"),IF($L246="","Na carteira",IF($L246&lt;TODAY(),"VENCIDA",IF($N246="Em execução","Em execução",IF($L246=TODAY(),"Hoje","Programada")))))))</f>
        <v/>
      </c>
      <c r="S246" s="34" t="str">
        <f aca="false">IF($E246="","",IF(ISNUMBER(SEARCH("(externo)",$G246&amp;$H246&amp;$I246)),"Terceirizada","Interna"))</f>
        <v/>
      </c>
      <c r="T246" s="40" t="str">
        <f aca="false">IF($L246="","",IF($O246="",$L246,$O246))</f>
        <v/>
      </c>
      <c r="U246" s="34" t="str">
        <f aca="false">IF($E246="","",IF(OR($M246="",$L246=""),0,IF($M246&lt;=$L246,1,0)))</f>
        <v/>
      </c>
      <c r="V246" s="34" t="str">
        <f aca="false">IF($E246="","",IF(OR($M246="",$T246=""),0,IF($M246&lt;=$T246,1,0)))</f>
        <v/>
      </c>
      <c r="W246" s="42" t="str">
        <f aca="false">IF(OR($M246="",$L246=""),"",MAX(0,$M246-$L246))</f>
        <v/>
      </c>
      <c r="X246" s="34" t="str">
        <f aca="false">IF($E246="","",IF(AND($O246&lt;&gt;"",$L246&lt;&gt;"",$O246&lt;&gt;$L246),1,0))</f>
        <v/>
      </c>
      <c r="Y246" s="34" t="str">
        <f aca="false">IF($E246="","",IF($N246="Cancelada",0,IF(OR($M246&lt;&gt;"",$N246="Concluída"),1,0)))</f>
        <v/>
      </c>
    </row>
    <row r="247" customFormat="false" ht="15" hidden="false" customHeight="true" outlineLevel="0" collapsed="false">
      <c r="A247" s="34" t="str">
        <f aca="false">IF($E247="","",COUNTA($E$5:$E247))</f>
        <v/>
      </c>
      <c r="B247" s="35"/>
      <c r="C247" s="35"/>
      <c r="D247" s="35"/>
      <c r="E247" s="35"/>
      <c r="F247" s="36"/>
      <c r="G247" s="37"/>
      <c r="H247" s="37"/>
      <c r="I247" s="37"/>
      <c r="J247" s="38"/>
      <c r="K247" s="39"/>
      <c r="L247" s="40" t="str">
        <f aca="false">IF(OR($J247="",$K247=""),"",$J247+MATCH($K247,Listas!$F$5:$F$11,0)-1)</f>
        <v/>
      </c>
      <c r="M247" s="41"/>
      <c r="N247" s="36"/>
      <c r="O247" s="41"/>
      <c r="P247" s="35"/>
      <c r="Q247" s="35"/>
      <c r="R247" s="42" t="str">
        <f aca="true">IF($E247="","",IF($N247="Cancelada","Cancelada",IF(OR($M247&lt;&gt;"",$N247="Concluída"),IF(OR($L247="",$M247="",$M247&lt;=$L247),"Concluída","Concluída com atraso"),IF($L247="","Na carteira",IF($L247&lt;TODAY(),"VENCIDA",IF($N247="Em execução","Em execução",IF($L247=TODAY(),"Hoje","Programada")))))))</f>
        <v/>
      </c>
      <c r="S247" s="34" t="str">
        <f aca="false">IF($E247="","",IF(ISNUMBER(SEARCH("(externo)",$G247&amp;$H247&amp;$I247)),"Terceirizada","Interna"))</f>
        <v/>
      </c>
      <c r="T247" s="40" t="str">
        <f aca="false">IF($L247="","",IF($O247="",$L247,$O247))</f>
        <v/>
      </c>
      <c r="U247" s="34" t="str">
        <f aca="false">IF($E247="","",IF(OR($M247="",$L247=""),0,IF($M247&lt;=$L247,1,0)))</f>
        <v/>
      </c>
      <c r="V247" s="34" t="str">
        <f aca="false">IF($E247="","",IF(OR($M247="",$T247=""),0,IF($M247&lt;=$T247,1,0)))</f>
        <v/>
      </c>
      <c r="W247" s="42" t="str">
        <f aca="false">IF(OR($M247="",$L247=""),"",MAX(0,$M247-$L247))</f>
        <v/>
      </c>
      <c r="X247" s="34" t="str">
        <f aca="false">IF($E247="","",IF(AND($O247&lt;&gt;"",$L247&lt;&gt;"",$O247&lt;&gt;$L247),1,0))</f>
        <v/>
      </c>
      <c r="Y247" s="34" t="str">
        <f aca="false">IF($E247="","",IF($N247="Cancelada",0,IF(OR($M247&lt;&gt;"",$N247="Concluída"),1,0)))</f>
        <v/>
      </c>
    </row>
    <row r="248" customFormat="false" ht="15" hidden="false" customHeight="true" outlineLevel="0" collapsed="false">
      <c r="A248" s="34" t="str">
        <f aca="false">IF($E248="","",COUNTA($E$5:$E248))</f>
        <v/>
      </c>
      <c r="B248" s="35"/>
      <c r="C248" s="35"/>
      <c r="D248" s="35"/>
      <c r="E248" s="35"/>
      <c r="F248" s="36"/>
      <c r="G248" s="37"/>
      <c r="H248" s="37"/>
      <c r="I248" s="37"/>
      <c r="J248" s="38"/>
      <c r="K248" s="39"/>
      <c r="L248" s="40" t="str">
        <f aca="false">IF(OR($J248="",$K248=""),"",$J248+MATCH($K248,Listas!$F$5:$F$11,0)-1)</f>
        <v/>
      </c>
      <c r="M248" s="41"/>
      <c r="N248" s="36"/>
      <c r="O248" s="41"/>
      <c r="P248" s="35"/>
      <c r="Q248" s="35"/>
      <c r="R248" s="42" t="str">
        <f aca="true">IF($E248="","",IF($N248="Cancelada","Cancelada",IF(OR($M248&lt;&gt;"",$N248="Concluída"),IF(OR($L248="",$M248="",$M248&lt;=$L248),"Concluída","Concluída com atraso"),IF($L248="","Na carteira",IF($L248&lt;TODAY(),"VENCIDA",IF($N248="Em execução","Em execução",IF($L248=TODAY(),"Hoje","Programada")))))))</f>
        <v/>
      </c>
      <c r="S248" s="34" t="str">
        <f aca="false">IF($E248="","",IF(ISNUMBER(SEARCH("(externo)",$G248&amp;$H248&amp;$I248)),"Terceirizada","Interna"))</f>
        <v/>
      </c>
      <c r="T248" s="40" t="str">
        <f aca="false">IF($L248="","",IF($O248="",$L248,$O248))</f>
        <v/>
      </c>
      <c r="U248" s="34" t="str">
        <f aca="false">IF($E248="","",IF(OR($M248="",$L248=""),0,IF($M248&lt;=$L248,1,0)))</f>
        <v/>
      </c>
      <c r="V248" s="34" t="str">
        <f aca="false">IF($E248="","",IF(OR($M248="",$T248=""),0,IF($M248&lt;=$T248,1,0)))</f>
        <v/>
      </c>
      <c r="W248" s="42" t="str">
        <f aca="false">IF(OR($M248="",$L248=""),"",MAX(0,$M248-$L248))</f>
        <v/>
      </c>
      <c r="X248" s="34" t="str">
        <f aca="false">IF($E248="","",IF(AND($O248&lt;&gt;"",$L248&lt;&gt;"",$O248&lt;&gt;$L248),1,0))</f>
        <v/>
      </c>
      <c r="Y248" s="34" t="str">
        <f aca="false">IF($E248="","",IF($N248="Cancelada",0,IF(OR($M248&lt;&gt;"",$N248="Concluída"),1,0)))</f>
        <v/>
      </c>
    </row>
    <row r="249" customFormat="false" ht="15" hidden="false" customHeight="true" outlineLevel="0" collapsed="false">
      <c r="A249" s="34" t="str">
        <f aca="false">IF($E249="","",COUNTA($E$5:$E249))</f>
        <v/>
      </c>
      <c r="B249" s="35"/>
      <c r="C249" s="35"/>
      <c r="D249" s="35"/>
      <c r="E249" s="35"/>
      <c r="F249" s="36"/>
      <c r="G249" s="37"/>
      <c r="H249" s="37"/>
      <c r="I249" s="37"/>
      <c r="J249" s="38"/>
      <c r="K249" s="39"/>
      <c r="L249" s="40" t="str">
        <f aca="false">IF(OR($J249="",$K249=""),"",$J249+MATCH($K249,Listas!$F$5:$F$11,0)-1)</f>
        <v/>
      </c>
      <c r="M249" s="41"/>
      <c r="N249" s="36"/>
      <c r="O249" s="41"/>
      <c r="P249" s="35"/>
      <c r="Q249" s="35"/>
      <c r="R249" s="42" t="str">
        <f aca="true">IF($E249="","",IF($N249="Cancelada","Cancelada",IF(OR($M249&lt;&gt;"",$N249="Concluída"),IF(OR($L249="",$M249="",$M249&lt;=$L249),"Concluída","Concluída com atraso"),IF($L249="","Na carteira",IF($L249&lt;TODAY(),"VENCIDA",IF($N249="Em execução","Em execução",IF($L249=TODAY(),"Hoje","Programada")))))))</f>
        <v/>
      </c>
      <c r="S249" s="34" t="str">
        <f aca="false">IF($E249="","",IF(ISNUMBER(SEARCH("(externo)",$G249&amp;$H249&amp;$I249)),"Terceirizada","Interna"))</f>
        <v/>
      </c>
      <c r="T249" s="40" t="str">
        <f aca="false">IF($L249="","",IF($O249="",$L249,$O249))</f>
        <v/>
      </c>
      <c r="U249" s="34" t="str">
        <f aca="false">IF($E249="","",IF(OR($M249="",$L249=""),0,IF($M249&lt;=$L249,1,0)))</f>
        <v/>
      </c>
      <c r="V249" s="34" t="str">
        <f aca="false">IF($E249="","",IF(OR($M249="",$T249=""),0,IF($M249&lt;=$T249,1,0)))</f>
        <v/>
      </c>
      <c r="W249" s="42" t="str">
        <f aca="false">IF(OR($M249="",$L249=""),"",MAX(0,$M249-$L249))</f>
        <v/>
      </c>
      <c r="X249" s="34" t="str">
        <f aca="false">IF($E249="","",IF(AND($O249&lt;&gt;"",$L249&lt;&gt;"",$O249&lt;&gt;$L249),1,0))</f>
        <v/>
      </c>
      <c r="Y249" s="34" t="str">
        <f aca="false">IF($E249="","",IF($N249="Cancelada",0,IF(OR($M249&lt;&gt;"",$N249="Concluída"),1,0)))</f>
        <v/>
      </c>
    </row>
    <row r="250" customFormat="false" ht="15" hidden="false" customHeight="true" outlineLevel="0" collapsed="false">
      <c r="A250" s="34" t="str">
        <f aca="false">IF($E250="","",COUNTA($E$5:$E250))</f>
        <v/>
      </c>
      <c r="B250" s="35"/>
      <c r="C250" s="35"/>
      <c r="D250" s="35"/>
      <c r="E250" s="35"/>
      <c r="F250" s="36"/>
      <c r="G250" s="37"/>
      <c r="H250" s="37"/>
      <c r="I250" s="37"/>
      <c r="J250" s="38"/>
      <c r="K250" s="39"/>
      <c r="L250" s="40" t="str">
        <f aca="false">IF(OR($J250="",$K250=""),"",$J250+MATCH($K250,Listas!$F$5:$F$11,0)-1)</f>
        <v/>
      </c>
      <c r="M250" s="41"/>
      <c r="N250" s="36"/>
      <c r="O250" s="41"/>
      <c r="P250" s="35"/>
      <c r="Q250" s="35"/>
      <c r="R250" s="42" t="str">
        <f aca="true">IF($E250="","",IF($N250="Cancelada","Cancelada",IF(OR($M250&lt;&gt;"",$N250="Concluída"),IF(OR($L250="",$M250="",$M250&lt;=$L250),"Concluída","Concluída com atraso"),IF($L250="","Na carteira",IF($L250&lt;TODAY(),"VENCIDA",IF($N250="Em execução","Em execução",IF($L250=TODAY(),"Hoje","Programada")))))))</f>
        <v/>
      </c>
      <c r="S250" s="34" t="str">
        <f aca="false">IF($E250="","",IF(ISNUMBER(SEARCH("(externo)",$G250&amp;$H250&amp;$I250)),"Terceirizada","Interna"))</f>
        <v/>
      </c>
      <c r="T250" s="40" t="str">
        <f aca="false">IF($L250="","",IF($O250="",$L250,$O250))</f>
        <v/>
      </c>
      <c r="U250" s="34" t="str">
        <f aca="false">IF($E250="","",IF(OR($M250="",$L250=""),0,IF($M250&lt;=$L250,1,0)))</f>
        <v/>
      </c>
      <c r="V250" s="34" t="str">
        <f aca="false">IF($E250="","",IF(OR($M250="",$T250=""),0,IF($M250&lt;=$T250,1,0)))</f>
        <v/>
      </c>
      <c r="W250" s="42" t="str">
        <f aca="false">IF(OR($M250="",$L250=""),"",MAX(0,$M250-$L250))</f>
        <v/>
      </c>
      <c r="X250" s="34" t="str">
        <f aca="false">IF($E250="","",IF(AND($O250&lt;&gt;"",$L250&lt;&gt;"",$O250&lt;&gt;$L250),1,0))</f>
        <v/>
      </c>
      <c r="Y250" s="34" t="str">
        <f aca="false">IF($E250="","",IF($N250="Cancelada",0,IF(OR($M250&lt;&gt;"",$N250="Concluída"),1,0)))</f>
        <v/>
      </c>
    </row>
    <row r="251" customFormat="false" ht="15" hidden="false" customHeight="true" outlineLevel="0" collapsed="false">
      <c r="A251" s="34" t="str">
        <f aca="false">IF($E251="","",COUNTA($E$5:$E251))</f>
        <v/>
      </c>
      <c r="B251" s="35"/>
      <c r="C251" s="35"/>
      <c r="D251" s="35"/>
      <c r="E251" s="35"/>
      <c r="F251" s="36"/>
      <c r="G251" s="37"/>
      <c r="H251" s="37"/>
      <c r="I251" s="37"/>
      <c r="J251" s="38"/>
      <c r="K251" s="39"/>
      <c r="L251" s="40" t="str">
        <f aca="false">IF(OR($J251="",$K251=""),"",$J251+MATCH($K251,Listas!$F$5:$F$11,0)-1)</f>
        <v/>
      </c>
      <c r="M251" s="41"/>
      <c r="N251" s="36"/>
      <c r="O251" s="41"/>
      <c r="P251" s="35"/>
      <c r="Q251" s="35"/>
      <c r="R251" s="42" t="str">
        <f aca="true">IF($E251="","",IF($N251="Cancelada","Cancelada",IF(OR($M251&lt;&gt;"",$N251="Concluída"),IF(OR($L251="",$M251="",$M251&lt;=$L251),"Concluída","Concluída com atraso"),IF($L251="","Na carteira",IF($L251&lt;TODAY(),"VENCIDA",IF($N251="Em execução","Em execução",IF($L251=TODAY(),"Hoje","Programada")))))))</f>
        <v/>
      </c>
      <c r="S251" s="34" t="str">
        <f aca="false">IF($E251="","",IF(ISNUMBER(SEARCH("(externo)",$G251&amp;$H251&amp;$I251)),"Terceirizada","Interna"))</f>
        <v/>
      </c>
      <c r="T251" s="40" t="str">
        <f aca="false">IF($L251="","",IF($O251="",$L251,$O251))</f>
        <v/>
      </c>
      <c r="U251" s="34" t="str">
        <f aca="false">IF($E251="","",IF(OR($M251="",$L251=""),0,IF($M251&lt;=$L251,1,0)))</f>
        <v/>
      </c>
      <c r="V251" s="34" t="str">
        <f aca="false">IF($E251="","",IF(OR($M251="",$T251=""),0,IF($M251&lt;=$T251,1,0)))</f>
        <v/>
      </c>
      <c r="W251" s="42" t="str">
        <f aca="false">IF(OR($M251="",$L251=""),"",MAX(0,$M251-$L251))</f>
        <v/>
      </c>
      <c r="X251" s="34" t="str">
        <f aca="false">IF($E251="","",IF(AND($O251&lt;&gt;"",$L251&lt;&gt;"",$O251&lt;&gt;$L251),1,0))</f>
        <v/>
      </c>
      <c r="Y251" s="34" t="str">
        <f aca="false">IF($E251="","",IF($N251="Cancelada",0,IF(OR($M251&lt;&gt;"",$N251="Concluída"),1,0)))</f>
        <v/>
      </c>
    </row>
    <row r="252" customFormat="false" ht="15" hidden="false" customHeight="true" outlineLevel="0" collapsed="false">
      <c r="A252" s="34" t="str">
        <f aca="false">IF($E252="","",COUNTA($E$5:$E252))</f>
        <v/>
      </c>
      <c r="B252" s="35"/>
      <c r="C252" s="35"/>
      <c r="D252" s="35"/>
      <c r="E252" s="35"/>
      <c r="F252" s="36"/>
      <c r="G252" s="37"/>
      <c r="H252" s="37"/>
      <c r="I252" s="37"/>
      <c r="J252" s="38"/>
      <c r="K252" s="39"/>
      <c r="L252" s="40" t="str">
        <f aca="false">IF(OR($J252="",$K252=""),"",$J252+MATCH($K252,Listas!$F$5:$F$11,0)-1)</f>
        <v/>
      </c>
      <c r="M252" s="41"/>
      <c r="N252" s="36"/>
      <c r="O252" s="41"/>
      <c r="P252" s="35"/>
      <c r="Q252" s="35"/>
      <c r="R252" s="42" t="str">
        <f aca="true">IF($E252="","",IF($N252="Cancelada","Cancelada",IF(OR($M252&lt;&gt;"",$N252="Concluída"),IF(OR($L252="",$M252="",$M252&lt;=$L252),"Concluída","Concluída com atraso"),IF($L252="","Na carteira",IF($L252&lt;TODAY(),"VENCIDA",IF($N252="Em execução","Em execução",IF($L252=TODAY(),"Hoje","Programada")))))))</f>
        <v/>
      </c>
      <c r="S252" s="34" t="str">
        <f aca="false">IF($E252="","",IF(ISNUMBER(SEARCH("(externo)",$G252&amp;$H252&amp;$I252)),"Terceirizada","Interna"))</f>
        <v/>
      </c>
      <c r="T252" s="40" t="str">
        <f aca="false">IF($L252="","",IF($O252="",$L252,$O252))</f>
        <v/>
      </c>
      <c r="U252" s="34" t="str">
        <f aca="false">IF($E252="","",IF(OR($M252="",$L252=""),0,IF($M252&lt;=$L252,1,0)))</f>
        <v/>
      </c>
      <c r="V252" s="34" t="str">
        <f aca="false">IF($E252="","",IF(OR($M252="",$T252=""),0,IF($M252&lt;=$T252,1,0)))</f>
        <v/>
      </c>
      <c r="W252" s="42" t="str">
        <f aca="false">IF(OR($M252="",$L252=""),"",MAX(0,$M252-$L252))</f>
        <v/>
      </c>
      <c r="X252" s="34" t="str">
        <f aca="false">IF($E252="","",IF(AND($O252&lt;&gt;"",$L252&lt;&gt;"",$O252&lt;&gt;$L252),1,0))</f>
        <v/>
      </c>
      <c r="Y252" s="34" t="str">
        <f aca="false">IF($E252="","",IF($N252="Cancelada",0,IF(OR($M252&lt;&gt;"",$N252="Concluída"),1,0)))</f>
        <v/>
      </c>
    </row>
    <row r="253" customFormat="false" ht="15" hidden="false" customHeight="true" outlineLevel="0" collapsed="false">
      <c r="A253" s="34" t="str">
        <f aca="false">IF($E253="","",COUNTA($E$5:$E253))</f>
        <v/>
      </c>
      <c r="B253" s="35"/>
      <c r="C253" s="35"/>
      <c r="D253" s="35"/>
      <c r="E253" s="35"/>
      <c r="F253" s="36"/>
      <c r="G253" s="37"/>
      <c r="H253" s="37"/>
      <c r="I253" s="37"/>
      <c r="J253" s="38"/>
      <c r="K253" s="39"/>
      <c r="L253" s="40" t="str">
        <f aca="false">IF(OR($J253="",$K253=""),"",$J253+MATCH($K253,Listas!$F$5:$F$11,0)-1)</f>
        <v/>
      </c>
      <c r="M253" s="41"/>
      <c r="N253" s="36"/>
      <c r="O253" s="41"/>
      <c r="P253" s="35"/>
      <c r="Q253" s="35"/>
      <c r="R253" s="42" t="str">
        <f aca="true">IF($E253="","",IF($N253="Cancelada","Cancelada",IF(OR($M253&lt;&gt;"",$N253="Concluída"),IF(OR($L253="",$M253="",$M253&lt;=$L253),"Concluída","Concluída com atraso"),IF($L253="","Na carteira",IF($L253&lt;TODAY(),"VENCIDA",IF($N253="Em execução","Em execução",IF($L253=TODAY(),"Hoje","Programada")))))))</f>
        <v/>
      </c>
      <c r="S253" s="34" t="str">
        <f aca="false">IF($E253="","",IF(ISNUMBER(SEARCH("(externo)",$G253&amp;$H253&amp;$I253)),"Terceirizada","Interna"))</f>
        <v/>
      </c>
      <c r="T253" s="40" t="str">
        <f aca="false">IF($L253="","",IF($O253="",$L253,$O253))</f>
        <v/>
      </c>
      <c r="U253" s="34" t="str">
        <f aca="false">IF($E253="","",IF(OR($M253="",$L253=""),0,IF($M253&lt;=$L253,1,0)))</f>
        <v/>
      </c>
      <c r="V253" s="34" t="str">
        <f aca="false">IF($E253="","",IF(OR($M253="",$T253=""),0,IF($M253&lt;=$T253,1,0)))</f>
        <v/>
      </c>
      <c r="W253" s="42" t="str">
        <f aca="false">IF(OR($M253="",$L253=""),"",MAX(0,$M253-$L253))</f>
        <v/>
      </c>
      <c r="X253" s="34" t="str">
        <f aca="false">IF($E253="","",IF(AND($O253&lt;&gt;"",$L253&lt;&gt;"",$O253&lt;&gt;$L253),1,0))</f>
        <v/>
      </c>
      <c r="Y253" s="34" t="str">
        <f aca="false">IF($E253="","",IF($N253="Cancelada",0,IF(OR($M253&lt;&gt;"",$N253="Concluída"),1,0)))</f>
        <v/>
      </c>
    </row>
    <row r="254" customFormat="false" ht="15" hidden="false" customHeight="true" outlineLevel="0" collapsed="false">
      <c r="A254" s="34" t="str">
        <f aca="false">IF($E254="","",COUNTA($E$5:$E254))</f>
        <v/>
      </c>
      <c r="B254" s="35"/>
      <c r="C254" s="35"/>
      <c r="D254" s="35"/>
      <c r="E254" s="35"/>
      <c r="F254" s="36"/>
      <c r="G254" s="37"/>
      <c r="H254" s="37"/>
      <c r="I254" s="37"/>
      <c r="J254" s="38"/>
      <c r="K254" s="39"/>
      <c r="L254" s="40" t="str">
        <f aca="false">IF(OR($J254="",$K254=""),"",$J254+MATCH($K254,Listas!$F$5:$F$11,0)-1)</f>
        <v/>
      </c>
      <c r="M254" s="41"/>
      <c r="N254" s="36"/>
      <c r="O254" s="41"/>
      <c r="P254" s="35"/>
      <c r="Q254" s="35"/>
      <c r="R254" s="42" t="str">
        <f aca="true">IF($E254="","",IF($N254="Cancelada","Cancelada",IF(OR($M254&lt;&gt;"",$N254="Concluída"),IF(OR($L254="",$M254="",$M254&lt;=$L254),"Concluída","Concluída com atraso"),IF($L254="","Na carteira",IF($L254&lt;TODAY(),"VENCIDA",IF($N254="Em execução","Em execução",IF($L254=TODAY(),"Hoje","Programada")))))))</f>
        <v/>
      </c>
      <c r="S254" s="34" t="str">
        <f aca="false">IF($E254="","",IF(ISNUMBER(SEARCH("(externo)",$G254&amp;$H254&amp;$I254)),"Terceirizada","Interna"))</f>
        <v/>
      </c>
      <c r="T254" s="40" t="str">
        <f aca="false">IF($L254="","",IF($O254="",$L254,$O254))</f>
        <v/>
      </c>
      <c r="U254" s="34" t="str">
        <f aca="false">IF($E254="","",IF(OR($M254="",$L254=""),0,IF($M254&lt;=$L254,1,0)))</f>
        <v/>
      </c>
      <c r="V254" s="34" t="str">
        <f aca="false">IF($E254="","",IF(OR($M254="",$T254=""),0,IF($M254&lt;=$T254,1,0)))</f>
        <v/>
      </c>
      <c r="W254" s="42" t="str">
        <f aca="false">IF(OR($M254="",$L254=""),"",MAX(0,$M254-$L254))</f>
        <v/>
      </c>
      <c r="X254" s="34" t="str">
        <f aca="false">IF($E254="","",IF(AND($O254&lt;&gt;"",$L254&lt;&gt;"",$O254&lt;&gt;$L254),1,0))</f>
        <v/>
      </c>
      <c r="Y254" s="34" t="str">
        <f aca="false">IF($E254="","",IF($N254="Cancelada",0,IF(OR($M254&lt;&gt;"",$N254="Concluída"),1,0)))</f>
        <v/>
      </c>
    </row>
    <row r="255" customFormat="false" ht="15" hidden="false" customHeight="true" outlineLevel="0" collapsed="false">
      <c r="A255" s="34" t="str">
        <f aca="false">IF($E255="","",COUNTA($E$5:$E255))</f>
        <v/>
      </c>
      <c r="B255" s="35"/>
      <c r="C255" s="35"/>
      <c r="D255" s="35"/>
      <c r="E255" s="35"/>
      <c r="F255" s="36"/>
      <c r="G255" s="37"/>
      <c r="H255" s="37"/>
      <c r="I255" s="37"/>
      <c r="J255" s="38"/>
      <c r="K255" s="39"/>
      <c r="L255" s="40" t="str">
        <f aca="false">IF(OR($J255="",$K255=""),"",$J255+MATCH($K255,Listas!$F$5:$F$11,0)-1)</f>
        <v/>
      </c>
      <c r="M255" s="41"/>
      <c r="N255" s="36"/>
      <c r="O255" s="41"/>
      <c r="P255" s="35"/>
      <c r="Q255" s="35"/>
      <c r="R255" s="42" t="str">
        <f aca="true">IF($E255="","",IF($N255="Cancelada","Cancelada",IF(OR($M255&lt;&gt;"",$N255="Concluída"),IF(OR($L255="",$M255="",$M255&lt;=$L255),"Concluída","Concluída com atraso"),IF($L255="","Na carteira",IF($L255&lt;TODAY(),"VENCIDA",IF($N255="Em execução","Em execução",IF($L255=TODAY(),"Hoje","Programada")))))))</f>
        <v/>
      </c>
      <c r="S255" s="34" t="str">
        <f aca="false">IF($E255="","",IF(ISNUMBER(SEARCH("(externo)",$G255&amp;$H255&amp;$I255)),"Terceirizada","Interna"))</f>
        <v/>
      </c>
      <c r="T255" s="40" t="str">
        <f aca="false">IF($L255="","",IF($O255="",$L255,$O255))</f>
        <v/>
      </c>
      <c r="U255" s="34" t="str">
        <f aca="false">IF($E255="","",IF(OR($M255="",$L255=""),0,IF($M255&lt;=$L255,1,0)))</f>
        <v/>
      </c>
      <c r="V255" s="34" t="str">
        <f aca="false">IF($E255="","",IF(OR($M255="",$T255=""),0,IF($M255&lt;=$T255,1,0)))</f>
        <v/>
      </c>
      <c r="W255" s="42" t="str">
        <f aca="false">IF(OR($M255="",$L255=""),"",MAX(0,$M255-$L255))</f>
        <v/>
      </c>
      <c r="X255" s="34" t="str">
        <f aca="false">IF($E255="","",IF(AND($O255&lt;&gt;"",$L255&lt;&gt;"",$O255&lt;&gt;$L255),1,0))</f>
        <v/>
      </c>
      <c r="Y255" s="34" t="str">
        <f aca="false">IF($E255="","",IF($N255="Cancelada",0,IF(OR($M255&lt;&gt;"",$N255="Concluída"),1,0)))</f>
        <v/>
      </c>
    </row>
    <row r="256" customFormat="false" ht="15" hidden="false" customHeight="true" outlineLevel="0" collapsed="false">
      <c r="A256" s="34" t="str">
        <f aca="false">IF($E256="","",COUNTA($E$5:$E256))</f>
        <v/>
      </c>
      <c r="B256" s="35"/>
      <c r="C256" s="35"/>
      <c r="D256" s="35"/>
      <c r="E256" s="35"/>
      <c r="F256" s="36"/>
      <c r="G256" s="37"/>
      <c r="H256" s="37"/>
      <c r="I256" s="37"/>
      <c r="J256" s="38"/>
      <c r="K256" s="39"/>
      <c r="L256" s="40" t="str">
        <f aca="false">IF(OR($J256="",$K256=""),"",$J256+MATCH($K256,Listas!$F$5:$F$11,0)-1)</f>
        <v/>
      </c>
      <c r="M256" s="41"/>
      <c r="N256" s="36"/>
      <c r="O256" s="41"/>
      <c r="P256" s="35"/>
      <c r="Q256" s="35"/>
      <c r="R256" s="42" t="str">
        <f aca="true">IF($E256="","",IF($N256="Cancelada","Cancelada",IF(OR($M256&lt;&gt;"",$N256="Concluída"),IF(OR($L256="",$M256="",$M256&lt;=$L256),"Concluída","Concluída com atraso"),IF($L256="","Na carteira",IF($L256&lt;TODAY(),"VENCIDA",IF($N256="Em execução","Em execução",IF($L256=TODAY(),"Hoje","Programada")))))))</f>
        <v/>
      </c>
      <c r="S256" s="34" t="str">
        <f aca="false">IF($E256="","",IF(ISNUMBER(SEARCH("(externo)",$G256&amp;$H256&amp;$I256)),"Terceirizada","Interna"))</f>
        <v/>
      </c>
      <c r="T256" s="40" t="str">
        <f aca="false">IF($L256="","",IF($O256="",$L256,$O256))</f>
        <v/>
      </c>
      <c r="U256" s="34" t="str">
        <f aca="false">IF($E256="","",IF(OR($M256="",$L256=""),0,IF($M256&lt;=$L256,1,0)))</f>
        <v/>
      </c>
      <c r="V256" s="34" t="str">
        <f aca="false">IF($E256="","",IF(OR($M256="",$T256=""),0,IF($M256&lt;=$T256,1,0)))</f>
        <v/>
      </c>
      <c r="W256" s="42" t="str">
        <f aca="false">IF(OR($M256="",$L256=""),"",MAX(0,$M256-$L256))</f>
        <v/>
      </c>
      <c r="X256" s="34" t="str">
        <f aca="false">IF($E256="","",IF(AND($O256&lt;&gt;"",$L256&lt;&gt;"",$O256&lt;&gt;$L256),1,0))</f>
        <v/>
      </c>
      <c r="Y256" s="34" t="str">
        <f aca="false">IF($E256="","",IF($N256="Cancelada",0,IF(OR($M256&lt;&gt;"",$N256="Concluída"),1,0)))</f>
        <v/>
      </c>
    </row>
    <row r="257" customFormat="false" ht="15" hidden="false" customHeight="true" outlineLevel="0" collapsed="false">
      <c r="A257" s="34" t="str">
        <f aca="false">IF($E257="","",COUNTA($E$5:$E257))</f>
        <v/>
      </c>
      <c r="B257" s="35"/>
      <c r="C257" s="35"/>
      <c r="D257" s="35"/>
      <c r="E257" s="35"/>
      <c r="F257" s="36"/>
      <c r="G257" s="37"/>
      <c r="H257" s="37"/>
      <c r="I257" s="37"/>
      <c r="J257" s="38"/>
      <c r="K257" s="39"/>
      <c r="L257" s="40" t="str">
        <f aca="false">IF(OR($J257="",$K257=""),"",$J257+MATCH($K257,Listas!$F$5:$F$11,0)-1)</f>
        <v/>
      </c>
      <c r="M257" s="41"/>
      <c r="N257" s="36"/>
      <c r="O257" s="41"/>
      <c r="P257" s="35"/>
      <c r="Q257" s="35"/>
      <c r="R257" s="42" t="str">
        <f aca="true">IF($E257="","",IF($N257="Cancelada","Cancelada",IF(OR($M257&lt;&gt;"",$N257="Concluída"),IF(OR($L257="",$M257="",$M257&lt;=$L257),"Concluída","Concluída com atraso"),IF($L257="","Na carteira",IF($L257&lt;TODAY(),"VENCIDA",IF($N257="Em execução","Em execução",IF($L257=TODAY(),"Hoje","Programada")))))))</f>
        <v/>
      </c>
      <c r="S257" s="34" t="str">
        <f aca="false">IF($E257="","",IF(ISNUMBER(SEARCH("(externo)",$G257&amp;$H257&amp;$I257)),"Terceirizada","Interna"))</f>
        <v/>
      </c>
      <c r="T257" s="40" t="str">
        <f aca="false">IF($L257="","",IF($O257="",$L257,$O257))</f>
        <v/>
      </c>
      <c r="U257" s="34" t="str">
        <f aca="false">IF($E257="","",IF(OR($M257="",$L257=""),0,IF($M257&lt;=$L257,1,0)))</f>
        <v/>
      </c>
      <c r="V257" s="34" t="str">
        <f aca="false">IF($E257="","",IF(OR($M257="",$T257=""),0,IF($M257&lt;=$T257,1,0)))</f>
        <v/>
      </c>
      <c r="W257" s="42" t="str">
        <f aca="false">IF(OR($M257="",$L257=""),"",MAX(0,$M257-$L257))</f>
        <v/>
      </c>
      <c r="X257" s="34" t="str">
        <f aca="false">IF($E257="","",IF(AND($O257&lt;&gt;"",$L257&lt;&gt;"",$O257&lt;&gt;$L257),1,0))</f>
        <v/>
      </c>
      <c r="Y257" s="34" t="str">
        <f aca="false">IF($E257="","",IF($N257="Cancelada",0,IF(OR($M257&lt;&gt;"",$N257="Concluída"),1,0)))</f>
        <v/>
      </c>
    </row>
    <row r="258" customFormat="false" ht="15" hidden="false" customHeight="true" outlineLevel="0" collapsed="false">
      <c r="A258" s="34" t="str">
        <f aca="false">IF($E258="","",COUNTA($E$5:$E258))</f>
        <v/>
      </c>
      <c r="B258" s="35"/>
      <c r="C258" s="35"/>
      <c r="D258" s="35"/>
      <c r="E258" s="35"/>
      <c r="F258" s="36"/>
      <c r="G258" s="37"/>
      <c r="H258" s="37"/>
      <c r="I258" s="37"/>
      <c r="J258" s="38"/>
      <c r="K258" s="39"/>
      <c r="L258" s="40" t="str">
        <f aca="false">IF(OR($J258="",$K258=""),"",$J258+MATCH($K258,Listas!$F$5:$F$11,0)-1)</f>
        <v/>
      </c>
      <c r="M258" s="41"/>
      <c r="N258" s="36"/>
      <c r="O258" s="41"/>
      <c r="P258" s="35"/>
      <c r="Q258" s="35"/>
      <c r="R258" s="42" t="str">
        <f aca="true">IF($E258="","",IF($N258="Cancelada","Cancelada",IF(OR($M258&lt;&gt;"",$N258="Concluída"),IF(OR($L258="",$M258="",$M258&lt;=$L258),"Concluída","Concluída com atraso"),IF($L258="","Na carteira",IF($L258&lt;TODAY(),"VENCIDA",IF($N258="Em execução","Em execução",IF($L258=TODAY(),"Hoje","Programada")))))))</f>
        <v/>
      </c>
      <c r="S258" s="34" t="str">
        <f aca="false">IF($E258="","",IF(ISNUMBER(SEARCH("(externo)",$G258&amp;$H258&amp;$I258)),"Terceirizada","Interna"))</f>
        <v/>
      </c>
      <c r="T258" s="40" t="str">
        <f aca="false">IF($L258="","",IF($O258="",$L258,$O258))</f>
        <v/>
      </c>
      <c r="U258" s="34" t="str">
        <f aca="false">IF($E258="","",IF(OR($M258="",$L258=""),0,IF($M258&lt;=$L258,1,0)))</f>
        <v/>
      </c>
      <c r="V258" s="34" t="str">
        <f aca="false">IF($E258="","",IF(OR($M258="",$T258=""),0,IF($M258&lt;=$T258,1,0)))</f>
        <v/>
      </c>
      <c r="W258" s="42" t="str">
        <f aca="false">IF(OR($M258="",$L258=""),"",MAX(0,$M258-$L258))</f>
        <v/>
      </c>
      <c r="X258" s="34" t="str">
        <f aca="false">IF($E258="","",IF(AND($O258&lt;&gt;"",$L258&lt;&gt;"",$O258&lt;&gt;$L258),1,0))</f>
        <v/>
      </c>
      <c r="Y258" s="34" t="str">
        <f aca="false">IF($E258="","",IF($N258="Cancelada",0,IF(OR($M258&lt;&gt;"",$N258="Concluída"),1,0)))</f>
        <v/>
      </c>
    </row>
    <row r="259" customFormat="false" ht="15" hidden="false" customHeight="true" outlineLevel="0" collapsed="false">
      <c r="A259" s="34" t="str">
        <f aca="false">IF($E259="","",COUNTA($E$5:$E259))</f>
        <v/>
      </c>
      <c r="B259" s="35"/>
      <c r="C259" s="35"/>
      <c r="D259" s="35"/>
      <c r="E259" s="35"/>
      <c r="F259" s="36"/>
      <c r="G259" s="37"/>
      <c r="H259" s="37"/>
      <c r="I259" s="37"/>
      <c r="J259" s="38"/>
      <c r="K259" s="39"/>
      <c r="L259" s="40" t="str">
        <f aca="false">IF(OR($J259="",$K259=""),"",$J259+MATCH($K259,Listas!$F$5:$F$11,0)-1)</f>
        <v/>
      </c>
      <c r="M259" s="41"/>
      <c r="N259" s="36"/>
      <c r="O259" s="41"/>
      <c r="P259" s="35"/>
      <c r="Q259" s="35"/>
      <c r="R259" s="42" t="str">
        <f aca="true">IF($E259="","",IF($N259="Cancelada","Cancelada",IF(OR($M259&lt;&gt;"",$N259="Concluída"),IF(OR($L259="",$M259="",$M259&lt;=$L259),"Concluída","Concluída com atraso"),IF($L259="","Na carteira",IF($L259&lt;TODAY(),"VENCIDA",IF($N259="Em execução","Em execução",IF($L259=TODAY(),"Hoje","Programada")))))))</f>
        <v/>
      </c>
      <c r="S259" s="34" t="str">
        <f aca="false">IF($E259="","",IF(ISNUMBER(SEARCH("(externo)",$G259&amp;$H259&amp;$I259)),"Terceirizada","Interna"))</f>
        <v/>
      </c>
      <c r="T259" s="40" t="str">
        <f aca="false">IF($L259="","",IF($O259="",$L259,$O259))</f>
        <v/>
      </c>
      <c r="U259" s="34" t="str">
        <f aca="false">IF($E259="","",IF(OR($M259="",$L259=""),0,IF($M259&lt;=$L259,1,0)))</f>
        <v/>
      </c>
      <c r="V259" s="34" t="str">
        <f aca="false">IF($E259="","",IF(OR($M259="",$T259=""),0,IF($M259&lt;=$T259,1,0)))</f>
        <v/>
      </c>
      <c r="W259" s="42" t="str">
        <f aca="false">IF(OR($M259="",$L259=""),"",MAX(0,$M259-$L259))</f>
        <v/>
      </c>
      <c r="X259" s="34" t="str">
        <f aca="false">IF($E259="","",IF(AND($O259&lt;&gt;"",$L259&lt;&gt;"",$O259&lt;&gt;$L259),1,0))</f>
        <v/>
      </c>
      <c r="Y259" s="34" t="str">
        <f aca="false">IF($E259="","",IF($N259="Cancelada",0,IF(OR($M259&lt;&gt;"",$N259="Concluída"),1,0)))</f>
        <v/>
      </c>
    </row>
    <row r="260" customFormat="false" ht="15" hidden="false" customHeight="true" outlineLevel="0" collapsed="false">
      <c r="A260" s="34" t="str">
        <f aca="false">IF($E260="","",COUNTA($E$5:$E260))</f>
        <v/>
      </c>
      <c r="B260" s="35"/>
      <c r="C260" s="35"/>
      <c r="D260" s="35"/>
      <c r="E260" s="35"/>
      <c r="F260" s="36"/>
      <c r="G260" s="37"/>
      <c r="H260" s="37"/>
      <c r="I260" s="37"/>
      <c r="J260" s="38"/>
      <c r="K260" s="39"/>
      <c r="L260" s="40" t="str">
        <f aca="false">IF(OR($J260="",$K260=""),"",$J260+MATCH($K260,Listas!$F$5:$F$11,0)-1)</f>
        <v/>
      </c>
      <c r="M260" s="41"/>
      <c r="N260" s="36"/>
      <c r="O260" s="41"/>
      <c r="P260" s="35"/>
      <c r="Q260" s="35"/>
      <c r="R260" s="42" t="str">
        <f aca="true">IF($E260="","",IF($N260="Cancelada","Cancelada",IF(OR($M260&lt;&gt;"",$N260="Concluída"),IF(OR($L260="",$M260="",$M260&lt;=$L260),"Concluída","Concluída com atraso"),IF($L260="","Na carteira",IF($L260&lt;TODAY(),"VENCIDA",IF($N260="Em execução","Em execução",IF($L260=TODAY(),"Hoje","Programada")))))))</f>
        <v/>
      </c>
      <c r="S260" s="34" t="str">
        <f aca="false">IF($E260="","",IF(ISNUMBER(SEARCH("(externo)",$G260&amp;$H260&amp;$I260)),"Terceirizada","Interna"))</f>
        <v/>
      </c>
      <c r="T260" s="40" t="str">
        <f aca="false">IF($L260="","",IF($O260="",$L260,$O260))</f>
        <v/>
      </c>
      <c r="U260" s="34" t="str">
        <f aca="false">IF($E260="","",IF(OR($M260="",$L260=""),0,IF($M260&lt;=$L260,1,0)))</f>
        <v/>
      </c>
      <c r="V260" s="34" t="str">
        <f aca="false">IF($E260="","",IF(OR($M260="",$T260=""),0,IF($M260&lt;=$T260,1,0)))</f>
        <v/>
      </c>
      <c r="W260" s="42" t="str">
        <f aca="false">IF(OR($M260="",$L260=""),"",MAX(0,$M260-$L260))</f>
        <v/>
      </c>
      <c r="X260" s="34" t="str">
        <f aca="false">IF($E260="","",IF(AND($O260&lt;&gt;"",$L260&lt;&gt;"",$O260&lt;&gt;$L260),1,0))</f>
        <v/>
      </c>
      <c r="Y260" s="34" t="str">
        <f aca="false">IF($E260="","",IF($N260="Cancelada",0,IF(OR($M260&lt;&gt;"",$N260="Concluída"),1,0)))</f>
        <v/>
      </c>
    </row>
    <row r="261" customFormat="false" ht="15" hidden="false" customHeight="true" outlineLevel="0" collapsed="false">
      <c r="A261" s="34" t="str">
        <f aca="false">IF($E261="","",COUNTA($E$5:$E261))</f>
        <v/>
      </c>
      <c r="B261" s="35"/>
      <c r="C261" s="35"/>
      <c r="D261" s="35"/>
      <c r="E261" s="35"/>
      <c r="F261" s="36"/>
      <c r="G261" s="37"/>
      <c r="H261" s="37"/>
      <c r="I261" s="37"/>
      <c r="J261" s="38"/>
      <c r="K261" s="39"/>
      <c r="L261" s="40" t="str">
        <f aca="false">IF(OR($J261="",$K261=""),"",$J261+MATCH($K261,Listas!$F$5:$F$11,0)-1)</f>
        <v/>
      </c>
      <c r="M261" s="41"/>
      <c r="N261" s="36"/>
      <c r="O261" s="41"/>
      <c r="P261" s="35"/>
      <c r="Q261" s="35"/>
      <c r="R261" s="42" t="str">
        <f aca="true">IF($E261="","",IF($N261="Cancelada","Cancelada",IF(OR($M261&lt;&gt;"",$N261="Concluída"),IF(OR($L261="",$M261="",$M261&lt;=$L261),"Concluída","Concluída com atraso"),IF($L261="","Na carteira",IF($L261&lt;TODAY(),"VENCIDA",IF($N261="Em execução","Em execução",IF($L261=TODAY(),"Hoje","Programada")))))))</f>
        <v/>
      </c>
      <c r="S261" s="34" t="str">
        <f aca="false">IF($E261="","",IF(ISNUMBER(SEARCH("(externo)",$G261&amp;$H261&amp;$I261)),"Terceirizada","Interna"))</f>
        <v/>
      </c>
      <c r="T261" s="40" t="str">
        <f aca="false">IF($L261="","",IF($O261="",$L261,$O261))</f>
        <v/>
      </c>
      <c r="U261" s="34" t="str">
        <f aca="false">IF($E261="","",IF(OR($M261="",$L261=""),0,IF($M261&lt;=$L261,1,0)))</f>
        <v/>
      </c>
      <c r="V261" s="34" t="str">
        <f aca="false">IF($E261="","",IF(OR($M261="",$T261=""),0,IF($M261&lt;=$T261,1,0)))</f>
        <v/>
      </c>
      <c r="W261" s="42" t="str">
        <f aca="false">IF(OR($M261="",$L261=""),"",MAX(0,$M261-$L261))</f>
        <v/>
      </c>
      <c r="X261" s="34" t="str">
        <f aca="false">IF($E261="","",IF(AND($O261&lt;&gt;"",$L261&lt;&gt;"",$O261&lt;&gt;$L261),1,0))</f>
        <v/>
      </c>
      <c r="Y261" s="34" t="str">
        <f aca="false">IF($E261="","",IF($N261="Cancelada",0,IF(OR($M261&lt;&gt;"",$N261="Concluída"),1,0)))</f>
        <v/>
      </c>
    </row>
    <row r="262" customFormat="false" ht="15" hidden="false" customHeight="true" outlineLevel="0" collapsed="false">
      <c r="A262" s="34" t="str">
        <f aca="false">IF($E262="","",COUNTA($E$5:$E262))</f>
        <v/>
      </c>
      <c r="B262" s="35"/>
      <c r="C262" s="35"/>
      <c r="D262" s="35"/>
      <c r="E262" s="35"/>
      <c r="F262" s="36"/>
      <c r="G262" s="37"/>
      <c r="H262" s="37"/>
      <c r="I262" s="37"/>
      <c r="J262" s="38"/>
      <c r="K262" s="39"/>
      <c r="L262" s="40" t="str">
        <f aca="false">IF(OR($J262="",$K262=""),"",$J262+MATCH($K262,Listas!$F$5:$F$11,0)-1)</f>
        <v/>
      </c>
      <c r="M262" s="41"/>
      <c r="N262" s="36"/>
      <c r="O262" s="41"/>
      <c r="P262" s="35"/>
      <c r="Q262" s="35"/>
      <c r="R262" s="42" t="str">
        <f aca="true">IF($E262="","",IF($N262="Cancelada","Cancelada",IF(OR($M262&lt;&gt;"",$N262="Concluída"),IF(OR($L262="",$M262="",$M262&lt;=$L262),"Concluída","Concluída com atraso"),IF($L262="","Na carteira",IF($L262&lt;TODAY(),"VENCIDA",IF($N262="Em execução","Em execução",IF($L262=TODAY(),"Hoje","Programada")))))))</f>
        <v/>
      </c>
      <c r="S262" s="34" t="str">
        <f aca="false">IF($E262="","",IF(ISNUMBER(SEARCH("(externo)",$G262&amp;$H262&amp;$I262)),"Terceirizada","Interna"))</f>
        <v/>
      </c>
      <c r="T262" s="40" t="str">
        <f aca="false">IF($L262="","",IF($O262="",$L262,$O262))</f>
        <v/>
      </c>
      <c r="U262" s="34" t="str">
        <f aca="false">IF($E262="","",IF(OR($M262="",$L262=""),0,IF($M262&lt;=$L262,1,0)))</f>
        <v/>
      </c>
      <c r="V262" s="34" t="str">
        <f aca="false">IF($E262="","",IF(OR($M262="",$T262=""),0,IF($M262&lt;=$T262,1,0)))</f>
        <v/>
      </c>
      <c r="W262" s="42" t="str">
        <f aca="false">IF(OR($M262="",$L262=""),"",MAX(0,$M262-$L262))</f>
        <v/>
      </c>
      <c r="X262" s="34" t="str">
        <f aca="false">IF($E262="","",IF(AND($O262&lt;&gt;"",$L262&lt;&gt;"",$O262&lt;&gt;$L262),1,0))</f>
        <v/>
      </c>
      <c r="Y262" s="34" t="str">
        <f aca="false">IF($E262="","",IF($N262="Cancelada",0,IF(OR($M262&lt;&gt;"",$N262="Concluída"),1,0)))</f>
        <v/>
      </c>
    </row>
    <row r="263" customFormat="false" ht="15" hidden="false" customHeight="true" outlineLevel="0" collapsed="false">
      <c r="A263" s="34" t="str">
        <f aca="false">IF($E263="","",COUNTA($E$5:$E263))</f>
        <v/>
      </c>
      <c r="B263" s="35"/>
      <c r="C263" s="35"/>
      <c r="D263" s="35"/>
      <c r="E263" s="35"/>
      <c r="F263" s="36"/>
      <c r="G263" s="37"/>
      <c r="H263" s="37"/>
      <c r="I263" s="37"/>
      <c r="J263" s="38"/>
      <c r="K263" s="39"/>
      <c r="L263" s="40" t="str">
        <f aca="false">IF(OR($J263="",$K263=""),"",$J263+MATCH($K263,Listas!$F$5:$F$11,0)-1)</f>
        <v/>
      </c>
      <c r="M263" s="41"/>
      <c r="N263" s="36"/>
      <c r="O263" s="41"/>
      <c r="P263" s="35"/>
      <c r="Q263" s="35"/>
      <c r="R263" s="42" t="str">
        <f aca="true">IF($E263="","",IF($N263="Cancelada","Cancelada",IF(OR($M263&lt;&gt;"",$N263="Concluída"),IF(OR($L263="",$M263="",$M263&lt;=$L263),"Concluída","Concluída com atraso"),IF($L263="","Na carteira",IF($L263&lt;TODAY(),"VENCIDA",IF($N263="Em execução","Em execução",IF($L263=TODAY(),"Hoje","Programada")))))))</f>
        <v/>
      </c>
      <c r="S263" s="34" t="str">
        <f aca="false">IF($E263="","",IF(ISNUMBER(SEARCH("(externo)",$G263&amp;$H263&amp;$I263)),"Terceirizada","Interna"))</f>
        <v/>
      </c>
      <c r="T263" s="40" t="str">
        <f aca="false">IF($L263="","",IF($O263="",$L263,$O263))</f>
        <v/>
      </c>
      <c r="U263" s="34" t="str">
        <f aca="false">IF($E263="","",IF(OR($M263="",$L263=""),0,IF($M263&lt;=$L263,1,0)))</f>
        <v/>
      </c>
      <c r="V263" s="34" t="str">
        <f aca="false">IF($E263="","",IF(OR($M263="",$T263=""),0,IF($M263&lt;=$T263,1,0)))</f>
        <v/>
      </c>
      <c r="W263" s="42" t="str">
        <f aca="false">IF(OR($M263="",$L263=""),"",MAX(0,$M263-$L263))</f>
        <v/>
      </c>
      <c r="X263" s="34" t="str">
        <f aca="false">IF($E263="","",IF(AND($O263&lt;&gt;"",$L263&lt;&gt;"",$O263&lt;&gt;$L263),1,0))</f>
        <v/>
      </c>
      <c r="Y263" s="34" t="str">
        <f aca="false">IF($E263="","",IF($N263="Cancelada",0,IF(OR($M263&lt;&gt;"",$N263="Concluída"),1,0)))</f>
        <v/>
      </c>
    </row>
    <row r="264" customFormat="false" ht="15" hidden="false" customHeight="true" outlineLevel="0" collapsed="false">
      <c r="A264" s="34" t="str">
        <f aca="false">IF($E264="","",COUNTA($E$5:$E264))</f>
        <v/>
      </c>
      <c r="B264" s="35"/>
      <c r="C264" s="35"/>
      <c r="D264" s="35"/>
      <c r="E264" s="35"/>
      <c r="F264" s="36"/>
      <c r="G264" s="37"/>
      <c r="H264" s="37"/>
      <c r="I264" s="37"/>
      <c r="J264" s="38"/>
      <c r="K264" s="39"/>
      <c r="L264" s="40" t="str">
        <f aca="false">IF(OR($J264="",$K264=""),"",$J264+MATCH($K264,Listas!$F$5:$F$11,0)-1)</f>
        <v/>
      </c>
      <c r="M264" s="41"/>
      <c r="N264" s="36"/>
      <c r="O264" s="41"/>
      <c r="P264" s="35"/>
      <c r="Q264" s="35"/>
      <c r="R264" s="42" t="str">
        <f aca="true">IF($E264="","",IF($N264="Cancelada","Cancelada",IF(OR($M264&lt;&gt;"",$N264="Concluída"),IF(OR($L264="",$M264="",$M264&lt;=$L264),"Concluída","Concluída com atraso"),IF($L264="","Na carteira",IF($L264&lt;TODAY(),"VENCIDA",IF($N264="Em execução","Em execução",IF($L264=TODAY(),"Hoje","Programada")))))))</f>
        <v/>
      </c>
      <c r="S264" s="34" t="str">
        <f aca="false">IF($E264="","",IF(ISNUMBER(SEARCH("(externo)",$G264&amp;$H264&amp;$I264)),"Terceirizada","Interna"))</f>
        <v/>
      </c>
      <c r="T264" s="40" t="str">
        <f aca="false">IF($L264="","",IF($O264="",$L264,$O264))</f>
        <v/>
      </c>
      <c r="U264" s="34" t="str">
        <f aca="false">IF($E264="","",IF(OR($M264="",$L264=""),0,IF($M264&lt;=$L264,1,0)))</f>
        <v/>
      </c>
      <c r="V264" s="34" t="str">
        <f aca="false">IF($E264="","",IF(OR($M264="",$T264=""),0,IF($M264&lt;=$T264,1,0)))</f>
        <v/>
      </c>
      <c r="W264" s="42" t="str">
        <f aca="false">IF(OR($M264="",$L264=""),"",MAX(0,$M264-$L264))</f>
        <v/>
      </c>
      <c r="X264" s="34" t="str">
        <f aca="false">IF($E264="","",IF(AND($O264&lt;&gt;"",$L264&lt;&gt;"",$O264&lt;&gt;$L264),1,0))</f>
        <v/>
      </c>
      <c r="Y264" s="34" t="str">
        <f aca="false">IF($E264="","",IF($N264="Cancelada",0,IF(OR($M264&lt;&gt;"",$N264="Concluída"),1,0)))</f>
        <v/>
      </c>
    </row>
    <row r="265" customFormat="false" ht="15" hidden="false" customHeight="true" outlineLevel="0" collapsed="false">
      <c r="A265" s="34" t="str">
        <f aca="false">IF($E265="","",COUNTA($E$5:$E265))</f>
        <v/>
      </c>
      <c r="B265" s="35"/>
      <c r="C265" s="35"/>
      <c r="D265" s="35"/>
      <c r="E265" s="35"/>
      <c r="F265" s="36"/>
      <c r="G265" s="37"/>
      <c r="H265" s="37"/>
      <c r="I265" s="37"/>
      <c r="J265" s="38"/>
      <c r="K265" s="39"/>
      <c r="L265" s="40" t="str">
        <f aca="false">IF(OR($J265="",$K265=""),"",$J265+MATCH($K265,Listas!$F$5:$F$11,0)-1)</f>
        <v/>
      </c>
      <c r="M265" s="41"/>
      <c r="N265" s="36"/>
      <c r="O265" s="41"/>
      <c r="P265" s="35"/>
      <c r="Q265" s="35"/>
      <c r="R265" s="42" t="str">
        <f aca="true">IF($E265="","",IF($N265="Cancelada","Cancelada",IF(OR($M265&lt;&gt;"",$N265="Concluída"),IF(OR($L265="",$M265="",$M265&lt;=$L265),"Concluída","Concluída com atraso"),IF($L265="","Na carteira",IF($L265&lt;TODAY(),"VENCIDA",IF($N265="Em execução","Em execução",IF($L265=TODAY(),"Hoje","Programada")))))))</f>
        <v/>
      </c>
      <c r="S265" s="34" t="str">
        <f aca="false">IF($E265="","",IF(ISNUMBER(SEARCH("(externo)",$G265&amp;$H265&amp;$I265)),"Terceirizada","Interna"))</f>
        <v/>
      </c>
      <c r="T265" s="40" t="str">
        <f aca="false">IF($L265="","",IF($O265="",$L265,$O265))</f>
        <v/>
      </c>
      <c r="U265" s="34" t="str">
        <f aca="false">IF($E265="","",IF(OR($M265="",$L265=""),0,IF($M265&lt;=$L265,1,0)))</f>
        <v/>
      </c>
      <c r="V265" s="34" t="str">
        <f aca="false">IF($E265="","",IF(OR($M265="",$T265=""),0,IF($M265&lt;=$T265,1,0)))</f>
        <v/>
      </c>
      <c r="W265" s="42" t="str">
        <f aca="false">IF(OR($M265="",$L265=""),"",MAX(0,$M265-$L265))</f>
        <v/>
      </c>
      <c r="X265" s="34" t="str">
        <f aca="false">IF($E265="","",IF(AND($O265&lt;&gt;"",$L265&lt;&gt;"",$O265&lt;&gt;$L265),1,0))</f>
        <v/>
      </c>
      <c r="Y265" s="34" t="str">
        <f aca="false">IF($E265="","",IF($N265="Cancelada",0,IF(OR($M265&lt;&gt;"",$N265="Concluída"),1,0)))</f>
        <v/>
      </c>
    </row>
    <row r="266" customFormat="false" ht="15" hidden="false" customHeight="true" outlineLevel="0" collapsed="false">
      <c r="A266" s="34" t="str">
        <f aca="false">IF($E266="","",COUNTA($E$5:$E266))</f>
        <v/>
      </c>
      <c r="B266" s="35"/>
      <c r="C266" s="35"/>
      <c r="D266" s="35"/>
      <c r="E266" s="35"/>
      <c r="F266" s="36"/>
      <c r="G266" s="37"/>
      <c r="H266" s="37"/>
      <c r="I266" s="37"/>
      <c r="J266" s="38"/>
      <c r="K266" s="39"/>
      <c r="L266" s="40" t="str">
        <f aca="false">IF(OR($J266="",$K266=""),"",$J266+MATCH($K266,Listas!$F$5:$F$11,0)-1)</f>
        <v/>
      </c>
      <c r="M266" s="41"/>
      <c r="N266" s="36"/>
      <c r="O266" s="41"/>
      <c r="P266" s="35"/>
      <c r="Q266" s="35"/>
      <c r="R266" s="42" t="str">
        <f aca="true">IF($E266="","",IF($N266="Cancelada","Cancelada",IF(OR($M266&lt;&gt;"",$N266="Concluída"),IF(OR($L266="",$M266="",$M266&lt;=$L266),"Concluída","Concluída com atraso"),IF($L266="","Na carteira",IF($L266&lt;TODAY(),"VENCIDA",IF($N266="Em execução","Em execução",IF($L266=TODAY(),"Hoje","Programada")))))))</f>
        <v/>
      </c>
      <c r="S266" s="34" t="str">
        <f aca="false">IF($E266="","",IF(ISNUMBER(SEARCH("(externo)",$G266&amp;$H266&amp;$I266)),"Terceirizada","Interna"))</f>
        <v/>
      </c>
      <c r="T266" s="40" t="str">
        <f aca="false">IF($L266="","",IF($O266="",$L266,$O266))</f>
        <v/>
      </c>
      <c r="U266" s="34" t="str">
        <f aca="false">IF($E266="","",IF(OR($M266="",$L266=""),0,IF($M266&lt;=$L266,1,0)))</f>
        <v/>
      </c>
      <c r="V266" s="34" t="str">
        <f aca="false">IF($E266="","",IF(OR($M266="",$T266=""),0,IF($M266&lt;=$T266,1,0)))</f>
        <v/>
      </c>
      <c r="W266" s="42" t="str">
        <f aca="false">IF(OR($M266="",$L266=""),"",MAX(0,$M266-$L266))</f>
        <v/>
      </c>
      <c r="X266" s="34" t="str">
        <f aca="false">IF($E266="","",IF(AND($O266&lt;&gt;"",$L266&lt;&gt;"",$O266&lt;&gt;$L266),1,0))</f>
        <v/>
      </c>
      <c r="Y266" s="34" t="str">
        <f aca="false">IF($E266="","",IF($N266="Cancelada",0,IF(OR($M266&lt;&gt;"",$N266="Concluída"),1,0)))</f>
        <v/>
      </c>
    </row>
    <row r="267" customFormat="false" ht="15" hidden="false" customHeight="true" outlineLevel="0" collapsed="false">
      <c r="A267" s="34" t="str">
        <f aca="false">IF($E267="","",COUNTA($E$5:$E267))</f>
        <v/>
      </c>
      <c r="B267" s="35"/>
      <c r="C267" s="35"/>
      <c r="D267" s="35"/>
      <c r="E267" s="35"/>
      <c r="F267" s="36"/>
      <c r="G267" s="37"/>
      <c r="H267" s="37"/>
      <c r="I267" s="37"/>
      <c r="J267" s="38"/>
      <c r="K267" s="39"/>
      <c r="L267" s="40" t="str">
        <f aca="false">IF(OR($J267="",$K267=""),"",$J267+MATCH($K267,Listas!$F$5:$F$11,0)-1)</f>
        <v/>
      </c>
      <c r="M267" s="41"/>
      <c r="N267" s="36"/>
      <c r="O267" s="41"/>
      <c r="P267" s="35"/>
      <c r="Q267" s="35"/>
      <c r="R267" s="42" t="str">
        <f aca="true">IF($E267="","",IF($N267="Cancelada","Cancelada",IF(OR($M267&lt;&gt;"",$N267="Concluída"),IF(OR($L267="",$M267="",$M267&lt;=$L267),"Concluída","Concluída com atraso"),IF($L267="","Na carteira",IF($L267&lt;TODAY(),"VENCIDA",IF($N267="Em execução","Em execução",IF($L267=TODAY(),"Hoje","Programada")))))))</f>
        <v/>
      </c>
      <c r="S267" s="34" t="str">
        <f aca="false">IF($E267="","",IF(ISNUMBER(SEARCH("(externo)",$G267&amp;$H267&amp;$I267)),"Terceirizada","Interna"))</f>
        <v/>
      </c>
      <c r="T267" s="40" t="str">
        <f aca="false">IF($L267="","",IF($O267="",$L267,$O267))</f>
        <v/>
      </c>
      <c r="U267" s="34" t="str">
        <f aca="false">IF($E267="","",IF(OR($M267="",$L267=""),0,IF($M267&lt;=$L267,1,0)))</f>
        <v/>
      </c>
      <c r="V267" s="34" t="str">
        <f aca="false">IF($E267="","",IF(OR($M267="",$T267=""),0,IF($M267&lt;=$T267,1,0)))</f>
        <v/>
      </c>
      <c r="W267" s="42" t="str">
        <f aca="false">IF(OR($M267="",$L267=""),"",MAX(0,$M267-$L267))</f>
        <v/>
      </c>
      <c r="X267" s="34" t="str">
        <f aca="false">IF($E267="","",IF(AND($O267&lt;&gt;"",$L267&lt;&gt;"",$O267&lt;&gt;$L267),1,0))</f>
        <v/>
      </c>
      <c r="Y267" s="34" t="str">
        <f aca="false">IF($E267="","",IF($N267="Cancelada",0,IF(OR($M267&lt;&gt;"",$N267="Concluída"),1,0)))</f>
        <v/>
      </c>
    </row>
    <row r="268" customFormat="false" ht="15" hidden="false" customHeight="true" outlineLevel="0" collapsed="false">
      <c r="A268" s="34" t="str">
        <f aca="false">IF($E268="","",COUNTA($E$5:$E268))</f>
        <v/>
      </c>
      <c r="B268" s="35"/>
      <c r="C268" s="35"/>
      <c r="D268" s="35"/>
      <c r="E268" s="35"/>
      <c r="F268" s="36"/>
      <c r="G268" s="37"/>
      <c r="H268" s="37"/>
      <c r="I268" s="37"/>
      <c r="J268" s="38"/>
      <c r="K268" s="39"/>
      <c r="L268" s="40" t="str">
        <f aca="false">IF(OR($J268="",$K268=""),"",$J268+MATCH($K268,Listas!$F$5:$F$11,0)-1)</f>
        <v/>
      </c>
      <c r="M268" s="41"/>
      <c r="N268" s="36"/>
      <c r="O268" s="41"/>
      <c r="P268" s="35"/>
      <c r="Q268" s="35"/>
      <c r="R268" s="42" t="str">
        <f aca="true">IF($E268="","",IF($N268="Cancelada","Cancelada",IF(OR($M268&lt;&gt;"",$N268="Concluída"),IF(OR($L268="",$M268="",$M268&lt;=$L268),"Concluída","Concluída com atraso"),IF($L268="","Na carteira",IF($L268&lt;TODAY(),"VENCIDA",IF($N268="Em execução","Em execução",IF($L268=TODAY(),"Hoje","Programada")))))))</f>
        <v/>
      </c>
      <c r="S268" s="34" t="str">
        <f aca="false">IF($E268="","",IF(ISNUMBER(SEARCH("(externo)",$G268&amp;$H268&amp;$I268)),"Terceirizada","Interna"))</f>
        <v/>
      </c>
      <c r="T268" s="40" t="str">
        <f aca="false">IF($L268="","",IF($O268="",$L268,$O268))</f>
        <v/>
      </c>
      <c r="U268" s="34" t="str">
        <f aca="false">IF($E268="","",IF(OR($M268="",$L268=""),0,IF($M268&lt;=$L268,1,0)))</f>
        <v/>
      </c>
      <c r="V268" s="34" t="str">
        <f aca="false">IF($E268="","",IF(OR($M268="",$T268=""),0,IF($M268&lt;=$T268,1,0)))</f>
        <v/>
      </c>
      <c r="W268" s="42" t="str">
        <f aca="false">IF(OR($M268="",$L268=""),"",MAX(0,$M268-$L268))</f>
        <v/>
      </c>
      <c r="X268" s="34" t="str">
        <f aca="false">IF($E268="","",IF(AND($O268&lt;&gt;"",$L268&lt;&gt;"",$O268&lt;&gt;$L268),1,0))</f>
        <v/>
      </c>
      <c r="Y268" s="34" t="str">
        <f aca="false">IF($E268="","",IF($N268="Cancelada",0,IF(OR($M268&lt;&gt;"",$N268="Concluída"),1,0)))</f>
        <v/>
      </c>
    </row>
    <row r="269" customFormat="false" ht="15" hidden="false" customHeight="true" outlineLevel="0" collapsed="false">
      <c r="A269" s="34" t="str">
        <f aca="false">IF($E269="","",COUNTA($E$5:$E269))</f>
        <v/>
      </c>
      <c r="B269" s="35"/>
      <c r="C269" s="35"/>
      <c r="D269" s="35"/>
      <c r="E269" s="35"/>
      <c r="F269" s="36"/>
      <c r="G269" s="37"/>
      <c r="H269" s="37"/>
      <c r="I269" s="37"/>
      <c r="J269" s="38"/>
      <c r="K269" s="39"/>
      <c r="L269" s="40" t="str">
        <f aca="false">IF(OR($J269="",$K269=""),"",$J269+MATCH($K269,Listas!$F$5:$F$11,0)-1)</f>
        <v/>
      </c>
      <c r="M269" s="41"/>
      <c r="N269" s="36"/>
      <c r="O269" s="41"/>
      <c r="P269" s="35"/>
      <c r="Q269" s="35"/>
      <c r="R269" s="42" t="str">
        <f aca="true">IF($E269="","",IF($N269="Cancelada","Cancelada",IF(OR($M269&lt;&gt;"",$N269="Concluída"),IF(OR($L269="",$M269="",$M269&lt;=$L269),"Concluída","Concluída com atraso"),IF($L269="","Na carteira",IF($L269&lt;TODAY(),"VENCIDA",IF($N269="Em execução","Em execução",IF($L269=TODAY(),"Hoje","Programada")))))))</f>
        <v/>
      </c>
      <c r="S269" s="34" t="str">
        <f aca="false">IF($E269="","",IF(ISNUMBER(SEARCH("(externo)",$G269&amp;$H269&amp;$I269)),"Terceirizada","Interna"))</f>
        <v/>
      </c>
      <c r="T269" s="40" t="str">
        <f aca="false">IF($L269="","",IF($O269="",$L269,$O269))</f>
        <v/>
      </c>
      <c r="U269" s="34" t="str">
        <f aca="false">IF($E269="","",IF(OR($M269="",$L269=""),0,IF($M269&lt;=$L269,1,0)))</f>
        <v/>
      </c>
      <c r="V269" s="34" t="str">
        <f aca="false">IF($E269="","",IF(OR($M269="",$T269=""),0,IF($M269&lt;=$T269,1,0)))</f>
        <v/>
      </c>
      <c r="W269" s="42" t="str">
        <f aca="false">IF(OR($M269="",$L269=""),"",MAX(0,$M269-$L269))</f>
        <v/>
      </c>
      <c r="X269" s="34" t="str">
        <f aca="false">IF($E269="","",IF(AND($O269&lt;&gt;"",$L269&lt;&gt;"",$O269&lt;&gt;$L269),1,0))</f>
        <v/>
      </c>
      <c r="Y269" s="34" t="str">
        <f aca="false">IF($E269="","",IF($N269="Cancelada",0,IF(OR($M269&lt;&gt;"",$N269="Concluída"),1,0)))</f>
        <v/>
      </c>
    </row>
    <row r="270" customFormat="false" ht="15" hidden="false" customHeight="true" outlineLevel="0" collapsed="false">
      <c r="A270" s="34" t="str">
        <f aca="false">IF($E270="","",COUNTA($E$5:$E270))</f>
        <v/>
      </c>
      <c r="B270" s="35"/>
      <c r="C270" s="35"/>
      <c r="D270" s="35"/>
      <c r="E270" s="35"/>
      <c r="F270" s="36"/>
      <c r="G270" s="37"/>
      <c r="H270" s="37"/>
      <c r="I270" s="37"/>
      <c r="J270" s="38"/>
      <c r="K270" s="39"/>
      <c r="L270" s="40" t="str">
        <f aca="false">IF(OR($J270="",$K270=""),"",$J270+MATCH($K270,Listas!$F$5:$F$11,0)-1)</f>
        <v/>
      </c>
      <c r="M270" s="41"/>
      <c r="N270" s="36"/>
      <c r="O270" s="41"/>
      <c r="P270" s="35"/>
      <c r="Q270" s="35"/>
      <c r="R270" s="42" t="str">
        <f aca="true">IF($E270="","",IF($N270="Cancelada","Cancelada",IF(OR($M270&lt;&gt;"",$N270="Concluída"),IF(OR($L270="",$M270="",$M270&lt;=$L270),"Concluída","Concluída com atraso"),IF($L270="","Na carteira",IF($L270&lt;TODAY(),"VENCIDA",IF($N270="Em execução","Em execução",IF($L270=TODAY(),"Hoje","Programada")))))))</f>
        <v/>
      </c>
      <c r="S270" s="34" t="str">
        <f aca="false">IF($E270="","",IF(ISNUMBER(SEARCH("(externo)",$G270&amp;$H270&amp;$I270)),"Terceirizada","Interna"))</f>
        <v/>
      </c>
      <c r="T270" s="40" t="str">
        <f aca="false">IF($L270="","",IF($O270="",$L270,$O270))</f>
        <v/>
      </c>
      <c r="U270" s="34" t="str">
        <f aca="false">IF($E270="","",IF(OR($M270="",$L270=""),0,IF($M270&lt;=$L270,1,0)))</f>
        <v/>
      </c>
      <c r="V270" s="34" t="str">
        <f aca="false">IF($E270="","",IF(OR($M270="",$T270=""),0,IF($M270&lt;=$T270,1,0)))</f>
        <v/>
      </c>
      <c r="W270" s="42" t="str">
        <f aca="false">IF(OR($M270="",$L270=""),"",MAX(0,$M270-$L270))</f>
        <v/>
      </c>
      <c r="X270" s="34" t="str">
        <f aca="false">IF($E270="","",IF(AND($O270&lt;&gt;"",$L270&lt;&gt;"",$O270&lt;&gt;$L270),1,0))</f>
        <v/>
      </c>
      <c r="Y270" s="34" t="str">
        <f aca="false">IF($E270="","",IF($N270="Cancelada",0,IF(OR($M270&lt;&gt;"",$N270="Concluída"),1,0)))</f>
        <v/>
      </c>
    </row>
    <row r="271" customFormat="false" ht="15" hidden="false" customHeight="true" outlineLevel="0" collapsed="false">
      <c r="A271" s="34" t="str">
        <f aca="false">IF($E271="","",COUNTA($E$5:$E271))</f>
        <v/>
      </c>
      <c r="B271" s="35"/>
      <c r="C271" s="35"/>
      <c r="D271" s="35"/>
      <c r="E271" s="35"/>
      <c r="F271" s="36"/>
      <c r="G271" s="37"/>
      <c r="H271" s="37"/>
      <c r="I271" s="37"/>
      <c r="J271" s="38"/>
      <c r="K271" s="39"/>
      <c r="L271" s="40" t="str">
        <f aca="false">IF(OR($J271="",$K271=""),"",$J271+MATCH($K271,Listas!$F$5:$F$11,0)-1)</f>
        <v/>
      </c>
      <c r="M271" s="41"/>
      <c r="N271" s="36"/>
      <c r="O271" s="41"/>
      <c r="P271" s="35"/>
      <c r="Q271" s="35"/>
      <c r="R271" s="42" t="str">
        <f aca="true">IF($E271="","",IF($N271="Cancelada","Cancelada",IF(OR($M271&lt;&gt;"",$N271="Concluída"),IF(OR($L271="",$M271="",$M271&lt;=$L271),"Concluída","Concluída com atraso"),IF($L271="","Na carteira",IF($L271&lt;TODAY(),"VENCIDA",IF($N271="Em execução","Em execução",IF($L271=TODAY(),"Hoje","Programada")))))))</f>
        <v/>
      </c>
      <c r="S271" s="34" t="str">
        <f aca="false">IF($E271="","",IF(ISNUMBER(SEARCH("(externo)",$G271&amp;$H271&amp;$I271)),"Terceirizada","Interna"))</f>
        <v/>
      </c>
      <c r="T271" s="40" t="str">
        <f aca="false">IF($L271="","",IF($O271="",$L271,$O271))</f>
        <v/>
      </c>
      <c r="U271" s="34" t="str">
        <f aca="false">IF($E271="","",IF(OR($M271="",$L271=""),0,IF($M271&lt;=$L271,1,0)))</f>
        <v/>
      </c>
      <c r="V271" s="34" t="str">
        <f aca="false">IF($E271="","",IF(OR($M271="",$T271=""),0,IF($M271&lt;=$T271,1,0)))</f>
        <v/>
      </c>
      <c r="W271" s="42" t="str">
        <f aca="false">IF(OR($M271="",$L271=""),"",MAX(0,$M271-$L271))</f>
        <v/>
      </c>
      <c r="X271" s="34" t="str">
        <f aca="false">IF($E271="","",IF(AND($O271&lt;&gt;"",$L271&lt;&gt;"",$O271&lt;&gt;$L271),1,0))</f>
        <v/>
      </c>
      <c r="Y271" s="34" t="str">
        <f aca="false">IF($E271="","",IF($N271="Cancelada",0,IF(OR($M271&lt;&gt;"",$N271="Concluída"),1,0)))</f>
        <v/>
      </c>
    </row>
    <row r="272" customFormat="false" ht="15" hidden="false" customHeight="true" outlineLevel="0" collapsed="false">
      <c r="A272" s="34" t="str">
        <f aca="false">IF($E272="","",COUNTA($E$5:$E272))</f>
        <v/>
      </c>
      <c r="B272" s="35"/>
      <c r="C272" s="35"/>
      <c r="D272" s="35"/>
      <c r="E272" s="35"/>
      <c r="F272" s="36"/>
      <c r="G272" s="37"/>
      <c r="H272" s="37"/>
      <c r="I272" s="37"/>
      <c r="J272" s="38"/>
      <c r="K272" s="39"/>
      <c r="L272" s="40" t="str">
        <f aca="false">IF(OR($J272="",$K272=""),"",$J272+MATCH($K272,Listas!$F$5:$F$11,0)-1)</f>
        <v/>
      </c>
      <c r="M272" s="41"/>
      <c r="N272" s="36"/>
      <c r="O272" s="41"/>
      <c r="P272" s="35"/>
      <c r="Q272" s="35"/>
      <c r="R272" s="42" t="str">
        <f aca="true">IF($E272="","",IF($N272="Cancelada","Cancelada",IF(OR($M272&lt;&gt;"",$N272="Concluída"),IF(OR($L272="",$M272="",$M272&lt;=$L272),"Concluída","Concluída com atraso"),IF($L272="","Na carteira",IF($L272&lt;TODAY(),"VENCIDA",IF($N272="Em execução","Em execução",IF($L272=TODAY(),"Hoje","Programada")))))))</f>
        <v/>
      </c>
      <c r="S272" s="34" t="str">
        <f aca="false">IF($E272="","",IF(ISNUMBER(SEARCH("(externo)",$G272&amp;$H272&amp;$I272)),"Terceirizada","Interna"))</f>
        <v/>
      </c>
      <c r="T272" s="40" t="str">
        <f aca="false">IF($L272="","",IF($O272="",$L272,$O272))</f>
        <v/>
      </c>
      <c r="U272" s="34" t="str">
        <f aca="false">IF($E272="","",IF(OR($M272="",$L272=""),0,IF($M272&lt;=$L272,1,0)))</f>
        <v/>
      </c>
      <c r="V272" s="34" t="str">
        <f aca="false">IF($E272="","",IF(OR($M272="",$T272=""),0,IF($M272&lt;=$T272,1,0)))</f>
        <v/>
      </c>
      <c r="W272" s="42" t="str">
        <f aca="false">IF(OR($M272="",$L272=""),"",MAX(0,$M272-$L272))</f>
        <v/>
      </c>
      <c r="X272" s="34" t="str">
        <f aca="false">IF($E272="","",IF(AND($O272&lt;&gt;"",$L272&lt;&gt;"",$O272&lt;&gt;$L272),1,0))</f>
        <v/>
      </c>
      <c r="Y272" s="34" t="str">
        <f aca="false">IF($E272="","",IF($N272="Cancelada",0,IF(OR($M272&lt;&gt;"",$N272="Concluída"),1,0)))</f>
        <v/>
      </c>
    </row>
    <row r="273" customFormat="false" ht="15" hidden="false" customHeight="true" outlineLevel="0" collapsed="false">
      <c r="A273" s="34" t="str">
        <f aca="false">IF($E273="","",COUNTA($E$5:$E273))</f>
        <v/>
      </c>
      <c r="B273" s="35"/>
      <c r="C273" s="35"/>
      <c r="D273" s="35"/>
      <c r="E273" s="35"/>
      <c r="F273" s="36"/>
      <c r="G273" s="37"/>
      <c r="H273" s="37"/>
      <c r="I273" s="37"/>
      <c r="J273" s="38"/>
      <c r="K273" s="39"/>
      <c r="L273" s="40" t="str">
        <f aca="false">IF(OR($J273="",$K273=""),"",$J273+MATCH($K273,Listas!$F$5:$F$11,0)-1)</f>
        <v/>
      </c>
      <c r="M273" s="41"/>
      <c r="N273" s="36"/>
      <c r="O273" s="41"/>
      <c r="P273" s="35"/>
      <c r="Q273" s="35"/>
      <c r="R273" s="42" t="str">
        <f aca="true">IF($E273="","",IF($N273="Cancelada","Cancelada",IF(OR($M273&lt;&gt;"",$N273="Concluída"),IF(OR($L273="",$M273="",$M273&lt;=$L273),"Concluída","Concluída com atraso"),IF($L273="","Na carteira",IF($L273&lt;TODAY(),"VENCIDA",IF($N273="Em execução","Em execução",IF($L273=TODAY(),"Hoje","Programada")))))))</f>
        <v/>
      </c>
      <c r="S273" s="34" t="str">
        <f aca="false">IF($E273="","",IF(ISNUMBER(SEARCH("(externo)",$G273&amp;$H273&amp;$I273)),"Terceirizada","Interna"))</f>
        <v/>
      </c>
      <c r="T273" s="40" t="str">
        <f aca="false">IF($L273="","",IF($O273="",$L273,$O273))</f>
        <v/>
      </c>
      <c r="U273" s="34" t="str">
        <f aca="false">IF($E273="","",IF(OR($M273="",$L273=""),0,IF($M273&lt;=$L273,1,0)))</f>
        <v/>
      </c>
      <c r="V273" s="34" t="str">
        <f aca="false">IF($E273="","",IF(OR($M273="",$T273=""),0,IF($M273&lt;=$T273,1,0)))</f>
        <v/>
      </c>
      <c r="W273" s="42" t="str">
        <f aca="false">IF(OR($M273="",$L273=""),"",MAX(0,$M273-$L273))</f>
        <v/>
      </c>
      <c r="X273" s="34" t="str">
        <f aca="false">IF($E273="","",IF(AND($O273&lt;&gt;"",$L273&lt;&gt;"",$O273&lt;&gt;$L273),1,0))</f>
        <v/>
      </c>
      <c r="Y273" s="34" t="str">
        <f aca="false">IF($E273="","",IF($N273="Cancelada",0,IF(OR($M273&lt;&gt;"",$N273="Concluída"),1,0)))</f>
        <v/>
      </c>
    </row>
    <row r="274" customFormat="false" ht="15" hidden="false" customHeight="true" outlineLevel="0" collapsed="false">
      <c r="A274" s="34" t="str">
        <f aca="false">IF($E274="","",COUNTA($E$5:$E274))</f>
        <v/>
      </c>
      <c r="B274" s="35"/>
      <c r="C274" s="35"/>
      <c r="D274" s="35"/>
      <c r="E274" s="35"/>
      <c r="F274" s="36"/>
      <c r="G274" s="37"/>
      <c r="H274" s="37"/>
      <c r="I274" s="37"/>
      <c r="J274" s="38"/>
      <c r="K274" s="39"/>
      <c r="L274" s="40" t="str">
        <f aca="false">IF(OR($J274="",$K274=""),"",$J274+MATCH($K274,Listas!$F$5:$F$11,0)-1)</f>
        <v/>
      </c>
      <c r="M274" s="41"/>
      <c r="N274" s="36"/>
      <c r="O274" s="41"/>
      <c r="P274" s="35"/>
      <c r="Q274" s="35"/>
      <c r="R274" s="42" t="str">
        <f aca="true">IF($E274="","",IF($N274="Cancelada","Cancelada",IF(OR($M274&lt;&gt;"",$N274="Concluída"),IF(OR($L274="",$M274="",$M274&lt;=$L274),"Concluída","Concluída com atraso"),IF($L274="","Na carteira",IF($L274&lt;TODAY(),"VENCIDA",IF($N274="Em execução","Em execução",IF($L274=TODAY(),"Hoje","Programada")))))))</f>
        <v/>
      </c>
      <c r="S274" s="34" t="str">
        <f aca="false">IF($E274="","",IF(ISNUMBER(SEARCH("(externo)",$G274&amp;$H274&amp;$I274)),"Terceirizada","Interna"))</f>
        <v/>
      </c>
      <c r="T274" s="40" t="str">
        <f aca="false">IF($L274="","",IF($O274="",$L274,$O274))</f>
        <v/>
      </c>
      <c r="U274" s="34" t="str">
        <f aca="false">IF($E274="","",IF(OR($M274="",$L274=""),0,IF($M274&lt;=$L274,1,0)))</f>
        <v/>
      </c>
      <c r="V274" s="34" t="str">
        <f aca="false">IF($E274="","",IF(OR($M274="",$T274=""),0,IF($M274&lt;=$T274,1,0)))</f>
        <v/>
      </c>
      <c r="W274" s="42" t="str">
        <f aca="false">IF(OR($M274="",$L274=""),"",MAX(0,$M274-$L274))</f>
        <v/>
      </c>
      <c r="X274" s="34" t="str">
        <f aca="false">IF($E274="","",IF(AND($O274&lt;&gt;"",$L274&lt;&gt;"",$O274&lt;&gt;$L274),1,0))</f>
        <v/>
      </c>
      <c r="Y274" s="34" t="str">
        <f aca="false">IF($E274="","",IF($N274="Cancelada",0,IF(OR($M274&lt;&gt;"",$N274="Concluída"),1,0)))</f>
        <v/>
      </c>
    </row>
    <row r="275" customFormat="false" ht="15" hidden="false" customHeight="true" outlineLevel="0" collapsed="false">
      <c r="A275" s="34" t="str">
        <f aca="false">IF($E275="","",COUNTA($E$5:$E275))</f>
        <v/>
      </c>
      <c r="B275" s="35"/>
      <c r="C275" s="35"/>
      <c r="D275" s="35"/>
      <c r="E275" s="35"/>
      <c r="F275" s="36"/>
      <c r="G275" s="37"/>
      <c r="H275" s="37"/>
      <c r="I275" s="37"/>
      <c r="J275" s="38"/>
      <c r="K275" s="39"/>
      <c r="L275" s="40" t="str">
        <f aca="false">IF(OR($J275="",$K275=""),"",$J275+MATCH($K275,Listas!$F$5:$F$11,0)-1)</f>
        <v/>
      </c>
      <c r="M275" s="41"/>
      <c r="N275" s="36"/>
      <c r="O275" s="41"/>
      <c r="P275" s="35"/>
      <c r="Q275" s="35"/>
      <c r="R275" s="42" t="str">
        <f aca="true">IF($E275="","",IF($N275="Cancelada","Cancelada",IF(OR($M275&lt;&gt;"",$N275="Concluída"),IF(OR($L275="",$M275="",$M275&lt;=$L275),"Concluída","Concluída com atraso"),IF($L275="","Na carteira",IF($L275&lt;TODAY(),"VENCIDA",IF($N275="Em execução","Em execução",IF($L275=TODAY(),"Hoje","Programada")))))))</f>
        <v/>
      </c>
      <c r="S275" s="34" t="str">
        <f aca="false">IF($E275="","",IF(ISNUMBER(SEARCH("(externo)",$G275&amp;$H275&amp;$I275)),"Terceirizada","Interna"))</f>
        <v/>
      </c>
      <c r="T275" s="40" t="str">
        <f aca="false">IF($L275="","",IF($O275="",$L275,$O275))</f>
        <v/>
      </c>
      <c r="U275" s="34" t="str">
        <f aca="false">IF($E275="","",IF(OR($M275="",$L275=""),0,IF($M275&lt;=$L275,1,0)))</f>
        <v/>
      </c>
      <c r="V275" s="34" t="str">
        <f aca="false">IF($E275="","",IF(OR($M275="",$T275=""),0,IF($M275&lt;=$T275,1,0)))</f>
        <v/>
      </c>
      <c r="W275" s="42" t="str">
        <f aca="false">IF(OR($M275="",$L275=""),"",MAX(0,$M275-$L275))</f>
        <v/>
      </c>
      <c r="X275" s="34" t="str">
        <f aca="false">IF($E275="","",IF(AND($O275&lt;&gt;"",$L275&lt;&gt;"",$O275&lt;&gt;$L275),1,0))</f>
        <v/>
      </c>
      <c r="Y275" s="34" t="str">
        <f aca="false">IF($E275="","",IF($N275="Cancelada",0,IF(OR($M275&lt;&gt;"",$N275="Concluída"),1,0)))</f>
        <v/>
      </c>
    </row>
    <row r="276" customFormat="false" ht="15" hidden="false" customHeight="true" outlineLevel="0" collapsed="false">
      <c r="A276" s="34" t="str">
        <f aca="false">IF($E276="","",COUNTA($E$5:$E276))</f>
        <v/>
      </c>
      <c r="B276" s="35"/>
      <c r="C276" s="35"/>
      <c r="D276" s="35"/>
      <c r="E276" s="35"/>
      <c r="F276" s="36"/>
      <c r="G276" s="37"/>
      <c r="H276" s="37"/>
      <c r="I276" s="37"/>
      <c r="J276" s="38"/>
      <c r="K276" s="39"/>
      <c r="L276" s="40" t="str">
        <f aca="false">IF(OR($J276="",$K276=""),"",$J276+MATCH($K276,Listas!$F$5:$F$11,0)-1)</f>
        <v/>
      </c>
      <c r="M276" s="41"/>
      <c r="N276" s="36"/>
      <c r="O276" s="41"/>
      <c r="P276" s="35"/>
      <c r="Q276" s="35"/>
      <c r="R276" s="42" t="str">
        <f aca="true">IF($E276="","",IF($N276="Cancelada","Cancelada",IF(OR($M276&lt;&gt;"",$N276="Concluída"),IF(OR($L276="",$M276="",$M276&lt;=$L276),"Concluída","Concluída com atraso"),IF($L276="","Na carteira",IF($L276&lt;TODAY(),"VENCIDA",IF($N276="Em execução","Em execução",IF($L276=TODAY(),"Hoje","Programada")))))))</f>
        <v/>
      </c>
      <c r="S276" s="34" t="str">
        <f aca="false">IF($E276="","",IF(ISNUMBER(SEARCH("(externo)",$G276&amp;$H276&amp;$I276)),"Terceirizada","Interna"))</f>
        <v/>
      </c>
      <c r="T276" s="40" t="str">
        <f aca="false">IF($L276="","",IF($O276="",$L276,$O276))</f>
        <v/>
      </c>
      <c r="U276" s="34" t="str">
        <f aca="false">IF($E276="","",IF(OR($M276="",$L276=""),0,IF($M276&lt;=$L276,1,0)))</f>
        <v/>
      </c>
      <c r="V276" s="34" t="str">
        <f aca="false">IF($E276="","",IF(OR($M276="",$T276=""),0,IF($M276&lt;=$T276,1,0)))</f>
        <v/>
      </c>
      <c r="W276" s="42" t="str">
        <f aca="false">IF(OR($M276="",$L276=""),"",MAX(0,$M276-$L276))</f>
        <v/>
      </c>
      <c r="X276" s="34" t="str">
        <f aca="false">IF($E276="","",IF(AND($O276&lt;&gt;"",$L276&lt;&gt;"",$O276&lt;&gt;$L276),1,0))</f>
        <v/>
      </c>
      <c r="Y276" s="34" t="str">
        <f aca="false">IF($E276="","",IF($N276="Cancelada",0,IF(OR($M276&lt;&gt;"",$N276="Concluída"),1,0)))</f>
        <v/>
      </c>
    </row>
    <row r="277" customFormat="false" ht="15" hidden="false" customHeight="true" outlineLevel="0" collapsed="false">
      <c r="A277" s="34" t="str">
        <f aca="false">IF($E277="","",COUNTA($E$5:$E277))</f>
        <v/>
      </c>
      <c r="B277" s="35"/>
      <c r="C277" s="35"/>
      <c r="D277" s="35"/>
      <c r="E277" s="35"/>
      <c r="F277" s="36"/>
      <c r="G277" s="37"/>
      <c r="H277" s="37"/>
      <c r="I277" s="37"/>
      <c r="J277" s="38"/>
      <c r="K277" s="39"/>
      <c r="L277" s="40" t="str">
        <f aca="false">IF(OR($J277="",$K277=""),"",$J277+MATCH($K277,Listas!$F$5:$F$11,0)-1)</f>
        <v/>
      </c>
      <c r="M277" s="41"/>
      <c r="N277" s="36"/>
      <c r="O277" s="41"/>
      <c r="P277" s="35"/>
      <c r="Q277" s="35"/>
      <c r="R277" s="42" t="str">
        <f aca="true">IF($E277="","",IF($N277="Cancelada","Cancelada",IF(OR($M277&lt;&gt;"",$N277="Concluída"),IF(OR($L277="",$M277="",$M277&lt;=$L277),"Concluída","Concluída com atraso"),IF($L277="","Na carteira",IF($L277&lt;TODAY(),"VENCIDA",IF($N277="Em execução","Em execução",IF($L277=TODAY(),"Hoje","Programada")))))))</f>
        <v/>
      </c>
      <c r="S277" s="34" t="str">
        <f aca="false">IF($E277="","",IF(ISNUMBER(SEARCH("(externo)",$G277&amp;$H277&amp;$I277)),"Terceirizada","Interna"))</f>
        <v/>
      </c>
      <c r="T277" s="40" t="str">
        <f aca="false">IF($L277="","",IF($O277="",$L277,$O277))</f>
        <v/>
      </c>
      <c r="U277" s="34" t="str">
        <f aca="false">IF($E277="","",IF(OR($M277="",$L277=""),0,IF($M277&lt;=$L277,1,0)))</f>
        <v/>
      </c>
      <c r="V277" s="34" t="str">
        <f aca="false">IF($E277="","",IF(OR($M277="",$T277=""),0,IF($M277&lt;=$T277,1,0)))</f>
        <v/>
      </c>
      <c r="W277" s="42" t="str">
        <f aca="false">IF(OR($M277="",$L277=""),"",MAX(0,$M277-$L277))</f>
        <v/>
      </c>
      <c r="X277" s="34" t="str">
        <f aca="false">IF($E277="","",IF(AND($O277&lt;&gt;"",$L277&lt;&gt;"",$O277&lt;&gt;$L277),1,0))</f>
        <v/>
      </c>
      <c r="Y277" s="34" t="str">
        <f aca="false">IF($E277="","",IF($N277="Cancelada",0,IF(OR($M277&lt;&gt;"",$N277="Concluída"),1,0)))</f>
        <v/>
      </c>
    </row>
    <row r="278" customFormat="false" ht="15" hidden="false" customHeight="true" outlineLevel="0" collapsed="false">
      <c r="A278" s="34" t="str">
        <f aca="false">IF($E278="","",COUNTA($E$5:$E278))</f>
        <v/>
      </c>
      <c r="B278" s="35"/>
      <c r="C278" s="35"/>
      <c r="D278" s="35"/>
      <c r="E278" s="35"/>
      <c r="F278" s="36"/>
      <c r="G278" s="37"/>
      <c r="H278" s="37"/>
      <c r="I278" s="37"/>
      <c r="J278" s="38"/>
      <c r="K278" s="39"/>
      <c r="L278" s="40" t="str">
        <f aca="false">IF(OR($J278="",$K278=""),"",$J278+MATCH($K278,Listas!$F$5:$F$11,0)-1)</f>
        <v/>
      </c>
      <c r="M278" s="41"/>
      <c r="N278" s="36"/>
      <c r="O278" s="41"/>
      <c r="P278" s="35"/>
      <c r="Q278" s="35"/>
      <c r="R278" s="42" t="str">
        <f aca="true">IF($E278="","",IF($N278="Cancelada","Cancelada",IF(OR($M278&lt;&gt;"",$N278="Concluída"),IF(OR($L278="",$M278="",$M278&lt;=$L278),"Concluída","Concluída com atraso"),IF($L278="","Na carteira",IF($L278&lt;TODAY(),"VENCIDA",IF($N278="Em execução","Em execução",IF($L278=TODAY(),"Hoje","Programada")))))))</f>
        <v/>
      </c>
      <c r="S278" s="34" t="str">
        <f aca="false">IF($E278="","",IF(ISNUMBER(SEARCH("(externo)",$G278&amp;$H278&amp;$I278)),"Terceirizada","Interna"))</f>
        <v/>
      </c>
      <c r="T278" s="40" t="str">
        <f aca="false">IF($L278="","",IF($O278="",$L278,$O278))</f>
        <v/>
      </c>
      <c r="U278" s="34" t="str">
        <f aca="false">IF($E278="","",IF(OR($M278="",$L278=""),0,IF($M278&lt;=$L278,1,0)))</f>
        <v/>
      </c>
      <c r="V278" s="34" t="str">
        <f aca="false">IF($E278="","",IF(OR($M278="",$T278=""),0,IF($M278&lt;=$T278,1,0)))</f>
        <v/>
      </c>
      <c r="W278" s="42" t="str">
        <f aca="false">IF(OR($M278="",$L278=""),"",MAX(0,$M278-$L278))</f>
        <v/>
      </c>
      <c r="X278" s="34" t="str">
        <f aca="false">IF($E278="","",IF(AND($O278&lt;&gt;"",$L278&lt;&gt;"",$O278&lt;&gt;$L278),1,0))</f>
        <v/>
      </c>
      <c r="Y278" s="34" t="str">
        <f aca="false">IF($E278="","",IF($N278="Cancelada",0,IF(OR($M278&lt;&gt;"",$N278="Concluída"),1,0)))</f>
        <v/>
      </c>
    </row>
    <row r="279" customFormat="false" ht="15" hidden="false" customHeight="true" outlineLevel="0" collapsed="false">
      <c r="A279" s="34" t="str">
        <f aca="false">IF($E279="","",COUNTA($E$5:$E279))</f>
        <v/>
      </c>
      <c r="B279" s="35"/>
      <c r="C279" s="35"/>
      <c r="D279" s="35"/>
      <c r="E279" s="35"/>
      <c r="F279" s="36"/>
      <c r="G279" s="37"/>
      <c r="H279" s="37"/>
      <c r="I279" s="37"/>
      <c r="J279" s="38"/>
      <c r="K279" s="39"/>
      <c r="L279" s="40" t="str">
        <f aca="false">IF(OR($J279="",$K279=""),"",$J279+MATCH($K279,Listas!$F$5:$F$11,0)-1)</f>
        <v/>
      </c>
      <c r="M279" s="41"/>
      <c r="N279" s="36"/>
      <c r="O279" s="41"/>
      <c r="P279" s="35"/>
      <c r="Q279" s="35"/>
      <c r="R279" s="42" t="str">
        <f aca="true">IF($E279="","",IF($N279="Cancelada","Cancelada",IF(OR($M279&lt;&gt;"",$N279="Concluída"),IF(OR($L279="",$M279="",$M279&lt;=$L279),"Concluída","Concluída com atraso"),IF($L279="","Na carteira",IF($L279&lt;TODAY(),"VENCIDA",IF($N279="Em execução","Em execução",IF($L279=TODAY(),"Hoje","Programada")))))))</f>
        <v/>
      </c>
      <c r="S279" s="34" t="str">
        <f aca="false">IF($E279="","",IF(ISNUMBER(SEARCH("(externo)",$G279&amp;$H279&amp;$I279)),"Terceirizada","Interna"))</f>
        <v/>
      </c>
      <c r="T279" s="40" t="str">
        <f aca="false">IF($L279="","",IF($O279="",$L279,$O279))</f>
        <v/>
      </c>
      <c r="U279" s="34" t="str">
        <f aca="false">IF($E279="","",IF(OR($M279="",$L279=""),0,IF($M279&lt;=$L279,1,0)))</f>
        <v/>
      </c>
      <c r="V279" s="34" t="str">
        <f aca="false">IF($E279="","",IF(OR($M279="",$T279=""),0,IF($M279&lt;=$T279,1,0)))</f>
        <v/>
      </c>
      <c r="W279" s="42" t="str">
        <f aca="false">IF(OR($M279="",$L279=""),"",MAX(0,$M279-$L279))</f>
        <v/>
      </c>
      <c r="X279" s="34" t="str">
        <f aca="false">IF($E279="","",IF(AND($O279&lt;&gt;"",$L279&lt;&gt;"",$O279&lt;&gt;$L279),1,0))</f>
        <v/>
      </c>
      <c r="Y279" s="34" t="str">
        <f aca="false">IF($E279="","",IF($N279="Cancelada",0,IF(OR($M279&lt;&gt;"",$N279="Concluída"),1,0)))</f>
        <v/>
      </c>
    </row>
    <row r="280" customFormat="false" ht="15" hidden="false" customHeight="true" outlineLevel="0" collapsed="false">
      <c r="A280" s="34" t="str">
        <f aca="false">IF($E280="","",COUNTA($E$5:$E280))</f>
        <v/>
      </c>
      <c r="B280" s="35"/>
      <c r="C280" s="35"/>
      <c r="D280" s="35"/>
      <c r="E280" s="35"/>
      <c r="F280" s="36"/>
      <c r="G280" s="37"/>
      <c r="H280" s="37"/>
      <c r="I280" s="37"/>
      <c r="J280" s="38"/>
      <c r="K280" s="39"/>
      <c r="L280" s="40" t="str">
        <f aca="false">IF(OR($J280="",$K280=""),"",$J280+MATCH($K280,Listas!$F$5:$F$11,0)-1)</f>
        <v/>
      </c>
      <c r="M280" s="41"/>
      <c r="N280" s="36"/>
      <c r="O280" s="41"/>
      <c r="P280" s="35"/>
      <c r="Q280" s="35"/>
      <c r="R280" s="42" t="str">
        <f aca="true">IF($E280="","",IF($N280="Cancelada","Cancelada",IF(OR($M280&lt;&gt;"",$N280="Concluída"),IF(OR($L280="",$M280="",$M280&lt;=$L280),"Concluída","Concluída com atraso"),IF($L280="","Na carteira",IF($L280&lt;TODAY(),"VENCIDA",IF($N280="Em execução","Em execução",IF($L280=TODAY(),"Hoje","Programada")))))))</f>
        <v/>
      </c>
      <c r="S280" s="34" t="str">
        <f aca="false">IF($E280="","",IF(ISNUMBER(SEARCH("(externo)",$G280&amp;$H280&amp;$I280)),"Terceirizada","Interna"))</f>
        <v/>
      </c>
      <c r="T280" s="40" t="str">
        <f aca="false">IF($L280="","",IF($O280="",$L280,$O280))</f>
        <v/>
      </c>
      <c r="U280" s="34" t="str">
        <f aca="false">IF($E280="","",IF(OR($M280="",$L280=""),0,IF($M280&lt;=$L280,1,0)))</f>
        <v/>
      </c>
      <c r="V280" s="34" t="str">
        <f aca="false">IF($E280="","",IF(OR($M280="",$T280=""),0,IF($M280&lt;=$T280,1,0)))</f>
        <v/>
      </c>
      <c r="W280" s="42" t="str">
        <f aca="false">IF(OR($M280="",$L280=""),"",MAX(0,$M280-$L280))</f>
        <v/>
      </c>
      <c r="X280" s="34" t="str">
        <f aca="false">IF($E280="","",IF(AND($O280&lt;&gt;"",$L280&lt;&gt;"",$O280&lt;&gt;$L280),1,0))</f>
        <v/>
      </c>
      <c r="Y280" s="34" t="str">
        <f aca="false">IF($E280="","",IF($N280="Cancelada",0,IF(OR($M280&lt;&gt;"",$N280="Concluída"),1,0)))</f>
        <v/>
      </c>
    </row>
    <row r="281" customFormat="false" ht="15" hidden="false" customHeight="true" outlineLevel="0" collapsed="false">
      <c r="A281" s="34" t="str">
        <f aca="false">IF($E281="","",COUNTA($E$5:$E281))</f>
        <v/>
      </c>
      <c r="B281" s="35"/>
      <c r="C281" s="35"/>
      <c r="D281" s="35"/>
      <c r="E281" s="35"/>
      <c r="F281" s="36"/>
      <c r="G281" s="37"/>
      <c r="H281" s="37"/>
      <c r="I281" s="37"/>
      <c r="J281" s="38"/>
      <c r="K281" s="39"/>
      <c r="L281" s="40" t="str">
        <f aca="false">IF(OR($J281="",$K281=""),"",$J281+MATCH($K281,Listas!$F$5:$F$11,0)-1)</f>
        <v/>
      </c>
      <c r="M281" s="41"/>
      <c r="N281" s="36"/>
      <c r="O281" s="41"/>
      <c r="P281" s="35"/>
      <c r="Q281" s="35"/>
      <c r="R281" s="42" t="str">
        <f aca="true">IF($E281="","",IF($N281="Cancelada","Cancelada",IF(OR($M281&lt;&gt;"",$N281="Concluída"),IF(OR($L281="",$M281="",$M281&lt;=$L281),"Concluída","Concluída com atraso"),IF($L281="","Na carteira",IF($L281&lt;TODAY(),"VENCIDA",IF($N281="Em execução","Em execução",IF($L281=TODAY(),"Hoje","Programada")))))))</f>
        <v/>
      </c>
      <c r="S281" s="34" t="str">
        <f aca="false">IF($E281="","",IF(ISNUMBER(SEARCH("(externo)",$G281&amp;$H281&amp;$I281)),"Terceirizada","Interna"))</f>
        <v/>
      </c>
      <c r="T281" s="40" t="str">
        <f aca="false">IF($L281="","",IF($O281="",$L281,$O281))</f>
        <v/>
      </c>
      <c r="U281" s="34" t="str">
        <f aca="false">IF($E281="","",IF(OR($M281="",$L281=""),0,IF($M281&lt;=$L281,1,0)))</f>
        <v/>
      </c>
      <c r="V281" s="34" t="str">
        <f aca="false">IF($E281="","",IF(OR($M281="",$T281=""),0,IF($M281&lt;=$T281,1,0)))</f>
        <v/>
      </c>
      <c r="W281" s="42" t="str">
        <f aca="false">IF(OR($M281="",$L281=""),"",MAX(0,$M281-$L281))</f>
        <v/>
      </c>
      <c r="X281" s="34" t="str">
        <f aca="false">IF($E281="","",IF(AND($O281&lt;&gt;"",$L281&lt;&gt;"",$O281&lt;&gt;$L281),1,0))</f>
        <v/>
      </c>
      <c r="Y281" s="34" t="str">
        <f aca="false">IF($E281="","",IF($N281="Cancelada",0,IF(OR($M281&lt;&gt;"",$N281="Concluída"),1,0)))</f>
        <v/>
      </c>
    </row>
    <row r="282" customFormat="false" ht="15" hidden="false" customHeight="true" outlineLevel="0" collapsed="false">
      <c r="A282" s="34" t="str">
        <f aca="false">IF($E282="","",COUNTA($E$5:$E282))</f>
        <v/>
      </c>
      <c r="B282" s="35"/>
      <c r="C282" s="35"/>
      <c r="D282" s="35"/>
      <c r="E282" s="35"/>
      <c r="F282" s="36"/>
      <c r="G282" s="37"/>
      <c r="H282" s="37"/>
      <c r="I282" s="37"/>
      <c r="J282" s="38"/>
      <c r="K282" s="39"/>
      <c r="L282" s="40" t="str">
        <f aca="false">IF(OR($J282="",$K282=""),"",$J282+MATCH($K282,Listas!$F$5:$F$11,0)-1)</f>
        <v/>
      </c>
      <c r="M282" s="41"/>
      <c r="N282" s="36"/>
      <c r="O282" s="41"/>
      <c r="P282" s="35"/>
      <c r="Q282" s="35"/>
      <c r="R282" s="42" t="str">
        <f aca="true">IF($E282="","",IF($N282="Cancelada","Cancelada",IF(OR($M282&lt;&gt;"",$N282="Concluída"),IF(OR($L282="",$M282="",$M282&lt;=$L282),"Concluída","Concluída com atraso"),IF($L282="","Na carteira",IF($L282&lt;TODAY(),"VENCIDA",IF($N282="Em execução","Em execução",IF($L282=TODAY(),"Hoje","Programada")))))))</f>
        <v/>
      </c>
      <c r="S282" s="34" t="str">
        <f aca="false">IF($E282="","",IF(ISNUMBER(SEARCH("(externo)",$G282&amp;$H282&amp;$I282)),"Terceirizada","Interna"))</f>
        <v/>
      </c>
      <c r="T282" s="40" t="str">
        <f aca="false">IF($L282="","",IF($O282="",$L282,$O282))</f>
        <v/>
      </c>
      <c r="U282" s="34" t="str">
        <f aca="false">IF($E282="","",IF(OR($M282="",$L282=""),0,IF($M282&lt;=$L282,1,0)))</f>
        <v/>
      </c>
      <c r="V282" s="34" t="str">
        <f aca="false">IF($E282="","",IF(OR($M282="",$T282=""),0,IF($M282&lt;=$T282,1,0)))</f>
        <v/>
      </c>
      <c r="W282" s="42" t="str">
        <f aca="false">IF(OR($M282="",$L282=""),"",MAX(0,$M282-$L282))</f>
        <v/>
      </c>
      <c r="X282" s="34" t="str">
        <f aca="false">IF($E282="","",IF(AND($O282&lt;&gt;"",$L282&lt;&gt;"",$O282&lt;&gt;$L282),1,0))</f>
        <v/>
      </c>
      <c r="Y282" s="34" t="str">
        <f aca="false">IF($E282="","",IF($N282="Cancelada",0,IF(OR($M282&lt;&gt;"",$N282="Concluída"),1,0)))</f>
        <v/>
      </c>
    </row>
    <row r="283" customFormat="false" ht="15" hidden="false" customHeight="true" outlineLevel="0" collapsed="false">
      <c r="A283" s="34" t="str">
        <f aca="false">IF($E283="","",COUNTA($E$5:$E283))</f>
        <v/>
      </c>
      <c r="B283" s="35"/>
      <c r="C283" s="35"/>
      <c r="D283" s="35"/>
      <c r="E283" s="35"/>
      <c r="F283" s="36"/>
      <c r="G283" s="37"/>
      <c r="H283" s="37"/>
      <c r="I283" s="37"/>
      <c r="J283" s="38"/>
      <c r="K283" s="39"/>
      <c r="L283" s="40" t="str">
        <f aca="false">IF(OR($J283="",$K283=""),"",$J283+MATCH($K283,Listas!$F$5:$F$11,0)-1)</f>
        <v/>
      </c>
      <c r="M283" s="41"/>
      <c r="N283" s="36"/>
      <c r="O283" s="41"/>
      <c r="P283" s="35"/>
      <c r="Q283" s="35"/>
      <c r="R283" s="42" t="str">
        <f aca="true">IF($E283="","",IF($N283="Cancelada","Cancelada",IF(OR($M283&lt;&gt;"",$N283="Concluída"),IF(OR($L283="",$M283="",$M283&lt;=$L283),"Concluída","Concluída com atraso"),IF($L283="","Na carteira",IF($L283&lt;TODAY(),"VENCIDA",IF($N283="Em execução","Em execução",IF($L283=TODAY(),"Hoje","Programada")))))))</f>
        <v/>
      </c>
      <c r="S283" s="34" t="str">
        <f aca="false">IF($E283="","",IF(ISNUMBER(SEARCH("(externo)",$G283&amp;$H283&amp;$I283)),"Terceirizada","Interna"))</f>
        <v/>
      </c>
      <c r="T283" s="40" t="str">
        <f aca="false">IF($L283="","",IF($O283="",$L283,$O283))</f>
        <v/>
      </c>
      <c r="U283" s="34" t="str">
        <f aca="false">IF($E283="","",IF(OR($M283="",$L283=""),0,IF($M283&lt;=$L283,1,0)))</f>
        <v/>
      </c>
      <c r="V283" s="34" t="str">
        <f aca="false">IF($E283="","",IF(OR($M283="",$T283=""),0,IF($M283&lt;=$T283,1,0)))</f>
        <v/>
      </c>
      <c r="W283" s="42" t="str">
        <f aca="false">IF(OR($M283="",$L283=""),"",MAX(0,$M283-$L283))</f>
        <v/>
      </c>
      <c r="X283" s="34" t="str">
        <f aca="false">IF($E283="","",IF(AND($O283&lt;&gt;"",$L283&lt;&gt;"",$O283&lt;&gt;$L283),1,0))</f>
        <v/>
      </c>
      <c r="Y283" s="34" t="str">
        <f aca="false">IF($E283="","",IF($N283="Cancelada",0,IF(OR($M283&lt;&gt;"",$N283="Concluída"),1,0)))</f>
        <v/>
      </c>
    </row>
    <row r="284" customFormat="false" ht="15" hidden="false" customHeight="true" outlineLevel="0" collapsed="false">
      <c r="A284" s="34" t="str">
        <f aca="false">IF($E284="","",COUNTA($E$5:$E284))</f>
        <v/>
      </c>
      <c r="B284" s="35"/>
      <c r="C284" s="35"/>
      <c r="D284" s="35"/>
      <c r="E284" s="35"/>
      <c r="F284" s="36"/>
      <c r="G284" s="37"/>
      <c r="H284" s="37"/>
      <c r="I284" s="37"/>
      <c r="J284" s="38"/>
      <c r="K284" s="39"/>
      <c r="L284" s="40" t="str">
        <f aca="false">IF(OR($J284="",$K284=""),"",$J284+MATCH($K284,Listas!$F$5:$F$11,0)-1)</f>
        <v/>
      </c>
      <c r="M284" s="41"/>
      <c r="N284" s="36"/>
      <c r="O284" s="41"/>
      <c r="P284" s="35"/>
      <c r="Q284" s="35"/>
      <c r="R284" s="42" t="str">
        <f aca="true">IF($E284="","",IF($N284="Cancelada","Cancelada",IF(OR($M284&lt;&gt;"",$N284="Concluída"),IF(OR($L284="",$M284="",$M284&lt;=$L284),"Concluída","Concluída com atraso"),IF($L284="","Na carteira",IF($L284&lt;TODAY(),"VENCIDA",IF($N284="Em execução","Em execução",IF($L284=TODAY(),"Hoje","Programada")))))))</f>
        <v/>
      </c>
      <c r="S284" s="34" t="str">
        <f aca="false">IF($E284="","",IF(ISNUMBER(SEARCH("(externo)",$G284&amp;$H284&amp;$I284)),"Terceirizada","Interna"))</f>
        <v/>
      </c>
      <c r="T284" s="40" t="str">
        <f aca="false">IF($L284="","",IF($O284="",$L284,$O284))</f>
        <v/>
      </c>
      <c r="U284" s="34" t="str">
        <f aca="false">IF($E284="","",IF(OR($M284="",$L284=""),0,IF($M284&lt;=$L284,1,0)))</f>
        <v/>
      </c>
      <c r="V284" s="34" t="str">
        <f aca="false">IF($E284="","",IF(OR($M284="",$T284=""),0,IF($M284&lt;=$T284,1,0)))</f>
        <v/>
      </c>
      <c r="W284" s="42" t="str">
        <f aca="false">IF(OR($M284="",$L284=""),"",MAX(0,$M284-$L284))</f>
        <v/>
      </c>
      <c r="X284" s="34" t="str">
        <f aca="false">IF($E284="","",IF(AND($O284&lt;&gt;"",$L284&lt;&gt;"",$O284&lt;&gt;$L284),1,0))</f>
        <v/>
      </c>
      <c r="Y284" s="34" t="str">
        <f aca="false">IF($E284="","",IF($N284="Cancelada",0,IF(OR($M284&lt;&gt;"",$N284="Concluída"),1,0)))</f>
        <v/>
      </c>
    </row>
    <row r="285" customFormat="false" ht="15" hidden="false" customHeight="true" outlineLevel="0" collapsed="false">
      <c r="A285" s="34" t="str">
        <f aca="false">IF($E285="","",COUNTA($E$5:$E285))</f>
        <v/>
      </c>
      <c r="B285" s="35"/>
      <c r="C285" s="35"/>
      <c r="D285" s="35"/>
      <c r="E285" s="35"/>
      <c r="F285" s="36"/>
      <c r="G285" s="37"/>
      <c r="H285" s="37"/>
      <c r="I285" s="37"/>
      <c r="J285" s="38"/>
      <c r="K285" s="39"/>
      <c r="L285" s="40" t="str">
        <f aca="false">IF(OR($J285="",$K285=""),"",$J285+MATCH($K285,Listas!$F$5:$F$11,0)-1)</f>
        <v/>
      </c>
      <c r="M285" s="41"/>
      <c r="N285" s="36"/>
      <c r="O285" s="41"/>
      <c r="P285" s="35"/>
      <c r="Q285" s="35"/>
      <c r="R285" s="42" t="str">
        <f aca="true">IF($E285="","",IF($N285="Cancelada","Cancelada",IF(OR($M285&lt;&gt;"",$N285="Concluída"),IF(OR($L285="",$M285="",$M285&lt;=$L285),"Concluída","Concluída com atraso"),IF($L285="","Na carteira",IF($L285&lt;TODAY(),"VENCIDA",IF($N285="Em execução","Em execução",IF($L285=TODAY(),"Hoje","Programada")))))))</f>
        <v/>
      </c>
      <c r="S285" s="34" t="str">
        <f aca="false">IF($E285="","",IF(ISNUMBER(SEARCH("(externo)",$G285&amp;$H285&amp;$I285)),"Terceirizada","Interna"))</f>
        <v/>
      </c>
      <c r="T285" s="40" t="str">
        <f aca="false">IF($L285="","",IF($O285="",$L285,$O285))</f>
        <v/>
      </c>
      <c r="U285" s="34" t="str">
        <f aca="false">IF($E285="","",IF(OR($M285="",$L285=""),0,IF($M285&lt;=$L285,1,0)))</f>
        <v/>
      </c>
      <c r="V285" s="34" t="str">
        <f aca="false">IF($E285="","",IF(OR($M285="",$T285=""),0,IF($M285&lt;=$T285,1,0)))</f>
        <v/>
      </c>
      <c r="W285" s="42" t="str">
        <f aca="false">IF(OR($M285="",$L285=""),"",MAX(0,$M285-$L285))</f>
        <v/>
      </c>
      <c r="X285" s="34" t="str">
        <f aca="false">IF($E285="","",IF(AND($O285&lt;&gt;"",$L285&lt;&gt;"",$O285&lt;&gt;$L285),1,0))</f>
        <v/>
      </c>
      <c r="Y285" s="34" t="str">
        <f aca="false">IF($E285="","",IF($N285="Cancelada",0,IF(OR($M285&lt;&gt;"",$N285="Concluída"),1,0)))</f>
        <v/>
      </c>
    </row>
    <row r="286" customFormat="false" ht="15" hidden="false" customHeight="true" outlineLevel="0" collapsed="false">
      <c r="A286" s="34" t="str">
        <f aca="false">IF($E286="","",COUNTA($E$5:$E286))</f>
        <v/>
      </c>
      <c r="B286" s="35"/>
      <c r="C286" s="35"/>
      <c r="D286" s="35"/>
      <c r="E286" s="35"/>
      <c r="F286" s="36"/>
      <c r="G286" s="37"/>
      <c r="H286" s="37"/>
      <c r="I286" s="37"/>
      <c r="J286" s="38"/>
      <c r="K286" s="39"/>
      <c r="L286" s="40" t="str">
        <f aca="false">IF(OR($J286="",$K286=""),"",$J286+MATCH($K286,Listas!$F$5:$F$11,0)-1)</f>
        <v/>
      </c>
      <c r="M286" s="41"/>
      <c r="N286" s="36"/>
      <c r="O286" s="41"/>
      <c r="P286" s="35"/>
      <c r="Q286" s="35"/>
      <c r="R286" s="42" t="str">
        <f aca="true">IF($E286="","",IF($N286="Cancelada","Cancelada",IF(OR($M286&lt;&gt;"",$N286="Concluída"),IF(OR($L286="",$M286="",$M286&lt;=$L286),"Concluída","Concluída com atraso"),IF($L286="","Na carteira",IF($L286&lt;TODAY(),"VENCIDA",IF($N286="Em execução","Em execução",IF($L286=TODAY(),"Hoje","Programada")))))))</f>
        <v/>
      </c>
      <c r="S286" s="34" t="str">
        <f aca="false">IF($E286="","",IF(ISNUMBER(SEARCH("(externo)",$G286&amp;$H286&amp;$I286)),"Terceirizada","Interna"))</f>
        <v/>
      </c>
      <c r="T286" s="40" t="str">
        <f aca="false">IF($L286="","",IF($O286="",$L286,$O286))</f>
        <v/>
      </c>
      <c r="U286" s="34" t="str">
        <f aca="false">IF($E286="","",IF(OR($M286="",$L286=""),0,IF($M286&lt;=$L286,1,0)))</f>
        <v/>
      </c>
      <c r="V286" s="34" t="str">
        <f aca="false">IF($E286="","",IF(OR($M286="",$T286=""),0,IF($M286&lt;=$T286,1,0)))</f>
        <v/>
      </c>
      <c r="W286" s="42" t="str">
        <f aca="false">IF(OR($M286="",$L286=""),"",MAX(0,$M286-$L286))</f>
        <v/>
      </c>
      <c r="X286" s="34" t="str">
        <f aca="false">IF($E286="","",IF(AND($O286&lt;&gt;"",$L286&lt;&gt;"",$O286&lt;&gt;$L286),1,0))</f>
        <v/>
      </c>
      <c r="Y286" s="34" t="str">
        <f aca="false">IF($E286="","",IF($N286="Cancelada",0,IF(OR($M286&lt;&gt;"",$N286="Concluída"),1,0)))</f>
        <v/>
      </c>
    </row>
    <row r="287" customFormat="false" ht="15" hidden="false" customHeight="true" outlineLevel="0" collapsed="false">
      <c r="A287" s="34" t="str">
        <f aca="false">IF($E287="","",COUNTA($E$5:$E287))</f>
        <v/>
      </c>
      <c r="B287" s="35"/>
      <c r="C287" s="35"/>
      <c r="D287" s="35"/>
      <c r="E287" s="35"/>
      <c r="F287" s="36"/>
      <c r="G287" s="37"/>
      <c r="H287" s="37"/>
      <c r="I287" s="37"/>
      <c r="J287" s="38"/>
      <c r="K287" s="39"/>
      <c r="L287" s="40" t="str">
        <f aca="false">IF(OR($J287="",$K287=""),"",$J287+MATCH($K287,Listas!$F$5:$F$11,0)-1)</f>
        <v/>
      </c>
      <c r="M287" s="41"/>
      <c r="N287" s="36"/>
      <c r="O287" s="41"/>
      <c r="P287" s="35"/>
      <c r="Q287" s="35"/>
      <c r="R287" s="42" t="str">
        <f aca="true">IF($E287="","",IF($N287="Cancelada","Cancelada",IF(OR($M287&lt;&gt;"",$N287="Concluída"),IF(OR($L287="",$M287="",$M287&lt;=$L287),"Concluída","Concluída com atraso"),IF($L287="","Na carteira",IF($L287&lt;TODAY(),"VENCIDA",IF($N287="Em execução","Em execução",IF($L287=TODAY(),"Hoje","Programada")))))))</f>
        <v/>
      </c>
      <c r="S287" s="34" t="str">
        <f aca="false">IF($E287="","",IF(ISNUMBER(SEARCH("(externo)",$G287&amp;$H287&amp;$I287)),"Terceirizada","Interna"))</f>
        <v/>
      </c>
      <c r="T287" s="40" t="str">
        <f aca="false">IF($L287="","",IF($O287="",$L287,$O287))</f>
        <v/>
      </c>
      <c r="U287" s="34" t="str">
        <f aca="false">IF($E287="","",IF(OR($M287="",$L287=""),0,IF($M287&lt;=$L287,1,0)))</f>
        <v/>
      </c>
      <c r="V287" s="34" t="str">
        <f aca="false">IF($E287="","",IF(OR($M287="",$T287=""),0,IF($M287&lt;=$T287,1,0)))</f>
        <v/>
      </c>
      <c r="W287" s="42" t="str">
        <f aca="false">IF(OR($M287="",$L287=""),"",MAX(0,$M287-$L287))</f>
        <v/>
      </c>
      <c r="X287" s="34" t="str">
        <f aca="false">IF($E287="","",IF(AND($O287&lt;&gt;"",$L287&lt;&gt;"",$O287&lt;&gt;$L287),1,0))</f>
        <v/>
      </c>
      <c r="Y287" s="34" t="str">
        <f aca="false">IF($E287="","",IF($N287="Cancelada",0,IF(OR($M287&lt;&gt;"",$N287="Concluída"),1,0)))</f>
        <v/>
      </c>
    </row>
    <row r="288" customFormat="false" ht="15" hidden="false" customHeight="true" outlineLevel="0" collapsed="false">
      <c r="A288" s="34" t="str">
        <f aca="false">IF($E288="","",COUNTA($E$5:$E288))</f>
        <v/>
      </c>
      <c r="B288" s="35"/>
      <c r="C288" s="35"/>
      <c r="D288" s="35"/>
      <c r="E288" s="35"/>
      <c r="F288" s="36"/>
      <c r="G288" s="37"/>
      <c r="H288" s="37"/>
      <c r="I288" s="37"/>
      <c r="J288" s="38"/>
      <c r="K288" s="39"/>
      <c r="L288" s="40" t="str">
        <f aca="false">IF(OR($J288="",$K288=""),"",$J288+MATCH($K288,Listas!$F$5:$F$11,0)-1)</f>
        <v/>
      </c>
      <c r="M288" s="41"/>
      <c r="N288" s="36"/>
      <c r="O288" s="41"/>
      <c r="P288" s="35"/>
      <c r="Q288" s="35"/>
      <c r="R288" s="42" t="str">
        <f aca="true">IF($E288="","",IF($N288="Cancelada","Cancelada",IF(OR($M288&lt;&gt;"",$N288="Concluída"),IF(OR($L288="",$M288="",$M288&lt;=$L288),"Concluída","Concluída com atraso"),IF($L288="","Na carteira",IF($L288&lt;TODAY(),"VENCIDA",IF($N288="Em execução","Em execução",IF($L288=TODAY(),"Hoje","Programada")))))))</f>
        <v/>
      </c>
      <c r="S288" s="34" t="str">
        <f aca="false">IF($E288="","",IF(ISNUMBER(SEARCH("(externo)",$G288&amp;$H288&amp;$I288)),"Terceirizada","Interna"))</f>
        <v/>
      </c>
      <c r="T288" s="40" t="str">
        <f aca="false">IF($L288="","",IF($O288="",$L288,$O288))</f>
        <v/>
      </c>
      <c r="U288" s="34" t="str">
        <f aca="false">IF($E288="","",IF(OR($M288="",$L288=""),0,IF($M288&lt;=$L288,1,0)))</f>
        <v/>
      </c>
      <c r="V288" s="34" t="str">
        <f aca="false">IF($E288="","",IF(OR($M288="",$T288=""),0,IF($M288&lt;=$T288,1,0)))</f>
        <v/>
      </c>
      <c r="W288" s="42" t="str">
        <f aca="false">IF(OR($M288="",$L288=""),"",MAX(0,$M288-$L288))</f>
        <v/>
      </c>
      <c r="X288" s="34" t="str">
        <f aca="false">IF($E288="","",IF(AND($O288&lt;&gt;"",$L288&lt;&gt;"",$O288&lt;&gt;$L288),1,0))</f>
        <v/>
      </c>
      <c r="Y288" s="34" t="str">
        <f aca="false">IF($E288="","",IF($N288="Cancelada",0,IF(OR($M288&lt;&gt;"",$N288="Concluída"),1,0)))</f>
        <v/>
      </c>
    </row>
    <row r="289" customFormat="false" ht="15" hidden="false" customHeight="true" outlineLevel="0" collapsed="false">
      <c r="A289" s="34" t="str">
        <f aca="false">IF($E289="","",COUNTA($E$5:$E289))</f>
        <v/>
      </c>
      <c r="B289" s="35"/>
      <c r="C289" s="35"/>
      <c r="D289" s="35"/>
      <c r="E289" s="35"/>
      <c r="F289" s="36"/>
      <c r="G289" s="37"/>
      <c r="H289" s="37"/>
      <c r="I289" s="37"/>
      <c r="J289" s="38"/>
      <c r="K289" s="39"/>
      <c r="L289" s="40" t="str">
        <f aca="false">IF(OR($J289="",$K289=""),"",$J289+MATCH($K289,Listas!$F$5:$F$11,0)-1)</f>
        <v/>
      </c>
      <c r="M289" s="41"/>
      <c r="N289" s="36"/>
      <c r="O289" s="41"/>
      <c r="P289" s="35"/>
      <c r="Q289" s="35"/>
      <c r="R289" s="42" t="str">
        <f aca="true">IF($E289="","",IF($N289="Cancelada","Cancelada",IF(OR($M289&lt;&gt;"",$N289="Concluída"),IF(OR($L289="",$M289="",$M289&lt;=$L289),"Concluída","Concluída com atraso"),IF($L289="","Na carteira",IF($L289&lt;TODAY(),"VENCIDA",IF($N289="Em execução","Em execução",IF($L289=TODAY(),"Hoje","Programada")))))))</f>
        <v/>
      </c>
      <c r="S289" s="34" t="str">
        <f aca="false">IF($E289="","",IF(ISNUMBER(SEARCH("(externo)",$G289&amp;$H289&amp;$I289)),"Terceirizada","Interna"))</f>
        <v/>
      </c>
      <c r="T289" s="40" t="str">
        <f aca="false">IF($L289="","",IF($O289="",$L289,$O289))</f>
        <v/>
      </c>
      <c r="U289" s="34" t="str">
        <f aca="false">IF($E289="","",IF(OR($M289="",$L289=""),0,IF($M289&lt;=$L289,1,0)))</f>
        <v/>
      </c>
      <c r="V289" s="34" t="str">
        <f aca="false">IF($E289="","",IF(OR($M289="",$T289=""),0,IF($M289&lt;=$T289,1,0)))</f>
        <v/>
      </c>
      <c r="W289" s="42" t="str">
        <f aca="false">IF(OR($M289="",$L289=""),"",MAX(0,$M289-$L289))</f>
        <v/>
      </c>
      <c r="X289" s="34" t="str">
        <f aca="false">IF($E289="","",IF(AND($O289&lt;&gt;"",$L289&lt;&gt;"",$O289&lt;&gt;$L289),1,0))</f>
        <v/>
      </c>
      <c r="Y289" s="34" t="str">
        <f aca="false">IF($E289="","",IF($N289="Cancelada",0,IF(OR($M289&lt;&gt;"",$N289="Concluída"),1,0)))</f>
        <v/>
      </c>
    </row>
    <row r="290" customFormat="false" ht="15" hidden="false" customHeight="true" outlineLevel="0" collapsed="false">
      <c r="A290" s="34" t="str">
        <f aca="false">IF($E290="","",COUNTA($E$5:$E290))</f>
        <v/>
      </c>
      <c r="B290" s="35"/>
      <c r="C290" s="35"/>
      <c r="D290" s="35"/>
      <c r="E290" s="35"/>
      <c r="F290" s="36"/>
      <c r="G290" s="37"/>
      <c r="H290" s="37"/>
      <c r="I290" s="37"/>
      <c r="J290" s="38"/>
      <c r="K290" s="39"/>
      <c r="L290" s="40" t="str">
        <f aca="false">IF(OR($J290="",$K290=""),"",$J290+MATCH($K290,Listas!$F$5:$F$11,0)-1)</f>
        <v/>
      </c>
      <c r="M290" s="41"/>
      <c r="N290" s="36"/>
      <c r="O290" s="41"/>
      <c r="P290" s="35"/>
      <c r="Q290" s="35"/>
      <c r="R290" s="42" t="str">
        <f aca="true">IF($E290="","",IF($N290="Cancelada","Cancelada",IF(OR($M290&lt;&gt;"",$N290="Concluída"),IF(OR($L290="",$M290="",$M290&lt;=$L290),"Concluída","Concluída com atraso"),IF($L290="","Na carteira",IF($L290&lt;TODAY(),"VENCIDA",IF($N290="Em execução","Em execução",IF($L290=TODAY(),"Hoje","Programada")))))))</f>
        <v/>
      </c>
      <c r="S290" s="34" t="str">
        <f aca="false">IF($E290="","",IF(ISNUMBER(SEARCH("(externo)",$G290&amp;$H290&amp;$I290)),"Terceirizada","Interna"))</f>
        <v/>
      </c>
      <c r="T290" s="40" t="str">
        <f aca="false">IF($L290="","",IF($O290="",$L290,$O290))</f>
        <v/>
      </c>
      <c r="U290" s="34" t="str">
        <f aca="false">IF($E290="","",IF(OR($M290="",$L290=""),0,IF($M290&lt;=$L290,1,0)))</f>
        <v/>
      </c>
      <c r="V290" s="34" t="str">
        <f aca="false">IF($E290="","",IF(OR($M290="",$T290=""),0,IF($M290&lt;=$T290,1,0)))</f>
        <v/>
      </c>
      <c r="W290" s="42" t="str">
        <f aca="false">IF(OR($M290="",$L290=""),"",MAX(0,$M290-$L290))</f>
        <v/>
      </c>
      <c r="X290" s="34" t="str">
        <f aca="false">IF($E290="","",IF(AND($O290&lt;&gt;"",$L290&lt;&gt;"",$O290&lt;&gt;$L290),1,0))</f>
        <v/>
      </c>
      <c r="Y290" s="34" t="str">
        <f aca="false">IF($E290="","",IF($N290="Cancelada",0,IF(OR($M290&lt;&gt;"",$N290="Concluída"),1,0)))</f>
        <v/>
      </c>
    </row>
    <row r="291" customFormat="false" ht="15" hidden="false" customHeight="true" outlineLevel="0" collapsed="false">
      <c r="A291" s="34" t="str">
        <f aca="false">IF($E291="","",COUNTA($E$5:$E291))</f>
        <v/>
      </c>
      <c r="B291" s="35"/>
      <c r="C291" s="35"/>
      <c r="D291" s="35"/>
      <c r="E291" s="35"/>
      <c r="F291" s="36"/>
      <c r="G291" s="37"/>
      <c r="H291" s="37"/>
      <c r="I291" s="37"/>
      <c r="J291" s="38"/>
      <c r="K291" s="39"/>
      <c r="L291" s="40" t="str">
        <f aca="false">IF(OR($J291="",$K291=""),"",$J291+MATCH($K291,Listas!$F$5:$F$11,0)-1)</f>
        <v/>
      </c>
      <c r="M291" s="41"/>
      <c r="N291" s="36"/>
      <c r="O291" s="41"/>
      <c r="P291" s="35"/>
      <c r="Q291" s="35"/>
      <c r="R291" s="42" t="str">
        <f aca="true">IF($E291="","",IF($N291="Cancelada","Cancelada",IF(OR($M291&lt;&gt;"",$N291="Concluída"),IF(OR($L291="",$M291="",$M291&lt;=$L291),"Concluída","Concluída com atraso"),IF($L291="","Na carteira",IF($L291&lt;TODAY(),"VENCIDA",IF($N291="Em execução","Em execução",IF($L291=TODAY(),"Hoje","Programada")))))))</f>
        <v/>
      </c>
      <c r="S291" s="34" t="str">
        <f aca="false">IF($E291="","",IF(ISNUMBER(SEARCH("(externo)",$G291&amp;$H291&amp;$I291)),"Terceirizada","Interna"))</f>
        <v/>
      </c>
      <c r="T291" s="40" t="str">
        <f aca="false">IF($L291="","",IF($O291="",$L291,$O291))</f>
        <v/>
      </c>
      <c r="U291" s="34" t="str">
        <f aca="false">IF($E291="","",IF(OR($M291="",$L291=""),0,IF($M291&lt;=$L291,1,0)))</f>
        <v/>
      </c>
      <c r="V291" s="34" t="str">
        <f aca="false">IF($E291="","",IF(OR($M291="",$T291=""),0,IF($M291&lt;=$T291,1,0)))</f>
        <v/>
      </c>
      <c r="W291" s="42" t="str">
        <f aca="false">IF(OR($M291="",$L291=""),"",MAX(0,$M291-$L291))</f>
        <v/>
      </c>
      <c r="X291" s="34" t="str">
        <f aca="false">IF($E291="","",IF(AND($O291&lt;&gt;"",$L291&lt;&gt;"",$O291&lt;&gt;$L291),1,0))</f>
        <v/>
      </c>
      <c r="Y291" s="34" t="str">
        <f aca="false">IF($E291="","",IF($N291="Cancelada",0,IF(OR($M291&lt;&gt;"",$N291="Concluída"),1,0)))</f>
        <v/>
      </c>
    </row>
    <row r="292" customFormat="false" ht="15" hidden="false" customHeight="true" outlineLevel="0" collapsed="false">
      <c r="A292" s="34" t="str">
        <f aca="false">IF($E292="","",COUNTA($E$5:$E292))</f>
        <v/>
      </c>
      <c r="B292" s="35"/>
      <c r="C292" s="35"/>
      <c r="D292" s="35"/>
      <c r="E292" s="35"/>
      <c r="F292" s="36"/>
      <c r="G292" s="37"/>
      <c r="H292" s="37"/>
      <c r="I292" s="37"/>
      <c r="J292" s="38"/>
      <c r="K292" s="39"/>
      <c r="L292" s="40" t="str">
        <f aca="false">IF(OR($J292="",$K292=""),"",$J292+MATCH($K292,Listas!$F$5:$F$11,0)-1)</f>
        <v/>
      </c>
      <c r="M292" s="41"/>
      <c r="N292" s="36"/>
      <c r="O292" s="41"/>
      <c r="P292" s="35"/>
      <c r="Q292" s="35"/>
      <c r="R292" s="42" t="str">
        <f aca="true">IF($E292="","",IF($N292="Cancelada","Cancelada",IF(OR($M292&lt;&gt;"",$N292="Concluída"),IF(OR($L292="",$M292="",$M292&lt;=$L292),"Concluída","Concluída com atraso"),IF($L292="","Na carteira",IF($L292&lt;TODAY(),"VENCIDA",IF($N292="Em execução","Em execução",IF($L292=TODAY(),"Hoje","Programada")))))))</f>
        <v/>
      </c>
      <c r="S292" s="34" t="str">
        <f aca="false">IF($E292="","",IF(ISNUMBER(SEARCH("(externo)",$G292&amp;$H292&amp;$I292)),"Terceirizada","Interna"))</f>
        <v/>
      </c>
      <c r="T292" s="40" t="str">
        <f aca="false">IF($L292="","",IF($O292="",$L292,$O292))</f>
        <v/>
      </c>
      <c r="U292" s="34" t="str">
        <f aca="false">IF($E292="","",IF(OR($M292="",$L292=""),0,IF($M292&lt;=$L292,1,0)))</f>
        <v/>
      </c>
      <c r="V292" s="34" t="str">
        <f aca="false">IF($E292="","",IF(OR($M292="",$T292=""),0,IF($M292&lt;=$T292,1,0)))</f>
        <v/>
      </c>
      <c r="W292" s="42" t="str">
        <f aca="false">IF(OR($M292="",$L292=""),"",MAX(0,$M292-$L292))</f>
        <v/>
      </c>
      <c r="X292" s="34" t="str">
        <f aca="false">IF($E292="","",IF(AND($O292&lt;&gt;"",$L292&lt;&gt;"",$O292&lt;&gt;$L292),1,0))</f>
        <v/>
      </c>
      <c r="Y292" s="34" t="str">
        <f aca="false">IF($E292="","",IF($N292="Cancelada",0,IF(OR($M292&lt;&gt;"",$N292="Concluída"),1,0)))</f>
        <v/>
      </c>
    </row>
    <row r="293" customFormat="false" ht="15" hidden="false" customHeight="true" outlineLevel="0" collapsed="false">
      <c r="A293" s="34" t="str">
        <f aca="false">IF($E293="","",COUNTA($E$5:$E293))</f>
        <v/>
      </c>
      <c r="B293" s="35"/>
      <c r="C293" s="35"/>
      <c r="D293" s="35"/>
      <c r="E293" s="35"/>
      <c r="F293" s="36"/>
      <c r="G293" s="37"/>
      <c r="H293" s="37"/>
      <c r="I293" s="37"/>
      <c r="J293" s="38"/>
      <c r="K293" s="39"/>
      <c r="L293" s="40" t="str">
        <f aca="false">IF(OR($J293="",$K293=""),"",$J293+MATCH($K293,Listas!$F$5:$F$11,0)-1)</f>
        <v/>
      </c>
      <c r="M293" s="41"/>
      <c r="N293" s="36"/>
      <c r="O293" s="41"/>
      <c r="P293" s="35"/>
      <c r="Q293" s="35"/>
      <c r="R293" s="42" t="str">
        <f aca="true">IF($E293="","",IF($N293="Cancelada","Cancelada",IF(OR($M293&lt;&gt;"",$N293="Concluída"),IF(OR($L293="",$M293="",$M293&lt;=$L293),"Concluída","Concluída com atraso"),IF($L293="","Na carteira",IF($L293&lt;TODAY(),"VENCIDA",IF($N293="Em execução","Em execução",IF($L293=TODAY(),"Hoje","Programada")))))))</f>
        <v/>
      </c>
      <c r="S293" s="34" t="str">
        <f aca="false">IF($E293="","",IF(ISNUMBER(SEARCH("(externo)",$G293&amp;$H293&amp;$I293)),"Terceirizada","Interna"))</f>
        <v/>
      </c>
      <c r="T293" s="40" t="str">
        <f aca="false">IF($L293="","",IF($O293="",$L293,$O293))</f>
        <v/>
      </c>
      <c r="U293" s="34" t="str">
        <f aca="false">IF($E293="","",IF(OR($M293="",$L293=""),0,IF($M293&lt;=$L293,1,0)))</f>
        <v/>
      </c>
      <c r="V293" s="34" t="str">
        <f aca="false">IF($E293="","",IF(OR($M293="",$T293=""),0,IF($M293&lt;=$T293,1,0)))</f>
        <v/>
      </c>
      <c r="W293" s="42" t="str">
        <f aca="false">IF(OR($M293="",$L293=""),"",MAX(0,$M293-$L293))</f>
        <v/>
      </c>
      <c r="X293" s="34" t="str">
        <f aca="false">IF($E293="","",IF(AND($O293&lt;&gt;"",$L293&lt;&gt;"",$O293&lt;&gt;$L293),1,0))</f>
        <v/>
      </c>
      <c r="Y293" s="34" t="str">
        <f aca="false">IF($E293="","",IF($N293="Cancelada",0,IF(OR($M293&lt;&gt;"",$N293="Concluída"),1,0)))</f>
        <v/>
      </c>
    </row>
    <row r="294" customFormat="false" ht="15" hidden="false" customHeight="true" outlineLevel="0" collapsed="false">
      <c r="A294" s="34" t="str">
        <f aca="false">IF($E294="","",COUNTA($E$5:$E294))</f>
        <v/>
      </c>
      <c r="B294" s="35"/>
      <c r="C294" s="35"/>
      <c r="D294" s="35"/>
      <c r="E294" s="35"/>
      <c r="F294" s="36"/>
      <c r="G294" s="37"/>
      <c r="H294" s="37"/>
      <c r="I294" s="37"/>
      <c r="J294" s="38"/>
      <c r="K294" s="39"/>
      <c r="L294" s="40" t="str">
        <f aca="false">IF(OR($J294="",$K294=""),"",$J294+MATCH($K294,Listas!$F$5:$F$11,0)-1)</f>
        <v/>
      </c>
      <c r="M294" s="41"/>
      <c r="N294" s="36"/>
      <c r="O294" s="41"/>
      <c r="P294" s="35"/>
      <c r="Q294" s="35"/>
      <c r="R294" s="42" t="str">
        <f aca="true">IF($E294="","",IF($N294="Cancelada","Cancelada",IF(OR($M294&lt;&gt;"",$N294="Concluída"),IF(OR($L294="",$M294="",$M294&lt;=$L294),"Concluída","Concluída com atraso"),IF($L294="","Na carteira",IF($L294&lt;TODAY(),"VENCIDA",IF($N294="Em execução","Em execução",IF($L294=TODAY(),"Hoje","Programada")))))))</f>
        <v/>
      </c>
      <c r="S294" s="34" t="str">
        <f aca="false">IF($E294="","",IF(ISNUMBER(SEARCH("(externo)",$G294&amp;$H294&amp;$I294)),"Terceirizada","Interna"))</f>
        <v/>
      </c>
      <c r="T294" s="40" t="str">
        <f aca="false">IF($L294="","",IF($O294="",$L294,$O294))</f>
        <v/>
      </c>
      <c r="U294" s="34" t="str">
        <f aca="false">IF($E294="","",IF(OR($M294="",$L294=""),0,IF($M294&lt;=$L294,1,0)))</f>
        <v/>
      </c>
      <c r="V294" s="34" t="str">
        <f aca="false">IF($E294="","",IF(OR($M294="",$T294=""),0,IF($M294&lt;=$T294,1,0)))</f>
        <v/>
      </c>
      <c r="W294" s="42" t="str">
        <f aca="false">IF(OR($M294="",$L294=""),"",MAX(0,$M294-$L294))</f>
        <v/>
      </c>
      <c r="X294" s="34" t="str">
        <f aca="false">IF($E294="","",IF(AND($O294&lt;&gt;"",$L294&lt;&gt;"",$O294&lt;&gt;$L294),1,0))</f>
        <v/>
      </c>
      <c r="Y294" s="34" t="str">
        <f aca="false">IF($E294="","",IF($N294="Cancelada",0,IF(OR($M294&lt;&gt;"",$N294="Concluída"),1,0)))</f>
        <v/>
      </c>
    </row>
    <row r="295" customFormat="false" ht="15" hidden="false" customHeight="true" outlineLevel="0" collapsed="false">
      <c r="A295" s="34" t="str">
        <f aca="false">IF($E295="","",COUNTA($E$5:$E295))</f>
        <v/>
      </c>
      <c r="B295" s="35"/>
      <c r="C295" s="35"/>
      <c r="D295" s="35"/>
      <c r="E295" s="35"/>
      <c r="F295" s="36"/>
      <c r="G295" s="37"/>
      <c r="H295" s="37"/>
      <c r="I295" s="37"/>
      <c r="J295" s="38"/>
      <c r="K295" s="39"/>
      <c r="L295" s="40" t="str">
        <f aca="false">IF(OR($J295="",$K295=""),"",$J295+MATCH($K295,Listas!$F$5:$F$11,0)-1)</f>
        <v/>
      </c>
      <c r="M295" s="41"/>
      <c r="N295" s="36"/>
      <c r="O295" s="41"/>
      <c r="P295" s="35"/>
      <c r="Q295" s="35"/>
      <c r="R295" s="42" t="str">
        <f aca="true">IF($E295="","",IF($N295="Cancelada","Cancelada",IF(OR($M295&lt;&gt;"",$N295="Concluída"),IF(OR($L295="",$M295="",$M295&lt;=$L295),"Concluída","Concluída com atraso"),IF($L295="","Na carteira",IF($L295&lt;TODAY(),"VENCIDA",IF($N295="Em execução","Em execução",IF($L295=TODAY(),"Hoje","Programada")))))))</f>
        <v/>
      </c>
      <c r="S295" s="34" t="str">
        <f aca="false">IF($E295="","",IF(ISNUMBER(SEARCH("(externo)",$G295&amp;$H295&amp;$I295)),"Terceirizada","Interna"))</f>
        <v/>
      </c>
      <c r="T295" s="40" t="str">
        <f aca="false">IF($L295="","",IF($O295="",$L295,$O295))</f>
        <v/>
      </c>
      <c r="U295" s="34" t="str">
        <f aca="false">IF($E295="","",IF(OR($M295="",$L295=""),0,IF($M295&lt;=$L295,1,0)))</f>
        <v/>
      </c>
      <c r="V295" s="34" t="str">
        <f aca="false">IF($E295="","",IF(OR($M295="",$T295=""),0,IF($M295&lt;=$T295,1,0)))</f>
        <v/>
      </c>
      <c r="W295" s="42" t="str">
        <f aca="false">IF(OR($M295="",$L295=""),"",MAX(0,$M295-$L295))</f>
        <v/>
      </c>
      <c r="X295" s="34" t="str">
        <f aca="false">IF($E295="","",IF(AND($O295&lt;&gt;"",$L295&lt;&gt;"",$O295&lt;&gt;$L295),1,0))</f>
        <v/>
      </c>
      <c r="Y295" s="34" t="str">
        <f aca="false">IF($E295="","",IF($N295="Cancelada",0,IF(OR($M295&lt;&gt;"",$N295="Concluída"),1,0)))</f>
        <v/>
      </c>
    </row>
    <row r="296" customFormat="false" ht="15" hidden="false" customHeight="true" outlineLevel="0" collapsed="false">
      <c r="A296" s="34" t="str">
        <f aca="false">IF($E296="","",COUNTA($E$5:$E296))</f>
        <v/>
      </c>
      <c r="B296" s="35"/>
      <c r="C296" s="35"/>
      <c r="D296" s="35"/>
      <c r="E296" s="35"/>
      <c r="F296" s="36"/>
      <c r="G296" s="37"/>
      <c r="H296" s="37"/>
      <c r="I296" s="37"/>
      <c r="J296" s="38"/>
      <c r="K296" s="39"/>
      <c r="L296" s="40" t="str">
        <f aca="false">IF(OR($J296="",$K296=""),"",$J296+MATCH($K296,Listas!$F$5:$F$11,0)-1)</f>
        <v/>
      </c>
      <c r="M296" s="41"/>
      <c r="N296" s="36"/>
      <c r="O296" s="41"/>
      <c r="P296" s="35"/>
      <c r="Q296" s="35"/>
      <c r="R296" s="42" t="str">
        <f aca="true">IF($E296="","",IF($N296="Cancelada","Cancelada",IF(OR($M296&lt;&gt;"",$N296="Concluída"),IF(OR($L296="",$M296="",$M296&lt;=$L296),"Concluída","Concluída com atraso"),IF($L296="","Na carteira",IF($L296&lt;TODAY(),"VENCIDA",IF($N296="Em execução","Em execução",IF($L296=TODAY(),"Hoje","Programada")))))))</f>
        <v/>
      </c>
      <c r="S296" s="34" t="str">
        <f aca="false">IF($E296="","",IF(ISNUMBER(SEARCH("(externo)",$G296&amp;$H296&amp;$I296)),"Terceirizada","Interna"))</f>
        <v/>
      </c>
      <c r="T296" s="40" t="str">
        <f aca="false">IF($L296="","",IF($O296="",$L296,$O296))</f>
        <v/>
      </c>
      <c r="U296" s="34" t="str">
        <f aca="false">IF($E296="","",IF(OR($M296="",$L296=""),0,IF($M296&lt;=$L296,1,0)))</f>
        <v/>
      </c>
      <c r="V296" s="34" t="str">
        <f aca="false">IF($E296="","",IF(OR($M296="",$T296=""),0,IF($M296&lt;=$T296,1,0)))</f>
        <v/>
      </c>
      <c r="W296" s="42" t="str">
        <f aca="false">IF(OR($M296="",$L296=""),"",MAX(0,$M296-$L296))</f>
        <v/>
      </c>
      <c r="X296" s="34" t="str">
        <f aca="false">IF($E296="","",IF(AND($O296&lt;&gt;"",$L296&lt;&gt;"",$O296&lt;&gt;$L296),1,0))</f>
        <v/>
      </c>
      <c r="Y296" s="34" t="str">
        <f aca="false">IF($E296="","",IF($N296="Cancelada",0,IF(OR($M296&lt;&gt;"",$N296="Concluída"),1,0)))</f>
        <v/>
      </c>
    </row>
    <row r="297" customFormat="false" ht="15" hidden="false" customHeight="true" outlineLevel="0" collapsed="false">
      <c r="A297" s="34" t="str">
        <f aca="false">IF($E297="","",COUNTA($E$5:$E297))</f>
        <v/>
      </c>
      <c r="B297" s="35"/>
      <c r="C297" s="35"/>
      <c r="D297" s="35"/>
      <c r="E297" s="35"/>
      <c r="F297" s="36"/>
      <c r="G297" s="37"/>
      <c r="H297" s="37"/>
      <c r="I297" s="37"/>
      <c r="J297" s="38"/>
      <c r="K297" s="39"/>
      <c r="L297" s="40" t="str">
        <f aca="false">IF(OR($J297="",$K297=""),"",$J297+MATCH($K297,Listas!$F$5:$F$11,0)-1)</f>
        <v/>
      </c>
      <c r="M297" s="41"/>
      <c r="N297" s="36"/>
      <c r="O297" s="41"/>
      <c r="P297" s="35"/>
      <c r="Q297" s="35"/>
      <c r="R297" s="42" t="str">
        <f aca="true">IF($E297="","",IF($N297="Cancelada","Cancelada",IF(OR($M297&lt;&gt;"",$N297="Concluída"),IF(OR($L297="",$M297="",$M297&lt;=$L297),"Concluída","Concluída com atraso"),IF($L297="","Na carteira",IF($L297&lt;TODAY(),"VENCIDA",IF($N297="Em execução","Em execução",IF($L297=TODAY(),"Hoje","Programada")))))))</f>
        <v/>
      </c>
      <c r="S297" s="34" t="str">
        <f aca="false">IF($E297="","",IF(ISNUMBER(SEARCH("(externo)",$G297&amp;$H297&amp;$I297)),"Terceirizada","Interna"))</f>
        <v/>
      </c>
      <c r="T297" s="40" t="str">
        <f aca="false">IF($L297="","",IF($O297="",$L297,$O297))</f>
        <v/>
      </c>
      <c r="U297" s="34" t="str">
        <f aca="false">IF($E297="","",IF(OR($M297="",$L297=""),0,IF($M297&lt;=$L297,1,0)))</f>
        <v/>
      </c>
      <c r="V297" s="34" t="str">
        <f aca="false">IF($E297="","",IF(OR($M297="",$T297=""),0,IF($M297&lt;=$T297,1,0)))</f>
        <v/>
      </c>
      <c r="W297" s="42" t="str">
        <f aca="false">IF(OR($M297="",$L297=""),"",MAX(0,$M297-$L297))</f>
        <v/>
      </c>
      <c r="X297" s="34" t="str">
        <f aca="false">IF($E297="","",IF(AND($O297&lt;&gt;"",$L297&lt;&gt;"",$O297&lt;&gt;$L297),1,0))</f>
        <v/>
      </c>
      <c r="Y297" s="34" t="str">
        <f aca="false">IF($E297="","",IF($N297="Cancelada",0,IF(OR($M297&lt;&gt;"",$N297="Concluída"),1,0)))</f>
        <v/>
      </c>
    </row>
    <row r="298" customFormat="false" ht="15" hidden="false" customHeight="true" outlineLevel="0" collapsed="false">
      <c r="A298" s="34" t="str">
        <f aca="false">IF($E298="","",COUNTA($E$5:$E298))</f>
        <v/>
      </c>
      <c r="B298" s="35"/>
      <c r="C298" s="35"/>
      <c r="D298" s="35"/>
      <c r="E298" s="35"/>
      <c r="F298" s="36"/>
      <c r="G298" s="37"/>
      <c r="H298" s="37"/>
      <c r="I298" s="37"/>
      <c r="J298" s="38"/>
      <c r="K298" s="39"/>
      <c r="L298" s="40" t="str">
        <f aca="false">IF(OR($J298="",$K298=""),"",$J298+MATCH($K298,Listas!$F$5:$F$11,0)-1)</f>
        <v/>
      </c>
      <c r="M298" s="41"/>
      <c r="N298" s="36"/>
      <c r="O298" s="41"/>
      <c r="P298" s="35"/>
      <c r="Q298" s="35"/>
      <c r="R298" s="42" t="str">
        <f aca="true">IF($E298="","",IF($N298="Cancelada","Cancelada",IF(OR($M298&lt;&gt;"",$N298="Concluída"),IF(OR($L298="",$M298="",$M298&lt;=$L298),"Concluída","Concluída com atraso"),IF($L298="","Na carteira",IF($L298&lt;TODAY(),"VENCIDA",IF($N298="Em execução","Em execução",IF($L298=TODAY(),"Hoje","Programada")))))))</f>
        <v/>
      </c>
      <c r="S298" s="34" t="str">
        <f aca="false">IF($E298="","",IF(ISNUMBER(SEARCH("(externo)",$G298&amp;$H298&amp;$I298)),"Terceirizada","Interna"))</f>
        <v/>
      </c>
      <c r="T298" s="40" t="str">
        <f aca="false">IF($L298="","",IF($O298="",$L298,$O298))</f>
        <v/>
      </c>
      <c r="U298" s="34" t="str">
        <f aca="false">IF($E298="","",IF(OR($M298="",$L298=""),0,IF($M298&lt;=$L298,1,0)))</f>
        <v/>
      </c>
      <c r="V298" s="34" t="str">
        <f aca="false">IF($E298="","",IF(OR($M298="",$T298=""),0,IF($M298&lt;=$T298,1,0)))</f>
        <v/>
      </c>
      <c r="W298" s="42" t="str">
        <f aca="false">IF(OR($M298="",$L298=""),"",MAX(0,$M298-$L298))</f>
        <v/>
      </c>
      <c r="X298" s="34" t="str">
        <f aca="false">IF($E298="","",IF(AND($O298&lt;&gt;"",$L298&lt;&gt;"",$O298&lt;&gt;$L298),1,0))</f>
        <v/>
      </c>
      <c r="Y298" s="34" t="str">
        <f aca="false">IF($E298="","",IF($N298="Cancelada",0,IF(OR($M298&lt;&gt;"",$N298="Concluída"),1,0)))</f>
        <v/>
      </c>
    </row>
    <row r="299" customFormat="false" ht="15" hidden="false" customHeight="true" outlineLevel="0" collapsed="false">
      <c r="A299" s="34" t="str">
        <f aca="false">IF($E299="","",COUNTA($E$5:$E299))</f>
        <v/>
      </c>
      <c r="B299" s="35"/>
      <c r="C299" s="35"/>
      <c r="D299" s="35"/>
      <c r="E299" s="35"/>
      <c r="F299" s="36"/>
      <c r="G299" s="37"/>
      <c r="H299" s="37"/>
      <c r="I299" s="37"/>
      <c r="J299" s="38"/>
      <c r="K299" s="39"/>
      <c r="L299" s="40" t="str">
        <f aca="false">IF(OR($J299="",$K299=""),"",$J299+MATCH($K299,Listas!$F$5:$F$11,0)-1)</f>
        <v/>
      </c>
      <c r="M299" s="41"/>
      <c r="N299" s="36"/>
      <c r="O299" s="41"/>
      <c r="P299" s="35"/>
      <c r="Q299" s="35"/>
      <c r="R299" s="42" t="str">
        <f aca="true">IF($E299="","",IF($N299="Cancelada","Cancelada",IF(OR($M299&lt;&gt;"",$N299="Concluída"),IF(OR($L299="",$M299="",$M299&lt;=$L299),"Concluída","Concluída com atraso"),IF($L299="","Na carteira",IF($L299&lt;TODAY(),"VENCIDA",IF($N299="Em execução","Em execução",IF($L299=TODAY(),"Hoje","Programada")))))))</f>
        <v/>
      </c>
      <c r="S299" s="34" t="str">
        <f aca="false">IF($E299="","",IF(ISNUMBER(SEARCH("(externo)",$G299&amp;$H299&amp;$I299)),"Terceirizada","Interna"))</f>
        <v/>
      </c>
      <c r="T299" s="40" t="str">
        <f aca="false">IF($L299="","",IF($O299="",$L299,$O299))</f>
        <v/>
      </c>
      <c r="U299" s="34" t="str">
        <f aca="false">IF($E299="","",IF(OR($M299="",$L299=""),0,IF($M299&lt;=$L299,1,0)))</f>
        <v/>
      </c>
      <c r="V299" s="34" t="str">
        <f aca="false">IF($E299="","",IF(OR($M299="",$T299=""),0,IF($M299&lt;=$T299,1,0)))</f>
        <v/>
      </c>
      <c r="W299" s="42" t="str">
        <f aca="false">IF(OR($M299="",$L299=""),"",MAX(0,$M299-$L299))</f>
        <v/>
      </c>
      <c r="X299" s="34" t="str">
        <f aca="false">IF($E299="","",IF(AND($O299&lt;&gt;"",$L299&lt;&gt;"",$O299&lt;&gt;$L299),1,0))</f>
        <v/>
      </c>
      <c r="Y299" s="34" t="str">
        <f aca="false">IF($E299="","",IF($N299="Cancelada",0,IF(OR($M299&lt;&gt;"",$N299="Concluída"),1,0)))</f>
        <v/>
      </c>
    </row>
    <row r="300" customFormat="false" ht="15" hidden="false" customHeight="true" outlineLevel="0" collapsed="false">
      <c r="A300" s="34" t="str">
        <f aca="false">IF($E300="","",COUNTA($E$5:$E300))</f>
        <v/>
      </c>
      <c r="B300" s="35"/>
      <c r="C300" s="35"/>
      <c r="D300" s="35"/>
      <c r="E300" s="35"/>
      <c r="F300" s="36"/>
      <c r="G300" s="37"/>
      <c r="H300" s="37"/>
      <c r="I300" s="37"/>
      <c r="J300" s="38"/>
      <c r="K300" s="39"/>
      <c r="L300" s="40" t="str">
        <f aca="false">IF(OR($J300="",$K300=""),"",$J300+MATCH($K300,Listas!$F$5:$F$11,0)-1)</f>
        <v/>
      </c>
      <c r="M300" s="41"/>
      <c r="N300" s="36"/>
      <c r="O300" s="41"/>
      <c r="P300" s="35"/>
      <c r="Q300" s="35"/>
      <c r="R300" s="42" t="str">
        <f aca="true">IF($E300="","",IF($N300="Cancelada","Cancelada",IF(OR($M300&lt;&gt;"",$N300="Concluída"),IF(OR($L300="",$M300="",$M300&lt;=$L300),"Concluída","Concluída com atraso"),IF($L300="","Na carteira",IF($L300&lt;TODAY(),"VENCIDA",IF($N300="Em execução","Em execução",IF($L300=TODAY(),"Hoje","Programada")))))))</f>
        <v/>
      </c>
      <c r="S300" s="34" t="str">
        <f aca="false">IF($E300="","",IF(ISNUMBER(SEARCH("(externo)",$G300&amp;$H300&amp;$I300)),"Terceirizada","Interna"))</f>
        <v/>
      </c>
      <c r="T300" s="40" t="str">
        <f aca="false">IF($L300="","",IF($O300="",$L300,$O300))</f>
        <v/>
      </c>
      <c r="U300" s="34" t="str">
        <f aca="false">IF($E300="","",IF(OR($M300="",$L300=""),0,IF($M300&lt;=$L300,1,0)))</f>
        <v/>
      </c>
      <c r="V300" s="34" t="str">
        <f aca="false">IF($E300="","",IF(OR($M300="",$T300=""),0,IF($M300&lt;=$T300,1,0)))</f>
        <v/>
      </c>
      <c r="W300" s="42" t="str">
        <f aca="false">IF(OR($M300="",$L300=""),"",MAX(0,$M300-$L300))</f>
        <v/>
      </c>
      <c r="X300" s="34" t="str">
        <f aca="false">IF($E300="","",IF(AND($O300&lt;&gt;"",$L300&lt;&gt;"",$O300&lt;&gt;$L300),1,0))</f>
        <v/>
      </c>
      <c r="Y300" s="34" t="str">
        <f aca="false">IF($E300="","",IF($N300="Cancelada",0,IF(OR($M300&lt;&gt;"",$N300="Concluída"),1,0)))</f>
        <v/>
      </c>
    </row>
    <row r="301" customFormat="false" ht="15" hidden="false" customHeight="true" outlineLevel="0" collapsed="false">
      <c r="A301" s="34" t="str">
        <f aca="false">IF($E301="","",COUNTA($E$5:$E301))</f>
        <v/>
      </c>
      <c r="B301" s="35"/>
      <c r="C301" s="35"/>
      <c r="D301" s="35"/>
      <c r="E301" s="35"/>
      <c r="F301" s="36"/>
      <c r="G301" s="37"/>
      <c r="H301" s="37"/>
      <c r="I301" s="37"/>
      <c r="J301" s="38"/>
      <c r="K301" s="39"/>
      <c r="L301" s="40" t="str">
        <f aca="false">IF(OR($J301="",$K301=""),"",$J301+MATCH($K301,Listas!$F$5:$F$11,0)-1)</f>
        <v/>
      </c>
      <c r="M301" s="41"/>
      <c r="N301" s="36"/>
      <c r="O301" s="41"/>
      <c r="P301" s="35"/>
      <c r="Q301" s="35"/>
      <c r="R301" s="42" t="str">
        <f aca="true">IF($E301="","",IF($N301="Cancelada","Cancelada",IF(OR($M301&lt;&gt;"",$N301="Concluída"),IF(OR($L301="",$M301="",$M301&lt;=$L301),"Concluída","Concluída com atraso"),IF($L301="","Na carteira",IF($L301&lt;TODAY(),"VENCIDA",IF($N301="Em execução","Em execução",IF($L301=TODAY(),"Hoje","Programada")))))))</f>
        <v/>
      </c>
      <c r="S301" s="34" t="str">
        <f aca="false">IF($E301="","",IF(ISNUMBER(SEARCH("(externo)",$G301&amp;$H301&amp;$I301)),"Terceirizada","Interna"))</f>
        <v/>
      </c>
      <c r="T301" s="40" t="str">
        <f aca="false">IF($L301="","",IF($O301="",$L301,$O301))</f>
        <v/>
      </c>
      <c r="U301" s="34" t="str">
        <f aca="false">IF($E301="","",IF(OR($M301="",$L301=""),0,IF($M301&lt;=$L301,1,0)))</f>
        <v/>
      </c>
      <c r="V301" s="34" t="str">
        <f aca="false">IF($E301="","",IF(OR($M301="",$T301=""),0,IF($M301&lt;=$T301,1,0)))</f>
        <v/>
      </c>
      <c r="W301" s="42" t="str">
        <f aca="false">IF(OR($M301="",$L301=""),"",MAX(0,$M301-$L301))</f>
        <v/>
      </c>
      <c r="X301" s="34" t="str">
        <f aca="false">IF($E301="","",IF(AND($O301&lt;&gt;"",$L301&lt;&gt;"",$O301&lt;&gt;$L301),1,0))</f>
        <v/>
      </c>
      <c r="Y301" s="34" t="str">
        <f aca="false">IF($E301="","",IF($N301="Cancelada",0,IF(OR($M301&lt;&gt;"",$N301="Concluída"),1,0)))</f>
        <v/>
      </c>
    </row>
    <row r="302" customFormat="false" ht="15" hidden="false" customHeight="true" outlineLevel="0" collapsed="false">
      <c r="A302" s="34" t="str">
        <f aca="false">IF($E302="","",COUNTA($E$5:$E302))</f>
        <v/>
      </c>
      <c r="B302" s="35"/>
      <c r="C302" s="35"/>
      <c r="D302" s="35"/>
      <c r="E302" s="35"/>
      <c r="F302" s="36"/>
      <c r="G302" s="37"/>
      <c r="H302" s="37"/>
      <c r="I302" s="37"/>
      <c r="J302" s="38"/>
      <c r="K302" s="39"/>
      <c r="L302" s="40" t="str">
        <f aca="false">IF(OR($J302="",$K302=""),"",$J302+MATCH($K302,Listas!$F$5:$F$11,0)-1)</f>
        <v/>
      </c>
      <c r="M302" s="41"/>
      <c r="N302" s="36"/>
      <c r="O302" s="41"/>
      <c r="P302" s="35"/>
      <c r="Q302" s="35"/>
      <c r="R302" s="42" t="str">
        <f aca="true">IF($E302="","",IF($N302="Cancelada","Cancelada",IF(OR($M302&lt;&gt;"",$N302="Concluída"),IF(OR($L302="",$M302="",$M302&lt;=$L302),"Concluída","Concluída com atraso"),IF($L302="","Na carteira",IF($L302&lt;TODAY(),"VENCIDA",IF($N302="Em execução","Em execução",IF($L302=TODAY(),"Hoje","Programada")))))))</f>
        <v/>
      </c>
      <c r="S302" s="34" t="str">
        <f aca="false">IF($E302="","",IF(ISNUMBER(SEARCH("(externo)",$G302&amp;$H302&amp;$I302)),"Terceirizada","Interna"))</f>
        <v/>
      </c>
      <c r="T302" s="40" t="str">
        <f aca="false">IF($L302="","",IF($O302="",$L302,$O302))</f>
        <v/>
      </c>
      <c r="U302" s="34" t="str">
        <f aca="false">IF($E302="","",IF(OR($M302="",$L302=""),0,IF($M302&lt;=$L302,1,0)))</f>
        <v/>
      </c>
      <c r="V302" s="34" t="str">
        <f aca="false">IF($E302="","",IF(OR($M302="",$T302=""),0,IF($M302&lt;=$T302,1,0)))</f>
        <v/>
      </c>
      <c r="W302" s="42" t="str">
        <f aca="false">IF(OR($M302="",$L302=""),"",MAX(0,$M302-$L302))</f>
        <v/>
      </c>
      <c r="X302" s="34" t="str">
        <f aca="false">IF($E302="","",IF(AND($O302&lt;&gt;"",$L302&lt;&gt;"",$O302&lt;&gt;$L302),1,0))</f>
        <v/>
      </c>
      <c r="Y302" s="34" t="str">
        <f aca="false">IF($E302="","",IF($N302="Cancelada",0,IF(OR($M302&lt;&gt;"",$N302="Concluída"),1,0)))</f>
        <v/>
      </c>
    </row>
    <row r="303" customFormat="false" ht="15" hidden="false" customHeight="true" outlineLevel="0" collapsed="false">
      <c r="A303" s="34" t="str">
        <f aca="false">IF($E303="","",COUNTA($E$5:$E303))</f>
        <v/>
      </c>
      <c r="B303" s="35"/>
      <c r="C303" s="35"/>
      <c r="D303" s="35"/>
      <c r="E303" s="35"/>
      <c r="F303" s="36"/>
      <c r="G303" s="37"/>
      <c r="H303" s="37"/>
      <c r="I303" s="37"/>
      <c r="J303" s="38"/>
      <c r="K303" s="39"/>
      <c r="L303" s="40" t="str">
        <f aca="false">IF(OR($J303="",$K303=""),"",$J303+MATCH($K303,Listas!$F$5:$F$11,0)-1)</f>
        <v/>
      </c>
      <c r="M303" s="41"/>
      <c r="N303" s="36"/>
      <c r="O303" s="41"/>
      <c r="P303" s="35"/>
      <c r="Q303" s="35"/>
      <c r="R303" s="42" t="str">
        <f aca="true">IF($E303="","",IF($N303="Cancelada","Cancelada",IF(OR($M303&lt;&gt;"",$N303="Concluída"),IF(OR($L303="",$M303="",$M303&lt;=$L303),"Concluída","Concluída com atraso"),IF($L303="","Na carteira",IF($L303&lt;TODAY(),"VENCIDA",IF($N303="Em execução","Em execução",IF($L303=TODAY(),"Hoje","Programada")))))))</f>
        <v/>
      </c>
      <c r="S303" s="34" t="str">
        <f aca="false">IF($E303="","",IF(ISNUMBER(SEARCH("(externo)",$G303&amp;$H303&amp;$I303)),"Terceirizada","Interna"))</f>
        <v/>
      </c>
      <c r="T303" s="40" t="str">
        <f aca="false">IF($L303="","",IF($O303="",$L303,$O303))</f>
        <v/>
      </c>
      <c r="U303" s="34" t="str">
        <f aca="false">IF($E303="","",IF(OR($M303="",$L303=""),0,IF($M303&lt;=$L303,1,0)))</f>
        <v/>
      </c>
      <c r="V303" s="34" t="str">
        <f aca="false">IF($E303="","",IF(OR($M303="",$T303=""),0,IF($M303&lt;=$T303,1,0)))</f>
        <v/>
      </c>
      <c r="W303" s="42" t="str">
        <f aca="false">IF(OR($M303="",$L303=""),"",MAX(0,$M303-$L303))</f>
        <v/>
      </c>
      <c r="X303" s="34" t="str">
        <f aca="false">IF($E303="","",IF(AND($O303&lt;&gt;"",$L303&lt;&gt;"",$O303&lt;&gt;$L303),1,0))</f>
        <v/>
      </c>
      <c r="Y303" s="34" t="str">
        <f aca="false">IF($E303="","",IF($N303="Cancelada",0,IF(OR($M303&lt;&gt;"",$N303="Concluída"),1,0)))</f>
        <v/>
      </c>
    </row>
    <row r="304" customFormat="false" ht="15" hidden="false" customHeight="true" outlineLevel="0" collapsed="false">
      <c r="A304" s="34" t="str">
        <f aca="false">IF($E304="","",COUNTA($E$5:$E304))</f>
        <v/>
      </c>
      <c r="B304" s="35"/>
      <c r="C304" s="35"/>
      <c r="D304" s="35"/>
      <c r="E304" s="35"/>
      <c r="F304" s="36"/>
      <c r="G304" s="37"/>
      <c r="H304" s="37"/>
      <c r="I304" s="37"/>
      <c r="J304" s="38"/>
      <c r="K304" s="39"/>
      <c r="L304" s="40" t="str">
        <f aca="false">IF(OR($J304="",$K304=""),"",$J304+MATCH($K304,Listas!$F$5:$F$11,0)-1)</f>
        <v/>
      </c>
      <c r="M304" s="41"/>
      <c r="N304" s="36"/>
      <c r="O304" s="41"/>
      <c r="P304" s="35"/>
      <c r="Q304" s="35"/>
      <c r="R304" s="42" t="str">
        <f aca="true">IF($E304="","",IF($N304="Cancelada","Cancelada",IF(OR($M304&lt;&gt;"",$N304="Concluída"),IF(OR($L304="",$M304="",$M304&lt;=$L304),"Concluída","Concluída com atraso"),IF($L304="","Na carteira",IF($L304&lt;TODAY(),"VENCIDA",IF($N304="Em execução","Em execução",IF($L304=TODAY(),"Hoje","Programada")))))))</f>
        <v/>
      </c>
      <c r="S304" s="34" t="str">
        <f aca="false">IF($E304="","",IF(ISNUMBER(SEARCH("(externo)",$G304&amp;$H304&amp;$I304)),"Terceirizada","Interna"))</f>
        <v/>
      </c>
      <c r="T304" s="40" t="str">
        <f aca="false">IF($L304="","",IF($O304="",$L304,$O304))</f>
        <v/>
      </c>
      <c r="U304" s="34" t="str">
        <f aca="false">IF($E304="","",IF(OR($M304="",$L304=""),0,IF($M304&lt;=$L304,1,0)))</f>
        <v/>
      </c>
      <c r="V304" s="34" t="str">
        <f aca="false">IF($E304="","",IF(OR($M304="",$T304=""),0,IF($M304&lt;=$T304,1,0)))</f>
        <v/>
      </c>
      <c r="W304" s="42" t="str">
        <f aca="false">IF(OR($M304="",$L304=""),"",MAX(0,$M304-$L304))</f>
        <v/>
      </c>
      <c r="X304" s="34" t="str">
        <f aca="false">IF($E304="","",IF(AND($O304&lt;&gt;"",$L304&lt;&gt;"",$O304&lt;&gt;$L304),1,0))</f>
        <v/>
      </c>
      <c r="Y304" s="34" t="str">
        <f aca="false">IF($E304="","",IF($N304="Cancelada",0,IF(OR($M304&lt;&gt;"",$N304="Concluída"),1,0)))</f>
        <v/>
      </c>
    </row>
    <row r="305" customFormat="false" ht="15" hidden="false" customHeight="true" outlineLevel="0" collapsed="false">
      <c r="A305" s="34" t="str">
        <f aca="false">IF($E305="","",COUNTA($E$5:$E305))</f>
        <v/>
      </c>
      <c r="B305" s="35"/>
      <c r="C305" s="35"/>
      <c r="D305" s="35"/>
      <c r="E305" s="35"/>
      <c r="F305" s="36"/>
      <c r="G305" s="37"/>
      <c r="H305" s="37"/>
      <c r="I305" s="37"/>
      <c r="J305" s="38"/>
      <c r="K305" s="39"/>
      <c r="L305" s="40" t="str">
        <f aca="false">IF(OR($J305="",$K305=""),"",$J305+MATCH($K305,Listas!$F$5:$F$11,0)-1)</f>
        <v/>
      </c>
      <c r="M305" s="41"/>
      <c r="N305" s="36"/>
      <c r="O305" s="41"/>
      <c r="P305" s="35"/>
      <c r="Q305" s="35"/>
      <c r="R305" s="42" t="str">
        <f aca="true">IF($E305="","",IF($N305="Cancelada","Cancelada",IF(OR($M305&lt;&gt;"",$N305="Concluída"),IF(OR($L305="",$M305="",$M305&lt;=$L305),"Concluída","Concluída com atraso"),IF($L305="","Na carteira",IF($L305&lt;TODAY(),"VENCIDA",IF($N305="Em execução","Em execução",IF($L305=TODAY(),"Hoje","Programada")))))))</f>
        <v/>
      </c>
      <c r="S305" s="34" t="str">
        <f aca="false">IF($E305="","",IF(ISNUMBER(SEARCH("(externo)",$G305&amp;$H305&amp;$I305)),"Terceirizada","Interna"))</f>
        <v/>
      </c>
      <c r="T305" s="40" t="str">
        <f aca="false">IF($L305="","",IF($O305="",$L305,$O305))</f>
        <v/>
      </c>
      <c r="U305" s="34" t="str">
        <f aca="false">IF($E305="","",IF(OR($M305="",$L305=""),0,IF($M305&lt;=$L305,1,0)))</f>
        <v/>
      </c>
      <c r="V305" s="34" t="str">
        <f aca="false">IF($E305="","",IF(OR($M305="",$T305=""),0,IF($M305&lt;=$T305,1,0)))</f>
        <v/>
      </c>
      <c r="W305" s="42" t="str">
        <f aca="false">IF(OR($M305="",$L305=""),"",MAX(0,$M305-$L305))</f>
        <v/>
      </c>
      <c r="X305" s="34" t="str">
        <f aca="false">IF($E305="","",IF(AND($O305&lt;&gt;"",$L305&lt;&gt;"",$O305&lt;&gt;$L305),1,0))</f>
        <v/>
      </c>
      <c r="Y305" s="34" t="str">
        <f aca="false">IF($E305="","",IF($N305="Cancelada",0,IF(OR($M305&lt;&gt;"",$N305="Concluída"),1,0)))</f>
        <v/>
      </c>
    </row>
    <row r="306" customFormat="false" ht="15" hidden="false" customHeight="true" outlineLevel="0" collapsed="false">
      <c r="A306" s="34" t="str">
        <f aca="false">IF($E306="","",COUNTA($E$5:$E306))</f>
        <v/>
      </c>
      <c r="B306" s="35"/>
      <c r="C306" s="35"/>
      <c r="D306" s="35"/>
      <c r="E306" s="35"/>
      <c r="F306" s="36"/>
      <c r="G306" s="37"/>
      <c r="H306" s="37"/>
      <c r="I306" s="37"/>
      <c r="J306" s="38"/>
      <c r="K306" s="39"/>
      <c r="L306" s="40" t="str">
        <f aca="false">IF(OR($J306="",$K306=""),"",$J306+MATCH($K306,Listas!$F$5:$F$11,0)-1)</f>
        <v/>
      </c>
      <c r="M306" s="41"/>
      <c r="N306" s="36"/>
      <c r="O306" s="41"/>
      <c r="P306" s="35"/>
      <c r="Q306" s="35"/>
      <c r="R306" s="42" t="str">
        <f aca="true">IF($E306="","",IF($N306="Cancelada","Cancelada",IF(OR($M306&lt;&gt;"",$N306="Concluída"),IF(OR($L306="",$M306="",$M306&lt;=$L306),"Concluída","Concluída com atraso"),IF($L306="","Na carteira",IF($L306&lt;TODAY(),"VENCIDA",IF($N306="Em execução","Em execução",IF($L306=TODAY(),"Hoje","Programada")))))))</f>
        <v/>
      </c>
      <c r="S306" s="34" t="str">
        <f aca="false">IF($E306="","",IF(ISNUMBER(SEARCH("(externo)",$G306&amp;$H306&amp;$I306)),"Terceirizada","Interna"))</f>
        <v/>
      </c>
      <c r="T306" s="40" t="str">
        <f aca="false">IF($L306="","",IF($O306="",$L306,$O306))</f>
        <v/>
      </c>
      <c r="U306" s="34" t="str">
        <f aca="false">IF($E306="","",IF(OR($M306="",$L306=""),0,IF($M306&lt;=$L306,1,0)))</f>
        <v/>
      </c>
      <c r="V306" s="34" t="str">
        <f aca="false">IF($E306="","",IF(OR($M306="",$T306=""),0,IF($M306&lt;=$T306,1,0)))</f>
        <v/>
      </c>
      <c r="W306" s="42" t="str">
        <f aca="false">IF(OR($M306="",$L306=""),"",MAX(0,$M306-$L306))</f>
        <v/>
      </c>
      <c r="X306" s="34" t="str">
        <f aca="false">IF($E306="","",IF(AND($O306&lt;&gt;"",$L306&lt;&gt;"",$O306&lt;&gt;$L306),1,0))</f>
        <v/>
      </c>
      <c r="Y306" s="34" t="str">
        <f aca="false">IF($E306="","",IF($N306="Cancelada",0,IF(OR($M306&lt;&gt;"",$N306="Concluída"),1,0)))</f>
        <v/>
      </c>
    </row>
    <row r="307" customFormat="false" ht="15" hidden="false" customHeight="true" outlineLevel="0" collapsed="false">
      <c r="A307" s="34" t="str">
        <f aca="false">IF($E307="","",COUNTA($E$5:$E307))</f>
        <v/>
      </c>
      <c r="B307" s="35"/>
      <c r="C307" s="35"/>
      <c r="D307" s="35"/>
      <c r="E307" s="35"/>
      <c r="F307" s="36"/>
      <c r="G307" s="37"/>
      <c r="H307" s="37"/>
      <c r="I307" s="37"/>
      <c r="J307" s="38"/>
      <c r="K307" s="39"/>
      <c r="L307" s="40" t="str">
        <f aca="false">IF(OR($J307="",$K307=""),"",$J307+MATCH($K307,Listas!$F$5:$F$11,0)-1)</f>
        <v/>
      </c>
      <c r="M307" s="41"/>
      <c r="N307" s="36"/>
      <c r="O307" s="41"/>
      <c r="P307" s="35"/>
      <c r="Q307" s="35"/>
      <c r="R307" s="42" t="str">
        <f aca="true">IF($E307="","",IF($N307="Cancelada","Cancelada",IF(OR($M307&lt;&gt;"",$N307="Concluída"),IF(OR($L307="",$M307="",$M307&lt;=$L307),"Concluída","Concluída com atraso"),IF($L307="","Na carteira",IF($L307&lt;TODAY(),"VENCIDA",IF($N307="Em execução","Em execução",IF($L307=TODAY(),"Hoje","Programada")))))))</f>
        <v/>
      </c>
      <c r="S307" s="34" t="str">
        <f aca="false">IF($E307="","",IF(ISNUMBER(SEARCH("(externo)",$G307&amp;$H307&amp;$I307)),"Terceirizada","Interna"))</f>
        <v/>
      </c>
      <c r="T307" s="40" t="str">
        <f aca="false">IF($L307="","",IF($O307="",$L307,$O307))</f>
        <v/>
      </c>
      <c r="U307" s="34" t="str">
        <f aca="false">IF($E307="","",IF(OR($M307="",$L307=""),0,IF($M307&lt;=$L307,1,0)))</f>
        <v/>
      </c>
      <c r="V307" s="34" t="str">
        <f aca="false">IF($E307="","",IF(OR($M307="",$T307=""),0,IF($M307&lt;=$T307,1,0)))</f>
        <v/>
      </c>
      <c r="W307" s="42" t="str">
        <f aca="false">IF(OR($M307="",$L307=""),"",MAX(0,$M307-$L307))</f>
        <v/>
      </c>
      <c r="X307" s="34" t="str">
        <f aca="false">IF($E307="","",IF(AND($O307&lt;&gt;"",$L307&lt;&gt;"",$O307&lt;&gt;$L307),1,0))</f>
        <v/>
      </c>
      <c r="Y307" s="34" t="str">
        <f aca="false">IF($E307="","",IF($N307="Cancelada",0,IF(OR($M307&lt;&gt;"",$N307="Concluída"),1,0)))</f>
        <v/>
      </c>
    </row>
    <row r="308" customFormat="false" ht="15" hidden="false" customHeight="true" outlineLevel="0" collapsed="false">
      <c r="A308" s="34" t="str">
        <f aca="false">IF($E308="","",COUNTA($E$5:$E308))</f>
        <v/>
      </c>
      <c r="B308" s="35"/>
      <c r="C308" s="35"/>
      <c r="D308" s="35"/>
      <c r="E308" s="35"/>
      <c r="F308" s="36"/>
      <c r="G308" s="37"/>
      <c r="H308" s="37"/>
      <c r="I308" s="37"/>
      <c r="J308" s="38"/>
      <c r="K308" s="39"/>
      <c r="L308" s="40" t="str">
        <f aca="false">IF(OR($J308="",$K308=""),"",$J308+MATCH($K308,Listas!$F$5:$F$11,0)-1)</f>
        <v/>
      </c>
      <c r="M308" s="41"/>
      <c r="N308" s="36"/>
      <c r="O308" s="41"/>
      <c r="P308" s="35"/>
      <c r="Q308" s="35"/>
      <c r="R308" s="42" t="str">
        <f aca="true">IF($E308="","",IF($N308="Cancelada","Cancelada",IF(OR($M308&lt;&gt;"",$N308="Concluída"),IF(OR($L308="",$M308="",$M308&lt;=$L308),"Concluída","Concluída com atraso"),IF($L308="","Na carteira",IF($L308&lt;TODAY(),"VENCIDA",IF($N308="Em execução","Em execução",IF($L308=TODAY(),"Hoje","Programada")))))))</f>
        <v/>
      </c>
      <c r="S308" s="34" t="str">
        <f aca="false">IF($E308="","",IF(ISNUMBER(SEARCH("(externo)",$G308&amp;$H308&amp;$I308)),"Terceirizada","Interna"))</f>
        <v/>
      </c>
      <c r="T308" s="40" t="str">
        <f aca="false">IF($L308="","",IF($O308="",$L308,$O308))</f>
        <v/>
      </c>
      <c r="U308" s="34" t="str">
        <f aca="false">IF($E308="","",IF(OR($M308="",$L308=""),0,IF($M308&lt;=$L308,1,0)))</f>
        <v/>
      </c>
      <c r="V308" s="34" t="str">
        <f aca="false">IF($E308="","",IF(OR($M308="",$T308=""),0,IF($M308&lt;=$T308,1,0)))</f>
        <v/>
      </c>
      <c r="W308" s="42" t="str">
        <f aca="false">IF(OR($M308="",$L308=""),"",MAX(0,$M308-$L308))</f>
        <v/>
      </c>
      <c r="X308" s="34" t="str">
        <f aca="false">IF($E308="","",IF(AND($O308&lt;&gt;"",$L308&lt;&gt;"",$O308&lt;&gt;$L308),1,0))</f>
        <v/>
      </c>
      <c r="Y308" s="34" t="str">
        <f aca="false">IF($E308="","",IF($N308="Cancelada",0,IF(OR($M308&lt;&gt;"",$N308="Concluída"),1,0)))</f>
        <v/>
      </c>
    </row>
    <row r="309" customFormat="false" ht="15" hidden="false" customHeight="true" outlineLevel="0" collapsed="false">
      <c r="A309" s="34" t="str">
        <f aca="false">IF($E309="","",COUNTA($E$5:$E309))</f>
        <v/>
      </c>
      <c r="B309" s="35"/>
      <c r="C309" s="35"/>
      <c r="D309" s="35"/>
      <c r="E309" s="35"/>
      <c r="F309" s="36"/>
      <c r="G309" s="37"/>
      <c r="H309" s="37"/>
      <c r="I309" s="37"/>
      <c r="J309" s="38"/>
      <c r="K309" s="39"/>
      <c r="L309" s="40" t="str">
        <f aca="false">IF(OR($J309="",$K309=""),"",$J309+MATCH($K309,Listas!$F$5:$F$11,0)-1)</f>
        <v/>
      </c>
      <c r="M309" s="41"/>
      <c r="N309" s="36"/>
      <c r="O309" s="41"/>
      <c r="P309" s="35"/>
      <c r="Q309" s="35"/>
      <c r="R309" s="42" t="str">
        <f aca="true">IF($E309="","",IF($N309="Cancelada","Cancelada",IF(OR($M309&lt;&gt;"",$N309="Concluída"),IF(OR($L309="",$M309="",$M309&lt;=$L309),"Concluída","Concluída com atraso"),IF($L309="","Na carteira",IF($L309&lt;TODAY(),"VENCIDA",IF($N309="Em execução","Em execução",IF($L309=TODAY(),"Hoje","Programada")))))))</f>
        <v/>
      </c>
      <c r="S309" s="34" t="str">
        <f aca="false">IF($E309="","",IF(ISNUMBER(SEARCH("(externo)",$G309&amp;$H309&amp;$I309)),"Terceirizada","Interna"))</f>
        <v/>
      </c>
      <c r="T309" s="40" t="str">
        <f aca="false">IF($L309="","",IF($O309="",$L309,$O309))</f>
        <v/>
      </c>
      <c r="U309" s="34" t="str">
        <f aca="false">IF($E309="","",IF(OR($M309="",$L309=""),0,IF($M309&lt;=$L309,1,0)))</f>
        <v/>
      </c>
      <c r="V309" s="34" t="str">
        <f aca="false">IF($E309="","",IF(OR($M309="",$T309=""),0,IF($M309&lt;=$T309,1,0)))</f>
        <v/>
      </c>
      <c r="W309" s="42" t="str">
        <f aca="false">IF(OR($M309="",$L309=""),"",MAX(0,$M309-$L309))</f>
        <v/>
      </c>
      <c r="X309" s="34" t="str">
        <f aca="false">IF($E309="","",IF(AND($O309&lt;&gt;"",$L309&lt;&gt;"",$O309&lt;&gt;$L309),1,0))</f>
        <v/>
      </c>
      <c r="Y309" s="34" t="str">
        <f aca="false">IF($E309="","",IF($N309="Cancelada",0,IF(OR($M309&lt;&gt;"",$N309="Concluída"),1,0)))</f>
        <v/>
      </c>
    </row>
    <row r="310" customFormat="false" ht="15" hidden="false" customHeight="true" outlineLevel="0" collapsed="false">
      <c r="A310" s="34" t="str">
        <f aca="false">IF($E310="","",COUNTA($E$5:$E310))</f>
        <v/>
      </c>
      <c r="B310" s="35"/>
      <c r="C310" s="35"/>
      <c r="D310" s="35"/>
      <c r="E310" s="35"/>
      <c r="F310" s="36"/>
      <c r="G310" s="37"/>
      <c r="H310" s="37"/>
      <c r="I310" s="37"/>
      <c r="J310" s="38"/>
      <c r="K310" s="39"/>
      <c r="L310" s="40" t="str">
        <f aca="false">IF(OR($J310="",$K310=""),"",$J310+MATCH($K310,Listas!$F$5:$F$11,0)-1)</f>
        <v/>
      </c>
      <c r="M310" s="41"/>
      <c r="N310" s="36"/>
      <c r="O310" s="41"/>
      <c r="P310" s="35"/>
      <c r="Q310" s="35"/>
      <c r="R310" s="42" t="str">
        <f aca="true">IF($E310="","",IF($N310="Cancelada","Cancelada",IF(OR($M310&lt;&gt;"",$N310="Concluída"),IF(OR($L310="",$M310="",$M310&lt;=$L310),"Concluída","Concluída com atraso"),IF($L310="","Na carteira",IF($L310&lt;TODAY(),"VENCIDA",IF($N310="Em execução","Em execução",IF($L310=TODAY(),"Hoje","Programada")))))))</f>
        <v/>
      </c>
      <c r="S310" s="34" t="str">
        <f aca="false">IF($E310="","",IF(ISNUMBER(SEARCH("(externo)",$G310&amp;$H310&amp;$I310)),"Terceirizada","Interna"))</f>
        <v/>
      </c>
      <c r="T310" s="40" t="str">
        <f aca="false">IF($L310="","",IF($O310="",$L310,$O310))</f>
        <v/>
      </c>
      <c r="U310" s="34" t="str">
        <f aca="false">IF($E310="","",IF(OR($M310="",$L310=""),0,IF($M310&lt;=$L310,1,0)))</f>
        <v/>
      </c>
      <c r="V310" s="34" t="str">
        <f aca="false">IF($E310="","",IF(OR($M310="",$T310=""),0,IF($M310&lt;=$T310,1,0)))</f>
        <v/>
      </c>
      <c r="W310" s="42" t="str">
        <f aca="false">IF(OR($M310="",$L310=""),"",MAX(0,$M310-$L310))</f>
        <v/>
      </c>
      <c r="X310" s="34" t="str">
        <f aca="false">IF($E310="","",IF(AND($O310&lt;&gt;"",$L310&lt;&gt;"",$O310&lt;&gt;$L310),1,0))</f>
        <v/>
      </c>
      <c r="Y310" s="34" t="str">
        <f aca="false">IF($E310="","",IF($N310="Cancelada",0,IF(OR($M310&lt;&gt;"",$N310="Concluída"),1,0)))</f>
        <v/>
      </c>
    </row>
    <row r="311" customFormat="false" ht="15" hidden="false" customHeight="true" outlineLevel="0" collapsed="false">
      <c r="A311" s="34" t="str">
        <f aca="false">IF($E311="","",COUNTA($E$5:$E311))</f>
        <v/>
      </c>
      <c r="B311" s="35"/>
      <c r="C311" s="35"/>
      <c r="D311" s="35"/>
      <c r="E311" s="35"/>
      <c r="F311" s="36"/>
      <c r="G311" s="37"/>
      <c r="H311" s="37"/>
      <c r="I311" s="37"/>
      <c r="J311" s="38"/>
      <c r="K311" s="39"/>
      <c r="L311" s="40" t="str">
        <f aca="false">IF(OR($J311="",$K311=""),"",$J311+MATCH($K311,Listas!$F$5:$F$11,0)-1)</f>
        <v/>
      </c>
      <c r="M311" s="41"/>
      <c r="N311" s="36"/>
      <c r="O311" s="41"/>
      <c r="P311" s="35"/>
      <c r="Q311" s="35"/>
      <c r="R311" s="42" t="str">
        <f aca="true">IF($E311="","",IF($N311="Cancelada","Cancelada",IF(OR($M311&lt;&gt;"",$N311="Concluída"),IF(OR($L311="",$M311="",$M311&lt;=$L311),"Concluída","Concluída com atraso"),IF($L311="","Na carteira",IF($L311&lt;TODAY(),"VENCIDA",IF($N311="Em execução","Em execução",IF($L311=TODAY(),"Hoje","Programada")))))))</f>
        <v/>
      </c>
      <c r="S311" s="34" t="str">
        <f aca="false">IF($E311="","",IF(ISNUMBER(SEARCH("(externo)",$G311&amp;$H311&amp;$I311)),"Terceirizada","Interna"))</f>
        <v/>
      </c>
      <c r="T311" s="40" t="str">
        <f aca="false">IF($L311="","",IF($O311="",$L311,$O311))</f>
        <v/>
      </c>
      <c r="U311" s="34" t="str">
        <f aca="false">IF($E311="","",IF(OR($M311="",$L311=""),0,IF($M311&lt;=$L311,1,0)))</f>
        <v/>
      </c>
      <c r="V311" s="34" t="str">
        <f aca="false">IF($E311="","",IF(OR($M311="",$T311=""),0,IF($M311&lt;=$T311,1,0)))</f>
        <v/>
      </c>
      <c r="W311" s="42" t="str">
        <f aca="false">IF(OR($M311="",$L311=""),"",MAX(0,$M311-$L311))</f>
        <v/>
      </c>
      <c r="X311" s="34" t="str">
        <f aca="false">IF($E311="","",IF(AND($O311&lt;&gt;"",$L311&lt;&gt;"",$O311&lt;&gt;$L311),1,0))</f>
        <v/>
      </c>
      <c r="Y311" s="34" t="str">
        <f aca="false">IF($E311="","",IF($N311="Cancelada",0,IF(OR($M311&lt;&gt;"",$N311="Concluída"),1,0)))</f>
        <v/>
      </c>
    </row>
    <row r="312" customFormat="false" ht="15" hidden="false" customHeight="true" outlineLevel="0" collapsed="false">
      <c r="A312" s="34" t="str">
        <f aca="false">IF($E312="","",COUNTA($E$5:$E312))</f>
        <v/>
      </c>
      <c r="B312" s="35"/>
      <c r="C312" s="35"/>
      <c r="D312" s="35"/>
      <c r="E312" s="35"/>
      <c r="F312" s="36"/>
      <c r="G312" s="37"/>
      <c r="H312" s="37"/>
      <c r="I312" s="37"/>
      <c r="J312" s="38"/>
      <c r="K312" s="39"/>
      <c r="L312" s="40" t="str">
        <f aca="false">IF(OR($J312="",$K312=""),"",$J312+MATCH($K312,Listas!$F$5:$F$11,0)-1)</f>
        <v/>
      </c>
      <c r="M312" s="41"/>
      <c r="N312" s="36"/>
      <c r="O312" s="41"/>
      <c r="P312" s="35"/>
      <c r="Q312" s="35"/>
      <c r="R312" s="42" t="str">
        <f aca="true">IF($E312="","",IF($N312="Cancelada","Cancelada",IF(OR($M312&lt;&gt;"",$N312="Concluída"),IF(OR($L312="",$M312="",$M312&lt;=$L312),"Concluída","Concluída com atraso"),IF($L312="","Na carteira",IF($L312&lt;TODAY(),"VENCIDA",IF($N312="Em execução","Em execução",IF($L312=TODAY(),"Hoje","Programada")))))))</f>
        <v/>
      </c>
      <c r="S312" s="34" t="str">
        <f aca="false">IF($E312="","",IF(ISNUMBER(SEARCH("(externo)",$G312&amp;$H312&amp;$I312)),"Terceirizada","Interna"))</f>
        <v/>
      </c>
      <c r="T312" s="40" t="str">
        <f aca="false">IF($L312="","",IF($O312="",$L312,$O312))</f>
        <v/>
      </c>
      <c r="U312" s="34" t="str">
        <f aca="false">IF($E312="","",IF(OR($M312="",$L312=""),0,IF($M312&lt;=$L312,1,0)))</f>
        <v/>
      </c>
      <c r="V312" s="34" t="str">
        <f aca="false">IF($E312="","",IF(OR($M312="",$T312=""),0,IF($M312&lt;=$T312,1,0)))</f>
        <v/>
      </c>
      <c r="W312" s="42" t="str">
        <f aca="false">IF(OR($M312="",$L312=""),"",MAX(0,$M312-$L312))</f>
        <v/>
      </c>
      <c r="X312" s="34" t="str">
        <f aca="false">IF($E312="","",IF(AND($O312&lt;&gt;"",$L312&lt;&gt;"",$O312&lt;&gt;$L312),1,0))</f>
        <v/>
      </c>
      <c r="Y312" s="34" t="str">
        <f aca="false">IF($E312="","",IF($N312="Cancelada",0,IF(OR($M312&lt;&gt;"",$N312="Concluída"),1,0)))</f>
        <v/>
      </c>
    </row>
    <row r="313" customFormat="false" ht="15" hidden="false" customHeight="true" outlineLevel="0" collapsed="false">
      <c r="A313" s="34" t="str">
        <f aca="false">IF($E313="","",COUNTA($E$5:$E313))</f>
        <v/>
      </c>
      <c r="B313" s="35"/>
      <c r="C313" s="35"/>
      <c r="D313" s="35"/>
      <c r="E313" s="35"/>
      <c r="F313" s="36"/>
      <c r="G313" s="37"/>
      <c r="H313" s="37"/>
      <c r="I313" s="37"/>
      <c r="J313" s="38"/>
      <c r="K313" s="39"/>
      <c r="L313" s="40" t="str">
        <f aca="false">IF(OR($J313="",$K313=""),"",$J313+MATCH($K313,Listas!$F$5:$F$11,0)-1)</f>
        <v/>
      </c>
      <c r="M313" s="41"/>
      <c r="N313" s="36"/>
      <c r="O313" s="41"/>
      <c r="P313" s="35"/>
      <c r="Q313" s="35"/>
      <c r="R313" s="42" t="str">
        <f aca="true">IF($E313="","",IF($N313="Cancelada","Cancelada",IF(OR($M313&lt;&gt;"",$N313="Concluída"),IF(OR($L313="",$M313="",$M313&lt;=$L313),"Concluída","Concluída com atraso"),IF($L313="","Na carteira",IF($L313&lt;TODAY(),"VENCIDA",IF($N313="Em execução","Em execução",IF($L313=TODAY(),"Hoje","Programada")))))))</f>
        <v/>
      </c>
      <c r="S313" s="34" t="str">
        <f aca="false">IF($E313="","",IF(ISNUMBER(SEARCH("(externo)",$G313&amp;$H313&amp;$I313)),"Terceirizada","Interna"))</f>
        <v/>
      </c>
      <c r="T313" s="40" t="str">
        <f aca="false">IF($L313="","",IF($O313="",$L313,$O313))</f>
        <v/>
      </c>
      <c r="U313" s="34" t="str">
        <f aca="false">IF($E313="","",IF(OR($M313="",$L313=""),0,IF($M313&lt;=$L313,1,0)))</f>
        <v/>
      </c>
      <c r="V313" s="34" t="str">
        <f aca="false">IF($E313="","",IF(OR($M313="",$T313=""),0,IF($M313&lt;=$T313,1,0)))</f>
        <v/>
      </c>
      <c r="W313" s="42" t="str">
        <f aca="false">IF(OR($M313="",$L313=""),"",MAX(0,$M313-$L313))</f>
        <v/>
      </c>
      <c r="X313" s="34" t="str">
        <f aca="false">IF($E313="","",IF(AND($O313&lt;&gt;"",$L313&lt;&gt;"",$O313&lt;&gt;$L313),1,0))</f>
        <v/>
      </c>
      <c r="Y313" s="34" t="str">
        <f aca="false">IF($E313="","",IF($N313="Cancelada",0,IF(OR($M313&lt;&gt;"",$N313="Concluída"),1,0)))</f>
        <v/>
      </c>
    </row>
    <row r="314" customFormat="false" ht="15" hidden="false" customHeight="true" outlineLevel="0" collapsed="false">
      <c r="A314" s="34" t="str">
        <f aca="false">IF($E314="","",COUNTA($E$5:$E314))</f>
        <v/>
      </c>
      <c r="B314" s="35"/>
      <c r="C314" s="35"/>
      <c r="D314" s="35"/>
      <c r="E314" s="35"/>
      <c r="F314" s="36"/>
      <c r="G314" s="37"/>
      <c r="H314" s="37"/>
      <c r="I314" s="37"/>
      <c r="J314" s="38"/>
      <c r="K314" s="39"/>
      <c r="L314" s="40" t="str">
        <f aca="false">IF(OR($J314="",$K314=""),"",$J314+MATCH($K314,Listas!$F$5:$F$11,0)-1)</f>
        <v/>
      </c>
      <c r="M314" s="41"/>
      <c r="N314" s="36"/>
      <c r="O314" s="41"/>
      <c r="P314" s="35"/>
      <c r="Q314" s="35"/>
      <c r="R314" s="42" t="str">
        <f aca="true">IF($E314="","",IF($N314="Cancelada","Cancelada",IF(OR($M314&lt;&gt;"",$N314="Concluída"),IF(OR($L314="",$M314="",$M314&lt;=$L314),"Concluída","Concluída com atraso"),IF($L314="","Na carteira",IF($L314&lt;TODAY(),"VENCIDA",IF($N314="Em execução","Em execução",IF($L314=TODAY(),"Hoje","Programada")))))))</f>
        <v/>
      </c>
      <c r="S314" s="34" t="str">
        <f aca="false">IF($E314="","",IF(ISNUMBER(SEARCH("(externo)",$G314&amp;$H314&amp;$I314)),"Terceirizada","Interna"))</f>
        <v/>
      </c>
      <c r="T314" s="40" t="str">
        <f aca="false">IF($L314="","",IF($O314="",$L314,$O314))</f>
        <v/>
      </c>
      <c r="U314" s="34" t="str">
        <f aca="false">IF($E314="","",IF(OR($M314="",$L314=""),0,IF($M314&lt;=$L314,1,0)))</f>
        <v/>
      </c>
      <c r="V314" s="34" t="str">
        <f aca="false">IF($E314="","",IF(OR($M314="",$T314=""),0,IF($M314&lt;=$T314,1,0)))</f>
        <v/>
      </c>
      <c r="W314" s="42" t="str">
        <f aca="false">IF(OR($M314="",$L314=""),"",MAX(0,$M314-$L314))</f>
        <v/>
      </c>
      <c r="X314" s="34" t="str">
        <f aca="false">IF($E314="","",IF(AND($O314&lt;&gt;"",$L314&lt;&gt;"",$O314&lt;&gt;$L314),1,0))</f>
        <v/>
      </c>
      <c r="Y314" s="34" t="str">
        <f aca="false">IF($E314="","",IF($N314="Cancelada",0,IF(OR($M314&lt;&gt;"",$N314="Concluída"),1,0)))</f>
        <v/>
      </c>
    </row>
    <row r="315" customFormat="false" ht="15" hidden="false" customHeight="true" outlineLevel="0" collapsed="false">
      <c r="A315" s="34" t="str">
        <f aca="false">IF($E315="","",COUNTA($E$5:$E315))</f>
        <v/>
      </c>
      <c r="B315" s="35"/>
      <c r="C315" s="35"/>
      <c r="D315" s="35"/>
      <c r="E315" s="35"/>
      <c r="F315" s="36"/>
      <c r="G315" s="37"/>
      <c r="H315" s="37"/>
      <c r="I315" s="37"/>
      <c r="J315" s="38"/>
      <c r="K315" s="39"/>
      <c r="L315" s="40" t="str">
        <f aca="false">IF(OR($J315="",$K315=""),"",$J315+MATCH($K315,Listas!$F$5:$F$11,0)-1)</f>
        <v/>
      </c>
      <c r="M315" s="41"/>
      <c r="N315" s="36"/>
      <c r="O315" s="41"/>
      <c r="P315" s="35"/>
      <c r="Q315" s="35"/>
      <c r="R315" s="42" t="str">
        <f aca="true">IF($E315="","",IF($N315="Cancelada","Cancelada",IF(OR($M315&lt;&gt;"",$N315="Concluída"),IF(OR($L315="",$M315="",$M315&lt;=$L315),"Concluída","Concluída com atraso"),IF($L315="","Na carteira",IF($L315&lt;TODAY(),"VENCIDA",IF($N315="Em execução","Em execução",IF($L315=TODAY(),"Hoje","Programada")))))))</f>
        <v/>
      </c>
      <c r="S315" s="34" t="str">
        <f aca="false">IF($E315="","",IF(ISNUMBER(SEARCH("(externo)",$G315&amp;$H315&amp;$I315)),"Terceirizada","Interna"))</f>
        <v/>
      </c>
      <c r="T315" s="40" t="str">
        <f aca="false">IF($L315="","",IF($O315="",$L315,$O315))</f>
        <v/>
      </c>
      <c r="U315" s="34" t="str">
        <f aca="false">IF($E315="","",IF(OR($M315="",$L315=""),0,IF($M315&lt;=$L315,1,0)))</f>
        <v/>
      </c>
      <c r="V315" s="34" t="str">
        <f aca="false">IF($E315="","",IF(OR($M315="",$T315=""),0,IF($M315&lt;=$T315,1,0)))</f>
        <v/>
      </c>
      <c r="W315" s="42" t="str">
        <f aca="false">IF(OR($M315="",$L315=""),"",MAX(0,$M315-$L315))</f>
        <v/>
      </c>
      <c r="X315" s="34" t="str">
        <f aca="false">IF($E315="","",IF(AND($O315&lt;&gt;"",$L315&lt;&gt;"",$O315&lt;&gt;$L315),1,0))</f>
        <v/>
      </c>
      <c r="Y315" s="34" t="str">
        <f aca="false">IF($E315="","",IF($N315="Cancelada",0,IF(OR($M315&lt;&gt;"",$N315="Concluída"),1,0)))</f>
        <v/>
      </c>
    </row>
    <row r="316" customFormat="false" ht="15" hidden="false" customHeight="true" outlineLevel="0" collapsed="false">
      <c r="A316" s="34" t="str">
        <f aca="false">IF($E316="","",COUNTA($E$5:$E316))</f>
        <v/>
      </c>
      <c r="B316" s="35"/>
      <c r="C316" s="35"/>
      <c r="D316" s="35"/>
      <c r="E316" s="35"/>
      <c r="F316" s="36"/>
      <c r="G316" s="37"/>
      <c r="H316" s="37"/>
      <c r="I316" s="37"/>
      <c r="J316" s="38"/>
      <c r="K316" s="39"/>
      <c r="L316" s="40" t="str">
        <f aca="false">IF(OR($J316="",$K316=""),"",$J316+MATCH($K316,Listas!$F$5:$F$11,0)-1)</f>
        <v/>
      </c>
      <c r="M316" s="41"/>
      <c r="N316" s="36"/>
      <c r="O316" s="41"/>
      <c r="P316" s="35"/>
      <c r="Q316" s="35"/>
      <c r="R316" s="42" t="str">
        <f aca="true">IF($E316="","",IF($N316="Cancelada","Cancelada",IF(OR($M316&lt;&gt;"",$N316="Concluída"),IF(OR($L316="",$M316="",$M316&lt;=$L316),"Concluída","Concluída com atraso"),IF($L316="","Na carteira",IF($L316&lt;TODAY(),"VENCIDA",IF($N316="Em execução","Em execução",IF($L316=TODAY(),"Hoje","Programada")))))))</f>
        <v/>
      </c>
      <c r="S316" s="34" t="str">
        <f aca="false">IF($E316="","",IF(ISNUMBER(SEARCH("(externo)",$G316&amp;$H316&amp;$I316)),"Terceirizada","Interna"))</f>
        <v/>
      </c>
      <c r="T316" s="40" t="str">
        <f aca="false">IF($L316="","",IF($O316="",$L316,$O316))</f>
        <v/>
      </c>
      <c r="U316" s="34" t="str">
        <f aca="false">IF($E316="","",IF(OR($M316="",$L316=""),0,IF($M316&lt;=$L316,1,0)))</f>
        <v/>
      </c>
      <c r="V316" s="34" t="str">
        <f aca="false">IF($E316="","",IF(OR($M316="",$T316=""),0,IF($M316&lt;=$T316,1,0)))</f>
        <v/>
      </c>
      <c r="W316" s="42" t="str">
        <f aca="false">IF(OR($M316="",$L316=""),"",MAX(0,$M316-$L316))</f>
        <v/>
      </c>
      <c r="X316" s="34" t="str">
        <f aca="false">IF($E316="","",IF(AND($O316&lt;&gt;"",$L316&lt;&gt;"",$O316&lt;&gt;$L316),1,0))</f>
        <v/>
      </c>
      <c r="Y316" s="34" t="str">
        <f aca="false">IF($E316="","",IF($N316="Cancelada",0,IF(OR($M316&lt;&gt;"",$N316="Concluída"),1,0)))</f>
        <v/>
      </c>
    </row>
    <row r="317" customFormat="false" ht="15" hidden="false" customHeight="true" outlineLevel="0" collapsed="false">
      <c r="A317" s="34" t="str">
        <f aca="false">IF($E317="","",COUNTA($E$5:$E317))</f>
        <v/>
      </c>
      <c r="B317" s="35"/>
      <c r="C317" s="35"/>
      <c r="D317" s="35"/>
      <c r="E317" s="35"/>
      <c r="F317" s="36"/>
      <c r="G317" s="37"/>
      <c r="H317" s="37"/>
      <c r="I317" s="37"/>
      <c r="J317" s="38"/>
      <c r="K317" s="39"/>
      <c r="L317" s="40" t="str">
        <f aca="false">IF(OR($J317="",$K317=""),"",$J317+MATCH($K317,Listas!$F$5:$F$11,0)-1)</f>
        <v/>
      </c>
      <c r="M317" s="41"/>
      <c r="N317" s="36"/>
      <c r="O317" s="41"/>
      <c r="P317" s="35"/>
      <c r="Q317" s="35"/>
      <c r="R317" s="42" t="str">
        <f aca="true">IF($E317="","",IF($N317="Cancelada","Cancelada",IF(OR($M317&lt;&gt;"",$N317="Concluída"),IF(OR($L317="",$M317="",$M317&lt;=$L317),"Concluída","Concluída com atraso"),IF($L317="","Na carteira",IF($L317&lt;TODAY(),"VENCIDA",IF($N317="Em execução","Em execução",IF($L317=TODAY(),"Hoje","Programada")))))))</f>
        <v/>
      </c>
      <c r="S317" s="34" t="str">
        <f aca="false">IF($E317="","",IF(ISNUMBER(SEARCH("(externo)",$G317&amp;$H317&amp;$I317)),"Terceirizada","Interna"))</f>
        <v/>
      </c>
      <c r="T317" s="40" t="str">
        <f aca="false">IF($L317="","",IF($O317="",$L317,$O317))</f>
        <v/>
      </c>
      <c r="U317" s="34" t="str">
        <f aca="false">IF($E317="","",IF(OR($M317="",$L317=""),0,IF($M317&lt;=$L317,1,0)))</f>
        <v/>
      </c>
      <c r="V317" s="34" t="str">
        <f aca="false">IF($E317="","",IF(OR($M317="",$T317=""),0,IF($M317&lt;=$T317,1,0)))</f>
        <v/>
      </c>
      <c r="W317" s="42" t="str">
        <f aca="false">IF(OR($M317="",$L317=""),"",MAX(0,$M317-$L317))</f>
        <v/>
      </c>
      <c r="X317" s="34" t="str">
        <f aca="false">IF($E317="","",IF(AND($O317&lt;&gt;"",$L317&lt;&gt;"",$O317&lt;&gt;$L317),1,0))</f>
        <v/>
      </c>
      <c r="Y317" s="34" t="str">
        <f aca="false">IF($E317="","",IF($N317="Cancelada",0,IF(OR($M317&lt;&gt;"",$N317="Concluída"),1,0)))</f>
        <v/>
      </c>
    </row>
    <row r="318" customFormat="false" ht="15" hidden="false" customHeight="true" outlineLevel="0" collapsed="false">
      <c r="A318" s="34" t="str">
        <f aca="false">IF($E318="","",COUNTA($E$5:$E318))</f>
        <v/>
      </c>
      <c r="B318" s="35"/>
      <c r="C318" s="35"/>
      <c r="D318" s="35"/>
      <c r="E318" s="35"/>
      <c r="F318" s="36"/>
      <c r="G318" s="37"/>
      <c r="H318" s="37"/>
      <c r="I318" s="37"/>
      <c r="J318" s="38"/>
      <c r="K318" s="39"/>
      <c r="L318" s="40" t="str">
        <f aca="false">IF(OR($J318="",$K318=""),"",$J318+MATCH($K318,Listas!$F$5:$F$11,0)-1)</f>
        <v/>
      </c>
      <c r="M318" s="41"/>
      <c r="N318" s="36"/>
      <c r="O318" s="41"/>
      <c r="P318" s="35"/>
      <c r="Q318" s="35"/>
      <c r="R318" s="42" t="str">
        <f aca="true">IF($E318="","",IF($N318="Cancelada","Cancelada",IF(OR($M318&lt;&gt;"",$N318="Concluída"),IF(OR($L318="",$M318="",$M318&lt;=$L318),"Concluída","Concluída com atraso"),IF($L318="","Na carteira",IF($L318&lt;TODAY(),"VENCIDA",IF($N318="Em execução","Em execução",IF($L318=TODAY(),"Hoje","Programada")))))))</f>
        <v/>
      </c>
      <c r="S318" s="34" t="str">
        <f aca="false">IF($E318="","",IF(ISNUMBER(SEARCH("(externo)",$G318&amp;$H318&amp;$I318)),"Terceirizada","Interna"))</f>
        <v/>
      </c>
      <c r="T318" s="40" t="str">
        <f aca="false">IF($L318="","",IF($O318="",$L318,$O318))</f>
        <v/>
      </c>
      <c r="U318" s="34" t="str">
        <f aca="false">IF($E318="","",IF(OR($M318="",$L318=""),0,IF($M318&lt;=$L318,1,0)))</f>
        <v/>
      </c>
      <c r="V318" s="34" t="str">
        <f aca="false">IF($E318="","",IF(OR($M318="",$T318=""),0,IF($M318&lt;=$T318,1,0)))</f>
        <v/>
      </c>
      <c r="W318" s="42" t="str">
        <f aca="false">IF(OR($M318="",$L318=""),"",MAX(0,$M318-$L318))</f>
        <v/>
      </c>
      <c r="X318" s="34" t="str">
        <f aca="false">IF($E318="","",IF(AND($O318&lt;&gt;"",$L318&lt;&gt;"",$O318&lt;&gt;$L318),1,0))</f>
        <v/>
      </c>
      <c r="Y318" s="34" t="str">
        <f aca="false">IF($E318="","",IF($N318="Cancelada",0,IF(OR($M318&lt;&gt;"",$N318="Concluída"),1,0)))</f>
        <v/>
      </c>
    </row>
    <row r="319" customFormat="false" ht="15" hidden="false" customHeight="true" outlineLevel="0" collapsed="false">
      <c r="A319" s="34" t="str">
        <f aca="false">IF($E319="","",COUNTA($E$5:$E319))</f>
        <v/>
      </c>
      <c r="B319" s="35"/>
      <c r="C319" s="35"/>
      <c r="D319" s="35"/>
      <c r="E319" s="35"/>
      <c r="F319" s="36"/>
      <c r="G319" s="37"/>
      <c r="H319" s="37"/>
      <c r="I319" s="37"/>
      <c r="J319" s="38"/>
      <c r="K319" s="39"/>
      <c r="L319" s="40" t="str">
        <f aca="false">IF(OR($J319="",$K319=""),"",$J319+MATCH($K319,Listas!$F$5:$F$11,0)-1)</f>
        <v/>
      </c>
      <c r="M319" s="41"/>
      <c r="N319" s="36"/>
      <c r="O319" s="41"/>
      <c r="P319" s="35"/>
      <c r="Q319" s="35"/>
      <c r="R319" s="42" t="str">
        <f aca="true">IF($E319="","",IF($N319="Cancelada","Cancelada",IF(OR($M319&lt;&gt;"",$N319="Concluída"),IF(OR($L319="",$M319="",$M319&lt;=$L319),"Concluída","Concluída com atraso"),IF($L319="","Na carteira",IF($L319&lt;TODAY(),"VENCIDA",IF($N319="Em execução","Em execução",IF($L319=TODAY(),"Hoje","Programada")))))))</f>
        <v/>
      </c>
      <c r="S319" s="34" t="str">
        <f aca="false">IF($E319="","",IF(ISNUMBER(SEARCH("(externo)",$G319&amp;$H319&amp;$I319)),"Terceirizada","Interna"))</f>
        <v/>
      </c>
      <c r="T319" s="40" t="str">
        <f aca="false">IF($L319="","",IF($O319="",$L319,$O319))</f>
        <v/>
      </c>
      <c r="U319" s="34" t="str">
        <f aca="false">IF($E319="","",IF(OR($M319="",$L319=""),0,IF($M319&lt;=$L319,1,0)))</f>
        <v/>
      </c>
      <c r="V319" s="34" t="str">
        <f aca="false">IF($E319="","",IF(OR($M319="",$T319=""),0,IF($M319&lt;=$T319,1,0)))</f>
        <v/>
      </c>
      <c r="W319" s="42" t="str">
        <f aca="false">IF(OR($M319="",$L319=""),"",MAX(0,$M319-$L319))</f>
        <v/>
      </c>
      <c r="X319" s="34" t="str">
        <f aca="false">IF($E319="","",IF(AND($O319&lt;&gt;"",$L319&lt;&gt;"",$O319&lt;&gt;$L319),1,0))</f>
        <v/>
      </c>
      <c r="Y319" s="34" t="str">
        <f aca="false">IF($E319="","",IF($N319="Cancelada",0,IF(OR($M319&lt;&gt;"",$N319="Concluída"),1,0)))</f>
        <v/>
      </c>
    </row>
    <row r="320" customFormat="false" ht="15" hidden="false" customHeight="true" outlineLevel="0" collapsed="false">
      <c r="A320" s="34" t="str">
        <f aca="false">IF($E320="","",COUNTA($E$5:$E320))</f>
        <v/>
      </c>
      <c r="B320" s="35"/>
      <c r="C320" s="35"/>
      <c r="D320" s="35"/>
      <c r="E320" s="35"/>
      <c r="F320" s="36"/>
      <c r="G320" s="37"/>
      <c r="H320" s="37"/>
      <c r="I320" s="37"/>
      <c r="J320" s="38"/>
      <c r="K320" s="39"/>
      <c r="L320" s="40" t="str">
        <f aca="false">IF(OR($J320="",$K320=""),"",$J320+MATCH($K320,Listas!$F$5:$F$11,0)-1)</f>
        <v/>
      </c>
      <c r="M320" s="41"/>
      <c r="N320" s="36"/>
      <c r="O320" s="41"/>
      <c r="P320" s="35"/>
      <c r="Q320" s="35"/>
      <c r="R320" s="42" t="str">
        <f aca="true">IF($E320="","",IF($N320="Cancelada","Cancelada",IF(OR($M320&lt;&gt;"",$N320="Concluída"),IF(OR($L320="",$M320="",$M320&lt;=$L320),"Concluída","Concluída com atraso"),IF($L320="","Na carteira",IF($L320&lt;TODAY(),"VENCIDA",IF($N320="Em execução","Em execução",IF($L320=TODAY(),"Hoje","Programada")))))))</f>
        <v/>
      </c>
      <c r="S320" s="34" t="str">
        <f aca="false">IF($E320="","",IF(ISNUMBER(SEARCH("(externo)",$G320&amp;$H320&amp;$I320)),"Terceirizada","Interna"))</f>
        <v/>
      </c>
      <c r="T320" s="40" t="str">
        <f aca="false">IF($L320="","",IF($O320="",$L320,$O320))</f>
        <v/>
      </c>
      <c r="U320" s="34" t="str">
        <f aca="false">IF($E320="","",IF(OR($M320="",$L320=""),0,IF($M320&lt;=$L320,1,0)))</f>
        <v/>
      </c>
      <c r="V320" s="34" t="str">
        <f aca="false">IF($E320="","",IF(OR($M320="",$T320=""),0,IF($M320&lt;=$T320,1,0)))</f>
        <v/>
      </c>
      <c r="W320" s="42" t="str">
        <f aca="false">IF(OR($M320="",$L320=""),"",MAX(0,$M320-$L320))</f>
        <v/>
      </c>
      <c r="X320" s="34" t="str">
        <f aca="false">IF($E320="","",IF(AND($O320&lt;&gt;"",$L320&lt;&gt;"",$O320&lt;&gt;$L320),1,0))</f>
        <v/>
      </c>
      <c r="Y320" s="34" t="str">
        <f aca="false">IF($E320="","",IF($N320="Cancelada",0,IF(OR($M320&lt;&gt;"",$N320="Concluída"),1,0)))</f>
        <v/>
      </c>
    </row>
    <row r="321" customFormat="false" ht="15" hidden="false" customHeight="true" outlineLevel="0" collapsed="false">
      <c r="A321" s="34" t="str">
        <f aca="false">IF($E321="","",COUNTA($E$5:$E321))</f>
        <v/>
      </c>
      <c r="B321" s="35"/>
      <c r="C321" s="35"/>
      <c r="D321" s="35"/>
      <c r="E321" s="35"/>
      <c r="F321" s="36"/>
      <c r="G321" s="37"/>
      <c r="H321" s="37"/>
      <c r="I321" s="37"/>
      <c r="J321" s="38"/>
      <c r="K321" s="39"/>
      <c r="L321" s="40" t="str">
        <f aca="false">IF(OR($J321="",$K321=""),"",$J321+MATCH($K321,Listas!$F$5:$F$11,0)-1)</f>
        <v/>
      </c>
      <c r="M321" s="41"/>
      <c r="N321" s="36"/>
      <c r="O321" s="41"/>
      <c r="P321" s="35"/>
      <c r="Q321" s="35"/>
      <c r="R321" s="42" t="str">
        <f aca="true">IF($E321="","",IF($N321="Cancelada","Cancelada",IF(OR($M321&lt;&gt;"",$N321="Concluída"),IF(OR($L321="",$M321="",$M321&lt;=$L321),"Concluída","Concluída com atraso"),IF($L321="","Na carteira",IF($L321&lt;TODAY(),"VENCIDA",IF($N321="Em execução","Em execução",IF($L321=TODAY(),"Hoje","Programada")))))))</f>
        <v/>
      </c>
      <c r="S321" s="34" t="str">
        <f aca="false">IF($E321="","",IF(ISNUMBER(SEARCH("(externo)",$G321&amp;$H321&amp;$I321)),"Terceirizada","Interna"))</f>
        <v/>
      </c>
      <c r="T321" s="40" t="str">
        <f aca="false">IF($L321="","",IF($O321="",$L321,$O321))</f>
        <v/>
      </c>
      <c r="U321" s="34" t="str">
        <f aca="false">IF($E321="","",IF(OR($M321="",$L321=""),0,IF($M321&lt;=$L321,1,0)))</f>
        <v/>
      </c>
      <c r="V321" s="34" t="str">
        <f aca="false">IF($E321="","",IF(OR($M321="",$T321=""),0,IF($M321&lt;=$T321,1,0)))</f>
        <v/>
      </c>
      <c r="W321" s="42" t="str">
        <f aca="false">IF(OR($M321="",$L321=""),"",MAX(0,$M321-$L321))</f>
        <v/>
      </c>
      <c r="X321" s="34" t="str">
        <f aca="false">IF($E321="","",IF(AND($O321&lt;&gt;"",$L321&lt;&gt;"",$O321&lt;&gt;$L321),1,0))</f>
        <v/>
      </c>
      <c r="Y321" s="34" t="str">
        <f aca="false">IF($E321="","",IF($N321="Cancelada",0,IF(OR($M321&lt;&gt;"",$N321="Concluída"),1,0)))</f>
        <v/>
      </c>
    </row>
    <row r="322" customFormat="false" ht="15" hidden="false" customHeight="true" outlineLevel="0" collapsed="false">
      <c r="A322" s="34" t="str">
        <f aca="false">IF($E322="","",COUNTA($E$5:$E322))</f>
        <v/>
      </c>
      <c r="B322" s="35"/>
      <c r="C322" s="35"/>
      <c r="D322" s="35"/>
      <c r="E322" s="35"/>
      <c r="F322" s="36"/>
      <c r="G322" s="37"/>
      <c r="H322" s="37"/>
      <c r="I322" s="37"/>
      <c r="J322" s="38"/>
      <c r="K322" s="39"/>
      <c r="L322" s="40" t="str">
        <f aca="false">IF(OR($J322="",$K322=""),"",$J322+MATCH($K322,Listas!$F$5:$F$11,0)-1)</f>
        <v/>
      </c>
      <c r="M322" s="41"/>
      <c r="N322" s="36"/>
      <c r="O322" s="41"/>
      <c r="P322" s="35"/>
      <c r="Q322" s="35"/>
      <c r="R322" s="42" t="str">
        <f aca="true">IF($E322="","",IF($N322="Cancelada","Cancelada",IF(OR($M322&lt;&gt;"",$N322="Concluída"),IF(OR($L322="",$M322="",$M322&lt;=$L322),"Concluída","Concluída com atraso"),IF($L322="","Na carteira",IF($L322&lt;TODAY(),"VENCIDA",IF($N322="Em execução","Em execução",IF($L322=TODAY(),"Hoje","Programada")))))))</f>
        <v/>
      </c>
      <c r="S322" s="34" t="str">
        <f aca="false">IF($E322="","",IF(ISNUMBER(SEARCH("(externo)",$G322&amp;$H322&amp;$I322)),"Terceirizada","Interna"))</f>
        <v/>
      </c>
      <c r="T322" s="40" t="str">
        <f aca="false">IF($L322="","",IF($O322="",$L322,$O322))</f>
        <v/>
      </c>
      <c r="U322" s="34" t="str">
        <f aca="false">IF($E322="","",IF(OR($M322="",$L322=""),0,IF($M322&lt;=$L322,1,0)))</f>
        <v/>
      </c>
      <c r="V322" s="34" t="str">
        <f aca="false">IF($E322="","",IF(OR($M322="",$T322=""),0,IF($M322&lt;=$T322,1,0)))</f>
        <v/>
      </c>
      <c r="W322" s="42" t="str">
        <f aca="false">IF(OR($M322="",$L322=""),"",MAX(0,$M322-$L322))</f>
        <v/>
      </c>
      <c r="X322" s="34" t="str">
        <f aca="false">IF($E322="","",IF(AND($O322&lt;&gt;"",$L322&lt;&gt;"",$O322&lt;&gt;$L322),1,0))</f>
        <v/>
      </c>
      <c r="Y322" s="34" t="str">
        <f aca="false">IF($E322="","",IF($N322="Cancelada",0,IF(OR($M322&lt;&gt;"",$N322="Concluída"),1,0)))</f>
        <v/>
      </c>
    </row>
    <row r="323" customFormat="false" ht="15" hidden="false" customHeight="true" outlineLevel="0" collapsed="false">
      <c r="A323" s="34" t="str">
        <f aca="false">IF($E323="","",COUNTA($E$5:$E323))</f>
        <v/>
      </c>
      <c r="B323" s="35"/>
      <c r="C323" s="35"/>
      <c r="D323" s="35"/>
      <c r="E323" s="35"/>
      <c r="F323" s="36"/>
      <c r="G323" s="37"/>
      <c r="H323" s="37"/>
      <c r="I323" s="37"/>
      <c r="J323" s="38"/>
      <c r="K323" s="39"/>
      <c r="L323" s="40" t="str">
        <f aca="false">IF(OR($J323="",$K323=""),"",$J323+MATCH($K323,Listas!$F$5:$F$11,0)-1)</f>
        <v/>
      </c>
      <c r="M323" s="41"/>
      <c r="N323" s="36"/>
      <c r="O323" s="41"/>
      <c r="P323" s="35"/>
      <c r="Q323" s="35"/>
      <c r="R323" s="42" t="str">
        <f aca="true">IF($E323="","",IF($N323="Cancelada","Cancelada",IF(OR($M323&lt;&gt;"",$N323="Concluída"),IF(OR($L323="",$M323="",$M323&lt;=$L323),"Concluída","Concluída com atraso"),IF($L323="","Na carteira",IF($L323&lt;TODAY(),"VENCIDA",IF($N323="Em execução","Em execução",IF($L323=TODAY(),"Hoje","Programada")))))))</f>
        <v/>
      </c>
      <c r="S323" s="34" t="str">
        <f aca="false">IF($E323="","",IF(ISNUMBER(SEARCH("(externo)",$G323&amp;$H323&amp;$I323)),"Terceirizada","Interna"))</f>
        <v/>
      </c>
      <c r="T323" s="40" t="str">
        <f aca="false">IF($L323="","",IF($O323="",$L323,$O323))</f>
        <v/>
      </c>
      <c r="U323" s="34" t="str">
        <f aca="false">IF($E323="","",IF(OR($M323="",$L323=""),0,IF($M323&lt;=$L323,1,0)))</f>
        <v/>
      </c>
      <c r="V323" s="34" t="str">
        <f aca="false">IF($E323="","",IF(OR($M323="",$T323=""),0,IF($M323&lt;=$T323,1,0)))</f>
        <v/>
      </c>
      <c r="W323" s="42" t="str">
        <f aca="false">IF(OR($M323="",$L323=""),"",MAX(0,$M323-$L323))</f>
        <v/>
      </c>
      <c r="X323" s="34" t="str">
        <f aca="false">IF($E323="","",IF(AND($O323&lt;&gt;"",$L323&lt;&gt;"",$O323&lt;&gt;$L323),1,0))</f>
        <v/>
      </c>
      <c r="Y323" s="34" t="str">
        <f aca="false">IF($E323="","",IF($N323="Cancelada",0,IF(OR($M323&lt;&gt;"",$N323="Concluída"),1,0)))</f>
        <v/>
      </c>
    </row>
    <row r="324" customFormat="false" ht="15" hidden="false" customHeight="true" outlineLevel="0" collapsed="false">
      <c r="A324" s="34" t="str">
        <f aca="false">IF($E324="","",COUNTA($E$5:$E324))</f>
        <v/>
      </c>
      <c r="B324" s="35"/>
      <c r="C324" s="35"/>
      <c r="D324" s="35"/>
      <c r="E324" s="35"/>
      <c r="F324" s="36"/>
      <c r="G324" s="37"/>
      <c r="H324" s="37"/>
      <c r="I324" s="37"/>
      <c r="J324" s="38"/>
      <c r="K324" s="39"/>
      <c r="L324" s="40" t="str">
        <f aca="false">IF(OR($J324="",$K324=""),"",$J324+MATCH($K324,Listas!$F$5:$F$11,0)-1)</f>
        <v/>
      </c>
      <c r="M324" s="41"/>
      <c r="N324" s="36"/>
      <c r="O324" s="41"/>
      <c r="P324" s="35"/>
      <c r="Q324" s="35"/>
      <c r="R324" s="42" t="str">
        <f aca="true">IF($E324="","",IF($N324="Cancelada","Cancelada",IF(OR($M324&lt;&gt;"",$N324="Concluída"),IF(OR($L324="",$M324="",$M324&lt;=$L324),"Concluída","Concluída com atraso"),IF($L324="","Na carteira",IF($L324&lt;TODAY(),"VENCIDA",IF($N324="Em execução","Em execução",IF($L324=TODAY(),"Hoje","Programada")))))))</f>
        <v/>
      </c>
      <c r="S324" s="34" t="str">
        <f aca="false">IF($E324="","",IF(ISNUMBER(SEARCH("(externo)",$G324&amp;$H324&amp;$I324)),"Terceirizada","Interna"))</f>
        <v/>
      </c>
      <c r="T324" s="40" t="str">
        <f aca="false">IF($L324="","",IF($O324="",$L324,$O324))</f>
        <v/>
      </c>
      <c r="U324" s="34" t="str">
        <f aca="false">IF($E324="","",IF(OR($M324="",$L324=""),0,IF($M324&lt;=$L324,1,0)))</f>
        <v/>
      </c>
      <c r="V324" s="34" t="str">
        <f aca="false">IF($E324="","",IF(OR($M324="",$T324=""),0,IF($M324&lt;=$T324,1,0)))</f>
        <v/>
      </c>
      <c r="W324" s="42" t="str">
        <f aca="false">IF(OR($M324="",$L324=""),"",MAX(0,$M324-$L324))</f>
        <v/>
      </c>
      <c r="X324" s="34" t="str">
        <f aca="false">IF($E324="","",IF(AND($O324&lt;&gt;"",$L324&lt;&gt;"",$O324&lt;&gt;$L324),1,0))</f>
        <v/>
      </c>
      <c r="Y324" s="34" t="str">
        <f aca="false">IF($E324="","",IF($N324="Cancelada",0,IF(OR($M324&lt;&gt;"",$N324="Concluída"),1,0)))</f>
        <v/>
      </c>
    </row>
    <row r="325" customFormat="false" ht="15" hidden="false" customHeight="true" outlineLevel="0" collapsed="false">
      <c r="A325" s="34" t="str">
        <f aca="false">IF($E325="","",COUNTA($E$5:$E325))</f>
        <v/>
      </c>
      <c r="B325" s="35"/>
      <c r="C325" s="35"/>
      <c r="D325" s="35"/>
      <c r="E325" s="35"/>
      <c r="F325" s="36"/>
      <c r="G325" s="37"/>
      <c r="H325" s="37"/>
      <c r="I325" s="37"/>
      <c r="J325" s="38"/>
      <c r="K325" s="39"/>
      <c r="L325" s="40" t="str">
        <f aca="false">IF(OR($J325="",$K325=""),"",$J325+MATCH($K325,Listas!$F$5:$F$11,0)-1)</f>
        <v/>
      </c>
      <c r="M325" s="41"/>
      <c r="N325" s="36"/>
      <c r="O325" s="41"/>
      <c r="P325" s="35"/>
      <c r="Q325" s="35"/>
      <c r="R325" s="42" t="str">
        <f aca="true">IF($E325="","",IF($N325="Cancelada","Cancelada",IF(OR($M325&lt;&gt;"",$N325="Concluída"),IF(OR($L325="",$M325="",$M325&lt;=$L325),"Concluída","Concluída com atraso"),IF($L325="","Na carteira",IF($L325&lt;TODAY(),"VENCIDA",IF($N325="Em execução","Em execução",IF($L325=TODAY(),"Hoje","Programada")))))))</f>
        <v/>
      </c>
      <c r="S325" s="34" t="str">
        <f aca="false">IF($E325="","",IF(ISNUMBER(SEARCH("(externo)",$G325&amp;$H325&amp;$I325)),"Terceirizada","Interna"))</f>
        <v/>
      </c>
      <c r="T325" s="40" t="str">
        <f aca="false">IF($L325="","",IF($O325="",$L325,$O325))</f>
        <v/>
      </c>
      <c r="U325" s="34" t="str">
        <f aca="false">IF($E325="","",IF(OR($M325="",$L325=""),0,IF($M325&lt;=$L325,1,0)))</f>
        <v/>
      </c>
      <c r="V325" s="34" t="str">
        <f aca="false">IF($E325="","",IF(OR($M325="",$T325=""),0,IF($M325&lt;=$T325,1,0)))</f>
        <v/>
      </c>
      <c r="W325" s="42" t="str">
        <f aca="false">IF(OR($M325="",$L325=""),"",MAX(0,$M325-$L325))</f>
        <v/>
      </c>
      <c r="X325" s="34" t="str">
        <f aca="false">IF($E325="","",IF(AND($O325&lt;&gt;"",$L325&lt;&gt;"",$O325&lt;&gt;$L325),1,0))</f>
        <v/>
      </c>
      <c r="Y325" s="34" t="str">
        <f aca="false">IF($E325="","",IF($N325="Cancelada",0,IF(OR($M325&lt;&gt;"",$N325="Concluída"),1,0)))</f>
        <v/>
      </c>
    </row>
    <row r="326" customFormat="false" ht="15" hidden="false" customHeight="true" outlineLevel="0" collapsed="false">
      <c r="A326" s="34" t="str">
        <f aca="false">IF($E326="","",COUNTA($E$5:$E326))</f>
        <v/>
      </c>
      <c r="B326" s="35"/>
      <c r="C326" s="35"/>
      <c r="D326" s="35"/>
      <c r="E326" s="35"/>
      <c r="F326" s="36"/>
      <c r="G326" s="37"/>
      <c r="H326" s="37"/>
      <c r="I326" s="37"/>
      <c r="J326" s="38"/>
      <c r="K326" s="39"/>
      <c r="L326" s="40" t="str">
        <f aca="false">IF(OR($J326="",$K326=""),"",$J326+MATCH($K326,Listas!$F$5:$F$11,0)-1)</f>
        <v/>
      </c>
      <c r="M326" s="41"/>
      <c r="N326" s="36"/>
      <c r="O326" s="41"/>
      <c r="P326" s="35"/>
      <c r="Q326" s="35"/>
      <c r="R326" s="42" t="str">
        <f aca="true">IF($E326="","",IF($N326="Cancelada","Cancelada",IF(OR($M326&lt;&gt;"",$N326="Concluída"),IF(OR($L326="",$M326="",$M326&lt;=$L326),"Concluída","Concluída com atraso"),IF($L326="","Na carteira",IF($L326&lt;TODAY(),"VENCIDA",IF($N326="Em execução","Em execução",IF($L326=TODAY(),"Hoje","Programada")))))))</f>
        <v/>
      </c>
      <c r="S326" s="34" t="str">
        <f aca="false">IF($E326="","",IF(ISNUMBER(SEARCH("(externo)",$G326&amp;$H326&amp;$I326)),"Terceirizada","Interna"))</f>
        <v/>
      </c>
      <c r="T326" s="40" t="str">
        <f aca="false">IF($L326="","",IF($O326="",$L326,$O326))</f>
        <v/>
      </c>
      <c r="U326" s="34" t="str">
        <f aca="false">IF($E326="","",IF(OR($M326="",$L326=""),0,IF($M326&lt;=$L326,1,0)))</f>
        <v/>
      </c>
      <c r="V326" s="34" t="str">
        <f aca="false">IF($E326="","",IF(OR($M326="",$T326=""),0,IF($M326&lt;=$T326,1,0)))</f>
        <v/>
      </c>
      <c r="W326" s="42" t="str">
        <f aca="false">IF(OR($M326="",$L326=""),"",MAX(0,$M326-$L326))</f>
        <v/>
      </c>
      <c r="X326" s="34" t="str">
        <f aca="false">IF($E326="","",IF(AND($O326&lt;&gt;"",$L326&lt;&gt;"",$O326&lt;&gt;$L326),1,0))</f>
        <v/>
      </c>
      <c r="Y326" s="34" t="str">
        <f aca="false">IF($E326="","",IF($N326="Cancelada",0,IF(OR($M326&lt;&gt;"",$N326="Concluída"),1,0)))</f>
        <v/>
      </c>
    </row>
    <row r="327" customFormat="false" ht="15" hidden="false" customHeight="true" outlineLevel="0" collapsed="false">
      <c r="A327" s="34" t="str">
        <f aca="false">IF($E327="","",COUNTA($E$5:$E327))</f>
        <v/>
      </c>
      <c r="B327" s="35"/>
      <c r="C327" s="35"/>
      <c r="D327" s="35"/>
      <c r="E327" s="35"/>
      <c r="F327" s="36"/>
      <c r="G327" s="37"/>
      <c r="H327" s="37"/>
      <c r="I327" s="37"/>
      <c r="J327" s="38"/>
      <c r="K327" s="39"/>
      <c r="L327" s="40" t="str">
        <f aca="false">IF(OR($J327="",$K327=""),"",$J327+MATCH($K327,Listas!$F$5:$F$11,0)-1)</f>
        <v/>
      </c>
      <c r="M327" s="41"/>
      <c r="N327" s="36"/>
      <c r="O327" s="41"/>
      <c r="P327" s="35"/>
      <c r="Q327" s="35"/>
      <c r="R327" s="42" t="str">
        <f aca="true">IF($E327="","",IF($N327="Cancelada","Cancelada",IF(OR($M327&lt;&gt;"",$N327="Concluída"),IF(OR($L327="",$M327="",$M327&lt;=$L327),"Concluída","Concluída com atraso"),IF($L327="","Na carteira",IF($L327&lt;TODAY(),"VENCIDA",IF($N327="Em execução","Em execução",IF($L327=TODAY(),"Hoje","Programada")))))))</f>
        <v/>
      </c>
      <c r="S327" s="34" t="str">
        <f aca="false">IF($E327="","",IF(ISNUMBER(SEARCH("(externo)",$G327&amp;$H327&amp;$I327)),"Terceirizada","Interna"))</f>
        <v/>
      </c>
      <c r="T327" s="40" t="str">
        <f aca="false">IF($L327="","",IF($O327="",$L327,$O327))</f>
        <v/>
      </c>
      <c r="U327" s="34" t="str">
        <f aca="false">IF($E327="","",IF(OR($M327="",$L327=""),0,IF($M327&lt;=$L327,1,0)))</f>
        <v/>
      </c>
      <c r="V327" s="34" t="str">
        <f aca="false">IF($E327="","",IF(OR($M327="",$T327=""),0,IF($M327&lt;=$T327,1,0)))</f>
        <v/>
      </c>
      <c r="W327" s="42" t="str">
        <f aca="false">IF(OR($M327="",$L327=""),"",MAX(0,$M327-$L327))</f>
        <v/>
      </c>
      <c r="X327" s="34" t="str">
        <f aca="false">IF($E327="","",IF(AND($O327&lt;&gt;"",$L327&lt;&gt;"",$O327&lt;&gt;$L327),1,0))</f>
        <v/>
      </c>
      <c r="Y327" s="34" t="str">
        <f aca="false">IF($E327="","",IF($N327="Cancelada",0,IF(OR($M327&lt;&gt;"",$N327="Concluída"),1,0)))</f>
        <v/>
      </c>
    </row>
    <row r="328" customFormat="false" ht="15" hidden="false" customHeight="true" outlineLevel="0" collapsed="false">
      <c r="A328" s="34" t="str">
        <f aca="false">IF($E328="","",COUNTA($E$5:$E328))</f>
        <v/>
      </c>
      <c r="B328" s="35"/>
      <c r="C328" s="35"/>
      <c r="D328" s="35"/>
      <c r="E328" s="35"/>
      <c r="F328" s="36"/>
      <c r="G328" s="37"/>
      <c r="H328" s="37"/>
      <c r="I328" s="37"/>
      <c r="J328" s="38"/>
      <c r="K328" s="39"/>
      <c r="L328" s="40" t="str">
        <f aca="false">IF(OR($J328="",$K328=""),"",$J328+MATCH($K328,Listas!$F$5:$F$11,0)-1)</f>
        <v/>
      </c>
      <c r="M328" s="41"/>
      <c r="N328" s="36"/>
      <c r="O328" s="41"/>
      <c r="P328" s="35"/>
      <c r="Q328" s="35"/>
      <c r="R328" s="42" t="str">
        <f aca="true">IF($E328="","",IF($N328="Cancelada","Cancelada",IF(OR($M328&lt;&gt;"",$N328="Concluída"),IF(OR($L328="",$M328="",$M328&lt;=$L328),"Concluída","Concluída com atraso"),IF($L328="","Na carteira",IF($L328&lt;TODAY(),"VENCIDA",IF($N328="Em execução","Em execução",IF($L328=TODAY(),"Hoje","Programada")))))))</f>
        <v/>
      </c>
      <c r="S328" s="34" t="str">
        <f aca="false">IF($E328="","",IF(ISNUMBER(SEARCH("(externo)",$G328&amp;$H328&amp;$I328)),"Terceirizada","Interna"))</f>
        <v/>
      </c>
      <c r="T328" s="40" t="str">
        <f aca="false">IF($L328="","",IF($O328="",$L328,$O328))</f>
        <v/>
      </c>
      <c r="U328" s="34" t="str">
        <f aca="false">IF($E328="","",IF(OR($M328="",$L328=""),0,IF($M328&lt;=$L328,1,0)))</f>
        <v/>
      </c>
      <c r="V328" s="34" t="str">
        <f aca="false">IF($E328="","",IF(OR($M328="",$T328=""),0,IF($M328&lt;=$T328,1,0)))</f>
        <v/>
      </c>
      <c r="W328" s="42" t="str">
        <f aca="false">IF(OR($M328="",$L328=""),"",MAX(0,$M328-$L328))</f>
        <v/>
      </c>
      <c r="X328" s="34" t="str">
        <f aca="false">IF($E328="","",IF(AND($O328&lt;&gt;"",$L328&lt;&gt;"",$O328&lt;&gt;$L328),1,0))</f>
        <v/>
      </c>
      <c r="Y328" s="34" t="str">
        <f aca="false">IF($E328="","",IF($N328="Cancelada",0,IF(OR($M328&lt;&gt;"",$N328="Concluída"),1,0)))</f>
        <v/>
      </c>
    </row>
    <row r="329" customFormat="false" ht="15" hidden="false" customHeight="true" outlineLevel="0" collapsed="false">
      <c r="A329" s="34" t="str">
        <f aca="false">IF($E329="","",COUNTA($E$5:$E329))</f>
        <v/>
      </c>
      <c r="B329" s="35"/>
      <c r="C329" s="35"/>
      <c r="D329" s="35"/>
      <c r="E329" s="35"/>
      <c r="F329" s="36"/>
      <c r="G329" s="37"/>
      <c r="H329" s="37"/>
      <c r="I329" s="37"/>
      <c r="J329" s="38"/>
      <c r="K329" s="39"/>
      <c r="L329" s="40" t="str">
        <f aca="false">IF(OR($J329="",$K329=""),"",$J329+MATCH($K329,Listas!$F$5:$F$11,0)-1)</f>
        <v/>
      </c>
      <c r="M329" s="41"/>
      <c r="N329" s="36"/>
      <c r="O329" s="41"/>
      <c r="P329" s="35"/>
      <c r="Q329" s="35"/>
      <c r="R329" s="42" t="str">
        <f aca="true">IF($E329="","",IF($N329="Cancelada","Cancelada",IF(OR($M329&lt;&gt;"",$N329="Concluída"),IF(OR($L329="",$M329="",$M329&lt;=$L329),"Concluída","Concluída com atraso"),IF($L329="","Na carteira",IF($L329&lt;TODAY(),"VENCIDA",IF($N329="Em execução","Em execução",IF($L329=TODAY(),"Hoje","Programada")))))))</f>
        <v/>
      </c>
      <c r="S329" s="34" t="str">
        <f aca="false">IF($E329="","",IF(ISNUMBER(SEARCH("(externo)",$G329&amp;$H329&amp;$I329)),"Terceirizada","Interna"))</f>
        <v/>
      </c>
      <c r="T329" s="40" t="str">
        <f aca="false">IF($L329="","",IF($O329="",$L329,$O329))</f>
        <v/>
      </c>
      <c r="U329" s="34" t="str">
        <f aca="false">IF($E329="","",IF(OR($M329="",$L329=""),0,IF($M329&lt;=$L329,1,0)))</f>
        <v/>
      </c>
      <c r="V329" s="34" t="str">
        <f aca="false">IF($E329="","",IF(OR($M329="",$T329=""),0,IF($M329&lt;=$T329,1,0)))</f>
        <v/>
      </c>
      <c r="W329" s="42" t="str">
        <f aca="false">IF(OR($M329="",$L329=""),"",MAX(0,$M329-$L329))</f>
        <v/>
      </c>
      <c r="X329" s="34" t="str">
        <f aca="false">IF($E329="","",IF(AND($O329&lt;&gt;"",$L329&lt;&gt;"",$O329&lt;&gt;$L329),1,0))</f>
        <v/>
      </c>
      <c r="Y329" s="34" t="str">
        <f aca="false">IF($E329="","",IF($N329="Cancelada",0,IF(OR($M329&lt;&gt;"",$N329="Concluída"),1,0)))</f>
        <v/>
      </c>
    </row>
    <row r="330" customFormat="false" ht="15" hidden="false" customHeight="true" outlineLevel="0" collapsed="false">
      <c r="A330" s="34" t="str">
        <f aca="false">IF($E330="","",COUNTA($E$5:$E330))</f>
        <v/>
      </c>
      <c r="B330" s="35"/>
      <c r="C330" s="35"/>
      <c r="D330" s="35"/>
      <c r="E330" s="35"/>
      <c r="F330" s="36"/>
      <c r="G330" s="37"/>
      <c r="H330" s="37"/>
      <c r="I330" s="37"/>
      <c r="J330" s="38"/>
      <c r="K330" s="39"/>
      <c r="L330" s="40" t="str">
        <f aca="false">IF(OR($J330="",$K330=""),"",$J330+MATCH($K330,Listas!$F$5:$F$11,0)-1)</f>
        <v/>
      </c>
      <c r="M330" s="41"/>
      <c r="N330" s="36"/>
      <c r="O330" s="41"/>
      <c r="P330" s="35"/>
      <c r="Q330" s="35"/>
      <c r="R330" s="42" t="str">
        <f aca="true">IF($E330="","",IF($N330="Cancelada","Cancelada",IF(OR($M330&lt;&gt;"",$N330="Concluída"),IF(OR($L330="",$M330="",$M330&lt;=$L330),"Concluída","Concluída com atraso"),IF($L330="","Na carteira",IF($L330&lt;TODAY(),"VENCIDA",IF($N330="Em execução","Em execução",IF($L330=TODAY(),"Hoje","Programada")))))))</f>
        <v/>
      </c>
      <c r="S330" s="34" t="str">
        <f aca="false">IF($E330="","",IF(ISNUMBER(SEARCH("(externo)",$G330&amp;$H330&amp;$I330)),"Terceirizada","Interna"))</f>
        <v/>
      </c>
      <c r="T330" s="40" t="str">
        <f aca="false">IF($L330="","",IF($O330="",$L330,$O330))</f>
        <v/>
      </c>
      <c r="U330" s="34" t="str">
        <f aca="false">IF($E330="","",IF(OR($M330="",$L330=""),0,IF($M330&lt;=$L330,1,0)))</f>
        <v/>
      </c>
      <c r="V330" s="34" t="str">
        <f aca="false">IF($E330="","",IF(OR($M330="",$T330=""),0,IF($M330&lt;=$T330,1,0)))</f>
        <v/>
      </c>
      <c r="W330" s="42" t="str">
        <f aca="false">IF(OR($M330="",$L330=""),"",MAX(0,$M330-$L330))</f>
        <v/>
      </c>
      <c r="X330" s="34" t="str">
        <f aca="false">IF($E330="","",IF(AND($O330&lt;&gt;"",$L330&lt;&gt;"",$O330&lt;&gt;$L330),1,0))</f>
        <v/>
      </c>
      <c r="Y330" s="34" t="str">
        <f aca="false">IF($E330="","",IF($N330="Cancelada",0,IF(OR($M330&lt;&gt;"",$N330="Concluída"),1,0)))</f>
        <v/>
      </c>
    </row>
    <row r="331" customFormat="false" ht="15" hidden="false" customHeight="true" outlineLevel="0" collapsed="false">
      <c r="A331" s="34" t="str">
        <f aca="false">IF($E331="","",COUNTA($E$5:$E331))</f>
        <v/>
      </c>
      <c r="B331" s="35"/>
      <c r="C331" s="35"/>
      <c r="D331" s="35"/>
      <c r="E331" s="35"/>
      <c r="F331" s="36"/>
      <c r="G331" s="37"/>
      <c r="H331" s="37"/>
      <c r="I331" s="37"/>
      <c r="J331" s="38"/>
      <c r="K331" s="39"/>
      <c r="L331" s="40" t="str">
        <f aca="false">IF(OR($J331="",$K331=""),"",$J331+MATCH($K331,Listas!$F$5:$F$11,0)-1)</f>
        <v/>
      </c>
      <c r="M331" s="41"/>
      <c r="N331" s="36"/>
      <c r="O331" s="41"/>
      <c r="P331" s="35"/>
      <c r="Q331" s="35"/>
      <c r="R331" s="42" t="str">
        <f aca="true">IF($E331="","",IF($N331="Cancelada","Cancelada",IF(OR($M331&lt;&gt;"",$N331="Concluída"),IF(OR($L331="",$M331="",$M331&lt;=$L331),"Concluída","Concluída com atraso"),IF($L331="","Na carteira",IF($L331&lt;TODAY(),"VENCIDA",IF($N331="Em execução","Em execução",IF($L331=TODAY(),"Hoje","Programada")))))))</f>
        <v/>
      </c>
      <c r="S331" s="34" t="str">
        <f aca="false">IF($E331="","",IF(ISNUMBER(SEARCH("(externo)",$G331&amp;$H331&amp;$I331)),"Terceirizada","Interna"))</f>
        <v/>
      </c>
      <c r="T331" s="40" t="str">
        <f aca="false">IF($L331="","",IF($O331="",$L331,$O331))</f>
        <v/>
      </c>
      <c r="U331" s="34" t="str">
        <f aca="false">IF($E331="","",IF(OR($M331="",$L331=""),0,IF($M331&lt;=$L331,1,0)))</f>
        <v/>
      </c>
      <c r="V331" s="34" t="str">
        <f aca="false">IF($E331="","",IF(OR($M331="",$T331=""),0,IF($M331&lt;=$T331,1,0)))</f>
        <v/>
      </c>
      <c r="W331" s="42" t="str">
        <f aca="false">IF(OR($M331="",$L331=""),"",MAX(0,$M331-$L331))</f>
        <v/>
      </c>
      <c r="X331" s="34" t="str">
        <f aca="false">IF($E331="","",IF(AND($O331&lt;&gt;"",$L331&lt;&gt;"",$O331&lt;&gt;$L331),1,0))</f>
        <v/>
      </c>
      <c r="Y331" s="34" t="str">
        <f aca="false">IF($E331="","",IF($N331="Cancelada",0,IF(OR($M331&lt;&gt;"",$N331="Concluída"),1,0)))</f>
        <v/>
      </c>
    </row>
    <row r="332" customFormat="false" ht="15" hidden="false" customHeight="true" outlineLevel="0" collapsed="false">
      <c r="A332" s="34" t="str">
        <f aca="false">IF($E332="","",COUNTA($E$5:$E332))</f>
        <v/>
      </c>
      <c r="B332" s="35"/>
      <c r="C332" s="35"/>
      <c r="D332" s="35"/>
      <c r="E332" s="35"/>
      <c r="F332" s="36"/>
      <c r="G332" s="37"/>
      <c r="H332" s="37"/>
      <c r="I332" s="37"/>
      <c r="J332" s="38"/>
      <c r="K332" s="39"/>
      <c r="L332" s="40" t="str">
        <f aca="false">IF(OR($J332="",$K332=""),"",$J332+MATCH($K332,Listas!$F$5:$F$11,0)-1)</f>
        <v/>
      </c>
      <c r="M332" s="41"/>
      <c r="N332" s="36"/>
      <c r="O332" s="41"/>
      <c r="P332" s="35"/>
      <c r="Q332" s="35"/>
      <c r="R332" s="42" t="str">
        <f aca="true">IF($E332="","",IF($N332="Cancelada","Cancelada",IF(OR($M332&lt;&gt;"",$N332="Concluída"),IF(OR($L332="",$M332="",$M332&lt;=$L332),"Concluída","Concluída com atraso"),IF($L332="","Na carteira",IF($L332&lt;TODAY(),"VENCIDA",IF($N332="Em execução","Em execução",IF($L332=TODAY(),"Hoje","Programada")))))))</f>
        <v/>
      </c>
      <c r="S332" s="34" t="str">
        <f aca="false">IF($E332="","",IF(ISNUMBER(SEARCH("(externo)",$G332&amp;$H332&amp;$I332)),"Terceirizada","Interna"))</f>
        <v/>
      </c>
      <c r="T332" s="40" t="str">
        <f aca="false">IF($L332="","",IF($O332="",$L332,$O332))</f>
        <v/>
      </c>
      <c r="U332" s="34" t="str">
        <f aca="false">IF($E332="","",IF(OR($M332="",$L332=""),0,IF($M332&lt;=$L332,1,0)))</f>
        <v/>
      </c>
      <c r="V332" s="34" t="str">
        <f aca="false">IF($E332="","",IF(OR($M332="",$T332=""),0,IF($M332&lt;=$T332,1,0)))</f>
        <v/>
      </c>
      <c r="W332" s="42" t="str">
        <f aca="false">IF(OR($M332="",$L332=""),"",MAX(0,$M332-$L332))</f>
        <v/>
      </c>
      <c r="X332" s="34" t="str">
        <f aca="false">IF($E332="","",IF(AND($O332&lt;&gt;"",$L332&lt;&gt;"",$O332&lt;&gt;$L332),1,0))</f>
        <v/>
      </c>
      <c r="Y332" s="34" t="str">
        <f aca="false">IF($E332="","",IF($N332="Cancelada",0,IF(OR($M332&lt;&gt;"",$N332="Concluída"),1,0)))</f>
        <v/>
      </c>
    </row>
    <row r="333" customFormat="false" ht="15" hidden="false" customHeight="true" outlineLevel="0" collapsed="false">
      <c r="A333" s="34" t="str">
        <f aca="false">IF($E333="","",COUNTA($E$5:$E333))</f>
        <v/>
      </c>
      <c r="B333" s="35"/>
      <c r="C333" s="35"/>
      <c r="D333" s="35"/>
      <c r="E333" s="35"/>
      <c r="F333" s="36"/>
      <c r="G333" s="37"/>
      <c r="H333" s="37"/>
      <c r="I333" s="37"/>
      <c r="J333" s="38"/>
      <c r="K333" s="39"/>
      <c r="L333" s="40" t="str">
        <f aca="false">IF(OR($J333="",$K333=""),"",$J333+MATCH($K333,Listas!$F$5:$F$11,0)-1)</f>
        <v/>
      </c>
      <c r="M333" s="41"/>
      <c r="N333" s="36"/>
      <c r="O333" s="41"/>
      <c r="P333" s="35"/>
      <c r="Q333" s="35"/>
      <c r="R333" s="42" t="str">
        <f aca="true">IF($E333="","",IF($N333="Cancelada","Cancelada",IF(OR($M333&lt;&gt;"",$N333="Concluída"),IF(OR($L333="",$M333="",$M333&lt;=$L333),"Concluída","Concluída com atraso"),IF($L333="","Na carteira",IF($L333&lt;TODAY(),"VENCIDA",IF($N333="Em execução","Em execução",IF($L333=TODAY(),"Hoje","Programada")))))))</f>
        <v/>
      </c>
      <c r="S333" s="34" t="str">
        <f aca="false">IF($E333="","",IF(ISNUMBER(SEARCH("(externo)",$G333&amp;$H333&amp;$I333)),"Terceirizada","Interna"))</f>
        <v/>
      </c>
      <c r="T333" s="40" t="str">
        <f aca="false">IF($L333="","",IF($O333="",$L333,$O333))</f>
        <v/>
      </c>
      <c r="U333" s="34" t="str">
        <f aca="false">IF($E333="","",IF(OR($M333="",$L333=""),0,IF($M333&lt;=$L333,1,0)))</f>
        <v/>
      </c>
      <c r="V333" s="34" t="str">
        <f aca="false">IF($E333="","",IF(OR($M333="",$T333=""),0,IF($M333&lt;=$T333,1,0)))</f>
        <v/>
      </c>
      <c r="W333" s="42" t="str">
        <f aca="false">IF(OR($M333="",$L333=""),"",MAX(0,$M333-$L333))</f>
        <v/>
      </c>
      <c r="X333" s="34" t="str">
        <f aca="false">IF($E333="","",IF(AND($O333&lt;&gt;"",$L333&lt;&gt;"",$O333&lt;&gt;$L333),1,0))</f>
        <v/>
      </c>
      <c r="Y333" s="34" t="str">
        <f aca="false">IF($E333="","",IF($N333="Cancelada",0,IF(OR($M333&lt;&gt;"",$N333="Concluída"),1,0)))</f>
        <v/>
      </c>
    </row>
    <row r="334" customFormat="false" ht="15" hidden="false" customHeight="true" outlineLevel="0" collapsed="false">
      <c r="A334" s="34" t="str">
        <f aca="false">IF($E334="","",COUNTA($E$5:$E334))</f>
        <v/>
      </c>
      <c r="B334" s="35"/>
      <c r="C334" s="35"/>
      <c r="D334" s="35"/>
      <c r="E334" s="35"/>
      <c r="F334" s="36"/>
      <c r="G334" s="37"/>
      <c r="H334" s="37"/>
      <c r="I334" s="37"/>
      <c r="J334" s="38"/>
      <c r="K334" s="39"/>
      <c r="L334" s="40" t="str">
        <f aca="false">IF(OR($J334="",$K334=""),"",$J334+MATCH($K334,Listas!$F$5:$F$11,0)-1)</f>
        <v/>
      </c>
      <c r="M334" s="41"/>
      <c r="N334" s="36"/>
      <c r="O334" s="41"/>
      <c r="P334" s="35"/>
      <c r="Q334" s="35"/>
      <c r="R334" s="42" t="str">
        <f aca="true">IF($E334="","",IF($N334="Cancelada","Cancelada",IF(OR($M334&lt;&gt;"",$N334="Concluída"),IF(OR($L334="",$M334="",$M334&lt;=$L334),"Concluída","Concluída com atraso"),IF($L334="","Na carteira",IF($L334&lt;TODAY(),"VENCIDA",IF($N334="Em execução","Em execução",IF($L334=TODAY(),"Hoje","Programada")))))))</f>
        <v/>
      </c>
      <c r="S334" s="34" t="str">
        <f aca="false">IF($E334="","",IF(ISNUMBER(SEARCH("(externo)",$G334&amp;$H334&amp;$I334)),"Terceirizada","Interna"))</f>
        <v/>
      </c>
      <c r="T334" s="40" t="str">
        <f aca="false">IF($L334="","",IF($O334="",$L334,$O334))</f>
        <v/>
      </c>
      <c r="U334" s="34" t="str">
        <f aca="false">IF($E334="","",IF(OR($M334="",$L334=""),0,IF($M334&lt;=$L334,1,0)))</f>
        <v/>
      </c>
      <c r="V334" s="34" t="str">
        <f aca="false">IF($E334="","",IF(OR($M334="",$T334=""),0,IF($M334&lt;=$T334,1,0)))</f>
        <v/>
      </c>
      <c r="W334" s="42" t="str">
        <f aca="false">IF(OR($M334="",$L334=""),"",MAX(0,$M334-$L334))</f>
        <v/>
      </c>
      <c r="X334" s="34" t="str">
        <f aca="false">IF($E334="","",IF(AND($O334&lt;&gt;"",$L334&lt;&gt;"",$O334&lt;&gt;$L334),1,0))</f>
        <v/>
      </c>
      <c r="Y334" s="34" t="str">
        <f aca="false">IF($E334="","",IF($N334="Cancelada",0,IF(OR($M334&lt;&gt;"",$N334="Concluída"),1,0)))</f>
        <v/>
      </c>
    </row>
    <row r="335" customFormat="false" ht="15" hidden="false" customHeight="true" outlineLevel="0" collapsed="false">
      <c r="A335" s="34" t="str">
        <f aca="false">IF($E335="","",COUNTA($E$5:$E335))</f>
        <v/>
      </c>
      <c r="B335" s="35"/>
      <c r="C335" s="35"/>
      <c r="D335" s="35"/>
      <c r="E335" s="35"/>
      <c r="F335" s="36"/>
      <c r="G335" s="37"/>
      <c r="H335" s="37"/>
      <c r="I335" s="37"/>
      <c r="J335" s="38"/>
      <c r="K335" s="39"/>
      <c r="L335" s="40" t="str">
        <f aca="false">IF(OR($J335="",$K335=""),"",$J335+MATCH($K335,Listas!$F$5:$F$11,0)-1)</f>
        <v/>
      </c>
      <c r="M335" s="41"/>
      <c r="N335" s="36"/>
      <c r="O335" s="41"/>
      <c r="P335" s="35"/>
      <c r="Q335" s="35"/>
      <c r="R335" s="42" t="str">
        <f aca="true">IF($E335="","",IF($N335="Cancelada","Cancelada",IF(OR($M335&lt;&gt;"",$N335="Concluída"),IF(OR($L335="",$M335="",$M335&lt;=$L335),"Concluída","Concluída com atraso"),IF($L335="","Na carteira",IF($L335&lt;TODAY(),"VENCIDA",IF($N335="Em execução","Em execução",IF($L335=TODAY(),"Hoje","Programada")))))))</f>
        <v/>
      </c>
      <c r="S335" s="34" t="str">
        <f aca="false">IF($E335="","",IF(ISNUMBER(SEARCH("(externo)",$G335&amp;$H335&amp;$I335)),"Terceirizada","Interna"))</f>
        <v/>
      </c>
      <c r="T335" s="40" t="str">
        <f aca="false">IF($L335="","",IF($O335="",$L335,$O335))</f>
        <v/>
      </c>
      <c r="U335" s="34" t="str">
        <f aca="false">IF($E335="","",IF(OR($M335="",$L335=""),0,IF($M335&lt;=$L335,1,0)))</f>
        <v/>
      </c>
      <c r="V335" s="34" t="str">
        <f aca="false">IF($E335="","",IF(OR($M335="",$T335=""),0,IF($M335&lt;=$T335,1,0)))</f>
        <v/>
      </c>
      <c r="W335" s="42" t="str">
        <f aca="false">IF(OR($M335="",$L335=""),"",MAX(0,$M335-$L335))</f>
        <v/>
      </c>
      <c r="X335" s="34" t="str">
        <f aca="false">IF($E335="","",IF(AND($O335&lt;&gt;"",$L335&lt;&gt;"",$O335&lt;&gt;$L335),1,0))</f>
        <v/>
      </c>
      <c r="Y335" s="34" t="str">
        <f aca="false">IF($E335="","",IF($N335="Cancelada",0,IF(OR($M335&lt;&gt;"",$N335="Concluída"),1,0)))</f>
        <v/>
      </c>
    </row>
    <row r="336" customFormat="false" ht="15" hidden="false" customHeight="true" outlineLevel="0" collapsed="false">
      <c r="A336" s="34" t="str">
        <f aca="false">IF($E336="","",COUNTA($E$5:$E336))</f>
        <v/>
      </c>
      <c r="B336" s="35"/>
      <c r="C336" s="35"/>
      <c r="D336" s="35"/>
      <c r="E336" s="35"/>
      <c r="F336" s="36"/>
      <c r="G336" s="37"/>
      <c r="H336" s="37"/>
      <c r="I336" s="37"/>
      <c r="J336" s="38"/>
      <c r="K336" s="39"/>
      <c r="L336" s="40" t="str">
        <f aca="false">IF(OR($J336="",$K336=""),"",$J336+MATCH($K336,Listas!$F$5:$F$11,0)-1)</f>
        <v/>
      </c>
      <c r="M336" s="41"/>
      <c r="N336" s="36"/>
      <c r="O336" s="41"/>
      <c r="P336" s="35"/>
      <c r="Q336" s="35"/>
      <c r="R336" s="42" t="str">
        <f aca="true">IF($E336="","",IF($N336="Cancelada","Cancelada",IF(OR($M336&lt;&gt;"",$N336="Concluída"),IF(OR($L336="",$M336="",$M336&lt;=$L336),"Concluída","Concluída com atraso"),IF($L336="","Na carteira",IF($L336&lt;TODAY(),"VENCIDA",IF($N336="Em execução","Em execução",IF($L336=TODAY(),"Hoje","Programada")))))))</f>
        <v/>
      </c>
      <c r="S336" s="34" t="str">
        <f aca="false">IF($E336="","",IF(ISNUMBER(SEARCH("(externo)",$G336&amp;$H336&amp;$I336)),"Terceirizada","Interna"))</f>
        <v/>
      </c>
      <c r="T336" s="40" t="str">
        <f aca="false">IF($L336="","",IF($O336="",$L336,$O336))</f>
        <v/>
      </c>
      <c r="U336" s="34" t="str">
        <f aca="false">IF($E336="","",IF(OR($M336="",$L336=""),0,IF($M336&lt;=$L336,1,0)))</f>
        <v/>
      </c>
      <c r="V336" s="34" t="str">
        <f aca="false">IF($E336="","",IF(OR($M336="",$T336=""),0,IF($M336&lt;=$T336,1,0)))</f>
        <v/>
      </c>
      <c r="W336" s="42" t="str">
        <f aca="false">IF(OR($M336="",$L336=""),"",MAX(0,$M336-$L336))</f>
        <v/>
      </c>
      <c r="X336" s="34" t="str">
        <f aca="false">IF($E336="","",IF(AND($O336&lt;&gt;"",$L336&lt;&gt;"",$O336&lt;&gt;$L336),1,0))</f>
        <v/>
      </c>
      <c r="Y336" s="34" t="str">
        <f aca="false">IF($E336="","",IF($N336="Cancelada",0,IF(OR($M336&lt;&gt;"",$N336="Concluída"),1,0)))</f>
        <v/>
      </c>
    </row>
    <row r="337" customFormat="false" ht="15" hidden="false" customHeight="true" outlineLevel="0" collapsed="false">
      <c r="A337" s="34" t="str">
        <f aca="false">IF($E337="","",COUNTA($E$5:$E337))</f>
        <v/>
      </c>
      <c r="B337" s="35"/>
      <c r="C337" s="35"/>
      <c r="D337" s="35"/>
      <c r="E337" s="35"/>
      <c r="F337" s="36"/>
      <c r="G337" s="37"/>
      <c r="H337" s="37"/>
      <c r="I337" s="37"/>
      <c r="J337" s="38"/>
      <c r="K337" s="39"/>
      <c r="L337" s="40" t="str">
        <f aca="false">IF(OR($J337="",$K337=""),"",$J337+MATCH($K337,Listas!$F$5:$F$11,0)-1)</f>
        <v/>
      </c>
      <c r="M337" s="41"/>
      <c r="N337" s="36"/>
      <c r="O337" s="41"/>
      <c r="P337" s="35"/>
      <c r="Q337" s="35"/>
      <c r="R337" s="42" t="str">
        <f aca="true">IF($E337="","",IF($N337="Cancelada","Cancelada",IF(OR($M337&lt;&gt;"",$N337="Concluída"),IF(OR($L337="",$M337="",$M337&lt;=$L337),"Concluída","Concluída com atraso"),IF($L337="","Na carteira",IF($L337&lt;TODAY(),"VENCIDA",IF($N337="Em execução","Em execução",IF($L337=TODAY(),"Hoje","Programada")))))))</f>
        <v/>
      </c>
      <c r="S337" s="34" t="str">
        <f aca="false">IF($E337="","",IF(ISNUMBER(SEARCH("(externo)",$G337&amp;$H337&amp;$I337)),"Terceirizada","Interna"))</f>
        <v/>
      </c>
      <c r="T337" s="40" t="str">
        <f aca="false">IF($L337="","",IF($O337="",$L337,$O337))</f>
        <v/>
      </c>
      <c r="U337" s="34" t="str">
        <f aca="false">IF($E337="","",IF(OR($M337="",$L337=""),0,IF($M337&lt;=$L337,1,0)))</f>
        <v/>
      </c>
      <c r="V337" s="34" t="str">
        <f aca="false">IF($E337="","",IF(OR($M337="",$T337=""),0,IF($M337&lt;=$T337,1,0)))</f>
        <v/>
      </c>
      <c r="W337" s="42" t="str">
        <f aca="false">IF(OR($M337="",$L337=""),"",MAX(0,$M337-$L337))</f>
        <v/>
      </c>
      <c r="X337" s="34" t="str">
        <f aca="false">IF($E337="","",IF(AND($O337&lt;&gt;"",$L337&lt;&gt;"",$O337&lt;&gt;$L337),1,0))</f>
        <v/>
      </c>
      <c r="Y337" s="34" t="str">
        <f aca="false">IF($E337="","",IF($N337="Cancelada",0,IF(OR($M337&lt;&gt;"",$N337="Concluída"),1,0)))</f>
        <v/>
      </c>
    </row>
    <row r="338" customFormat="false" ht="15" hidden="false" customHeight="true" outlineLevel="0" collapsed="false">
      <c r="A338" s="34" t="str">
        <f aca="false">IF($E338="","",COUNTA($E$5:$E338))</f>
        <v/>
      </c>
      <c r="B338" s="35"/>
      <c r="C338" s="35"/>
      <c r="D338" s="35"/>
      <c r="E338" s="35"/>
      <c r="F338" s="36"/>
      <c r="G338" s="37"/>
      <c r="H338" s="37"/>
      <c r="I338" s="37"/>
      <c r="J338" s="38"/>
      <c r="K338" s="39"/>
      <c r="L338" s="40" t="str">
        <f aca="false">IF(OR($J338="",$K338=""),"",$J338+MATCH($K338,Listas!$F$5:$F$11,0)-1)</f>
        <v/>
      </c>
      <c r="M338" s="41"/>
      <c r="N338" s="36"/>
      <c r="O338" s="41"/>
      <c r="P338" s="35"/>
      <c r="Q338" s="35"/>
      <c r="R338" s="42" t="str">
        <f aca="true">IF($E338="","",IF($N338="Cancelada","Cancelada",IF(OR($M338&lt;&gt;"",$N338="Concluída"),IF(OR($L338="",$M338="",$M338&lt;=$L338),"Concluída","Concluída com atraso"),IF($L338="","Na carteira",IF($L338&lt;TODAY(),"VENCIDA",IF($N338="Em execução","Em execução",IF($L338=TODAY(),"Hoje","Programada")))))))</f>
        <v/>
      </c>
      <c r="S338" s="34" t="str">
        <f aca="false">IF($E338="","",IF(ISNUMBER(SEARCH("(externo)",$G338&amp;$H338&amp;$I338)),"Terceirizada","Interna"))</f>
        <v/>
      </c>
      <c r="T338" s="40" t="str">
        <f aca="false">IF($L338="","",IF($O338="",$L338,$O338))</f>
        <v/>
      </c>
      <c r="U338" s="34" t="str">
        <f aca="false">IF($E338="","",IF(OR($M338="",$L338=""),0,IF($M338&lt;=$L338,1,0)))</f>
        <v/>
      </c>
      <c r="V338" s="34" t="str">
        <f aca="false">IF($E338="","",IF(OR($M338="",$T338=""),0,IF($M338&lt;=$T338,1,0)))</f>
        <v/>
      </c>
      <c r="W338" s="42" t="str">
        <f aca="false">IF(OR($M338="",$L338=""),"",MAX(0,$M338-$L338))</f>
        <v/>
      </c>
      <c r="X338" s="34" t="str">
        <f aca="false">IF($E338="","",IF(AND($O338&lt;&gt;"",$L338&lt;&gt;"",$O338&lt;&gt;$L338),1,0))</f>
        <v/>
      </c>
      <c r="Y338" s="34" t="str">
        <f aca="false">IF($E338="","",IF($N338="Cancelada",0,IF(OR($M338&lt;&gt;"",$N338="Concluída"),1,0)))</f>
        <v/>
      </c>
    </row>
    <row r="339" customFormat="false" ht="15" hidden="false" customHeight="true" outlineLevel="0" collapsed="false">
      <c r="A339" s="34" t="str">
        <f aca="false">IF($E339="","",COUNTA($E$5:$E339))</f>
        <v/>
      </c>
      <c r="B339" s="35"/>
      <c r="C339" s="35"/>
      <c r="D339" s="35"/>
      <c r="E339" s="35"/>
      <c r="F339" s="36"/>
      <c r="G339" s="37"/>
      <c r="H339" s="37"/>
      <c r="I339" s="37"/>
      <c r="J339" s="38"/>
      <c r="K339" s="39"/>
      <c r="L339" s="40" t="str">
        <f aca="false">IF(OR($J339="",$K339=""),"",$J339+MATCH($K339,Listas!$F$5:$F$11,0)-1)</f>
        <v/>
      </c>
      <c r="M339" s="41"/>
      <c r="N339" s="36"/>
      <c r="O339" s="41"/>
      <c r="P339" s="35"/>
      <c r="Q339" s="35"/>
      <c r="R339" s="42" t="str">
        <f aca="true">IF($E339="","",IF($N339="Cancelada","Cancelada",IF(OR($M339&lt;&gt;"",$N339="Concluída"),IF(OR($L339="",$M339="",$M339&lt;=$L339),"Concluída","Concluída com atraso"),IF($L339="","Na carteira",IF($L339&lt;TODAY(),"VENCIDA",IF($N339="Em execução","Em execução",IF($L339=TODAY(),"Hoje","Programada")))))))</f>
        <v/>
      </c>
      <c r="S339" s="34" t="str">
        <f aca="false">IF($E339="","",IF(ISNUMBER(SEARCH("(externo)",$G339&amp;$H339&amp;$I339)),"Terceirizada","Interna"))</f>
        <v/>
      </c>
      <c r="T339" s="40" t="str">
        <f aca="false">IF($L339="","",IF($O339="",$L339,$O339))</f>
        <v/>
      </c>
      <c r="U339" s="34" t="str">
        <f aca="false">IF($E339="","",IF(OR($M339="",$L339=""),0,IF($M339&lt;=$L339,1,0)))</f>
        <v/>
      </c>
      <c r="V339" s="34" t="str">
        <f aca="false">IF($E339="","",IF(OR($M339="",$T339=""),0,IF($M339&lt;=$T339,1,0)))</f>
        <v/>
      </c>
      <c r="W339" s="42" t="str">
        <f aca="false">IF(OR($M339="",$L339=""),"",MAX(0,$M339-$L339))</f>
        <v/>
      </c>
      <c r="X339" s="34" t="str">
        <f aca="false">IF($E339="","",IF(AND($O339&lt;&gt;"",$L339&lt;&gt;"",$O339&lt;&gt;$L339),1,0))</f>
        <v/>
      </c>
      <c r="Y339" s="34" t="str">
        <f aca="false">IF($E339="","",IF($N339="Cancelada",0,IF(OR($M339&lt;&gt;"",$N339="Concluída"),1,0)))</f>
        <v/>
      </c>
    </row>
    <row r="340" customFormat="false" ht="15" hidden="false" customHeight="true" outlineLevel="0" collapsed="false">
      <c r="A340" s="34" t="str">
        <f aca="false">IF($E340="","",COUNTA($E$5:$E340))</f>
        <v/>
      </c>
      <c r="B340" s="35"/>
      <c r="C340" s="35"/>
      <c r="D340" s="35"/>
      <c r="E340" s="35"/>
      <c r="F340" s="36"/>
      <c r="G340" s="37"/>
      <c r="H340" s="37"/>
      <c r="I340" s="37"/>
      <c r="J340" s="38"/>
      <c r="K340" s="39"/>
      <c r="L340" s="40" t="str">
        <f aca="false">IF(OR($J340="",$K340=""),"",$J340+MATCH($K340,Listas!$F$5:$F$11,0)-1)</f>
        <v/>
      </c>
      <c r="M340" s="41"/>
      <c r="N340" s="36"/>
      <c r="O340" s="41"/>
      <c r="P340" s="35"/>
      <c r="Q340" s="35"/>
      <c r="R340" s="42" t="str">
        <f aca="true">IF($E340="","",IF($N340="Cancelada","Cancelada",IF(OR($M340&lt;&gt;"",$N340="Concluída"),IF(OR($L340="",$M340="",$M340&lt;=$L340),"Concluída","Concluída com atraso"),IF($L340="","Na carteira",IF($L340&lt;TODAY(),"VENCIDA",IF($N340="Em execução","Em execução",IF($L340=TODAY(),"Hoje","Programada")))))))</f>
        <v/>
      </c>
      <c r="S340" s="34" t="str">
        <f aca="false">IF($E340="","",IF(ISNUMBER(SEARCH("(externo)",$G340&amp;$H340&amp;$I340)),"Terceirizada","Interna"))</f>
        <v/>
      </c>
      <c r="T340" s="40" t="str">
        <f aca="false">IF($L340="","",IF($O340="",$L340,$O340))</f>
        <v/>
      </c>
      <c r="U340" s="34" t="str">
        <f aca="false">IF($E340="","",IF(OR($M340="",$L340=""),0,IF($M340&lt;=$L340,1,0)))</f>
        <v/>
      </c>
      <c r="V340" s="34" t="str">
        <f aca="false">IF($E340="","",IF(OR($M340="",$T340=""),0,IF($M340&lt;=$T340,1,0)))</f>
        <v/>
      </c>
      <c r="W340" s="42" t="str">
        <f aca="false">IF(OR($M340="",$L340=""),"",MAX(0,$M340-$L340))</f>
        <v/>
      </c>
      <c r="X340" s="34" t="str">
        <f aca="false">IF($E340="","",IF(AND($O340&lt;&gt;"",$L340&lt;&gt;"",$O340&lt;&gt;$L340),1,0))</f>
        <v/>
      </c>
      <c r="Y340" s="34" t="str">
        <f aca="false">IF($E340="","",IF($N340="Cancelada",0,IF(OR($M340&lt;&gt;"",$N340="Concluída"),1,0)))</f>
        <v/>
      </c>
    </row>
    <row r="341" customFormat="false" ht="15" hidden="false" customHeight="true" outlineLevel="0" collapsed="false">
      <c r="A341" s="34" t="str">
        <f aca="false">IF($E341="","",COUNTA($E$5:$E341))</f>
        <v/>
      </c>
      <c r="B341" s="35"/>
      <c r="C341" s="35"/>
      <c r="D341" s="35"/>
      <c r="E341" s="35"/>
      <c r="F341" s="36"/>
      <c r="G341" s="37"/>
      <c r="H341" s="37"/>
      <c r="I341" s="37"/>
      <c r="J341" s="38"/>
      <c r="K341" s="39"/>
      <c r="L341" s="40" t="str">
        <f aca="false">IF(OR($J341="",$K341=""),"",$J341+MATCH($K341,Listas!$F$5:$F$11,0)-1)</f>
        <v/>
      </c>
      <c r="M341" s="41"/>
      <c r="N341" s="36"/>
      <c r="O341" s="41"/>
      <c r="P341" s="35"/>
      <c r="Q341" s="35"/>
      <c r="R341" s="42" t="str">
        <f aca="true">IF($E341="","",IF($N341="Cancelada","Cancelada",IF(OR($M341&lt;&gt;"",$N341="Concluída"),IF(OR($L341="",$M341="",$M341&lt;=$L341),"Concluída","Concluída com atraso"),IF($L341="","Na carteira",IF($L341&lt;TODAY(),"VENCIDA",IF($N341="Em execução","Em execução",IF($L341=TODAY(),"Hoje","Programada")))))))</f>
        <v/>
      </c>
      <c r="S341" s="34" t="str">
        <f aca="false">IF($E341="","",IF(ISNUMBER(SEARCH("(externo)",$G341&amp;$H341&amp;$I341)),"Terceirizada","Interna"))</f>
        <v/>
      </c>
      <c r="T341" s="40" t="str">
        <f aca="false">IF($L341="","",IF($O341="",$L341,$O341))</f>
        <v/>
      </c>
      <c r="U341" s="34" t="str">
        <f aca="false">IF($E341="","",IF(OR($M341="",$L341=""),0,IF($M341&lt;=$L341,1,0)))</f>
        <v/>
      </c>
      <c r="V341" s="34" t="str">
        <f aca="false">IF($E341="","",IF(OR($M341="",$T341=""),0,IF($M341&lt;=$T341,1,0)))</f>
        <v/>
      </c>
      <c r="W341" s="42" t="str">
        <f aca="false">IF(OR($M341="",$L341=""),"",MAX(0,$M341-$L341))</f>
        <v/>
      </c>
      <c r="X341" s="34" t="str">
        <f aca="false">IF($E341="","",IF(AND($O341&lt;&gt;"",$L341&lt;&gt;"",$O341&lt;&gt;$L341),1,0))</f>
        <v/>
      </c>
      <c r="Y341" s="34" t="str">
        <f aca="false">IF($E341="","",IF($N341="Cancelada",0,IF(OR($M341&lt;&gt;"",$N341="Concluída"),1,0)))</f>
        <v/>
      </c>
    </row>
    <row r="342" customFormat="false" ht="15" hidden="false" customHeight="true" outlineLevel="0" collapsed="false">
      <c r="A342" s="34" t="str">
        <f aca="false">IF($E342="","",COUNTA($E$5:$E342))</f>
        <v/>
      </c>
      <c r="B342" s="35"/>
      <c r="C342" s="35"/>
      <c r="D342" s="35"/>
      <c r="E342" s="35"/>
      <c r="F342" s="36"/>
      <c r="G342" s="37"/>
      <c r="H342" s="37"/>
      <c r="I342" s="37"/>
      <c r="J342" s="38"/>
      <c r="K342" s="39"/>
      <c r="L342" s="40" t="str">
        <f aca="false">IF(OR($J342="",$K342=""),"",$J342+MATCH($K342,Listas!$F$5:$F$11,0)-1)</f>
        <v/>
      </c>
      <c r="M342" s="41"/>
      <c r="N342" s="36"/>
      <c r="O342" s="41"/>
      <c r="P342" s="35"/>
      <c r="Q342" s="35"/>
      <c r="R342" s="42" t="str">
        <f aca="true">IF($E342="","",IF($N342="Cancelada","Cancelada",IF(OR($M342&lt;&gt;"",$N342="Concluída"),IF(OR($L342="",$M342="",$M342&lt;=$L342),"Concluída","Concluída com atraso"),IF($L342="","Na carteira",IF($L342&lt;TODAY(),"VENCIDA",IF($N342="Em execução","Em execução",IF($L342=TODAY(),"Hoje","Programada")))))))</f>
        <v/>
      </c>
      <c r="S342" s="34" t="str">
        <f aca="false">IF($E342="","",IF(ISNUMBER(SEARCH("(externo)",$G342&amp;$H342&amp;$I342)),"Terceirizada","Interna"))</f>
        <v/>
      </c>
      <c r="T342" s="40" t="str">
        <f aca="false">IF($L342="","",IF($O342="",$L342,$O342))</f>
        <v/>
      </c>
      <c r="U342" s="34" t="str">
        <f aca="false">IF($E342="","",IF(OR($M342="",$L342=""),0,IF($M342&lt;=$L342,1,0)))</f>
        <v/>
      </c>
      <c r="V342" s="34" t="str">
        <f aca="false">IF($E342="","",IF(OR($M342="",$T342=""),0,IF($M342&lt;=$T342,1,0)))</f>
        <v/>
      </c>
      <c r="W342" s="42" t="str">
        <f aca="false">IF(OR($M342="",$L342=""),"",MAX(0,$M342-$L342))</f>
        <v/>
      </c>
      <c r="X342" s="34" t="str">
        <f aca="false">IF($E342="","",IF(AND($O342&lt;&gt;"",$L342&lt;&gt;"",$O342&lt;&gt;$L342),1,0))</f>
        <v/>
      </c>
      <c r="Y342" s="34" t="str">
        <f aca="false">IF($E342="","",IF($N342="Cancelada",0,IF(OR($M342&lt;&gt;"",$N342="Concluída"),1,0)))</f>
        <v/>
      </c>
    </row>
    <row r="343" customFormat="false" ht="15" hidden="false" customHeight="true" outlineLevel="0" collapsed="false">
      <c r="A343" s="34" t="str">
        <f aca="false">IF($E343="","",COUNTA($E$5:$E343))</f>
        <v/>
      </c>
      <c r="B343" s="35"/>
      <c r="C343" s="35"/>
      <c r="D343" s="35"/>
      <c r="E343" s="35"/>
      <c r="F343" s="36"/>
      <c r="G343" s="37"/>
      <c r="H343" s="37"/>
      <c r="I343" s="37"/>
      <c r="J343" s="38"/>
      <c r="K343" s="39"/>
      <c r="L343" s="40" t="str">
        <f aca="false">IF(OR($J343="",$K343=""),"",$J343+MATCH($K343,Listas!$F$5:$F$11,0)-1)</f>
        <v/>
      </c>
      <c r="M343" s="41"/>
      <c r="N343" s="36"/>
      <c r="O343" s="41"/>
      <c r="P343" s="35"/>
      <c r="Q343" s="35"/>
      <c r="R343" s="42" t="str">
        <f aca="true">IF($E343="","",IF($N343="Cancelada","Cancelada",IF(OR($M343&lt;&gt;"",$N343="Concluída"),IF(OR($L343="",$M343="",$M343&lt;=$L343),"Concluída","Concluída com atraso"),IF($L343="","Na carteira",IF($L343&lt;TODAY(),"VENCIDA",IF($N343="Em execução","Em execução",IF($L343=TODAY(),"Hoje","Programada")))))))</f>
        <v/>
      </c>
      <c r="S343" s="34" t="str">
        <f aca="false">IF($E343="","",IF(ISNUMBER(SEARCH("(externo)",$G343&amp;$H343&amp;$I343)),"Terceirizada","Interna"))</f>
        <v/>
      </c>
      <c r="T343" s="40" t="str">
        <f aca="false">IF($L343="","",IF($O343="",$L343,$O343))</f>
        <v/>
      </c>
      <c r="U343" s="34" t="str">
        <f aca="false">IF($E343="","",IF(OR($M343="",$L343=""),0,IF($M343&lt;=$L343,1,0)))</f>
        <v/>
      </c>
      <c r="V343" s="34" t="str">
        <f aca="false">IF($E343="","",IF(OR($M343="",$T343=""),0,IF($M343&lt;=$T343,1,0)))</f>
        <v/>
      </c>
      <c r="W343" s="42" t="str">
        <f aca="false">IF(OR($M343="",$L343=""),"",MAX(0,$M343-$L343))</f>
        <v/>
      </c>
      <c r="X343" s="34" t="str">
        <f aca="false">IF($E343="","",IF(AND($O343&lt;&gt;"",$L343&lt;&gt;"",$O343&lt;&gt;$L343),1,0))</f>
        <v/>
      </c>
      <c r="Y343" s="34" t="str">
        <f aca="false">IF($E343="","",IF($N343="Cancelada",0,IF(OR($M343&lt;&gt;"",$N343="Concluída"),1,0)))</f>
        <v/>
      </c>
    </row>
    <row r="344" customFormat="false" ht="15" hidden="false" customHeight="true" outlineLevel="0" collapsed="false">
      <c r="A344" s="34" t="str">
        <f aca="false">IF($E344="","",COUNTA($E$5:$E344))</f>
        <v/>
      </c>
      <c r="B344" s="35"/>
      <c r="C344" s="35"/>
      <c r="D344" s="35"/>
      <c r="E344" s="35"/>
      <c r="F344" s="36"/>
      <c r="G344" s="37"/>
      <c r="H344" s="37"/>
      <c r="I344" s="37"/>
      <c r="J344" s="38"/>
      <c r="K344" s="39"/>
      <c r="L344" s="40" t="str">
        <f aca="false">IF(OR($J344="",$K344=""),"",$J344+MATCH($K344,Listas!$F$5:$F$11,0)-1)</f>
        <v/>
      </c>
      <c r="M344" s="41"/>
      <c r="N344" s="36"/>
      <c r="O344" s="41"/>
      <c r="P344" s="35"/>
      <c r="Q344" s="35"/>
      <c r="R344" s="42" t="str">
        <f aca="true">IF($E344="","",IF($N344="Cancelada","Cancelada",IF(OR($M344&lt;&gt;"",$N344="Concluída"),IF(OR($L344="",$M344="",$M344&lt;=$L344),"Concluída","Concluída com atraso"),IF($L344="","Na carteira",IF($L344&lt;TODAY(),"VENCIDA",IF($N344="Em execução","Em execução",IF($L344=TODAY(),"Hoje","Programada")))))))</f>
        <v/>
      </c>
      <c r="S344" s="34" t="str">
        <f aca="false">IF($E344="","",IF(ISNUMBER(SEARCH("(externo)",$G344&amp;$H344&amp;$I344)),"Terceirizada","Interna"))</f>
        <v/>
      </c>
      <c r="T344" s="40" t="str">
        <f aca="false">IF($L344="","",IF($O344="",$L344,$O344))</f>
        <v/>
      </c>
      <c r="U344" s="34" t="str">
        <f aca="false">IF($E344="","",IF(OR($M344="",$L344=""),0,IF($M344&lt;=$L344,1,0)))</f>
        <v/>
      </c>
      <c r="V344" s="34" t="str">
        <f aca="false">IF($E344="","",IF(OR($M344="",$T344=""),0,IF($M344&lt;=$T344,1,0)))</f>
        <v/>
      </c>
      <c r="W344" s="42" t="str">
        <f aca="false">IF(OR($M344="",$L344=""),"",MAX(0,$M344-$L344))</f>
        <v/>
      </c>
      <c r="X344" s="34" t="str">
        <f aca="false">IF($E344="","",IF(AND($O344&lt;&gt;"",$L344&lt;&gt;"",$O344&lt;&gt;$L344),1,0))</f>
        <v/>
      </c>
      <c r="Y344" s="34" t="str">
        <f aca="false">IF($E344="","",IF($N344="Cancelada",0,IF(OR($M344&lt;&gt;"",$N344="Concluída"),1,0)))</f>
        <v/>
      </c>
    </row>
    <row r="345" customFormat="false" ht="15" hidden="false" customHeight="true" outlineLevel="0" collapsed="false">
      <c r="A345" s="34" t="str">
        <f aca="false">IF($E345="","",COUNTA($E$5:$E345))</f>
        <v/>
      </c>
      <c r="B345" s="35"/>
      <c r="C345" s="35"/>
      <c r="D345" s="35"/>
      <c r="E345" s="35"/>
      <c r="F345" s="36"/>
      <c r="G345" s="37"/>
      <c r="H345" s="37"/>
      <c r="I345" s="37"/>
      <c r="J345" s="38"/>
      <c r="K345" s="39"/>
      <c r="L345" s="40" t="str">
        <f aca="false">IF(OR($J345="",$K345=""),"",$J345+MATCH($K345,Listas!$F$5:$F$11,0)-1)</f>
        <v/>
      </c>
      <c r="M345" s="41"/>
      <c r="N345" s="36"/>
      <c r="O345" s="41"/>
      <c r="P345" s="35"/>
      <c r="Q345" s="35"/>
      <c r="R345" s="42" t="str">
        <f aca="true">IF($E345="","",IF($N345="Cancelada","Cancelada",IF(OR($M345&lt;&gt;"",$N345="Concluída"),IF(OR($L345="",$M345="",$M345&lt;=$L345),"Concluída","Concluída com atraso"),IF($L345="","Na carteira",IF($L345&lt;TODAY(),"VENCIDA",IF($N345="Em execução","Em execução",IF($L345=TODAY(),"Hoje","Programada")))))))</f>
        <v/>
      </c>
      <c r="S345" s="34" t="str">
        <f aca="false">IF($E345="","",IF(ISNUMBER(SEARCH("(externo)",$G345&amp;$H345&amp;$I345)),"Terceirizada","Interna"))</f>
        <v/>
      </c>
      <c r="T345" s="40" t="str">
        <f aca="false">IF($L345="","",IF($O345="",$L345,$O345))</f>
        <v/>
      </c>
      <c r="U345" s="34" t="str">
        <f aca="false">IF($E345="","",IF(OR($M345="",$L345=""),0,IF($M345&lt;=$L345,1,0)))</f>
        <v/>
      </c>
      <c r="V345" s="34" t="str">
        <f aca="false">IF($E345="","",IF(OR($M345="",$T345=""),0,IF($M345&lt;=$T345,1,0)))</f>
        <v/>
      </c>
      <c r="W345" s="42" t="str">
        <f aca="false">IF(OR($M345="",$L345=""),"",MAX(0,$M345-$L345))</f>
        <v/>
      </c>
      <c r="X345" s="34" t="str">
        <f aca="false">IF($E345="","",IF(AND($O345&lt;&gt;"",$L345&lt;&gt;"",$O345&lt;&gt;$L345),1,0))</f>
        <v/>
      </c>
      <c r="Y345" s="34" t="str">
        <f aca="false">IF($E345="","",IF($N345="Cancelada",0,IF(OR($M345&lt;&gt;"",$N345="Concluída"),1,0)))</f>
        <v/>
      </c>
    </row>
    <row r="346" customFormat="false" ht="15" hidden="false" customHeight="true" outlineLevel="0" collapsed="false">
      <c r="A346" s="34" t="str">
        <f aca="false">IF($E346="","",COUNTA($E$5:$E346))</f>
        <v/>
      </c>
      <c r="B346" s="35"/>
      <c r="C346" s="35"/>
      <c r="D346" s="35"/>
      <c r="E346" s="35"/>
      <c r="F346" s="36"/>
      <c r="G346" s="37"/>
      <c r="H346" s="37"/>
      <c r="I346" s="37"/>
      <c r="J346" s="38"/>
      <c r="K346" s="39"/>
      <c r="L346" s="40" t="str">
        <f aca="false">IF(OR($J346="",$K346=""),"",$J346+MATCH($K346,Listas!$F$5:$F$11,0)-1)</f>
        <v/>
      </c>
      <c r="M346" s="41"/>
      <c r="N346" s="36"/>
      <c r="O346" s="41"/>
      <c r="P346" s="35"/>
      <c r="Q346" s="35"/>
      <c r="R346" s="42" t="str">
        <f aca="true">IF($E346="","",IF($N346="Cancelada","Cancelada",IF(OR($M346&lt;&gt;"",$N346="Concluída"),IF(OR($L346="",$M346="",$M346&lt;=$L346),"Concluída","Concluída com atraso"),IF($L346="","Na carteira",IF($L346&lt;TODAY(),"VENCIDA",IF($N346="Em execução","Em execução",IF($L346=TODAY(),"Hoje","Programada")))))))</f>
        <v/>
      </c>
      <c r="S346" s="34" t="str">
        <f aca="false">IF($E346="","",IF(ISNUMBER(SEARCH("(externo)",$G346&amp;$H346&amp;$I346)),"Terceirizada","Interna"))</f>
        <v/>
      </c>
      <c r="T346" s="40" t="str">
        <f aca="false">IF($L346="","",IF($O346="",$L346,$O346))</f>
        <v/>
      </c>
      <c r="U346" s="34" t="str">
        <f aca="false">IF($E346="","",IF(OR($M346="",$L346=""),0,IF($M346&lt;=$L346,1,0)))</f>
        <v/>
      </c>
      <c r="V346" s="34" t="str">
        <f aca="false">IF($E346="","",IF(OR($M346="",$T346=""),0,IF($M346&lt;=$T346,1,0)))</f>
        <v/>
      </c>
      <c r="W346" s="42" t="str">
        <f aca="false">IF(OR($M346="",$L346=""),"",MAX(0,$M346-$L346))</f>
        <v/>
      </c>
      <c r="X346" s="34" t="str">
        <f aca="false">IF($E346="","",IF(AND($O346&lt;&gt;"",$L346&lt;&gt;"",$O346&lt;&gt;$L346),1,0))</f>
        <v/>
      </c>
      <c r="Y346" s="34" t="str">
        <f aca="false">IF($E346="","",IF($N346="Cancelada",0,IF(OR($M346&lt;&gt;"",$N346="Concluída"),1,0)))</f>
        <v/>
      </c>
    </row>
    <row r="347" customFormat="false" ht="15" hidden="false" customHeight="true" outlineLevel="0" collapsed="false">
      <c r="A347" s="34" t="str">
        <f aca="false">IF($E347="","",COUNTA($E$5:$E347))</f>
        <v/>
      </c>
      <c r="B347" s="35"/>
      <c r="C347" s="35"/>
      <c r="D347" s="35"/>
      <c r="E347" s="35"/>
      <c r="F347" s="36"/>
      <c r="G347" s="37"/>
      <c r="H347" s="37"/>
      <c r="I347" s="37"/>
      <c r="J347" s="38"/>
      <c r="K347" s="39"/>
      <c r="L347" s="40" t="str">
        <f aca="false">IF(OR($J347="",$K347=""),"",$J347+MATCH($K347,Listas!$F$5:$F$11,0)-1)</f>
        <v/>
      </c>
      <c r="M347" s="41"/>
      <c r="N347" s="36"/>
      <c r="O347" s="41"/>
      <c r="P347" s="35"/>
      <c r="Q347" s="35"/>
      <c r="R347" s="42" t="str">
        <f aca="true">IF($E347="","",IF($N347="Cancelada","Cancelada",IF(OR($M347&lt;&gt;"",$N347="Concluída"),IF(OR($L347="",$M347="",$M347&lt;=$L347),"Concluída","Concluída com atraso"),IF($L347="","Na carteira",IF($L347&lt;TODAY(),"VENCIDA",IF($N347="Em execução","Em execução",IF($L347=TODAY(),"Hoje","Programada")))))))</f>
        <v/>
      </c>
      <c r="S347" s="34" t="str">
        <f aca="false">IF($E347="","",IF(ISNUMBER(SEARCH("(externo)",$G347&amp;$H347&amp;$I347)),"Terceirizada","Interna"))</f>
        <v/>
      </c>
      <c r="T347" s="40" t="str">
        <f aca="false">IF($L347="","",IF($O347="",$L347,$O347))</f>
        <v/>
      </c>
      <c r="U347" s="34" t="str">
        <f aca="false">IF($E347="","",IF(OR($M347="",$L347=""),0,IF($M347&lt;=$L347,1,0)))</f>
        <v/>
      </c>
      <c r="V347" s="34" t="str">
        <f aca="false">IF($E347="","",IF(OR($M347="",$T347=""),0,IF($M347&lt;=$T347,1,0)))</f>
        <v/>
      </c>
      <c r="W347" s="42" t="str">
        <f aca="false">IF(OR($M347="",$L347=""),"",MAX(0,$M347-$L347))</f>
        <v/>
      </c>
      <c r="X347" s="34" t="str">
        <f aca="false">IF($E347="","",IF(AND($O347&lt;&gt;"",$L347&lt;&gt;"",$O347&lt;&gt;$L347),1,0))</f>
        <v/>
      </c>
      <c r="Y347" s="34" t="str">
        <f aca="false">IF($E347="","",IF($N347="Cancelada",0,IF(OR($M347&lt;&gt;"",$N347="Concluída"),1,0)))</f>
        <v/>
      </c>
    </row>
    <row r="348" customFormat="false" ht="15" hidden="false" customHeight="true" outlineLevel="0" collapsed="false">
      <c r="A348" s="34" t="str">
        <f aca="false">IF($E348="","",COUNTA($E$5:$E348))</f>
        <v/>
      </c>
      <c r="B348" s="35"/>
      <c r="C348" s="35"/>
      <c r="D348" s="35"/>
      <c r="E348" s="35"/>
      <c r="F348" s="36"/>
      <c r="G348" s="37"/>
      <c r="H348" s="37"/>
      <c r="I348" s="37"/>
      <c r="J348" s="38"/>
      <c r="K348" s="39"/>
      <c r="L348" s="40" t="str">
        <f aca="false">IF(OR($J348="",$K348=""),"",$J348+MATCH($K348,Listas!$F$5:$F$11,0)-1)</f>
        <v/>
      </c>
      <c r="M348" s="41"/>
      <c r="N348" s="36"/>
      <c r="O348" s="41"/>
      <c r="P348" s="35"/>
      <c r="Q348" s="35"/>
      <c r="R348" s="42" t="str">
        <f aca="true">IF($E348="","",IF($N348="Cancelada","Cancelada",IF(OR($M348&lt;&gt;"",$N348="Concluída"),IF(OR($L348="",$M348="",$M348&lt;=$L348),"Concluída","Concluída com atraso"),IF($L348="","Na carteira",IF($L348&lt;TODAY(),"VENCIDA",IF($N348="Em execução","Em execução",IF($L348=TODAY(),"Hoje","Programada")))))))</f>
        <v/>
      </c>
      <c r="S348" s="34" t="str">
        <f aca="false">IF($E348="","",IF(ISNUMBER(SEARCH("(externo)",$G348&amp;$H348&amp;$I348)),"Terceirizada","Interna"))</f>
        <v/>
      </c>
      <c r="T348" s="40" t="str">
        <f aca="false">IF($L348="","",IF($O348="",$L348,$O348))</f>
        <v/>
      </c>
      <c r="U348" s="34" t="str">
        <f aca="false">IF($E348="","",IF(OR($M348="",$L348=""),0,IF($M348&lt;=$L348,1,0)))</f>
        <v/>
      </c>
      <c r="V348" s="34" t="str">
        <f aca="false">IF($E348="","",IF(OR($M348="",$T348=""),0,IF($M348&lt;=$T348,1,0)))</f>
        <v/>
      </c>
      <c r="W348" s="42" t="str">
        <f aca="false">IF(OR($M348="",$L348=""),"",MAX(0,$M348-$L348))</f>
        <v/>
      </c>
      <c r="X348" s="34" t="str">
        <f aca="false">IF($E348="","",IF(AND($O348&lt;&gt;"",$L348&lt;&gt;"",$O348&lt;&gt;$L348),1,0))</f>
        <v/>
      </c>
      <c r="Y348" s="34" t="str">
        <f aca="false">IF($E348="","",IF($N348="Cancelada",0,IF(OR($M348&lt;&gt;"",$N348="Concluída"),1,0)))</f>
        <v/>
      </c>
    </row>
    <row r="349" customFormat="false" ht="15" hidden="false" customHeight="true" outlineLevel="0" collapsed="false">
      <c r="A349" s="34" t="str">
        <f aca="false">IF($E349="","",COUNTA($E$5:$E349))</f>
        <v/>
      </c>
      <c r="B349" s="35"/>
      <c r="C349" s="35"/>
      <c r="D349" s="35"/>
      <c r="E349" s="35"/>
      <c r="F349" s="36"/>
      <c r="G349" s="37"/>
      <c r="H349" s="37"/>
      <c r="I349" s="37"/>
      <c r="J349" s="38"/>
      <c r="K349" s="39"/>
      <c r="L349" s="40" t="str">
        <f aca="false">IF(OR($J349="",$K349=""),"",$J349+MATCH($K349,Listas!$F$5:$F$11,0)-1)</f>
        <v/>
      </c>
      <c r="M349" s="41"/>
      <c r="N349" s="36"/>
      <c r="O349" s="41"/>
      <c r="P349" s="35"/>
      <c r="Q349" s="35"/>
      <c r="R349" s="42" t="str">
        <f aca="true">IF($E349="","",IF($N349="Cancelada","Cancelada",IF(OR($M349&lt;&gt;"",$N349="Concluída"),IF(OR($L349="",$M349="",$M349&lt;=$L349),"Concluída","Concluída com atraso"),IF($L349="","Na carteira",IF($L349&lt;TODAY(),"VENCIDA",IF($N349="Em execução","Em execução",IF($L349=TODAY(),"Hoje","Programada")))))))</f>
        <v/>
      </c>
      <c r="S349" s="34" t="str">
        <f aca="false">IF($E349="","",IF(ISNUMBER(SEARCH("(externo)",$G349&amp;$H349&amp;$I349)),"Terceirizada","Interna"))</f>
        <v/>
      </c>
      <c r="T349" s="40" t="str">
        <f aca="false">IF($L349="","",IF($O349="",$L349,$O349))</f>
        <v/>
      </c>
      <c r="U349" s="34" t="str">
        <f aca="false">IF($E349="","",IF(OR($M349="",$L349=""),0,IF($M349&lt;=$L349,1,0)))</f>
        <v/>
      </c>
      <c r="V349" s="34" t="str">
        <f aca="false">IF($E349="","",IF(OR($M349="",$T349=""),0,IF($M349&lt;=$T349,1,0)))</f>
        <v/>
      </c>
      <c r="W349" s="42" t="str">
        <f aca="false">IF(OR($M349="",$L349=""),"",MAX(0,$M349-$L349))</f>
        <v/>
      </c>
      <c r="X349" s="34" t="str">
        <f aca="false">IF($E349="","",IF(AND($O349&lt;&gt;"",$L349&lt;&gt;"",$O349&lt;&gt;$L349),1,0))</f>
        <v/>
      </c>
      <c r="Y349" s="34" t="str">
        <f aca="false">IF($E349="","",IF($N349="Cancelada",0,IF(OR($M349&lt;&gt;"",$N349="Concluída"),1,0)))</f>
        <v/>
      </c>
    </row>
    <row r="350" customFormat="false" ht="15" hidden="false" customHeight="true" outlineLevel="0" collapsed="false">
      <c r="A350" s="34" t="str">
        <f aca="false">IF($E350="","",COUNTA($E$5:$E350))</f>
        <v/>
      </c>
      <c r="B350" s="35"/>
      <c r="C350" s="35"/>
      <c r="D350" s="35"/>
      <c r="E350" s="35"/>
      <c r="F350" s="36"/>
      <c r="G350" s="37"/>
      <c r="H350" s="37"/>
      <c r="I350" s="37"/>
      <c r="J350" s="38"/>
      <c r="K350" s="39"/>
      <c r="L350" s="40" t="str">
        <f aca="false">IF(OR($J350="",$K350=""),"",$J350+MATCH($K350,Listas!$F$5:$F$11,0)-1)</f>
        <v/>
      </c>
      <c r="M350" s="41"/>
      <c r="N350" s="36"/>
      <c r="O350" s="41"/>
      <c r="P350" s="35"/>
      <c r="Q350" s="35"/>
      <c r="R350" s="42" t="str">
        <f aca="true">IF($E350="","",IF($N350="Cancelada","Cancelada",IF(OR($M350&lt;&gt;"",$N350="Concluída"),IF(OR($L350="",$M350="",$M350&lt;=$L350),"Concluída","Concluída com atraso"),IF($L350="","Na carteira",IF($L350&lt;TODAY(),"VENCIDA",IF($N350="Em execução","Em execução",IF($L350=TODAY(),"Hoje","Programada")))))))</f>
        <v/>
      </c>
      <c r="S350" s="34" t="str">
        <f aca="false">IF($E350="","",IF(ISNUMBER(SEARCH("(externo)",$G350&amp;$H350&amp;$I350)),"Terceirizada","Interna"))</f>
        <v/>
      </c>
      <c r="T350" s="40" t="str">
        <f aca="false">IF($L350="","",IF($O350="",$L350,$O350))</f>
        <v/>
      </c>
      <c r="U350" s="34" t="str">
        <f aca="false">IF($E350="","",IF(OR($M350="",$L350=""),0,IF($M350&lt;=$L350,1,0)))</f>
        <v/>
      </c>
      <c r="V350" s="34" t="str">
        <f aca="false">IF($E350="","",IF(OR($M350="",$T350=""),0,IF($M350&lt;=$T350,1,0)))</f>
        <v/>
      </c>
      <c r="W350" s="42" t="str">
        <f aca="false">IF(OR($M350="",$L350=""),"",MAX(0,$M350-$L350))</f>
        <v/>
      </c>
      <c r="X350" s="34" t="str">
        <f aca="false">IF($E350="","",IF(AND($O350&lt;&gt;"",$L350&lt;&gt;"",$O350&lt;&gt;$L350),1,0))</f>
        <v/>
      </c>
      <c r="Y350" s="34" t="str">
        <f aca="false">IF($E350="","",IF($N350="Cancelada",0,IF(OR($M350&lt;&gt;"",$N350="Concluída"),1,0)))</f>
        <v/>
      </c>
    </row>
    <row r="351" customFormat="false" ht="15" hidden="false" customHeight="true" outlineLevel="0" collapsed="false">
      <c r="A351" s="34" t="str">
        <f aca="false">IF($E351="","",COUNTA($E$5:$E351))</f>
        <v/>
      </c>
      <c r="B351" s="35"/>
      <c r="C351" s="35"/>
      <c r="D351" s="35"/>
      <c r="E351" s="35"/>
      <c r="F351" s="36"/>
      <c r="G351" s="37"/>
      <c r="H351" s="37"/>
      <c r="I351" s="37"/>
      <c r="J351" s="38"/>
      <c r="K351" s="39"/>
      <c r="L351" s="40" t="str">
        <f aca="false">IF(OR($J351="",$K351=""),"",$J351+MATCH($K351,Listas!$F$5:$F$11,0)-1)</f>
        <v/>
      </c>
      <c r="M351" s="41"/>
      <c r="N351" s="36"/>
      <c r="O351" s="41"/>
      <c r="P351" s="35"/>
      <c r="Q351" s="35"/>
      <c r="R351" s="42" t="str">
        <f aca="true">IF($E351="","",IF($N351="Cancelada","Cancelada",IF(OR($M351&lt;&gt;"",$N351="Concluída"),IF(OR($L351="",$M351="",$M351&lt;=$L351),"Concluída","Concluída com atraso"),IF($L351="","Na carteira",IF($L351&lt;TODAY(),"VENCIDA",IF($N351="Em execução","Em execução",IF($L351=TODAY(),"Hoje","Programada")))))))</f>
        <v/>
      </c>
      <c r="S351" s="34" t="str">
        <f aca="false">IF($E351="","",IF(ISNUMBER(SEARCH("(externo)",$G351&amp;$H351&amp;$I351)),"Terceirizada","Interna"))</f>
        <v/>
      </c>
      <c r="T351" s="40" t="str">
        <f aca="false">IF($L351="","",IF($O351="",$L351,$O351))</f>
        <v/>
      </c>
      <c r="U351" s="34" t="str">
        <f aca="false">IF($E351="","",IF(OR($M351="",$L351=""),0,IF($M351&lt;=$L351,1,0)))</f>
        <v/>
      </c>
      <c r="V351" s="34" t="str">
        <f aca="false">IF($E351="","",IF(OR($M351="",$T351=""),0,IF($M351&lt;=$T351,1,0)))</f>
        <v/>
      </c>
      <c r="W351" s="42" t="str">
        <f aca="false">IF(OR($M351="",$L351=""),"",MAX(0,$M351-$L351))</f>
        <v/>
      </c>
      <c r="X351" s="34" t="str">
        <f aca="false">IF($E351="","",IF(AND($O351&lt;&gt;"",$L351&lt;&gt;"",$O351&lt;&gt;$L351),1,0))</f>
        <v/>
      </c>
      <c r="Y351" s="34" t="str">
        <f aca="false">IF($E351="","",IF($N351="Cancelada",0,IF(OR($M351&lt;&gt;"",$N351="Concluída"),1,0)))</f>
        <v/>
      </c>
    </row>
    <row r="352" customFormat="false" ht="15" hidden="false" customHeight="true" outlineLevel="0" collapsed="false">
      <c r="A352" s="34" t="str">
        <f aca="false">IF($E352="","",COUNTA($E$5:$E352))</f>
        <v/>
      </c>
      <c r="B352" s="35"/>
      <c r="C352" s="35"/>
      <c r="D352" s="35"/>
      <c r="E352" s="35"/>
      <c r="F352" s="36"/>
      <c r="G352" s="37"/>
      <c r="H352" s="37"/>
      <c r="I352" s="37"/>
      <c r="J352" s="38"/>
      <c r="K352" s="39"/>
      <c r="L352" s="40" t="str">
        <f aca="false">IF(OR($J352="",$K352=""),"",$J352+MATCH($K352,Listas!$F$5:$F$11,0)-1)</f>
        <v/>
      </c>
      <c r="M352" s="41"/>
      <c r="N352" s="36"/>
      <c r="O352" s="41"/>
      <c r="P352" s="35"/>
      <c r="Q352" s="35"/>
      <c r="R352" s="42" t="str">
        <f aca="true">IF($E352="","",IF($N352="Cancelada","Cancelada",IF(OR($M352&lt;&gt;"",$N352="Concluída"),IF(OR($L352="",$M352="",$M352&lt;=$L352),"Concluída","Concluída com atraso"),IF($L352="","Na carteira",IF($L352&lt;TODAY(),"VENCIDA",IF($N352="Em execução","Em execução",IF($L352=TODAY(),"Hoje","Programada")))))))</f>
        <v/>
      </c>
      <c r="S352" s="34" t="str">
        <f aca="false">IF($E352="","",IF(ISNUMBER(SEARCH("(externo)",$G352&amp;$H352&amp;$I352)),"Terceirizada","Interna"))</f>
        <v/>
      </c>
      <c r="T352" s="40" t="str">
        <f aca="false">IF($L352="","",IF($O352="",$L352,$O352))</f>
        <v/>
      </c>
      <c r="U352" s="34" t="str">
        <f aca="false">IF($E352="","",IF(OR($M352="",$L352=""),0,IF($M352&lt;=$L352,1,0)))</f>
        <v/>
      </c>
      <c r="V352" s="34" t="str">
        <f aca="false">IF($E352="","",IF(OR($M352="",$T352=""),0,IF($M352&lt;=$T352,1,0)))</f>
        <v/>
      </c>
      <c r="W352" s="42" t="str">
        <f aca="false">IF(OR($M352="",$L352=""),"",MAX(0,$M352-$L352))</f>
        <v/>
      </c>
      <c r="X352" s="34" t="str">
        <f aca="false">IF($E352="","",IF(AND($O352&lt;&gt;"",$L352&lt;&gt;"",$O352&lt;&gt;$L352),1,0))</f>
        <v/>
      </c>
      <c r="Y352" s="34" t="str">
        <f aca="false">IF($E352="","",IF($N352="Cancelada",0,IF(OR($M352&lt;&gt;"",$N352="Concluída"),1,0)))</f>
        <v/>
      </c>
    </row>
    <row r="353" customFormat="false" ht="15" hidden="false" customHeight="true" outlineLevel="0" collapsed="false">
      <c r="A353" s="34" t="str">
        <f aca="false">IF($E353="","",COUNTA($E$5:$E353))</f>
        <v/>
      </c>
      <c r="B353" s="35"/>
      <c r="C353" s="35"/>
      <c r="D353" s="35"/>
      <c r="E353" s="35"/>
      <c r="F353" s="36"/>
      <c r="G353" s="37"/>
      <c r="H353" s="37"/>
      <c r="I353" s="37"/>
      <c r="J353" s="38"/>
      <c r="K353" s="39"/>
      <c r="L353" s="40" t="str">
        <f aca="false">IF(OR($J353="",$K353=""),"",$J353+MATCH($K353,Listas!$F$5:$F$11,0)-1)</f>
        <v/>
      </c>
      <c r="M353" s="41"/>
      <c r="N353" s="36"/>
      <c r="O353" s="41"/>
      <c r="P353" s="35"/>
      <c r="Q353" s="35"/>
      <c r="R353" s="42" t="str">
        <f aca="true">IF($E353="","",IF($N353="Cancelada","Cancelada",IF(OR($M353&lt;&gt;"",$N353="Concluída"),IF(OR($L353="",$M353="",$M353&lt;=$L353),"Concluída","Concluída com atraso"),IF($L353="","Na carteira",IF($L353&lt;TODAY(),"VENCIDA",IF($N353="Em execução","Em execução",IF($L353=TODAY(),"Hoje","Programada")))))))</f>
        <v/>
      </c>
      <c r="S353" s="34" t="str">
        <f aca="false">IF($E353="","",IF(ISNUMBER(SEARCH("(externo)",$G353&amp;$H353&amp;$I353)),"Terceirizada","Interna"))</f>
        <v/>
      </c>
      <c r="T353" s="40" t="str">
        <f aca="false">IF($L353="","",IF($O353="",$L353,$O353))</f>
        <v/>
      </c>
      <c r="U353" s="34" t="str">
        <f aca="false">IF($E353="","",IF(OR($M353="",$L353=""),0,IF($M353&lt;=$L353,1,0)))</f>
        <v/>
      </c>
      <c r="V353" s="34" t="str">
        <f aca="false">IF($E353="","",IF(OR($M353="",$T353=""),0,IF($M353&lt;=$T353,1,0)))</f>
        <v/>
      </c>
      <c r="W353" s="42" t="str">
        <f aca="false">IF(OR($M353="",$L353=""),"",MAX(0,$M353-$L353))</f>
        <v/>
      </c>
      <c r="X353" s="34" t="str">
        <f aca="false">IF($E353="","",IF(AND($O353&lt;&gt;"",$L353&lt;&gt;"",$O353&lt;&gt;$L353),1,0))</f>
        <v/>
      </c>
      <c r="Y353" s="34" t="str">
        <f aca="false">IF($E353="","",IF($N353="Cancelada",0,IF(OR($M353&lt;&gt;"",$N353="Concluída"),1,0)))</f>
        <v/>
      </c>
    </row>
    <row r="354" customFormat="false" ht="15" hidden="false" customHeight="true" outlineLevel="0" collapsed="false">
      <c r="A354" s="34" t="str">
        <f aca="false">IF($E354="","",COUNTA($E$5:$E354))</f>
        <v/>
      </c>
      <c r="B354" s="35"/>
      <c r="C354" s="35"/>
      <c r="D354" s="35"/>
      <c r="E354" s="35"/>
      <c r="F354" s="36"/>
      <c r="G354" s="37"/>
      <c r="H354" s="37"/>
      <c r="I354" s="37"/>
      <c r="J354" s="38"/>
      <c r="K354" s="39"/>
      <c r="L354" s="40" t="str">
        <f aca="false">IF(OR($J354="",$K354=""),"",$J354+MATCH($K354,Listas!$F$5:$F$11,0)-1)</f>
        <v/>
      </c>
      <c r="M354" s="41"/>
      <c r="N354" s="36"/>
      <c r="O354" s="41"/>
      <c r="P354" s="35"/>
      <c r="Q354" s="35"/>
      <c r="R354" s="42" t="str">
        <f aca="true">IF($E354="","",IF($N354="Cancelada","Cancelada",IF(OR($M354&lt;&gt;"",$N354="Concluída"),IF(OR($L354="",$M354="",$M354&lt;=$L354),"Concluída","Concluída com atraso"),IF($L354="","Na carteira",IF($L354&lt;TODAY(),"VENCIDA",IF($N354="Em execução","Em execução",IF($L354=TODAY(),"Hoje","Programada")))))))</f>
        <v/>
      </c>
      <c r="S354" s="34" t="str">
        <f aca="false">IF($E354="","",IF(ISNUMBER(SEARCH("(externo)",$G354&amp;$H354&amp;$I354)),"Terceirizada","Interna"))</f>
        <v/>
      </c>
      <c r="T354" s="40" t="str">
        <f aca="false">IF($L354="","",IF($O354="",$L354,$O354))</f>
        <v/>
      </c>
      <c r="U354" s="34" t="str">
        <f aca="false">IF($E354="","",IF(OR($M354="",$L354=""),0,IF($M354&lt;=$L354,1,0)))</f>
        <v/>
      </c>
      <c r="V354" s="34" t="str">
        <f aca="false">IF($E354="","",IF(OR($M354="",$T354=""),0,IF($M354&lt;=$T354,1,0)))</f>
        <v/>
      </c>
      <c r="W354" s="42" t="str">
        <f aca="false">IF(OR($M354="",$L354=""),"",MAX(0,$M354-$L354))</f>
        <v/>
      </c>
      <c r="X354" s="34" t="str">
        <f aca="false">IF($E354="","",IF(AND($O354&lt;&gt;"",$L354&lt;&gt;"",$O354&lt;&gt;$L354),1,0))</f>
        <v/>
      </c>
      <c r="Y354" s="34" t="str">
        <f aca="false">IF($E354="","",IF($N354="Cancelada",0,IF(OR($M354&lt;&gt;"",$N354="Concluída"),1,0)))</f>
        <v/>
      </c>
    </row>
    <row r="355" customFormat="false" ht="15" hidden="false" customHeight="true" outlineLevel="0" collapsed="false">
      <c r="A355" s="34" t="str">
        <f aca="false">IF($E355="","",COUNTA($E$5:$E355))</f>
        <v/>
      </c>
      <c r="B355" s="35"/>
      <c r="C355" s="35"/>
      <c r="D355" s="35"/>
      <c r="E355" s="35"/>
      <c r="F355" s="36"/>
      <c r="G355" s="37"/>
      <c r="H355" s="37"/>
      <c r="I355" s="37"/>
      <c r="J355" s="38"/>
      <c r="K355" s="39"/>
      <c r="L355" s="40" t="str">
        <f aca="false">IF(OR($J355="",$K355=""),"",$J355+MATCH($K355,Listas!$F$5:$F$11,0)-1)</f>
        <v/>
      </c>
      <c r="M355" s="41"/>
      <c r="N355" s="36"/>
      <c r="O355" s="41"/>
      <c r="P355" s="35"/>
      <c r="Q355" s="35"/>
      <c r="R355" s="42" t="str">
        <f aca="true">IF($E355="","",IF($N355="Cancelada","Cancelada",IF(OR($M355&lt;&gt;"",$N355="Concluída"),IF(OR($L355="",$M355="",$M355&lt;=$L355),"Concluída","Concluída com atraso"),IF($L355="","Na carteira",IF($L355&lt;TODAY(),"VENCIDA",IF($N355="Em execução","Em execução",IF($L355=TODAY(),"Hoje","Programada")))))))</f>
        <v/>
      </c>
      <c r="S355" s="34" t="str">
        <f aca="false">IF($E355="","",IF(ISNUMBER(SEARCH("(externo)",$G355&amp;$H355&amp;$I355)),"Terceirizada","Interna"))</f>
        <v/>
      </c>
      <c r="T355" s="40" t="str">
        <f aca="false">IF($L355="","",IF($O355="",$L355,$O355))</f>
        <v/>
      </c>
      <c r="U355" s="34" t="str">
        <f aca="false">IF($E355="","",IF(OR($M355="",$L355=""),0,IF($M355&lt;=$L355,1,0)))</f>
        <v/>
      </c>
      <c r="V355" s="34" t="str">
        <f aca="false">IF($E355="","",IF(OR($M355="",$T355=""),0,IF($M355&lt;=$T355,1,0)))</f>
        <v/>
      </c>
      <c r="W355" s="42" t="str">
        <f aca="false">IF(OR($M355="",$L355=""),"",MAX(0,$M355-$L355))</f>
        <v/>
      </c>
      <c r="X355" s="34" t="str">
        <f aca="false">IF($E355="","",IF(AND($O355&lt;&gt;"",$L355&lt;&gt;"",$O355&lt;&gt;$L355),1,0))</f>
        <v/>
      </c>
      <c r="Y355" s="34" t="str">
        <f aca="false">IF($E355="","",IF($N355="Cancelada",0,IF(OR($M355&lt;&gt;"",$N355="Concluída"),1,0)))</f>
        <v/>
      </c>
    </row>
    <row r="356" customFormat="false" ht="15" hidden="false" customHeight="true" outlineLevel="0" collapsed="false">
      <c r="A356" s="34" t="str">
        <f aca="false">IF($E356="","",COUNTA($E$5:$E356))</f>
        <v/>
      </c>
      <c r="B356" s="35"/>
      <c r="C356" s="35"/>
      <c r="D356" s="35"/>
      <c r="E356" s="35"/>
      <c r="F356" s="36"/>
      <c r="G356" s="37"/>
      <c r="H356" s="37"/>
      <c r="I356" s="37"/>
      <c r="J356" s="38"/>
      <c r="K356" s="39"/>
      <c r="L356" s="40" t="str">
        <f aca="false">IF(OR($J356="",$K356=""),"",$J356+MATCH($K356,Listas!$F$5:$F$11,0)-1)</f>
        <v/>
      </c>
      <c r="M356" s="41"/>
      <c r="N356" s="36"/>
      <c r="O356" s="41"/>
      <c r="P356" s="35"/>
      <c r="Q356" s="35"/>
      <c r="R356" s="42" t="str">
        <f aca="true">IF($E356="","",IF($N356="Cancelada","Cancelada",IF(OR($M356&lt;&gt;"",$N356="Concluída"),IF(OR($L356="",$M356="",$M356&lt;=$L356),"Concluída","Concluída com atraso"),IF($L356="","Na carteira",IF($L356&lt;TODAY(),"VENCIDA",IF($N356="Em execução","Em execução",IF($L356=TODAY(),"Hoje","Programada")))))))</f>
        <v/>
      </c>
      <c r="S356" s="34" t="str">
        <f aca="false">IF($E356="","",IF(ISNUMBER(SEARCH("(externo)",$G356&amp;$H356&amp;$I356)),"Terceirizada","Interna"))</f>
        <v/>
      </c>
      <c r="T356" s="40" t="str">
        <f aca="false">IF($L356="","",IF($O356="",$L356,$O356))</f>
        <v/>
      </c>
      <c r="U356" s="34" t="str">
        <f aca="false">IF($E356="","",IF(OR($M356="",$L356=""),0,IF($M356&lt;=$L356,1,0)))</f>
        <v/>
      </c>
      <c r="V356" s="34" t="str">
        <f aca="false">IF($E356="","",IF(OR($M356="",$T356=""),0,IF($M356&lt;=$T356,1,0)))</f>
        <v/>
      </c>
      <c r="W356" s="42" t="str">
        <f aca="false">IF(OR($M356="",$L356=""),"",MAX(0,$M356-$L356))</f>
        <v/>
      </c>
      <c r="X356" s="34" t="str">
        <f aca="false">IF($E356="","",IF(AND($O356&lt;&gt;"",$L356&lt;&gt;"",$O356&lt;&gt;$L356),1,0))</f>
        <v/>
      </c>
      <c r="Y356" s="34" t="str">
        <f aca="false">IF($E356="","",IF($N356="Cancelada",0,IF(OR($M356&lt;&gt;"",$N356="Concluída"),1,0)))</f>
        <v/>
      </c>
    </row>
    <row r="357" customFormat="false" ht="15" hidden="false" customHeight="true" outlineLevel="0" collapsed="false">
      <c r="A357" s="34" t="str">
        <f aca="false">IF($E357="","",COUNTA($E$5:$E357))</f>
        <v/>
      </c>
      <c r="B357" s="35"/>
      <c r="C357" s="35"/>
      <c r="D357" s="35"/>
      <c r="E357" s="35"/>
      <c r="F357" s="36"/>
      <c r="G357" s="37"/>
      <c r="H357" s="37"/>
      <c r="I357" s="37"/>
      <c r="J357" s="38"/>
      <c r="K357" s="39"/>
      <c r="L357" s="40" t="str">
        <f aca="false">IF(OR($J357="",$K357=""),"",$J357+MATCH($K357,Listas!$F$5:$F$11,0)-1)</f>
        <v/>
      </c>
      <c r="M357" s="41"/>
      <c r="N357" s="36"/>
      <c r="O357" s="41"/>
      <c r="P357" s="35"/>
      <c r="Q357" s="35"/>
      <c r="R357" s="42" t="str">
        <f aca="true">IF($E357="","",IF($N357="Cancelada","Cancelada",IF(OR($M357&lt;&gt;"",$N357="Concluída"),IF(OR($L357="",$M357="",$M357&lt;=$L357),"Concluída","Concluída com atraso"),IF($L357="","Na carteira",IF($L357&lt;TODAY(),"VENCIDA",IF($N357="Em execução","Em execução",IF($L357=TODAY(),"Hoje","Programada")))))))</f>
        <v/>
      </c>
      <c r="S357" s="34" t="str">
        <f aca="false">IF($E357="","",IF(ISNUMBER(SEARCH("(externo)",$G357&amp;$H357&amp;$I357)),"Terceirizada","Interna"))</f>
        <v/>
      </c>
      <c r="T357" s="40" t="str">
        <f aca="false">IF($L357="","",IF($O357="",$L357,$O357))</f>
        <v/>
      </c>
      <c r="U357" s="34" t="str">
        <f aca="false">IF($E357="","",IF(OR($M357="",$L357=""),0,IF($M357&lt;=$L357,1,0)))</f>
        <v/>
      </c>
      <c r="V357" s="34" t="str">
        <f aca="false">IF($E357="","",IF(OR($M357="",$T357=""),0,IF($M357&lt;=$T357,1,0)))</f>
        <v/>
      </c>
      <c r="W357" s="42" t="str">
        <f aca="false">IF(OR($M357="",$L357=""),"",MAX(0,$M357-$L357))</f>
        <v/>
      </c>
      <c r="X357" s="34" t="str">
        <f aca="false">IF($E357="","",IF(AND($O357&lt;&gt;"",$L357&lt;&gt;"",$O357&lt;&gt;$L357),1,0))</f>
        <v/>
      </c>
      <c r="Y357" s="34" t="str">
        <f aca="false">IF($E357="","",IF($N357="Cancelada",0,IF(OR($M357&lt;&gt;"",$N357="Concluída"),1,0)))</f>
        <v/>
      </c>
    </row>
    <row r="358" customFormat="false" ht="15" hidden="false" customHeight="true" outlineLevel="0" collapsed="false">
      <c r="A358" s="34" t="str">
        <f aca="false">IF($E358="","",COUNTA($E$5:$E358))</f>
        <v/>
      </c>
      <c r="B358" s="35"/>
      <c r="C358" s="35"/>
      <c r="D358" s="35"/>
      <c r="E358" s="35"/>
      <c r="F358" s="36"/>
      <c r="G358" s="37"/>
      <c r="H358" s="37"/>
      <c r="I358" s="37"/>
      <c r="J358" s="38"/>
      <c r="K358" s="39"/>
      <c r="L358" s="40" t="str">
        <f aca="false">IF(OR($J358="",$K358=""),"",$J358+MATCH($K358,Listas!$F$5:$F$11,0)-1)</f>
        <v/>
      </c>
      <c r="M358" s="41"/>
      <c r="N358" s="36"/>
      <c r="O358" s="41"/>
      <c r="P358" s="35"/>
      <c r="Q358" s="35"/>
      <c r="R358" s="42" t="str">
        <f aca="true">IF($E358="","",IF($N358="Cancelada","Cancelada",IF(OR($M358&lt;&gt;"",$N358="Concluída"),IF(OR($L358="",$M358="",$M358&lt;=$L358),"Concluída","Concluída com atraso"),IF($L358="","Na carteira",IF($L358&lt;TODAY(),"VENCIDA",IF($N358="Em execução","Em execução",IF($L358=TODAY(),"Hoje","Programada")))))))</f>
        <v/>
      </c>
      <c r="S358" s="34" t="str">
        <f aca="false">IF($E358="","",IF(ISNUMBER(SEARCH("(externo)",$G358&amp;$H358&amp;$I358)),"Terceirizada","Interna"))</f>
        <v/>
      </c>
      <c r="T358" s="40" t="str">
        <f aca="false">IF($L358="","",IF($O358="",$L358,$O358))</f>
        <v/>
      </c>
      <c r="U358" s="34" t="str">
        <f aca="false">IF($E358="","",IF(OR($M358="",$L358=""),0,IF($M358&lt;=$L358,1,0)))</f>
        <v/>
      </c>
      <c r="V358" s="34" t="str">
        <f aca="false">IF($E358="","",IF(OR($M358="",$T358=""),0,IF($M358&lt;=$T358,1,0)))</f>
        <v/>
      </c>
      <c r="W358" s="42" t="str">
        <f aca="false">IF(OR($M358="",$L358=""),"",MAX(0,$M358-$L358))</f>
        <v/>
      </c>
      <c r="X358" s="34" t="str">
        <f aca="false">IF($E358="","",IF(AND($O358&lt;&gt;"",$L358&lt;&gt;"",$O358&lt;&gt;$L358),1,0))</f>
        <v/>
      </c>
      <c r="Y358" s="34" t="str">
        <f aca="false">IF($E358="","",IF($N358="Cancelada",0,IF(OR($M358&lt;&gt;"",$N358="Concluída"),1,0)))</f>
        <v/>
      </c>
    </row>
    <row r="359" customFormat="false" ht="15" hidden="false" customHeight="true" outlineLevel="0" collapsed="false">
      <c r="A359" s="34" t="str">
        <f aca="false">IF($E359="","",COUNTA($E$5:$E359))</f>
        <v/>
      </c>
      <c r="B359" s="35"/>
      <c r="C359" s="35"/>
      <c r="D359" s="35"/>
      <c r="E359" s="35"/>
      <c r="F359" s="36"/>
      <c r="G359" s="37"/>
      <c r="H359" s="37"/>
      <c r="I359" s="37"/>
      <c r="J359" s="38"/>
      <c r="K359" s="39"/>
      <c r="L359" s="40" t="str">
        <f aca="false">IF(OR($J359="",$K359=""),"",$J359+MATCH($K359,Listas!$F$5:$F$11,0)-1)</f>
        <v/>
      </c>
      <c r="M359" s="41"/>
      <c r="N359" s="36"/>
      <c r="O359" s="41"/>
      <c r="P359" s="35"/>
      <c r="Q359" s="35"/>
      <c r="R359" s="42" t="str">
        <f aca="true">IF($E359="","",IF($N359="Cancelada","Cancelada",IF(OR($M359&lt;&gt;"",$N359="Concluída"),IF(OR($L359="",$M359="",$M359&lt;=$L359),"Concluída","Concluída com atraso"),IF($L359="","Na carteira",IF($L359&lt;TODAY(),"VENCIDA",IF($N359="Em execução","Em execução",IF($L359=TODAY(),"Hoje","Programada")))))))</f>
        <v/>
      </c>
      <c r="S359" s="34" t="str">
        <f aca="false">IF($E359="","",IF(ISNUMBER(SEARCH("(externo)",$G359&amp;$H359&amp;$I359)),"Terceirizada","Interna"))</f>
        <v/>
      </c>
      <c r="T359" s="40" t="str">
        <f aca="false">IF($L359="","",IF($O359="",$L359,$O359))</f>
        <v/>
      </c>
      <c r="U359" s="34" t="str">
        <f aca="false">IF($E359="","",IF(OR($M359="",$L359=""),0,IF($M359&lt;=$L359,1,0)))</f>
        <v/>
      </c>
      <c r="V359" s="34" t="str">
        <f aca="false">IF($E359="","",IF(OR($M359="",$T359=""),0,IF($M359&lt;=$T359,1,0)))</f>
        <v/>
      </c>
      <c r="W359" s="42" t="str">
        <f aca="false">IF(OR($M359="",$L359=""),"",MAX(0,$M359-$L359))</f>
        <v/>
      </c>
      <c r="X359" s="34" t="str">
        <f aca="false">IF($E359="","",IF(AND($O359&lt;&gt;"",$L359&lt;&gt;"",$O359&lt;&gt;$L359),1,0))</f>
        <v/>
      </c>
      <c r="Y359" s="34" t="str">
        <f aca="false">IF($E359="","",IF($N359="Cancelada",0,IF(OR($M359&lt;&gt;"",$N359="Concluída"),1,0)))</f>
        <v/>
      </c>
    </row>
    <row r="360" customFormat="false" ht="15" hidden="false" customHeight="true" outlineLevel="0" collapsed="false">
      <c r="A360" s="34" t="str">
        <f aca="false">IF($E360="","",COUNTA($E$5:$E360))</f>
        <v/>
      </c>
      <c r="B360" s="35"/>
      <c r="C360" s="35"/>
      <c r="D360" s="35"/>
      <c r="E360" s="35"/>
      <c r="F360" s="36"/>
      <c r="G360" s="37"/>
      <c r="H360" s="37"/>
      <c r="I360" s="37"/>
      <c r="J360" s="38"/>
      <c r="K360" s="39"/>
      <c r="L360" s="40" t="str">
        <f aca="false">IF(OR($J360="",$K360=""),"",$J360+MATCH($K360,Listas!$F$5:$F$11,0)-1)</f>
        <v/>
      </c>
      <c r="M360" s="41"/>
      <c r="N360" s="36"/>
      <c r="O360" s="41"/>
      <c r="P360" s="35"/>
      <c r="Q360" s="35"/>
      <c r="R360" s="42" t="str">
        <f aca="true">IF($E360="","",IF($N360="Cancelada","Cancelada",IF(OR($M360&lt;&gt;"",$N360="Concluída"),IF(OR($L360="",$M360="",$M360&lt;=$L360),"Concluída","Concluída com atraso"),IF($L360="","Na carteira",IF($L360&lt;TODAY(),"VENCIDA",IF($N360="Em execução","Em execução",IF($L360=TODAY(),"Hoje","Programada")))))))</f>
        <v/>
      </c>
      <c r="S360" s="34" t="str">
        <f aca="false">IF($E360="","",IF(ISNUMBER(SEARCH("(externo)",$G360&amp;$H360&amp;$I360)),"Terceirizada","Interna"))</f>
        <v/>
      </c>
      <c r="T360" s="40" t="str">
        <f aca="false">IF($L360="","",IF($O360="",$L360,$O360))</f>
        <v/>
      </c>
      <c r="U360" s="34" t="str">
        <f aca="false">IF($E360="","",IF(OR($M360="",$L360=""),0,IF($M360&lt;=$L360,1,0)))</f>
        <v/>
      </c>
      <c r="V360" s="34" t="str">
        <f aca="false">IF($E360="","",IF(OR($M360="",$T360=""),0,IF($M360&lt;=$T360,1,0)))</f>
        <v/>
      </c>
      <c r="W360" s="42" t="str">
        <f aca="false">IF(OR($M360="",$L360=""),"",MAX(0,$M360-$L360))</f>
        <v/>
      </c>
      <c r="X360" s="34" t="str">
        <f aca="false">IF($E360="","",IF(AND($O360&lt;&gt;"",$L360&lt;&gt;"",$O360&lt;&gt;$L360),1,0))</f>
        <v/>
      </c>
      <c r="Y360" s="34" t="str">
        <f aca="false">IF($E360="","",IF($N360="Cancelada",0,IF(OR($M360&lt;&gt;"",$N360="Concluída"),1,0)))</f>
        <v/>
      </c>
    </row>
    <row r="361" customFormat="false" ht="15" hidden="false" customHeight="true" outlineLevel="0" collapsed="false">
      <c r="A361" s="34" t="str">
        <f aca="false">IF($E361="","",COUNTA($E$5:$E361))</f>
        <v/>
      </c>
      <c r="B361" s="35"/>
      <c r="C361" s="35"/>
      <c r="D361" s="35"/>
      <c r="E361" s="35"/>
      <c r="F361" s="36"/>
      <c r="G361" s="37"/>
      <c r="H361" s="37"/>
      <c r="I361" s="37"/>
      <c r="J361" s="38"/>
      <c r="K361" s="39"/>
      <c r="L361" s="40" t="str">
        <f aca="false">IF(OR($J361="",$K361=""),"",$J361+MATCH($K361,Listas!$F$5:$F$11,0)-1)</f>
        <v/>
      </c>
      <c r="M361" s="41"/>
      <c r="N361" s="36"/>
      <c r="O361" s="41"/>
      <c r="P361" s="35"/>
      <c r="Q361" s="35"/>
      <c r="R361" s="42" t="str">
        <f aca="true">IF($E361="","",IF($N361="Cancelada","Cancelada",IF(OR($M361&lt;&gt;"",$N361="Concluída"),IF(OR($L361="",$M361="",$M361&lt;=$L361),"Concluída","Concluída com atraso"),IF($L361="","Na carteira",IF($L361&lt;TODAY(),"VENCIDA",IF($N361="Em execução","Em execução",IF($L361=TODAY(),"Hoje","Programada")))))))</f>
        <v/>
      </c>
      <c r="S361" s="34" t="str">
        <f aca="false">IF($E361="","",IF(ISNUMBER(SEARCH("(externo)",$G361&amp;$H361&amp;$I361)),"Terceirizada","Interna"))</f>
        <v/>
      </c>
      <c r="T361" s="40" t="str">
        <f aca="false">IF($L361="","",IF($O361="",$L361,$O361))</f>
        <v/>
      </c>
      <c r="U361" s="34" t="str">
        <f aca="false">IF($E361="","",IF(OR($M361="",$L361=""),0,IF($M361&lt;=$L361,1,0)))</f>
        <v/>
      </c>
      <c r="V361" s="34" t="str">
        <f aca="false">IF($E361="","",IF(OR($M361="",$T361=""),0,IF($M361&lt;=$T361,1,0)))</f>
        <v/>
      </c>
      <c r="W361" s="42" t="str">
        <f aca="false">IF(OR($M361="",$L361=""),"",MAX(0,$M361-$L361))</f>
        <v/>
      </c>
      <c r="X361" s="34" t="str">
        <f aca="false">IF($E361="","",IF(AND($O361&lt;&gt;"",$L361&lt;&gt;"",$O361&lt;&gt;$L361),1,0))</f>
        <v/>
      </c>
      <c r="Y361" s="34" t="str">
        <f aca="false">IF($E361="","",IF($N361="Cancelada",0,IF(OR($M361&lt;&gt;"",$N361="Concluída"),1,0)))</f>
        <v/>
      </c>
    </row>
    <row r="362" customFormat="false" ht="15" hidden="false" customHeight="true" outlineLevel="0" collapsed="false">
      <c r="A362" s="34" t="str">
        <f aca="false">IF($E362="","",COUNTA($E$5:$E362))</f>
        <v/>
      </c>
      <c r="B362" s="35"/>
      <c r="C362" s="35"/>
      <c r="D362" s="35"/>
      <c r="E362" s="35"/>
      <c r="F362" s="36"/>
      <c r="G362" s="37"/>
      <c r="H362" s="37"/>
      <c r="I362" s="37"/>
      <c r="J362" s="38"/>
      <c r="K362" s="39"/>
      <c r="L362" s="40" t="str">
        <f aca="false">IF(OR($J362="",$K362=""),"",$J362+MATCH($K362,Listas!$F$5:$F$11,0)-1)</f>
        <v/>
      </c>
      <c r="M362" s="41"/>
      <c r="N362" s="36"/>
      <c r="O362" s="41"/>
      <c r="P362" s="35"/>
      <c r="Q362" s="35"/>
      <c r="R362" s="42" t="str">
        <f aca="true">IF($E362="","",IF($N362="Cancelada","Cancelada",IF(OR($M362&lt;&gt;"",$N362="Concluída"),IF(OR($L362="",$M362="",$M362&lt;=$L362),"Concluída","Concluída com atraso"),IF($L362="","Na carteira",IF($L362&lt;TODAY(),"VENCIDA",IF($N362="Em execução","Em execução",IF($L362=TODAY(),"Hoje","Programada")))))))</f>
        <v/>
      </c>
      <c r="S362" s="34" t="str">
        <f aca="false">IF($E362="","",IF(ISNUMBER(SEARCH("(externo)",$G362&amp;$H362&amp;$I362)),"Terceirizada","Interna"))</f>
        <v/>
      </c>
      <c r="T362" s="40" t="str">
        <f aca="false">IF($L362="","",IF($O362="",$L362,$O362))</f>
        <v/>
      </c>
      <c r="U362" s="34" t="str">
        <f aca="false">IF($E362="","",IF(OR($M362="",$L362=""),0,IF($M362&lt;=$L362,1,0)))</f>
        <v/>
      </c>
      <c r="V362" s="34" t="str">
        <f aca="false">IF($E362="","",IF(OR($M362="",$T362=""),0,IF($M362&lt;=$T362,1,0)))</f>
        <v/>
      </c>
      <c r="W362" s="42" t="str">
        <f aca="false">IF(OR($M362="",$L362=""),"",MAX(0,$M362-$L362))</f>
        <v/>
      </c>
      <c r="X362" s="34" t="str">
        <f aca="false">IF($E362="","",IF(AND($O362&lt;&gt;"",$L362&lt;&gt;"",$O362&lt;&gt;$L362),1,0))</f>
        <v/>
      </c>
      <c r="Y362" s="34" t="str">
        <f aca="false">IF($E362="","",IF($N362="Cancelada",0,IF(OR($M362&lt;&gt;"",$N362="Concluída"),1,0)))</f>
        <v/>
      </c>
    </row>
    <row r="363" customFormat="false" ht="15" hidden="false" customHeight="true" outlineLevel="0" collapsed="false">
      <c r="A363" s="34" t="str">
        <f aca="false">IF($E363="","",COUNTA($E$5:$E363))</f>
        <v/>
      </c>
      <c r="B363" s="35"/>
      <c r="C363" s="35"/>
      <c r="D363" s="35"/>
      <c r="E363" s="35"/>
      <c r="F363" s="36"/>
      <c r="G363" s="37"/>
      <c r="H363" s="37"/>
      <c r="I363" s="37"/>
      <c r="J363" s="38"/>
      <c r="K363" s="39"/>
      <c r="L363" s="40" t="str">
        <f aca="false">IF(OR($J363="",$K363=""),"",$J363+MATCH($K363,Listas!$F$5:$F$11,0)-1)</f>
        <v/>
      </c>
      <c r="M363" s="41"/>
      <c r="N363" s="36"/>
      <c r="O363" s="41"/>
      <c r="P363" s="35"/>
      <c r="Q363" s="35"/>
      <c r="R363" s="42" t="str">
        <f aca="true">IF($E363="","",IF($N363="Cancelada","Cancelada",IF(OR($M363&lt;&gt;"",$N363="Concluída"),IF(OR($L363="",$M363="",$M363&lt;=$L363),"Concluída","Concluída com atraso"),IF($L363="","Na carteira",IF($L363&lt;TODAY(),"VENCIDA",IF($N363="Em execução","Em execução",IF($L363=TODAY(),"Hoje","Programada")))))))</f>
        <v/>
      </c>
      <c r="S363" s="34" t="str">
        <f aca="false">IF($E363="","",IF(ISNUMBER(SEARCH("(externo)",$G363&amp;$H363&amp;$I363)),"Terceirizada","Interna"))</f>
        <v/>
      </c>
      <c r="T363" s="40" t="str">
        <f aca="false">IF($L363="","",IF($O363="",$L363,$O363))</f>
        <v/>
      </c>
      <c r="U363" s="34" t="str">
        <f aca="false">IF($E363="","",IF(OR($M363="",$L363=""),0,IF($M363&lt;=$L363,1,0)))</f>
        <v/>
      </c>
      <c r="V363" s="34" t="str">
        <f aca="false">IF($E363="","",IF(OR($M363="",$T363=""),0,IF($M363&lt;=$T363,1,0)))</f>
        <v/>
      </c>
      <c r="W363" s="42" t="str">
        <f aca="false">IF(OR($M363="",$L363=""),"",MAX(0,$M363-$L363))</f>
        <v/>
      </c>
      <c r="X363" s="34" t="str">
        <f aca="false">IF($E363="","",IF(AND($O363&lt;&gt;"",$L363&lt;&gt;"",$O363&lt;&gt;$L363),1,0))</f>
        <v/>
      </c>
      <c r="Y363" s="34" t="str">
        <f aca="false">IF($E363="","",IF($N363="Cancelada",0,IF(OR($M363&lt;&gt;"",$N363="Concluída"),1,0)))</f>
        <v/>
      </c>
    </row>
    <row r="364" customFormat="false" ht="15" hidden="false" customHeight="true" outlineLevel="0" collapsed="false">
      <c r="A364" s="34" t="str">
        <f aca="false">IF($E364="","",COUNTA($E$5:$E364))</f>
        <v/>
      </c>
      <c r="B364" s="35"/>
      <c r="C364" s="35"/>
      <c r="D364" s="35"/>
      <c r="E364" s="35"/>
      <c r="F364" s="36"/>
      <c r="G364" s="37"/>
      <c r="H364" s="37"/>
      <c r="I364" s="37"/>
      <c r="J364" s="38"/>
      <c r="K364" s="39"/>
      <c r="L364" s="40" t="str">
        <f aca="false">IF(OR($J364="",$K364=""),"",$J364+MATCH($K364,Listas!$F$5:$F$11,0)-1)</f>
        <v/>
      </c>
      <c r="M364" s="41"/>
      <c r="N364" s="36"/>
      <c r="O364" s="41"/>
      <c r="P364" s="35"/>
      <c r="Q364" s="35"/>
      <c r="R364" s="42" t="str">
        <f aca="true">IF($E364="","",IF($N364="Cancelada","Cancelada",IF(OR($M364&lt;&gt;"",$N364="Concluída"),IF(OR($L364="",$M364="",$M364&lt;=$L364),"Concluída","Concluída com atraso"),IF($L364="","Na carteira",IF($L364&lt;TODAY(),"VENCIDA",IF($N364="Em execução","Em execução",IF($L364=TODAY(),"Hoje","Programada")))))))</f>
        <v/>
      </c>
      <c r="S364" s="34" t="str">
        <f aca="false">IF($E364="","",IF(ISNUMBER(SEARCH("(externo)",$G364&amp;$H364&amp;$I364)),"Terceirizada","Interna"))</f>
        <v/>
      </c>
      <c r="T364" s="40" t="str">
        <f aca="false">IF($L364="","",IF($O364="",$L364,$O364))</f>
        <v/>
      </c>
      <c r="U364" s="34" t="str">
        <f aca="false">IF($E364="","",IF(OR($M364="",$L364=""),0,IF($M364&lt;=$L364,1,0)))</f>
        <v/>
      </c>
      <c r="V364" s="34" t="str">
        <f aca="false">IF($E364="","",IF(OR($M364="",$T364=""),0,IF($M364&lt;=$T364,1,0)))</f>
        <v/>
      </c>
      <c r="W364" s="42" t="str">
        <f aca="false">IF(OR($M364="",$L364=""),"",MAX(0,$M364-$L364))</f>
        <v/>
      </c>
      <c r="X364" s="34" t="str">
        <f aca="false">IF($E364="","",IF(AND($O364&lt;&gt;"",$L364&lt;&gt;"",$O364&lt;&gt;$L364),1,0))</f>
        <v/>
      </c>
      <c r="Y364" s="34" t="str">
        <f aca="false">IF($E364="","",IF($N364="Cancelada",0,IF(OR($M364&lt;&gt;"",$N364="Concluída"),1,0)))</f>
        <v/>
      </c>
    </row>
    <row r="365" customFormat="false" ht="15" hidden="false" customHeight="true" outlineLevel="0" collapsed="false">
      <c r="A365" s="34" t="str">
        <f aca="false">IF($E365="","",COUNTA($E$5:$E365))</f>
        <v/>
      </c>
      <c r="B365" s="35"/>
      <c r="C365" s="35"/>
      <c r="D365" s="35"/>
      <c r="E365" s="35"/>
      <c r="F365" s="36"/>
      <c r="G365" s="37"/>
      <c r="H365" s="37"/>
      <c r="I365" s="37"/>
      <c r="J365" s="38"/>
      <c r="K365" s="39"/>
      <c r="L365" s="40" t="str">
        <f aca="false">IF(OR($J365="",$K365=""),"",$J365+MATCH($K365,Listas!$F$5:$F$11,0)-1)</f>
        <v/>
      </c>
      <c r="M365" s="41"/>
      <c r="N365" s="36"/>
      <c r="O365" s="41"/>
      <c r="P365" s="35"/>
      <c r="Q365" s="35"/>
      <c r="R365" s="42" t="str">
        <f aca="true">IF($E365="","",IF($N365="Cancelada","Cancelada",IF(OR($M365&lt;&gt;"",$N365="Concluída"),IF(OR($L365="",$M365="",$M365&lt;=$L365),"Concluída","Concluída com atraso"),IF($L365="","Na carteira",IF($L365&lt;TODAY(),"VENCIDA",IF($N365="Em execução","Em execução",IF($L365=TODAY(),"Hoje","Programada")))))))</f>
        <v/>
      </c>
      <c r="S365" s="34" t="str">
        <f aca="false">IF($E365="","",IF(ISNUMBER(SEARCH("(externo)",$G365&amp;$H365&amp;$I365)),"Terceirizada","Interna"))</f>
        <v/>
      </c>
      <c r="T365" s="40" t="str">
        <f aca="false">IF($L365="","",IF($O365="",$L365,$O365))</f>
        <v/>
      </c>
      <c r="U365" s="34" t="str">
        <f aca="false">IF($E365="","",IF(OR($M365="",$L365=""),0,IF($M365&lt;=$L365,1,0)))</f>
        <v/>
      </c>
      <c r="V365" s="34" t="str">
        <f aca="false">IF($E365="","",IF(OR($M365="",$T365=""),0,IF($M365&lt;=$T365,1,0)))</f>
        <v/>
      </c>
      <c r="W365" s="42" t="str">
        <f aca="false">IF(OR($M365="",$L365=""),"",MAX(0,$M365-$L365))</f>
        <v/>
      </c>
      <c r="X365" s="34" t="str">
        <f aca="false">IF($E365="","",IF(AND($O365&lt;&gt;"",$L365&lt;&gt;"",$O365&lt;&gt;$L365),1,0))</f>
        <v/>
      </c>
      <c r="Y365" s="34" t="str">
        <f aca="false">IF($E365="","",IF($N365="Cancelada",0,IF(OR($M365&lt;&gt;"",$N365="Concluída"),1,0)))</f>
        <v/>
      </c>
    </row>
    <row r="366" customFormat="false" ht="15" hidden="false" customHeight="true" outlineLevel="0" collapsed="false">
      <c r="A366" s="34" t="str">
        <f aca="false">IF($E366="","",COUNTA($E$5:$E366))</f>
        <v/>
      </c>
      <c r="B366" s="35"/>
      <c r="C366" s="35"/>
      <c r="D366" s="35"/>
      <c r="E366" s="35"/>
      <c r="F366" s="36"/>
      <c r="G366" s="37"/>
      <c r="H366" s="37"/>
      <c r="I366" s="37"/>
      <c r="J366" s="38"/>
      <c r="K366" s="39"/>
      <c r="L366" s="40" t="str">
        <f aca="false">IF(OR($J366="",$K366=""),"",$J366+MATCH($K366,Listas!$F$5:$F$11,0)-1)</f>
        <v/>
      </c>
      <c r="M366" s="41"/>
      <c r="N366" s="36"/>
      <c r="O366" s="41"/>
      <c r="P366" s="35"/>
      <c r="Q366" s="35"/>
      <c r="R366" s="42" t="str">
        <f aca="true">IF($E366="","",IF($N366="Cancelada","Cancelada",IF(OR($M366&lt;&gt;"",$N366="Concluída"),IF(OR($L366="",$M366="",$M366&lt;=$L366),"Concluída","Concluída com atraso"),IF($L366="","Na carteira",IF($L366&lt;TODAY(),"VENCIDA",IF($N366="Em execução","Em execução",IF($L366=TODAY(),"Hoje","Programada")))))))</f>
        <v/>
      </c>
      <c r="S366" s="34" t="str">
        <f aca="false">IF($E366="","",IF(ISNUMBER(SEARCH("(externo)",$G366&amp;$H366&amp;$I366)),"Terceirizada","Interna"))</f>
        <v/>
      </c>
      <c r="T366" s="40" t="str">
        <f aca="false">IF($L366="","",IF($O366="",$L366,$O366))</f>
        <v/>
      </c>
      <c r="U366" s="34" t="str">
        <f aca="false">IF($E366="","",IF(OR($M366="",$L366=""),0,IF($M366&lt;=$L366,1,0)))</f>
        <v/>
      </c>
      <c r="V366" s="34" t="str">
        <f aca="false">IF($E366="","",IF(OR($M366="",$T366=""),0,IF($M366&lt;=$T366,1,0)))</f>
        <v/>
      </c>
      <c r="W366" s="42" t="str">
        <f aca="false">IF(OR($M366="",$L366=""),"",MAX(0,$M366-$L366))</f>
        <v/>
      </c>
      <c r="X366" s="34" t="str">
        <f aca="false">IF($E366="","",IF(AND($O366&lt;&gt;"",$L366&lt;&gt;"",$O366&lt;&gt;$L366),1,0))</f>
        <v/>
      </c>
      <c r="Y366" s="34" t="str">
        <f aca="false">IF($E366="","",IF($N366="Cancelada",0,IF(OR($M366&lt;&gt;"",$N366="Concluída"),1,0)))</f>
        <v/>
      </c>
    </row>
    <row r="367" customFormat="false" ht="15" hidden="false" customHeight="true" outlineLevel="0" collapsed="false">
      <c r="A367" s="34" t="str">
        <f aca="false">IF($E367="","",COUNTA($E$5:$E367))</f>
        <v/>
      </c>
      <c r="B367" s="35"/>
      <c r="C367" s="35"/>
      <c r="D367" s="35"/>
      <c r="E367" s="35"/>
      <c r="F367" s="36"/>
      <c r="G367" s="37"/>
      <c r="H367" s="37"/>
      <c r="I367" s="37"/>
      <c r="J367" s="38"/>
      <c r="K367" s="39"/>
      <c r="L367" s="40" t="str">
        <f aca="false">IF(OR($J367="",$K367=""),"",$J367+MATCH($K367,Listas!$F$5:$F$11,0)-1)</f>
        <v/>
      </c>
      <c r="M367" s="41"/>
      <c r="N367" s="36"/>
      <c r="O367" s="41"/>
      <c r="P367" s="35"/>
      <c r="Q367" s="35"/>
      <c r="R367" s="42" t="str">
        <f aca="true">IF($E367="","",IF($N367="Cancelada","Cancelada",IF(OR($M367&lt;&gt;"",$N367="Concluída"),IF(OR($L367="",$M367="",$M367&lt;=$L367),"Concluída","Concluída com atraso"),IF($L367="","Na carteira",IF($L367&lt;TODAY(),"VENCIDA",IF($N367="Em execução","Em execução",IF($L367=TODAY(),"Hoje","Programada")))))))</f>
        <v/>
      </c>
      <c r="S367" s="34" t="str">
        <f aca="false">IF($E367="","",IF(ISNUMBER(SEARCH("(externo)",$G367&amp;$H367&amp;$I367)),"Terceirizada","Interna"))</f>
        <v/>
      </c>
      <c r="T367" s="40" t="str">
        <f aca="false">IF($L367="","",IF($O367="",$L367,$O367))</f>
        <v/>
      </c>
      <c r="U367" s="34" t="str">
        <f aca="false">IF($E367="","",IF(OR($M367="",$L367=""),0,IF($M367&lt;=$L367,1,0)))</f>
        <v/>
      </c>
      <c r="V367" s="34" t="str">
        <f aca="false">IF($E367="","",IF(OR($M367="",$T367=""),0,IF($M367&lt;=$T367,1,0)))</f>
        <v/>
      </c>
      <c r="W367" s="42" t="str">
        <f aca="false">IF(OR($M367="",$L367=""),"",MAX(0,$M367-$L367))</f>
        <v/>
      </c>
      <c r="X367" s="34" t="str">
        <f aca="false">IF($E367="","",IF(AND($O367&lt;&gt;"",$L367&lt;&gt;"",$O367&lt;&gt;$L367),1,0))</f>
        <v/>
      </c>
      <c r="Y367" s="34" t="str">
        <f aca="false">IF($E367="","",IF($N367="Cancelada",0,IF(OR($M367&lt;&gt;"",$N367="Concluída"),1,0)))</f>
        <v/>
      </c>
    </row>
    <row r="368" customFormat="false" ht="15" hidden="false" customHeight="true" outlineLevel="0" collapsed="false">
      <c r="A368" s="34" t="str">
        <f aca="false">IF($E368="","",COUNTA($E$5:$E368))</f>
        <v/>
      </c>
      <c r="B368" s="35"/>
      <c r="C368" s="35"/>
      <c r="D368" s="35"/>
      <c r="E368" s="35"/>
      <c r="F368" s="36"/>
      <c r="G368" s="37"/>
      <c r="H368" s="37"/>
      <c r="I368" s="37"/>
      <c r="J368" s="38"/>
      <c r="K368" s="39"/>
      <c r="L368" s="40" t="str">
        <f aca="false">IF(OR($J368="",$K368=""),"",$J368+MATCH($K368,Listas!$F$5:$F$11,0)-1)</f>
        <v/>
      </c>
      <c r="M368" s="41"/>
      <c r="N368" s="36"/>
      <c r="O368" s="41"/>
      <c r="P368" s="35"/>
      <c r="Q368" s="35"/>
      <c r="R368" s="42" t="str">
        <f aca="true">IF($E368="","",IF($N368="Cancelada","Cancelada",IF(OR($M368&lt;&gt;"",$N368="Concluída"),IF(OR($L368="",$M368="",$M368&lt;=$L368),"Concluída","Concluída com atraso"),IF($L368="","Na carteira",IF($L368&lt;TODAY(),"VENCIDA",IF($N368="Em execução","Em execução",IF($L368=TODAY(),"Hoje","Programada")))))))</f>
        <v/>
      </c>
      <c r="S368" s="34" t="str">
        <f aca="false">IF($E368="","",IF(ISNUMBER(SEARCH("(externo)",$G368&amp;$H368&amp;$I368)),"Terceirizada","Interna"))</f>
        <v/>
      </c>
      <c r="T368" s="40" t="str">
        <f aca="false">IF($L368="","",IF($O368="",$L368,$O368))</f>
        <v/>
      </c>
      <c r="U368" s="34" t="str">
        <f aca="false">IF($E368="","",IF(OR($M368="",$L368=""),0,IF($M368&lt;=$L368,1,0)))</f>
        <v/>
      </c>
      <c r="V368" s="34" t="str">
        <f aca="false">IF($E368="","",IF(OR($M368="",$T368=""),0,IF($M368&lt;=$T368,1,0)))</f>
        <v/>
      </c>
      <c r="W368" s="42" t="str">
        <f aca="false">IF(OR($M368="",$L368=""),"",MAX(0,$M368-$L368))</f>
        <v/>
      </c>
      <c r="X368" s="34" t="str">
        <f aca="false">IF($E368="","",IF(AND($O368&lt;&gt;"",$L368&lt;&gt;"",$O368&lt;&gt;$L368),1,0))</f>
        <v/>
      </c>
      <c r="Y368" s="34" t="str">
        <f aca="false">IF($E368="","",IF($N368="Cancelada",0,IF(OR($M368&lt;&gt;"",$N368="Concluída"),1,0)))</f>
        <v/>
      </c>
    </row>
    <row r="369" customFormat="false" ht="15" hidden="false" customHeight="true" outlineLevel="0" collapsed="false">
      <c r="A369" s="34" t="str">
        <f aca="false">IF($E369="","",COUNTA($E$5:$E369))</f>
        <v/>
      </c>
      <c r="B369" s="35"/>
      <c r="C369" s="35"/>
      <c r="D369" s="35"/>
      <c r="E369" s="35"/>
      <c r="F369" s="36"/>
      <c r="G369" s="37"/>
      <c r="H369" s="37"/>
      <c r="I369" s="37"/>
      <c r="J369" s="38"/>
      <c r="K369" s="39"/>
      <c r="L369" s="40" t="str">
        <f aca="false">IF(OR($J369="",$K369=""),"",$J369+MATCH($K369,Listas!$F$5:$F$11,0)-1)</f>
        <v/>
      </c>
      <c r="M369" s="41"/>
      <c r="N369" s="36"/>
      <c r="O369" s="41"/>
      <c r="P369" s="35"/>
      <c r="Q369" s="35"/>
      <c r="R369" s="42" t="str">
        <f aca="true">IF($E369="","",IF($N369="Cancelada","Cancelada",IF(OR($M369&lt;&gt;"",$N369="Concluída"),IF(OR($L369="",$M369="",$M369&lt;=$L369),"Concluída","Concluída com atraso"),IF($L369="","Na carteira",IF($L369&lt;TODAY(),"VENCIDA",IF($N369="Em execução","Em execução",IF($L369=TODAY(),"Hoje","Programada")))))))</f>
        <v/>
      </c>
      <c r="S369" s="34" t="str">
        <f aca="false">IF($E369="","",IF(ISNUMBER(SEARCH("(externo)",$G369&amp;$H369&amp;$I369)),"Terceirizada","Interna"))</f>
        <v/>
      </c>
      <c r="T369" s="40" t="str">
        <f aca="false">IF($L369="","",IF($O369="",$L369,$O369))</f>
        <v/>
      </c>
      <c r="U369" s="34" t="str">
        <f aca="false">IF($E369="","",IF(OR($M369="",$L369=""),0,IF($M369&lt;=$L369,1,0)))</f>
        <v/>
      </c>
      <c r="V369" s="34" t="str">
        <f aca="false">IF($E369="","",IF(OR($M369="",$T369=""),0,IF($M369&lt;=$T369,1,0)))</f>
        <v/>
      </c>
      <c r="W369" s="42" t="str">
        <f aca="false">IF(OR($M369="",$L369=""),"",MAX(0,$M369-$L369))</f>
        <v/>
      </c>
      <c r="X369" s="34" t="str">
        <f aca="false">IF($E369="","",IF(AND($O369&lt;&gt;"",$L369&lt;&gt;"",$O369&lt;&gt;$L369),1,0))</f>
        <v/>
      </c>
      <c r="Y369" s="34" t="str">
        <f aca="false">IF($E369="","",IF($N369="Cancelada",0,IF(OR($M369&lt;&gt;"",$N369="Concluída"),1,0)))</f>
        <v/>
      </c>
    </row>
    <row r="370" customFormat="false" ht="15" hidden="false" customHeight="true" outlineLevel="0" collapsed="false">
      <c r="A370" s="34" t="str">
        <f aca="false">IF($E370="","",COUNTA($E$5:$E370))</f>
        <v/>
      </c>
      <c r="B370" s="35"/>
      <c r="C370" s="35"/>
      <c r="D370" s="35"/>
      <c r="E370" s="35"/>
      <c r="F370" s="36"/>
      <c r="G370" s="37"/>
      <c r="H370" s="37"/>
      <c r="I370" s="37"/>
      <c r="J370" s="38"/>
      <c r="K370" s="39"/>
      <c r="L370" s="40" t="str">
        <f aca="false">IF(OR($J370="",$K370=""),"",$J370+MATCH($K370,Listas!$F$5:$F$11,0)-1)</f>
        <v/>
      </c>
      <c r="M370" s="41"/>
      <c r="N370" s="36"/>
      <c r="O370" s="41"/>
      <c r="P370" s="35"/>
      <c r="Q370" s="35"/>
      <c r="R370" s="42" t="str">
        <f aca="true">IF($E370="","",IF($N370="Cancelada","Cancelada",IF(OR($M370&lt;&gt;"",$N370="Concluída"),IF(OR($L370="",$M370="",$M370&lt;=$L370),"Concluída","Concluída com atraso"),IF($L370="","Na carteira",IF($L370&lt;TODAY(),"VENCIDA",IF($N370="Em execução","Em execução",IF($L370=TODAY(),"Hoje","Programada")))))))</f>
        <v/>
      </c>
      <c r="S370" s="34" t="str">
        <f aca="false">IF($E370="","",IF(ISNUMBER(SEARCH("(externo)",$G370&amp;$H370&amp;$I370)),"Terceirizada","Interna"))</f>
        <v/>
      </c>
      <c r="T370" s="40" t="str">
        <f aca="false">IF($L370="","",IF($O370="",$L370,$O370))</f>
        <v/>
      </c>
      <c r="U370" s="34" t="str">
        <f aca="false">IF($E370="","",IF(OR($M370="",$L370=""),0,IF($M370&lt;=$L370,1,0)))</f>
        <v/>
      </c>
      <c r="V370" s="34" t="str">
        <f aca="false">IF($E370="","",IF(OR($M370="",$T370=""),0,IF($M370&lt;=$T370,1,0)))</f>
        <v/>
      </c>
      <c r="W370" s="42" t="str">
        <f aca="false">IF(OR($M370="",$L370=""),"",MAX(0,$M370-$L370))</f>
        <v/>
      </c>
      <c r="X370" s="34" t="str">
        <f aca="false">IF($E370="","",IF(AND($O370&lt;&gt;"",$L370&lt;&gt;"",$O370&lt;&gt;$L370),1,0))</f>
        <v/>
      </c>
      <c r="Y370" s="34" t="str">
        <f aca="false">IF($E370="","",IF($N370="Cancelada",0,IF(OR($M370&lt;&gt;"",$N370="Concluída"),1,0)))</f>
        <v/>
      </c>
    </row>
    <row r="371" customFormat="false" ht="15" hidden="false" customHeight="true" outlineLevel="0" collapsed="false">
      <c r="A371" s="34" t="str">
        <f aca="false">IF($E371="","",COUNTA($E$5:$E371))</f>
        <v/>
      </c>
      <c r="B371" s="35"/>
      <c r="C371" s="35"/>
      <c r="D371" s="35"/>
      <c r="E371" s="35"/>
      <c r="F371" s="36"/>
      <c r="G371" s="37"/>
      <c r="H371" s="37"/>
      <c r="I371" s="37"/>
      <c r="J371" s="38"/>
      <c r="K371" s="39"/>
      <c r="L371" s="40" t="str">
        <f aca="false">IF(OR($J371="",$K371=""),"",$J371+MATCH($K371,Listas!$F$5:$F$11,0)-1)</f>
        <v/>
      </c>
      <c r="M371" s="41"/>
      <c r="N371" s="36"/>
      <c r="O371" s="41"/>
      <c r="P371" s="35"/>
      <c r="Q371" s="35"/>
      <c r="R371" s="42" t="str">
        <f aca="true">IF($E371="","",IF($N371="Cancelada","Cancelada",IF(OR($M371&lt;&gt;"",$N371="Concluída"),IF(OR($L371="",$M371="",$M371&lt;=$L371),"Concluída","Concluída com atraso"),IF($L371="","Na carteira",IF($L371&lt;TODAY(),"VENCIDA",IF($N371="Em execução","Em execução",IF($L371=TODAY(),"Hoje","Programada")))))))</f>
        <v/>
      </c>
      <c r="S371" s="34" t="str">
        <f aca="false">IF($E371="","",IF(ISNUMBER(SEARCH("(externo)",$G371&amp;$H371&amp;$I371)),"Terceirizada","Interna"))</f>
        <v/>
      </c>
      <c r="T371" s="40" t="str">
        <f aca="false">IF($L371="","",IF($O371="",$L371,$O371))</f>
        <v/>
      </c>
      <c r="U371" s="34" t="str">
        <f aca="false">IF($E371="","",IF(OR($M371="",$L371=""),0,IF($M371&lt;=$L371,1,0)))</f>
        <v/>
      </c>
      <c r="V371" s="34" t="str">
        <f aca="false">IF($E371="","",IF(OR($M371="",$T371=""),0,IF($M371&lt;=$T371,1,0)))</f>
        <v/>
      </c>
      <c r="W371" s="42" t="str">
        <f aca="false">IF(OR($M371="",$L371=""),"",MAX(0,$M371-$L371))</f>
        <v/>
      </c>
      <c r="X371" s="34" t="str">
        <f aca="false">IF($E371="","",IF(AND($O371&lt;&gt;"",$L371&lt;&gt;"",$O371&lt;&gt;$L371),1,0))</f>
        <v/>
      </c>
      <c r="Y371" s="34" t="str">
        <f aca="false">IF($E371="","",IF($N371="Cancelada",0,IF(OR($M371&lt;&gt;"",$N371="Concluída"),1,0)))</f>
        <v/>
      </c>
    </row>
    <row r="372" customFormat="false" ht="15" hidden="false" customHeight="true" outlineLevel="0" collapsed="false">
      <c r="A372" s="34" t="str">
        <f aca="false">IF($E372="","",COUNTA($E$5:$E372))</f>
        <v/>
      </c>
      <c r="B372" s="35"/>
      <c r="C372" s="35"/>
      <c r="D372" s="35"/>
      <c r="E372" s="35"/>
      <c r="F372" s="36"/>
      <c r="G372" s="37"/>
      <c r="H372" s="37"/>
      <c r="I372" s="37"/>
      <c r="J372" s="38"/>
      <c r="K372" s="39"/>
      <c r="L372" s="40" t="str">
        <f aca="false">IF(OR($J372="",$K372=""),"",$J372+MATCH($K372,Listas!$F$5:$F$11,0)-1)</f>
        <v/>
      </c>
      <c r="M372" s="41"/>
      <c r="N372" s="36"/>
      <c r="O372" s="41"/>
      <c r="P372" s="35"/>
      <c r="Q372" s="35"/>
      <c r="R372" s="42" t="str">
        <f aca="true">IF($E372="","",IF($N372="Cancelada","Cancelada",IF(OR($M372&lt;&gt;"",$N372="Concluída"),IF(OR($L372="",$M372="",$M372&lt;=$L372),"Concluída","Concluída com atraso"),IF($L372="","Na carteira",IF($L372&lt;TODAY(),"VENCIDA",IF($N372="Em execução","Em execução",IF($L372=TODAY(),"Hoje","Programada")))))))</f>
        <v/>
      </c>
      <c r="S372" s="34" t="str">
        <f aca="false">IF($E372="","",IF(ISNUMBER(SEARCH("(externo)",$G372&amp;$H372&amp;$I372)),"Terceirizada","Interna"))</f>
        <v/>
      </c>
      <c r="T372" s="40" t="str">
        <f aca="false">IF($L372="","",IF($O372="",$L372,$O372))</f>
        <v/>
      </c>
      <c r="U372" s="34" t="str">
        <f aca="false">IF($E372="","",IF(OR($M372="",$L372=""),0,IF($M372&lt;=$L372,1,0)))</f>
        <v/>
      </c>
      <c r="V372" s="34" t="str">
        <f aca="false">IF($E372="","",IF(OR($M372="",$T372=""),0,IF($M372&lt;=$T372,1,0)))</f>
        <v/>
      </c>
      <c r="W372" s="42" t="str">
        <f aca="false">IF(OR($M372="",$L372=""),"",MAX(0,$M372-$L372))</f>
        <v/>
      </c>
      <c r="X372" s="34" t="str">
        <f aca="false">IF($E372="","",IF(AND($O372&lt;&gt;"",$L372&lt;&gt;"",$O372&lt;&gt;$L372),1,0))</f>
        <v/>
      </c>
      <c r="Y372" s="34" t="str">
        <f aca="false">IF($E372="","",IF($N372="Cancelada",0,IF(OR($M372&lt;&gt;"",$N372="Concluída"),1,0)))</f>
        <v/>
      </c>
    </row>
    <row r="373" customFormat="false" ht="15" hidden="false" customHeight="true" outlineLevel="0" collapsed="false">
      <c r="A373" s="34" t="str">
        <f aca="false">IF($E373="","",COUNTA($E$5:$E373))</f>
        <v/>
      </c>
      <c r="B373" s="35"/>
      <c r="C373" s="35"/>
      <c r="D373" s="35"/>
      <c r="E373" s="35"/>
      <c r="F373" s="36"/>
      <c r="G373" s="37"/>
      <c r="H373" s="37"/>
      <c r="I373" s="37"/>
      <c r="J373" s="38"/>
      <c r="K373" s="39"/>
      <c r="L373" s="40" t="str">
        <f aca="false">IF(OR($J373="",$K373=""),"",$J373+MATCH($K373,Listas!$F$5:$F$11,0)-1)</f>
        <v/>
      </c>
      <c r="M373" s="41"/>
      <c r="N373" s="36"/>
      <c r="O373" s="41"/>
      <c r="P373" s="35"/>
      <c r="Q373" s="35"/>
      <c r="R373" s="42" t="str">
        <f aca="true">IF($E373="","",IF($N373="Cancelada","Cancelada",IF(OR($M373&lt;&gt;"",$N373="Concluída"),IF(OR($L373="",$M373="",$M373&lt;=$L373),"Concluída","Concluída com atraso"),IF($L373="","Na carteira",IF($L373&lt;TODAY(),"VENCIDA",IF($N373="Em execução","Em execução",IF($L373=TODAY(),"Hoje","Programada")))))))</f>
        <v/>
      </c>
      <c r="S373" s="34" t="str">
        <f aca="false">IF($E373="","",IF(ISNUMBER(SEARCH("(externo)",$G373&amp;$H373&amp;$I373)),"Terceirizada","Interna"))</f>
        <v/>
      </c>
      <c r="T373" s="40" t="str">
        <f aca="false">IF($L373="","",IF($O373="",$L373,$O373))</f>
        <v/>
      </c>
      <c r="U373" s="34" t="str">
        <f aca="false">IF($E373="","",IF(OR($M373="",$L373=""),0,IF($M373&lt;=$L373,1,0)))</f>
        <v/>
      </c>
      <c r="V373" s="34" t="str">
        <f aca="false">IF($E373="","",IF(OR($M373="",$T373=""),0,IF($M373&lt;=$T373,1,0)))</f>
        <v/>
      </c>
      <c r="W373" s="42" t="str">
        <f aca="false">IF(OR($M373="",$L373=""),"",MAX(0,$M373-$L373))</f>
        <v/>
      </c>
      <c r="X373" s="34" t="str">
        <f aca="false">IF($E373="","",IF(AND($O373&lt;&gt;"",$L373&lt;&gt;"",$O373&lt;&gt;$L373),1,0))</f>
        <v/>
      </c>
      <c r="Y373" s="34" t="str">
        <f aca="false">IF($E373="","",IF($N373="Cancelada",0,IF(OR($M373&lt;&gt;"",$N373="Concluída"),1,0)))</f>
        <v/>
      </c>
    </row>
    <row r="374" customFormat="false" ht="15" hidden="false" customHeight="true" outlineLevel="0" collapsed="false">
      <c r="A374" s="34" t="str">
        <f aca="false">IF($E374="","",COUNTA($E$5:$E374))</f>
        <v/>
      </c>
      <c r="B374" s="35"/>
      <c r="C374" s="35"/>
      <c r="D374" s="35"/>
      <c r="E374" s="35"/>
      <c r="F374" s="36"/>
      <c r="G374" s="37"/>
      <c r="H374" s="37"/>
      <c r="I374" s="37"/>
      <c r="J374" s="38"/>
      <c r="K374" s="39"/>
      <c r="L374" s="40" t="str">
        <f aca="false">IF(OR($J374="",$K374=""),"",$J374+MATCH($K374,Listas!$F$5:$F$11,0)-1)</f>
        <v/>
      </c>
      <c r="M374" s="41"/>
      <c r="N374" s="36"/>
      <c r="O374" s="41"/>
      <c r="P374" s="35"/>
      <c r="Q374" s="35"/>
      <c r="R374" s="42" t="str">
        <f aca="true">IF($E374="","",IF($N374="Cancelada","Cancelada",IF(OR($M374&lt;&gt;"",$N374="Concluída"),IF(OR($L374="",$M374="",$M374&lt;=$L374),"Concluída","Concluída com atraso"),IF($L374="","Na carteira",IF($L374&lt;TODAY(),"VENCIDA",IF($N374="Em execução","Em execução",IF($L374=TODAY(),"Hoje","Programada")))))))</f>
        <v/>
      </c>
      <c r="S374" s="34" t="str">
        <f aca="false">IF($E374="","",IF(ISNUMBER(SEARCH("(externo)",$G374&amp;$H374&amp;$I374)),"Terceirizada","Interna"))</f>
        <v/>
      </c>
      <c r="T374" s="40" t="str">
        <f aca="false">IF($L374="","",IF($O374="",$L374,$O374))</f>
        <v/>
      </c>
      <c r="U374" s="34" t="str">
        <f aca="false">IF($E374="","",IF(OR($M374="",$L374=""),0,IF($M374&lt;=$L374,1,0)))</f>
        <v/>
      </c>
      <c r="V374" s="34" t="str">
        <f aca="false">IF($E374="","",IF(OR($M374="",$T374=""),0,IF($M374&lt;=$T374,1,0)))</f>
        <v/>
      </c>
      <c r="W374" s="42" t="str">
        <f aca="false">IF(OR($M374="",$L374=""),"",MAX(0,$M374-$L374))</f>
        <v/>
      </c>
      <c r="X374" s="34" t="str">
        <f aca="false">IF($E374="","",IF(AND($O374&lt;&gt;"",$L374&lt;&gt;"",$O374&lt;&gt;$L374),1,0))</f>
        <v/>
      </c>
      <c r="Y374" s="34" t="str">
        <f aca="false">IF($E374="","",IF($N374="Cancelada",0,IF(OR($M374&lt;&gt;"",$N374="Concluída"),1,0)))</f>
        <v/>
      </c>
    </row>
    <row r="375" customFormat="false" ht="15" hidden="false" customHeight="true" outlineLevel="0" collapsed="false">
      <c r="A375" s="34" t="str">
        <f aca="false">IF($E375="","",COUNTA($E$5:$E375))</f>
        <v/>
      </c>
      <c r="B375" s="35"/>
      <c r="C375" s="35"/>
      <c r="D375" s="35"/>
      <c r="E375" s="35"/>
      <c r="F375" s="36"/>
      <c r="G375" s="37"/>
      <c r="H375" s="37"/>
      <c r="I375" s="37"/>
      <c r="J375" s="38"/>
      <c r="K375" s="39"/>
      <c r="L375" s="40" t="str">
        <f aca="false">IF(OR($J375="",$K375=""),"",$J375+MATCH($K375,Listas!$F$5:$F$11,0)-1)</f>
        <v/>
      </c>
      <c r="M375" s="41"/>
      <c r="N375" s="36"/>
      <c r="O375" s="41"/>
      <c r="P375" s="35"/>
      <c r="Q375" s="35"/>
      <c r="R375" s="42" t="str">
        <f aca="true">IF($E375="","",IF($N375="Cancelada","Cancelada",IF(OR($M375&lt;&gt;"",$N375="Concluída"),IF(OR($L375="",$M375="",$M375&lt;=$L375),"Concluída","Concluída com atraso"),IF($L375="","Na carteira",IF($L375&lt;TODAY(),"VENCIDA",IF($N375="Em execução","Em execução",IF($L375=TODAY(),"Hoje","Programada")))))))</f>
        <v/>
      </c>
      <c r="S375" s="34" t="str">
        <f aca="false">IF($E375="","",IF(ISNUMBER(SEARCH("(externo)",$G375&amp;$H375&amp;$I375)),"Terceirizada","Interna"))</f>
        <v/>
      </c>
      <c r="T375" s="40" t="str">
        <f aca="false">IF($L375="","",IF($O375="",$L375,$O375))</f>
        <v/>
      </c>
      <c r="U375" s="34" t="str">
        <f aca="false">IF($E375="","",IF(OR($M375="",$L375=""),0,IF($M375&lt;=$L375,1,0)))</f>
        <v/>
      </c>
      <c r="V375" s="34" t="str">
        <f aca="false">IF($E375="","",IF(OR($M375="",$T375=""),0,IF($M375&lt;=$T375,1,0)))</f>
        <v/>
      </c>
      <c r="W375" s="42" t="str">
        <f aca="false">IF(OR($M375="",$L375=""),"",MAX(0,$M375-$L375))</f>
        <v/>
      </c>
      <c r="X375" s="34" t="str">
        <f aca="false">IF($E375="","",IF(AND($O375&lt;&gt;"",$L375&lt;&gt;"",$O375&lt;&gt;$L375),1,0))</f>
        <v/>
      </c>
      <c r="Y375" s="34" t="str">
        <f aca="false">IF($E375="","",IF($N375="Cancelada",0,IF(OR($M375&lt;&gt;"",$N375="Concluída"),1,0)))</f>
        <v/>
      </c>
    </row>
    <row r="376" customFormat="false" ht="15" hidden="false" customHeight="true" outlineLevel="0" collapsed="false">
      <c r="A376" s="34" t="str">
        <f aca="false">IF($E376="","",COUNTA($E$5:$E376))</f>
        <v/>
      </c>
      <c r="B376" s="35"/>
      <c r="C376" s="35"/>
      <c r="D376" s="35"/>
      <c r="E376" s="35"/>
      <c r="F376" s="36"/>
      <c r="G376" s="37"/>
      <c r="H376" s="37"/>
      <c r="I376" s="37"/>
      <c r="J376" s="38"/>
      <c r="K376" s="39"/>
      <c r="L376" s="40" t="str">
        <f aca="false">IF(OR($J376="",$K376=""),"",$J376+MATCH($K376,Listas!$F$5:$F$11,0)-1)</f>
        <v/>
      </c>
      <c r="M376" s="41"/>
      <c r="N376" s="36"/>
      <c r="O376" s="41"/>
      <c r="P376" s="35"/>
      <c r="Q376" s="35"/>
      <c r="R376" s="42" t="str">
        <f aca="true">IF($E376="","",IF($N376="Cancelada","Cancelada",IF(OR($M376&lt;&gt;"",$N376="Concluída"),IF(OR($L376="",$M376="",$M376&lt;=$L376),"Concluída","Concluída com atraso"),IF($L376="","Na carteira",IF($L376&lt;TODAY(),"VENCIDA",IF($N376="Em execução","Em execução",IF($L376=TODAY(),"Hoje","Programada")))))))</f>
        <v/>
      </c>
      <c r="S376" s="34" t="str">
        <f aca="false">IF($E376="","",IF(ISNUMBER(SEARCH("(externo)",$G376&amp;$H376&amp;$I376)),"Terceirizada","Interna"))</f>
        <v/>
      </c>
      <c r="T376" s="40" t="str">
        <f aca="false">IF($L376="","",IF($O376="",$L376,$O376))</f>
        <v/>
      </c>
      <c r="U376" s="34" t="str">
        <f aca="false">IF($E376="","",IF(OR($M376="",$L376=""),0,IF($M376&lt;=$L376,1,0)))</f>
        <v/>
      </c>
      <c r="V376" s="34" t="str">
        <f aca="false">IF($E376="","",IF(OR($M376="",$T376=""),0,IF($M376&lt;=$T376,1,0)))</f>
        <v/>
      </c>
      <c r="W376" s="42" t="str">
        <f aca="false">IF(OR($M376="",$L376=""),"",MAX(0,$M376-$L376))</f>
        <v/>
      </c>
      <c r="X376" s="34" t="str">
        <f aca="false">IF($E376="","",IF(AND($O376&lt;&gt;"",$L376&lt;&gt;"",$O376&lt;&gt;$L376),1,0))</f>
        <v/>
      </c>
      <c r="Y376" s="34" t="str">
        <f aca="false">IF($E376="","",IF($N376="Cancelada",0,IF(OR($M376&lt;&gt;"",$N376="Concluída"),1,0)))</f>
        <v/>
      </c>
    </row>
    <row r="377" customFormat="false" ht="15" hidden="false" customHeight="true" outlineLevel="0" collapsed="false">
      <c r="A377" s="34" t="str">
        <f aca="false">IF($E377="","",COUNTA($E$5:$E377))</f>
        <v/>
      </c>
      <c r="B377" s="35"/>
      <c r="C377" s="35"/>
      <c r="D377" s="35"/>
      <c r="E377" s="35"/>
      <c r="F377" s="36"/>
      <c r="G377" s="37"/>
      <c r="H377" s="37"/>
      <c r="I377" s="37"/>
      <c r="J377" s="38"/>
      <c r="K377" s="39"/>
      <c r="L377" s="40" t="str">
        <f aca="false">IF(OR($J377="",$K377=""),"",$J377+MATCH($K377,Listas!$F$5:$F$11,0)-1)</f>
        <v/>
      </c>
      <c r="M377" s="41"/>
      <c r="N377" s="36"/>
      <c r="O377" s="41"/>
      <c r="P377" s="35"/>
      <c r="Q377" s="35"/>
      <c r="R377" s="42" t="str">
        <f aca="true">IF($E377="","",IF($N377="Cancelada","Cancelada",IF(OR($M377&lt;&gt;"",$N377="Concluída"),IF(OR($L377="",$M377="",$M377&lt;=$L377),"Concluída","Concluída com atraso"),IF($L377="","Na carteira",IF($L377&lt;TODAY(),"VENCIDA",IF($N377="Em execução","Em execução",IF($L377=TODAY(),"Hoje","Programada")))))))</f>
        <v/>
      </c>
      <c r="S377" s="34" t="str">
        <f aca="false">IF($E377="","",IF(ISNUMBER(SEARCH("(externo)",$G377&amp;$H377&amp;$I377)),"Terceirizada","Interna"))</f>
        <v/>
      </c>
      <c r="T377" s="40" t="str">
        <f aca="false">IF($L377="","",IF($O377="",$L377,$O377))</f>
        <v/>
      </c>
      <c r="U377" s="34" t="str">
        <f aca="false">IF($E377="","",IF(OR($M377="",$L377=""),0,IF($M377&lt;=$L377,1,0)))</f>
        <v/>
      </c>
      <c r="V377" s="34" t="str">
        <f aca="false">IF($E377="","",IF(OR($M377="",$T377=""),0,IF($M377&lt;=$T377,1,0)))</f>
        <v/>
      </c>
      <c r="W377" s="42" t="str">
        <f aca="false">IF(OR($M377="",$L377=""),"",MAX(0,$M377-$L377))</f>
        <v/>
      </c>
      <c r="X377" s="34" t="str">
        <f aca="false">IF($E377="","",IF(AND($O377&lt;&gt;"",$L377&lt;&gt;"",$O377&lt;&gt;$L377),1,0))</f>
        <v/>
      </c>
      <c r="Y377" s="34" t="str">
        <f aca="false">IF($E377="","",IF($N377="Cancelada",0,IF(OR($M377&lt;&gt;"",$N377="Concluída"),1,0)))</f>
        <v/>
      </c>
    </row>
    <row r="378" customFormat="false" ht="15" hidden="false" customHeight="true" outlineLevel="0" collapsed="false">
      <c r="A378" s="34" t="str">
        <f aca="false">IF($E378="","",COUNTA($E$5:$E378))</f>
        <v/>
      </c>
      <c r="B378" s="35"/>
      <c r="C378" s="35"/>
      <c r="D378" s="35"/>
      <c r="E378" s="35"/>
      <c r="F378" s="36"/>
      <c r="G378" s="37"/>
      <c r="H378" s="37"/>
      <c r="I378" s="37"/>
      <c r="J378" s="38"/>
      <c r="K378" s="39"/>
      <c r="L378" s="40" t="str">
        <f aca="false">IF(OR($J378="",$K378=""),"",$J378+MATCH($K378,Listas!$F$5:$F$11,0)-1)</f>
        <v/>
      </c>
      <c r="M378" s="41"/>
      <c r="N378" s="36"/>
      <c r="O378" s="41"/>
      <c r="P378" s="35"/>
      <c r="Q378" s="35"/>
      <c r="R378" s="42" t="str">
        <f aca="true">IF($E378="","",IF($N378="Cancelada","Cancelada",IF(OR($M378&lt;&gt;"",$N378="Concluída"),IF(OR($L378="",$M378="",$M378&lt;=$L378),"Concluída","Concluída com atraso"),IF($L378="","Na carteira",IF($L378&lt;TODAY(),"VENCIDA",IF($N378="Em execução","Em execução",IF($L378=TODAY(),"Hoje","Programada")))))))</f>
        <v/>
      </c>
      <c r="S378" s="34" t="str">
        <f aca="false">IF($E378="","",IF(ISNUMBER(SEARCH("(externo)",$G378&amp;$H378&amp;$I378)),"Terceirizada","Interna"))</f>
        <v/>
      </c>
      <c r="T378" s="40" t="str">
        <f aca="false">IF($L378="","",IF($O378="",$L378,$O378))</f>
        <v/>
      </c>
      <c r="U378" s="34" t="str">
        <f aca="false">IF($E378="","",IF(OR($M378="",$L378=""),0,IF($M378&lt;=$L378,1,0)))</f>
        <v/>
      </c>
      <c r="V378" s="34" t="str">
        <f aca="false">IF($E378="","",IF(OR($M378="",$T378=""),0,IF($M378&lt;=$T378,1,0)))</f>
        <v/>
      </c>
      <c r="W378" s="42" t="str">
        <f aca="false">IF(OR($M378="",$L378=""),"",MAX(0,$M378-$L378))</f>
        <v/>
      </c>
      <c r="X378" s="34" t="str">
        <f aca="false">IF($E378="","",IF(AND($O378&lt;&gt;"",$L378&lt;&gt;"",$O378&lt;&gt;$L378),1,0))</f>
        <v/>
      </c>
      <c r="Y378" s="34" t="str">
        <f aca="false">IF($E378="","",IF($N378="Cancelada",0,IF(OR($M378&lt;&gt;"",$N378="Concluída"),1,0)))</f>
        <v/>
      </c>
    </row>
    <row r="379" customFormat="false" ht="15" hidden="false" customHeight="true" outlineLevel="0" collapsed="false">
      <c r="A379" s="34" t="str">
        <f aca="false">IF($E379="","",COUNTA($E$5:$E379))</f>
        <v/>
      </c>
      <c r="B379" s="35"/>
      <c r="C379" s="35"/>
      <c r="D379" s="35"/>
      <c r="E379" s="35"/>
      <c r="F379" s="36"/>
      <c r="G379" s="37"/>
      <c r="H379" s="37"/>
      <c r="I379" s="37"/>
      <c r="J379" s="38"/>
      <c r="K379" s="39"/>
      <c r="L379" s="40" t="str">
        <f aca="false">IF(OR($J379="",$K379=""),"",$J379+MATCH($K379,Listas!$F$5:$F$11,0)-1)</f>
        <v/>
      </c>
      <c r="M379" s="41"/>
      <c r="N379" s="36"/>
      <c r="O379" s="41"/>
      <c r="P379" s="35"/>
      <c r="Q379" s="35"/>
      <c r="R379" s="42" t="str">
        <f aca="true">IF($E379="","",IF($N379="Cancelada","Cancelada",IF(OR($M379&lt;&gt;"",$N379="Concluída"),IF(OR($L379="",$M379="",$M379&lt;=$L379),"Concluída","Concluída com atraso"),IF($L379="","Na carteira",IF($L379&lt;TODAY(),"VENCIDA",IF($N379="Em execução","Em execução",IF($L379=TODAY(),"Hoje","Programada")))))))</f>
        <v/>
      </c>
      <c r="S379" s="34" t="str">
        <f aca="false">IF($E379="","",IF(ISNUMBER(SEARCH("(externo)",$G379&amp;$H379&amp;$I379)),"Terceirizada","Interna"))</f>
        <v/>
      </c>
      <c r="T379" s="40" t="str">
        <f aca="false">IF($L379="","",IF($O379="",$L379,$O379))</f>
        <v/>
      </c>
      <c r="U379" s="34" t="str">
        <f aca="false">IF($E379="","",IF(OR($M379="",$L379=""),0,IF($M379&lt;=$L379,1,0)))</f>
        <v/>
      </c>
      <c r="V379" s="34" t="str">
        <f aca="false">IF($E379="","",IF(OR($M379="",$T379=""),0,IF($M379&lt;=$T379,1,0)))</f>
        <v/>
      </c>
      <c r="W379" s="42" t="str">
        <f aca="false">IF(OR($M379="",$L379=""),"",MAX(0,$M379-$L379))</f>
        <v/>
      </c>
      <c r="X379" s="34" t="str">
        <f aca="false">IF($E379="","",IF(AND($O379&lt;&gt;"",$L379&lt;&gt;"",$O379&lt;&gt;$L379),1,0))</f>
        <v/>
      </c>
      <c r="Y379" s="34" t="str">
        <f aca="false">IF($E379="","",IF($N379="Cancelada",0,IF(OR($M379&lt;&gt;"",$N379="Concluída"),1,0)))</f>
        <v/>
      </c>
    </row>
    <row r="380" customFormat="false" ht="15" hidden="false" customHeight="true" outlineLevel="0" collapsed="false">
      <c r="A380" s="34" t="str">
        <f aca="false">IF($E380="","",COUNTA($E$5:$E380))</f>
        <v/>
      </c>
      <c r="B380" s="35"/>
      <c r="C380" s="35"/>
      <c r="D380" s="35"/>
      <c r="E380" s="35"/>
      <c r="F380" s="36"/>
      <c r="G380" s="37"/>
      <c r="H380" s="37"/>
      <c r="I380" s="37"/>
      <c r="J380" s="38"/>
      <c r="K380" s="39"/>
      <c r="L380" s="40" t="str">
        <f aca="false">IF(OR($J380="",$K380=""),"",$J380+MATCH($K380,Listas!$F$5:$F$11,0)-1)</f>
        <v/>
      </c>
      <c r="M380" s="41"/>
      <c r="N380" s="36"/>
      <c r="O380" s="41"/>
      <c r="P380" s="35"/>
      <c r="Q380" s="35"/>
      <c r="R380" s="42" t="str">
        <f aca="true">IF($E380="","",IF($N380="Cancelada","Cancelada",IF(OR($M380&lt;&gt;"",$N380="Concluída"),IF(OR($L380="",$M380="",$M380&lt;=$L380),"Concluída","Concluída com atraso"),IF($L380="","Na carteira",IF($L380&lt;TODAY(),"VENCIDA",IF($N380="Em execução","Em execução",IF($L380=TODAY(),"Hoje","Programada")))))))</f>
        <v/>
      </c>
      <c r="S380" s="34" t="str">
        <f aca="false">IF($E380="","",IF(ISNUMBER(SEARCH("(externo)",$G380&amp;$H380&amp;$I380)),"Terceirizada","Interna"))</f>
        <v/>
      </c>
      <c r="T380" s="40" t="str">
        <f aca="false">IF($L380="","",IF($O380="",$L380,$O380))</f>
        <v/>
      </c>
      <c r="U380" s="34" t="str">
        <f aca="false">IF($E380="","",IF(OR($M380="",$L380=""),0,IF($M380&lt;=$L380,1,0)))</f>
        <v/>
      </c>
      <c r="V380" s="34" t="str">
        <f aca="false">IF($E380="","",IF(OR($M380="",$T380=""),0,IF($M380&lt;=$T380,1,0)))</f>
        <v/>
      </c>
      <c r="W380" s="42" t="str">
        <f aca="false">IF(OR($M380="",$L380=""),"",MAX(0,$M380-$L380))</f>
        <v/>
      </c>
      <c r="X380" s="34" t="str">
        <f aca="false">IF($E380="","",IF(AND($O380&lt;&gt;"",$L380&lt;&gt;"",$O380&lt;&gt;$L380),1,0))</f>
        <v/>
      </c>
      <c r="Y380" s="34" t="str">
        <f aca="false">IF($E380="","",IF($N380="Cancelada",0,IF(OR($M380&lt;&gt;"",$N380="Concluída"),1,0)))</f>
        <v/>
      </c>
    </row>
    <row r="381" customFormat="false" ht="15" hidden="false" customHeight="true" outlineLevel="0" collapsed="false">
      <c r="A381" s="34" t="str">
        <f aca="false">IF($E381="","",COUNTA($E$5:$E381))</f>
        <v/>
      </c>
      <c r="B381" s="35"/>
      <c r="C381" s="35"/>
      <c r="D381" s="35"/>
      <c r="E381" s="35"/>
      <c r="F381" s="36"/>
      <c r="G381" s="37"/>
      <c r="H381" s="37"/>
      <c r="I381" s="37"/>
      <c r="J381" s="38"/>
      <c r="K381" s="39"/>
      <c r="L381" s="40" t="str">
        <f aca="false">IF(OR($J381="",$K381=""),"",$J381+MATCH($K381,Listas!$F$5:$F$11,0)-1)</f>
        <v/>
      </c>
      <c r="M381" s="41"/>
      <c r="N381" s="36"/>
      <c r="O381" s="41"/>
      <c r="P381" s="35"/>
      <c r="Q381" s="35"/>
      <c r="R381" s="42" t="str">
        <f aca="true">IF($E381="","",IF($N381="Cancelada","Cancelada",IF(OR($M381&lt;&gt;"",$N381="Concluída"),IF(OR($L381="",$M381="",$M381&lt;=$L381),"Concluída","Concluída com atraso"),IF($L381="","Na carteira",IF($L381&lt;TODAY(),"VENCIDA",IF($N381="Em execução","Em execução",IF($L381=TODAY(),"Hoje","Programada")))))))</f>
        <v/>
      </c>
      <c r="S381" s="34" t="str">
        <f aca="false">IF($E381="","",IF(ISNUMBER(SEARCH("(externo)",$G381&amp;$H381&amp;$I381)),"Terceirizada","Interna"))</f>
        <v/>
      </c>
      <c r="T381" s="40" t="str">
        <f aca="false">IF($L381="","",IF($O381="",$L381,$O381))</f>
        <v/>
      </c>
      <c r="U381" s="34" t="str">
        <f aca="false">IF($E381="","",IF(OR($M381="",$L381=""),0,IF($M381&lt;=$L381,1,0)))</f>
        <v/>
      </c>
      <c r="V381" s="34" t="str">
        <f aca="false">IF($E381="","",IF(OR($M381="",$T381=""),0,IF($M381&lt;=$T381,1,0)))</f>
        <v/>
      </c>
      <c r="W381" s="42" t="str">
        <f aca="false">IF(OR($M381="",$L381=""),"",MAX(0,$M381-$L381))</f>
        <v/>
      </c>
      <c r="X381" s="34" t="str">
        <f aca="false">IF($E381="","",IF(AND($O381&lt;&gt;"",$L381&lt;&gt;"",$O381&lt;&gt;$L381),1,0))</f>
        <v/>
      </c>
      <c r="Y381" s="34" t="str">
        <f aca="false">IF($E381="","",IF($N381="Cancelada",0,IF(OR($M381&lt;&gt;"",$N381="Concluída"),1,0)))</f>
        <v/>
      </c>
    </row>
    <row r="382" customFormat="false" ht="15" hidden="false" customHeight="true" outlineLevel="0" collapsed="false">
      <c r="A382" s="34" t="str">
        <f aca="false">IF($E382="","",COUNTA($E$5:$E382))</f>
        <v/>
      </c>
      <c r="B382" s="35"/>
      <c r="C382" s="35"/>
      <c r="D382" s="35"/>
      <c r="E382" s="35"/>
      <c r="F382" s="36"/>
      <c r="G382" s="37"/>
      <c r="H382" s="37"/>
      <c r="I382" s="37"/>
      <c r="J382" s="38"/>
      <c r="K382" s="39"/>
      <c r="L382" s="40" t="str">
        <f aca="false">IF(OR($J382="",$K382=""),"",$J382+MATCH($K382,Listas!$F$5:$F$11,0)-1)</f>
        <v/>
      </c>
      <c r="M382" s="41"/>
      <c r="N382" s="36"/>
      <c r="O382" s="41"/>
      <c r="P382" s="35"/>
      <c r="Q382" s="35"/>
      <c r="R382" s="42" t="str">
        <f aca="true">IF($E382="","",IF($N382="Cancelada","Cancelada",IF(OR($M382&lt;&gt;"",$N382="Concluída"),IF(OR($L382="",$M382="",$M382&lt;=$L382),"Concluída","Concluída com atraso"),IF($L382="","Na carteira",IF($L382&lt;TODAY(),"VENCIDA",IF($N382="Em execução","Em execução",IF($L382=TODAY(),"Hoje","Programada")))))))</f>
        <v/>
      </c>
      <c r="S382" s="34" t="str">
        <f aca="false">IF($E382="","",IF(ISNUMBER(SEARCH("(externo)",$G382&amp;$H382&amp;$I382)),"Terceirizada","Interna"))</f>
        <v/>
      </c>
      <c r="T382" s="40" t="str">
        <f aca="false">IF($L382="","",IF($O382="",$L382,$O382))</f>
        <v/>
      </c>
      <c r="U382" s="34" t="str">
        <f aca="false">IF($E382="","",IF(OR($M382="",$L382=""),0,IF($M382&lt;=$L382,1,0)))</f>
        <v/>
      </c>
      <c r="V382" s="34" t="str">
        <f aca="false">IF($E382="","",IF(OR($M382="",$T382=""),0,IF($M382&lt;=$T382,1,0)))</f>
        <v/>
      </c>
      <c r="W382" s="42" t="str">
        <f aca="false">IF(OR($M382="",$L382=""),"",MAX(0,$M382-$L382))</f>
        <v/>
      </c>
      <c r="X382" s="34" t="str">
        <f aca="false">IF($E382="","",IF(AND($O382&lt;&gt;"",$L382&lt;&gt;"",$O382&lt;&gt;$L382),1,0))</f>
        <v/>
      </c>
      <c r="Y382" s="34" t="str">
        <f aca="false">IF($E382="","",IF($N382="Cancelada",0,IF(OR($M382&lt;&gt;"",$N382="Concluída"),1,0)))</f>
        <v/>
      </c>
    </row>
    <row r="383" customFormat="false" ht="15" hidden="false" customHeight="true" outlineLevel="0" collapsed="false">
      <c r="A383" s="34" t="str">
        <f aca="false">IF($E383="","",COUNTA($E$5:$E383))</f>
        <v/>
      </c>
      <c r="B383" s="35"/>
      <c r="C383" s="35"/>
      <c r="D383" s="35"/>
      <c r="E383" s="35"/>
      <c r="F383" s="36"/>
      <c r="G383" s="37"/>
      <c r="H383" s="37"/>
      <c r="I383" s="37"/>
      <c r="J383" s="38"/>
      <c r="K383" s="39"/>
      <c r="L383" s="40" t="str">
        <f aca="false">IF(OR($J383="",$K383=""),"",$J383+MATCH($K383,Listas!$F$5:$F$11,0)-1)</f>
        <v/>
      </c>
      <c r="M383" s="41"/>
      <c r="N383" s="36"/>
      <c r="O383" s="41"/>
      <c r="P383" s="35"/>
      <c r="Q383" s="35"/>
      <c r="R383" s="42" t="str">
        <f aca="true">IF($E383="","",IF($N383="Cancelada","Cancelada",IF(OR($M383&lt;&gt;"",$N383="Concluída"),IF(OR($L383="",$M383="",$M383&lt;=$L383),"Concluída","Concluída com atraso"),IF($L383="","Na carteira",IF($L383&lt;TODAY(),"VENCIDA",IF($N383="Em execução","Em execução",IF($L383=TODAY(),"Hoje","Programada")))))))</f>
        <v/>
      </c>
      <c r="S383" s="34" t="str">
        <f aca="false">IF($E383="","",IF(ISNUMBER(SEARCH("(externo)",$G383&amp;$H383&amp;$I383)),"Terceirizada","Interna"))</f>
        <v/>
      </c>
      <c r="T383" s="40" t="str">
        <f aca="false">IF($L383="","",IF($O383="",$L383,$O383))</f>
        <v/>
      </c>
      <c r="U383" s="34" t="str">
        <f aca="false">IF($E383="","",IF(OR($M383="",$L383=""),0,IF($M383&lt;=$L383,1,0)))</f>
        <v/>
      </c>
      <c r="V383" s="34" t="str">
        <f aca="false">IF($E383="","",IF(OR($M383="",$T383=""),0,IF($M383&lt;=$T383,1,0)))</f>
        <v/>
      </c>
      <c r="W383" s="42" t="str">
        <f aca="false">IF(OR($M383="",$L383=""),"",MAX(0,$M383-$L383))</f>
        <v/>
      </c>
      <c r="X383" s="34" t="str">
        <f aca="false">IF($E383="","",IF(AND($O383&lt;&gt;"",$L383&lt;&gt;"",$O383&lt;&gt;$L383),1,0))</f>
        <v/>
      </c>
      <c r="Y383" s="34" t="str">
        <f aca="false">IF($E383="","",IF($N383="Cancelada",0,IF(OR($M383&lt;&gt;"",$N383="Concluída"),1,0)))</f>
        <v/>
      </c>
    </row>
    <row r="384" customFormat="false" ht="15" hidden="false" customHeight="true" outlineLevel="0" collapsed="false">
      <c r="A384" s="34" t="str">
        <f aca="false">IF($E384="","",COUNTA($E$5:$E384))</f>
        <v/>
      </c>
      <c r="B384" s="35"/>
      <c r="C384" s="35"/>
      <c r="D384" s="35"/>
      <c r="E384" s="35"/>
      <c r="F384" s="36"/>
      <c r="G384" s="37"/>
      <c r="H384" s="37"/>
      <c r="I384" s="37"/>
      <c r="J384" s="38"/>
      <c r="K384" s="39"/>
      <c r="L384" s="40" t="str">
        <f aca="false">IF(OR($J384="",$K384=""),"",$J384+MATCH($K384,Listas!$F$5:$F$11,0)-1)</f>
        <v/>
      </c>
      <c r="M384" s="41"/>
      <c r="N384" s="36"/>
      <c r="O384" s="41"/>
      <c r="P384" s="35"/>
      <c r="Q384" s="35"/>
      <c r="R384" s="42" t="str">
        <f aca="true">IF($E384="","",IF($N384="Cancelada","Cancelada",IF(OR($M384&lt;&gt;"",$N384="Concluída"),IF(OR($L384="",$M384="",$M384&lt;=$L384),"Concluída","Concluída com atraso"),IF($L384="","Na carteira",IF($L384&lt;TODAY(),"VENCIDA",IF($N384="Em execução","Em execução",IF($L384=TODAY(),"Hoje","Programada")))))))</f>
        <v/>
      </c>
      <c r="S384" s="34" t="str">
        <f aca="false">IF($E384="","",IF(ISNUMBER(SEARCH("(externo)",$G384&amp;$H384&amp;$I384)),"Terceirizada","Interna"))</f>
        <v/>
      </c>
      <c r="T384" s="40" t="str">
        <f aca="false">IF($L384="","",IF($O384="",$L384,$O384))</f>
        <v/>
      </c>
      <c r="U384" s="34" t="str">
        <f aca="false">IF($E384="","",IF(OR($M384="",$L384=""),0,IF($M384&lt;=$L384,1,0)))</f>
        <v/>
      </c>
      <c r="V384" s="34" t="str">
        <f aca="false">IF($E384="","",IF(OR($M384="",$T384=""),0,IF($M384&lt;=$T384,1,0)))</f>
        <v/>
      </c>
      <c r="W384" s="42" t="str">
        <f aca="false">IF(OR($M384="",$L384=""),"",MAX(0,$M384-$L384))</f>
        <v/>
      </c>
      <c r="X384" s="34" t="str">
        <f aca="false">IF($E384="","",IF(AND($O384&lt;&gt;"",$L384&lt;&gt;"",$O384&lt;&gt;$L384),1,0))</f>
        <v/>
      </c>
      <c r="Y384" s="34" t="str">
        <f aca="false">IF($E384="","",IF($N384="Cancelada",0,IF(OR($M384&lt;&gt;"",$N384="Concluída"),1,0)))</f>
        <v/>
      </c>
    </row>
    <row r="385" customFormat="false" ht="15" hidden="false" customHeight="true" outlineLevel="0" collapsed="false">
      <c r="A385" s="34" t="str">
        <f aca="false">IF($E385="","",COUNTA($E$5:$E385))</f>
        <v/>
      </c>
      <c r="B385" s="35"/>
      <c r="C385" s="35"/>
      <c r="D385" s="35"/>
      <c r="E385" s="35"/>
      <c r="F385" s="36"/>
      <c r="G385" s="37"/>
      <c r="H385" s="37"/>
      <c r="I385" s="37"/>
      <c r="J385" s="38"/>
      <c r="K385" s="39"/>
      <c r="L385" s="40" t="str">
        <f aca="false">IF(OR($J385="",$K385=""),"",$J385+MATCH($K385,Listas!$F$5:$F$11,0)-1)</f>
        <v/>
      </c>
      <c r="M385" s="41"/>
      <c r="N385" s="36"/>
      <c r="O385" s="41"/>
      <c r="P385" s="35"/>
      <c r="Q385" s="35"/>
      <c r="R385" s="42" t="str">
        <f aca="true">IF($E385="","",IF($N385="Cancelada","Cancelada",IF(OR($M385&lt;&gt;"",$N385="Concluída"),IF(OR($L385="",$M385="",$M385&lt;=$L385),"Concluída","Concluída com atraso"),IF($L385="","Na carteira",IF($L385&lt;TODAY(),"VENCIDA",IF($N385="Em execução","Em execução",IF($L385=TODAY(),"Hoje","Programada")))))))</f>
        <v/>
      </c>
      <c r="S385" s="34" t="str">
        <f aca="false">IF($E385="","",IF(ISNUMBER(SEARCH("(externo)",$G385&amp;$H385&amp;$I385)),"Terceirizada","Interna"))</f>
        <v/>
      </c>
      <c r="T385" s="40" t="str">
        <f aca="false">IF($L385="","",IF($O385="",$L385,$O385))</f>
        <v/>
      </c>
      <c r="U385" s="34" t="str">
        <f aca="false">IF($E385="","",IF(OR($M385="",$L385=""),0,IF($M385&lt;=$L385,1,0)))</f>
        <v/>
      </c>
      <c r="V385" s="34" t="str">
        <f aca="false">IF($E385="","",IF(OR($M385="",$T385=""),0,IF($M385&lt;=$T385,1,0)))</f>
        <v/>
      </c>
      <c r="W385" s="42" t="str">
        <f aca="false">IF(OR($M385="",$L385=""),"",MAX(0,$M385-$L385))</f>
        <v/>
      </c>
      <c r="X385" s="34" t="str">
        <f aca="false">IF($E385="","",IF(AND($O385&lt;&gt;"",$L385&lt;&gt;"",$O385&lt;&gt;$L385),1,0))</f>
        <v/>
      </c>
      <c r="Y385" s="34" t="str">
        <f aca="false">IF($E385="","",IF($N385="Cancelada",0,IF(OR($M385&lt;&gt;"",$N385="Concluída"),1,0)))</f>
        <v/>
      </c>
    </row>
    <row r="386" customFormat="false" ht="15" hidden="false" customHeight="true" outlineLevel="0" collapsed="false">
      <c r="A386" s="34" t="str">
        <f aca="false">IF($E386="","",COUNTA($E$5:$E386))</f>
        <v/>
      </c>
      <c r="B386" s="35"/>
      <c r="C386" s="35"/>
      <c r="D386" s="35"/>
      <c r="E386" s="35"/>
      <c r="F386" s="36"/>
      <c r="G386" s="37"/>
      <c r="H386" s="37"/>
      <c r="I386" s="37"/>
      <c r="J386" s="38"/>
      <c r="K386" s="39"/>
      <c r="L386" s="40" t="str">
        <f aca="false">IF(OR($J386="",$K386=""),"",$J386+MATCH($K386,Listas!$F$5:$F$11,0)-1)</f>
        <v/>
      </c>
      <c r="M386" s="41"/>
      <c r="N386" s="36"/>
      <c r="O386" s="41"/>
      <c r="P386" s="35"/>
      <c r="Q386" s="35"/>
      <c r="R386" s="42" t="str">
        <f aca="true">IF($E386="","",IF($N386="Cancelada","Cancelada",IF(OR($M386&lt;&gt;"",$N386="Concluída"),IF(OR($L386="",$M386="",$M386&lt;=$L386),"Concluída","Concluída com atraso"),IF($L386="","Na carteira",IF($L386&lt;TODAY(),"VENCIDA",IF($N386="Em execução","Em execução",IF($L386=TODAY(),"Hoje","Programada")))))))</f>
        <v/>
      </c>
      <c r="S386" s="34" t="str">
        <f aca="false">IF($E386="","",IF(ISNUMBER(SEARCH("(externo)",$G386&amp;$H386&amp;$I386)),"Terceirizada","Interna"))</f>
        <v/>
      </c>
      <c r="T386" s="40" t="str">
        <f aca="false">IF($L386="","",IF($O386="",$L386,$O386))</f>
        <v/>
      </c>
      <c r="U386" s="34" t="str">
        <f aca="false">IF($E386="","",IF(OR($M386="",$L386=""),0,IF($M386&lt;=$L386,1,0)))</f>
        <v/>
      </c>
      <c r="V386" s="34" t="str">
        <f aca="false">IF($E386="","",IF(OR($M386="",$T386=""),0,IF($M386&lt;=$T386,1,0)))</f>
        <v/>
      </c>
      <c r="W386" s="42" t="str">
        <f aca="false">IF(OR($M386="",$L386=""),"",MAX(0,$M386-$L386))</f>
        <v/>
      </c>
      <c r="X386" s="34" t="str">
        <f aca="false">IF($E386="","",IF(AND($O386&lt;&gt;"",$L386&lt;&gt;"",$O386&lt;&gt;$L386),1,0))</f>
        <v/>
      </c>
      <c r="Y386" s="34" t="str">
        <f aca="false">IF($E386="","",IF($N386="Cancelada",0,IF(OR($M386&lt;&gt;"",$N386="Concluída"),1,0)))</f>
        <v/>
      </c>
    </row>
    <row r="387" customFormat="false" ht="15" hidden="false" customHeight="true" outlineLevel="0" collapsed="false">
      <c r="A387" s="34" t="str">
        <f aca="false">IF($E387="","",COUNTA($E$5:$E387))</f>
        <v/>
      </c>
      <c r="B387" s="35"/>
      <c r="C387" s="35"/>
      <c r="D387" s="35"/>
      <c r="E387" s="35"/>
      <c r="F387" s="36"/>
      <c r="G387" s="37"/>
      <c r="H387" s="37"/>
      <c r="I387" s="37"/>
      <c r="J387" s="38"/>
      <c r="K387" s="39"/>
      <c r="L387" s="40" t="str">
        <f aca="false">IF(OR($J387="",$K387=""),"",$J387+MATCH($K387,Listas!$F$5:$F$11,0)-1)</f>
        <v/>
      </c>
      <c r="M387" s="41"/>
      <c r="N387" s="36"/>
      <c r="O387" s="41"/>
      <c r="P387" s="35"/>
      <c r="Q387" s="35"/>
      <c r="R387" s="42" t="str">
        <f aca="true">IF($E387="","",IF($N387="Cancelada","Cancelada",IF(OR($M387&lt;&gt;"",$N387="Concluída"),IF(OR($L387="",$M387="",$M387&lt;=$L387),"Concluída","Concluída com atraso"),IF($L387="","Na carteira",IF($L387&lt;TODAY(),"VENCIDA",IF($N387="Em execução","Em execução",IF($L387=TODAY(),"Hoje","Programada")))))))</f>
        <v/>
      </c>
      <c r="S387" s="34" t="str">
        <f aca="false">IF($E387="","",IF(ISNUMBER(SEARCH("(externo)",$G387&amp;$H387&amp;$I387)),"Terceirizada","Interna"))</f>
        <v/>
      </c>
      <c r="T387" s="40" t="str">
        <f aca="false">IF($L387="","",IF($O387="",$L387,$O387))</f>
        <v/>
      </c>
      <c r="U387" s="34" t="str">
        <f aca="false">IF($E387="","",IF(OR($M387="",$L387=""),0,IF($M387&lt;=$L387,1,0)))</f>
        <v/>
      </c>
      <c r="V387" s="34" t="str">
        <f aca="false">IF($E387="","",IF(OR($M387="",$T387=""),0,IF($M387&lt;=$T387,1,0)))</f>
        <v/>
      </c>
      <c r="W387" s="42" t="str">
        <f aca="false">IF(OR($M387="",$L387=""),"",MAX(0,$M387-$L387))</f>
        <v/>
      </c>
      <c r="X387" s="34" t="str">
        <f aca="false">IF($E387="","",IF(AND($O387&lt;&gt;"",$L387&lt;&gt;"",$O387&lt;&gt;$L387),1,0))</f>
        <v/>
      </c>
      <c r="Y387" s="34" t="str">
        <f aca="false">IF($E387="","",IF($N387="Cancelada",0,IF(OR($M387&lt;&gt;"",$N387="Concluída"),1,0)))</f>
        <v/>
      </c>
    </row>
    <row r="388" customFormat="false" ht="15" hidden="false" customHeight="true" outlineLevel="0" collapsed="false">
      <c r="A388" s="34" t="str">
        <f aca="false">IF($E388="","",COUNTA($E$5:$E388))</f>
        <v/>
      </c>
      <c r="B388" s="35"/>
      <c r="C388" s="35"/>
      <c r="D388" s="35"/>
      <c r="E388" s="35"/>
      <c r="F388" s="36"/>
      <c r="G388" s="37"/>
      <c r="H388" s="37"/>
      <c r="I388" s="37"/>
      <c r="J388" s="38"/>
      <c r="K388" s="39"/>
      <c r="L388" s="40" t="str">
        <f aca="false">IF(OR($J388="",$K388=""),"",$J388+MATCH($K388,Listas!$F$5:$F$11,0)-1)</f>
        <v/>
      </c>
      <c r="M388" s="41"/>
      <c r="N388" s="36"/>
      <c r="O388" s="41"/>
      <c r="P388" s="35"/>
      <c r="Q388" s="35"/>
      <c r="R388" s="42" t="str">
        <f aca="true">IF($E388="","",IF($N388="Cancelada","Cancelada",IF(OR($M388&lt;&gt;"",$N388="Concluída"),IF(OR($L388="",$M388="",$M388&lt;=$L388),"Concluída","Concluída com atraso"),IF($L388="","Na carteira",IF($L388&lt;TODAY(),"VENCIDA",IF($N388="Em execução","Em execução",IF($L388=TODAY(),"Hoje","Programada")))))))</f>
        <v/>
      </c>
      <c r="S388" s="34" t="str">
        <f aca="false">IF($E388="","",IF(ISNUMBER(SEARCH("(externo)",$G388&amp;$H388&amp;$I388)),"Terceirizada","Interna"))</f>
        <v/>
      </c>
      <c r="T388" s="40" t="str">
        <f aca="false">IF($L388="","",IF($O388="",$L388,$O388))</f>
        <v/>
      </c>
      <c r="U388" s="34" t="str">
        <f aca="false">IF($E388="","",IF(OR($M388="",$L388=""),0,IF($M388&lt;=$L388,1,0)))</f>
        <v/>
      </c>
      <c r="V388" s="34" t="str">
        <f aca="false">IF($E388="","",IF(OR($M388="",$T388=""),0,IF($M388&lt;=$T388,1,0)))</f>
        <v/>
      </c>
      <c r="W388" s="42" t="str">
        <f aca="false">IF(OR($M388="",$L388=""),"",MAX(0,$M388-$L388))</f>
        <v/>
      </c>
      <c r="X388" s="34" t="str">
        <f aca="false">IF($E388="","",IF(AND($O388&lt;&gt;"",$L388&lt;&gt;"",$O388&lt;&gt;$L388),1,0))</f>
        <v/>
      </c>
      <c r="Y388" s="34" t="str">
        <f aca="false">IF($E388="","",IF($N388="Cancelada",0,IF(OR($M388&lt;&gt;"",$N388="Concluída"),1,0)))</f>
        <v/>
      </c>
    </row>
    <row r="389" customFormat="false" ht="15" hidden="false" customHeight="true" outlineLevel="0" collapsed="false">
      <c r="A389" s="34" t="str">
        <f aca="false">IF($E389="","",COUNTA($E$5:$E389))</f>
        <v/>
      </c>
      <c r="B389" s="35"/>
      <c r="C389" s="35"/>
      <c r="D389" s="35"/>
      <c r="E389" s="35"/>
      <c r="F389" s="36"/>
      <c r="G389" s="37"/>
      <c r="H389" s="37"/>
      <c r="I389" s="37"/>
      <c r="J389" s="38"/>
      <c r="K389" s="39"/>
      <c r="L389" s="40" t="str">
        <f aca="false">IF(OR($J389="",$K389=""),"",$J389+MATCH($K389,Listas!$F$5:$F$11,0)-1)</f>
        <v/>
      </c>
      <c r="M389" s="41"/>
      <c r="N389" s="36"/>
      <c r="O389" s="41"/>
      <c r="P389" s="35"/>
      <c r="Q389" s="35"/>
      <c r="R389" s="42" t="str">
        <f aca="true">IF($E389="","",IF($N389="Cancelada","Cancelada",IF(OR($M389&lt;&gt;"",$N389="Concluída"),IF(OR($L389="",$M389="",$M389&lt;=$L389),"Concluída","Concluída com atraso"),IF($L389="","Na carteira",IF($L389&lt;TODAY(),"VENCIDA",IF($N389="Em execução","Em execução",IF($L389=TODAY(),"Hoje","Programada")))))))</f>
        <v/>
      </c>
      <c r="S389" s="34" t="str">
        <f aca="false">IF($E389="","",IF(ISNUMBER(SEARCH("(externo)",$G389&amp;$H389&amp;$I389)),"Terceirizada","Interna"))</f>
        <v/>
      </c>
      <c r="T389" s="40" t="str">
        <f aca="false">IF($L389="","",IF($O389="",$L389,$O389))</f>
        <v/>
      </c>
      <c r="U389" s="34" t="str">
        <f aca="false">IF($E389="","",IF(OR($M389="",$L389=""),0,IF($M389&lt;=$L389,1,0)))</f>
        <v/>
      </c>
      <c r="V389" s="34" t="str">
        <f aca="false">IF($E389="","",IF(OR($M389="",$T389=""),0,IF($M389&lt;=$T389,1,0)))</f>
        <v/>
      </c>
      <c r="W389" s="42" t="str">
        <f aca="false">IF(OR($M389="",$L389=""),"",MAX(0,$M389-$L389))</f>
        <v/>
      </c>
      <c r="X389" s="34" t="str">
        <f aca="false">IF($E389="","",IF(AND($O389&lt;&gt;"",$L389&lt;&gt;"",$O389&lt;&gt;$L389),1,0))</f>
        <v/>
      </c>
      <c r="Y389" s="34" t="str">
        <f aca="false">IF($E389="","",IF($N389="Cancelada",0,IF(OR($M389&lt;&gt;"",$N389="Concluída"),1,0)))</f>
        <v/>
      </c>
    </row>
    <row r="390" customFormat="false" ht="15" hidden="false" customHeight="true" outlineLevel="0" collapsed="false">
      <c r="A390" s="34" t="str">
        <f aca="false">IF($E390="","",COUNTA($E$5:$E390))</f>
        <v/>
      </c>
      <c r="B390" s="35"/>
      <c r="C390" s="35"/>
      <c r="D390" s="35"/>
      <c r="E390" s="35"/>
      <c r="F390" s="36"/>
      <c r="G390" s="37"/>
      <c r="H390" s="37"/>
      <c r="I390" s="37"/>
      <c r="J390" s="38"/>
      <c r="K390" s="39"/>
      <c r="L390" s="40" t="str">
        <f aca="false">IF(OR($J390="",$K390=""),"",$J390+MATCH($K390,Listas!$F$5:$F$11,0)-1)</f>
        <v/>
      </c>
      <c r="M390" s="41"/>
      <c r="N390" s="36"/>
      <c r="O390" s="41"/>
      <c r="P390" s="35"/>
      <c r="Q390" s="35"/>
      <c r="R390" s="42" t="str">
        <f aca="true">IF($E390="","",IF($N390="Cancelada","Cancelada",IF(OR($M390&lt;&gt;"",$N390="Concluída"),IF(OR($L390="",$M390="",$M390&lt;=$L390),"Concluída","Concluída com atraso"),IF($L390="","Na carteira",IF($L390&lt;TODAY(),"VENCIDA",IF($N390="Em execução","Em execução",IF($L390=TODAY(),"Hoje","Programada")))))))</f>
        <v/>
      </c>
      <c r="S390" s="34" t="str">
        <f aca="false">IF($E390="","",IF(ISNUMBER(SEARCH("(externo)",$G390&amp;$H390&amp;$I390)),"Terceirizada","Interna"))</f>
        <v/>
      </c>
      <c r="T390" s="40" t="str">
        <f aca="false">IF($L390="","",IF($O390="",$L390,$O390))</f>
        <v/>
      </c>
      <c r="U390" s="34" t="str">
        <f aca="false">IF($E390="","",IF(OR($M390="",$L390=""),0,IF($M390&lt;=$L390,1,0)))</f>
        <v/>
      </c>
      <c r="V390" s="34" t="str">
        <f aca="false">IF($E390="","",IF(OR($M390="",$T390=""),0,IF($M390&lt;=$T390,1,0)))</f>
        <v/>
      </c>
      <c r="W390" s="42" t="str">
        <f aca="false">IF(OR($M390="",$L390=""),"",MAX(0,$M390-$L390))</f>
        <v/>
      </c>
      <c r="X390" s="34" t="str">
        <f aca="false">IF($E390="","",IF(AND($O390&lt;&gt;"",$L390&lt;&gt;"",$O390&lt;&gt;$L390),1,0))</f>
        <v/>
      </c>
      <c r="Y390" s="34" t="str">
        <f aca="false">IF($E390="","",IF($N390="Cancelada",0,IF(OR($M390&lt;&gt;"",$N390="Concluída"),1,0)))</f>
        <v/>
      </c>
    </row>
    <row r="391" customFormat="false" ht="15" hidden="false" customHeight="true" outlineLevel="0" collapsed="false">
      <c r="A391" s="34" t="str">
        <f aca="false">IF($E391="","",COUNTA($E$5:$E391))</f>
        <v/>
      </c>
      <c r="B391" s="35"/>
      <c r="C391" s="35"/>
      <c r="D391" s="35"/>
      <c r="E391" s="35"/>
      <c r="F391" s="36"/>
      <c r="G391" s="37"/>
      <c r="H391" s="37"/>
      <c r="I391" s="37"/>
      <c r="J391" s="38"/>
      <c r="K391" s="39"/>
      <c r="L391" s="40" t="str">
        <f aca="false">IF(OR($J391="",$K391=""),"",$J391+MATCH($K391,Listas!$F$5:$F$11,0)-1)</f>
        <v/>
      </c>
      <c r="M391" s="41"/>
      <c r="N391" s="36"/>
      <c r="O391" s="41"/>
      <c r="P391" s="35"/>
      <c r="Q391" s="35"/>
      <c r="R391" s="42" t="str">
        <f aca="true">IF($E391="","",IF($N391="Cancelada","Cancelada",IF(OR($M391&lt;&gt;"",$N391="Concluída"),IF(OR($L391="",$M391="",$M391&lt;=$L391),"Concluída","Concluída com atraso"),IF($L391="","Na carteira",IF($L391&lt;TODAY(),"VENCIDA",IF($N391="Em execução","Em execução",IF($L391=TODAY(),"Hoje","Programada")))))))</f>
        <v/>
      </c>
      <c r="S391" s="34" t="str">
        <f aca="false">IF($E391="","",IF(ISNUMBER(SEARCH("(externo)",$G391&amp;$H391&amp;$I391)),"Terceirizada","Interna"))</f>
        <v/>
      </c>
      <c r="T391" s="40" t="str">
        <f aca="false">IF($L391="","",IF($O391="",$L391,$O391))</f>
        <v/>
      </c>
      <c r="U391" s="34" t="str">
        <f aca="false">IF($E391="","",IF(OR($M391="",$L391=""),0,IF($M391&lt;=$L391,1,0)))</f>
        <v/>
      </c>
      <c r="V391" s="34" t="str">
        <f aca="false">IF($E391="","",IF(OR($M391="",$T391=""),0,IF($M391&lt;=$T391,1,0)))</f>
        <v/>
      </c>
      <c r="W391" s="42" t="str">
        <f aca="false">IF(OR($M391="",$L391=""),"",MAX(0,$M391-$L391))</f>
        <v/>
      </c>
      <c r="X391" s="34" t="str">
        <f aca="false">IF($E391="","",IF(AND($O391&lt;&gt;"",$L391&lt;&gt;"",$O391&lt;&gt;$L391),1,0))</f>
        <v/>
      </c>
      <c r="Y391" s="34" t="str">
        <f aca="false">IF($E391="","",IF($N391="Cancelada",0,IF(OR($M391&lt;&gt;"",$N391="Concluída"),1,0)))</f>
        <v/>
      </c>
    </row>
    <row r="392" customFormat="false" ht="15" hidden="false" customHeight="true" outlineLevel="0" collapsed="false">
      <c r="A392" s="34" t="str">
        <f aca="false">IF($E392="","",COUNTA($E$5:$E392))</f>
        <v/>
      </c>
      <c r="B392" s="35"/>
      <c r="C392" s="35"/>
      <c r="D392" s="35"/>
      <c r="E392" s="35"/>
      <c r="F392" s="36"/>
      <c r="G392" s="37"/>
      <c r="H392" s="37"/>
      <c r="I392" s="37"/>
      <c r="J392" s="38"/>
      <c r="K392" s="39"/>
      <c r="L392" s="40" t="str">
        <f aca="false">IF(OR($J392="",$K392=""),"",$J392+MATCH($K392,Listas!$F$5:$F$11,0)-1)</f>
        <v/>
      </c>
      <c r="M392" s="41"/>
      <c r="N392" s="36"/>
      <c r="O392" s="41"/>
      <c r="P392" s="35"/>
      <c r="Q392" s="35"/>
      <c r="R392" s="42" t="str">
        <f aca="true">IF($E392="","",IF($N392="Cancelada","Cancelada",IF(OR($M392&lt;&gt;"",$N392="Concluída"),IF(OR($L392="",$M392="",$M392&lt;=$L392),"Concluída","Concluída com atraso"),IF($L392="","Na carteira",IF($L392&lt;TODAY(),"VENCIDA",IF($N392="Em execução","Em execução",IF($L392=TODAY(),"Hoje","Programada")))))))</f>
        <v/>
      </c>
      <c r="S392" s="34" t="str">
        <f aca="false">IF($E392="","",IF(ISNUMBER(SEARCH("(externo)",$G392&amp;$H392&amp;$I392)),"Terceirizada","Interna"))</f>
        <v/>
      </c>
      <c r="T392" s="40" t="str">
        <f aca="false">IF($L392="","",IF($O392="",$L392,$O392))</f>
        <v/>
      </c>
      <c r="U392" s="34" t="str">
        <f aca="false">IF($E392="","",IF(OR($M392="",$L392=""),0,IF($M392&lt;=$L392,1,0)))</f>
        <v/>
      </c>
      <c r="V392" s="34" t="str">
        <f aca="false">IF($E392="","",IF(OR($M392="",$T392=""),0,IF($M392&lt;=$T392,1,0)))</f>
        <v/>
      </c>
      <c r="W392" s="42" t="str">
        <f aca="false">IF(OR($M392="",$L392=""),"",MAX(0,$M392-$L392))</f>
        <v/>
      </c>
      <c r="X392" s="34" t="str">
        <f aca="false">IF($E392="","",IF(AND($O392&lt;&gt;"",$L392&lt;&gt;"",$O392&lt;&gt;$L392),1,0))</f>
        <v/>
      </c>
      <c r="Y392" s="34" t="str">
        <f aca="false">IF($E392="","",IF($N392="Cancelada",0,IF(OR($M392&lt;&gt;"",$N392="Concluída"),1,0)))</f>
        <v/>
      </c>
    </row>
    <row r="393" customFormat="false" ht="15" hidden="false" customHeight="true" outlineLevel="0" collapsed="false">
      <c r="A393" s="34" t="str">
        <f aca="false">IF($E393="","",COUNTA($E$5:$E393))</f>
        <v/>
      </c>
      <c r="B393" s="35"/>
      <c r="C393" s="35"/>
      <c r="D393" s="35"/>
      <c r="E393" s="35"/>
      <c r="F393" s="36"/>
      <c r="G393" s="37"/>
      <c r="H393" s="37"/>
      <c r="I393" s="37"/>
      <c r="J393" s="38"/>
      <c r="K393" s="39"/>
      <c r="L393" s="40" t="str">
        <f aca="false">IF(OR($J393="",$K393=""),"",$J393+MATCH($K393,Listas!$F$5:$F$11,0)-1)</f>
        <v/>
      </c>
      <c r="M393" s="41"/>
      <c r="N393" s="36"/>
      <c r="O393" s="41"/>
      <c r="P393" s="35"/>
      <c r="Q393" s="35"/>
      <c r="R393" s="42" t="str">
        <f aca="true">IF($E393="","",IF($N393="Cancelada","Cancelada",IF(OR($M393&lt;&gt;"",$N393="Concluída"),IF(OR($L393="",$M393="",$M393&lt;=$L393),"Concluída","Concluída com atraso"),IF($L393="","Na carteira",IF($L393&lt;TODAY(),"VENCIDA",IF($N393="Em execução","Em execução",IF($L393=TODAY(),"Hoje","Programada")))))))</f>
        <v/>
      </c>
      <c r="S393" s="34" t="str">
        <f aca="false">IF($E393="","",IF(ISNUMBER(SEARCH("(externo)",$G393&amp;$H393&amp;$I393)),"Terceirizada","Interna"))</f>
        <v/>
      </c>
      <c r="T393" s="40" t="str">
        <f aca="false">IF($L393="","",IF($O393="",$L393,$O393))</f>
        <v/>
      </c>
      <c r="U393" s="34" t="str">
        <f aca="false">IF($E393="","",IF(OR($M393="",$L393=""),0,IF($M393&lt;=$L393,1,0)))</f>
        <v/>
      </c>
      <c r="V393" s="34" t="str">
        <f aca="false">IF($E393="","",IF(OR($M393="",$T393=""),0,IF($M393&lt;=$T393,1,0)))</f>
        <v/>
      </c>
      <c r="W393" s="42" t="str">
        <f aca="false">IF(OR($M393="",$L393=""),"",MAX(0,$M393-$L393))</f>
        <v/>
      </c>
      <c r="X393" s="34" t="str">
        <f aca="false">IF($E393="","",IF(AND($O393&lt;&gt;"",$L393&lt;&gt;"",$O393&lt;&gt;$L393),1,0))</f>
        <v/>
      </c>
      <c r="Y393" s="34" t="str">
        <f aca="false">IF($E393="","",IF($N393="Cancelada",0,IF(OR($M393&lt;&gt;"",$N393="Concluída"),1,0)))</f>
        <v/>
      </c>
    </row>
    <row r="394" customFormat="false" ht="15" hidden="false" customHeight="true" outlineLevel="0" collapsed="false">
      <c r="A394" s="34" t="str">
        <f aca="false">IF($E394="","",COUNTA($E$5:$E394))</f>
        <v/>
      </c>
      <c r="B394" s="35"/>
      <c r="C394" s="35"/>
      <c r="D394" s="35"/>
      <c r="E394" s="35"/>
      <c r="F394" s="36"/>
      <c r="G394" s="37"/>
      <c r="H394" s="37"/>
      <c r="I394" s="37"/>
      <c r="J394" s="38"/>
      <c r="K394" s="39"/>
      <c r="L394" s="40" t="str">
        <f aca="false">IF(OR($J394="",$K394=""),"",$J394+MATCH($K394,Listas!$F$5:$F$11,0)-1)</f>
        <v/>
      </c>
      <c r="M394" s="41"/>
      <c r="N394" s="36"/>
      <c r="O394" s="41"/>
      <c r="P394" s="35"/>
      <c r="Q394" s="35"/>
      <c r="R394" s="42" t="str">
        <f aca="true">IF($E394="","",IF($N394="Cancelada","Cancelada",IF(OR($M394&lt;&gt;"",$N394="Concluída"),IF(OR($L394="",$M394="",$M394&lt;=$L394),"Concluída","Concluída com atraso"),IF($L394="","Na carteira",IF($L394&lt;TODAY(),"VENCIDA",IF($N394="Em execução","Em execução",IF($L394=TODAY(),"Hoje","Programada")))))))</f>
        <v/>
      </c>
      <c r="S394" s="34" t="str">
        <f aca="false">IF($E394="","",IF(ISNUMBER(SEARCH("(externo)",$G394&amp;$H394&amp;$I394)),"Terceirizada","Interna"))</f>
        <v/>
      </c>
      <c r="T394" s="40" t="str">
        <f aca="false">IF($L394="","",IF($O394="",$L394,$O394))</f>
        <v/>
      </c>
      <c r="U394" s="34" t="str">
        <f aca="false">IF($E394="","",IF(OR($M394="",$L394=""),0,IF($M394&lt;=$L394,1,0)))</f>
        <v/>
      </c>
      <c r="V394" s="34" t="str">
        <f aca="false">IF($E394="","",IF(OR($M394="",$T394=""),0,IF($M394&lt;=$T394,1,0)))</f>
        <v/>
      </c>
      <c r="W394" s="42" t="str">
        <f aca="false">IF(OR($M394="",$L394=""),"",MAX(0,$M394-$L394))</f>
        <v/>
      </c>
      <c r="X394" s="34" t="str">
        <f aca="false">IF($E394="","",IF(AND($O394&lt;&gt;"",$L394&lt;&gt;"",$O394&lt;&gt;$L394),1,0))</f>
        <v/>
      </c>
      <c r="Y394" s="34" t="str">
        <f aca="false">IF($E394="","",IF($N394="Cancelada",0,IF(OR($M394&lt;&gt;"",$N394="Concluída"),1,0)))</f>
        <v/>
      </c>
    </row>
    <row r="395" customFormat="false" ht="15" hidden="false" customHeight="true" outlineLevel="0" collapsed="false">
      <c r="A395" s="34" t="str">
        <f aca="false">IF($E395="","",COUNTA($E$5:$E395))</f>
        <v/>
      </c>
      <c r="B395" s="35"/>
      <c r="C395" s="35"/>
      <c r="D395" s="35"/>
      <c r="E395" s="35"/>
      <c r="F395" s="36"/>
      <c r="G395" s="37"/>
      <c r="H395" s="37"/>
      <c r="I395" s="37"/>
      <c r="J395" s="38"/>
      <c r="K395" s="39"/>
      <c r="L395" s="40" t="str">
        <f aca="false">IF(OR($J395="",$K395=""),"",$J395+MATCH($K395,Listas!$F$5:$F$11,0)-1)</f>
        <v/>
      </c>
      <c r="M395" s="41"/>
      <c r="N395" s="36"/>
      <c r="O395" s="41"/>
      <c r="P395" s="35"/>
      <c r="Q395" s="35"/>
      <c r="R395" s="42" t="str">
        <f aca="true">IF($E395="","",IF($N395="Cancelada","Cancelada",IF(OR($M395&lt;&gt;"",$N395="Concluída"),IF(OR($L395="",$M395="",$M395&lt;=$L395),"Concluída","Concluída com atraso"),IF($L395="","Na carteira",IF($L395&lt;TODAY(),"VENCIDA",IF($N395="Em execução","Em execução",IF($L395=TODAY(),"Hoje","Programada")))))))</f>
        <v/>
      </c>
      <c r="S395" s="34" t="str">
        <f aca="false">IF($E395="","",IF(ISNUMBER(SEARCH("(externo)",$G395&amp;$H395&amp;$I395)),"Terceirizada","Interna"))</f>
        <v/>
      </c>
      <c r="T395" s="40" t="str">
        <f aca="false">IF($L395="","",IF($O395="",$L395,$O395))</f>
        <v/>
      </c>
      <c r="U395" s="34" t="str">
        <f aca="false">IF($E395="","",IF(OR($M395="",$L395=""),0,IF($M395&lt;=$L395,1,0)))</f>
        <v/>
      </c>
      <c r="V395" s="34" t="str">
        <f aca="false">IF($E395="","",IF(OR($M395="",$T395=""),0,IF($M395&lt;=$T395,1,0)))</f>
        <v/>
      </c>
      <c r="W395" s="42" t="str">
        <f aca="false">IF(OR($M395="",$L395=""),"",MAX(0,$M395-$L395))</f>
        <v/>
      </c>
      <c r="X395" s="34" t="str">
        <f aca="false">IF($E395="","",IF(AND($O395&lt;&gt;"",$L395&lt;&gt;"",$O395&lt;&gt;$L395),1,0))</f>
        <v/>
      </c>
      <c r="Y395" s="34" t="str">
        <f aca="false">IF($E395="","",IF($N395="Cancelada",0,IF(OR($M395&lt;&gt;"",$N395="Concluída"),1,0)))</f>
        <v/>
      </c>
    </row>
    <row r="396" customFormat="false" ht="15" hidden="false" customHeight="true" outlineLevel="0" collapsed="false">
      <c r="A396" s="34" t="str">
        <f aca="false">IF($E396="","",COUNTA($E$5:$E396))</f>
        <v/>
      </c>
      <c r="B396" s="35"/>
      <c r="C396" s="35"/>
      <c r="D396" s="35"/>
      <c r="E396" s="35"/>
      <c r="F396" s="36"/>
      <c r="G396" s="37"/>
      <c r="H396" s="37"/>
      <c r="I396" s="37"/>
      <c r="J396" s="38"/>
      <c r="K396" s="39"/>
      <c r="L396" s="40" t="str">
        <f aca="false">IF(OR($J396="",$K396=""),"",$J396+MATCH($K396,Listas!$F$5:$F$11,0)-1)</f>
        <v/>
      </c>
      <c r="M396" s="41"/>
      <c r="N396" s="36"/>
      <c r="O396" s="41"/>
      <c r="P396" s="35"/>
      <c r="Q396" s="35"/>
      <c r="R396" s="42" t="str">
        <f aca="true">IF($E396="","",IF($N396="Cancelada","Cancelada",IF(OR($M396&lt;&gt;"",$N396="Concluída"),IF(OR($L396="",$M396="",$M396&lt;=$L396),"Concluída","Concluída com atraso"),IF($L396="","Na carteira",IF($L396&lt;TODAY(),"VENCIDA",IF($N396="Em execução","Em execução",IF($L396=TODAY(),"Hoje","Programada")))))))</f>
        <v/>
      </c>
      <c r="S396" s="34" t="str">
        <f aca="false">IF($E396="","",IF(ISNUMBER(SEARCH("(externo)",$G396&amp;$H396&amp;$I396)),"Terceirizada","Interna"))</f>
        <v/>
      </c>
      <c r="T396" s="40" t="str">
        <f aca="false">IF($L396="","",IF($O396="",$L396,$O396))</f>
        <v/>
      </c>
      <c r="U396" s="34" t="str">
        <f aca="false">IF($E396="","",IF(OR($M396="",$L396=""),0,IF($M396&lt;=$L396,1,0)))</f>
        <v/>
      </c>
      <c r="V396" s="34" t="str">
        <f aca="false">IF($E396="","",IF(OR($M396="",$T396=""),0,IF($M396&lt;=$T396,1,0)))</f>
        <v/>
      </c>
      <c r="W396" s="42" t="str">
        <f aca="false">IF(OR($M396="",$L396=""),"",MAX(0,$M396-$L396))</f>
        <v/>
      </c>
      <c r="X396" s="34" t="str">
        <f aca="false">IF($E396="","",IF(AND($O396&lt;&gt;"",$L396&lt;&gt;"",$O396&lt;&gt;$L396),1,0))</f>
        <v/>
      </c>
      <c r="Y396" s="34" t="str">
        <f aca="false">IF($E396="","",IF($N396="Cancelada",0,IF(OR($M396&lt;&gt;"",$N396="Concluída"),1,0)))</f>
        <v/>
      </c>
    </row>
    <row r="397" customFormat="false" ht="15" hidden="false" customHeight="true" outlineLevel="0" collapsed="false">
      <c r="A397" s="34" t="str">
        <f aca="false">IF($E397="","",COUNTA($E$5:$E397))</f>
        <v/>
      </c>
      <c r="B397" s="35"/>
      <c r="C397" s="35"/>
      <c r="D397" s="35"/>
      <c r="E397" s="35"/>
      <c r="F397" s="36"/>
      <c r="G397" s="37"/>
      <c r="H397" s="37"/>
      <c r="I397" s="37"/>
      <c r="J397" s="38"/>
      <c r="K397" s="39"/>
      <c r="L397" s="40" t="str">
        <f aca="false">IF(OR($J397="",$K397=""),"",$J397+MATCH($K397,Listas!$F$5:$F$11,0)-1)</f>
        <v/>
      </c>
      <c r="M397" s="41"/>
      <c r="N397" s="36"/>
      <c r="O397" s="41"/>
      <c r="P397" s="35"/>
      <c r="Q397" s="35"/>
      <c r="R397" s="42" t="str">
        <f aca="true">IF($E397="","",IF($N397="Cancelada","Cancelada",IF(OR($M397&lt;&gt;"",$N397="Concluída"),IF(OR($L397="",$M397="",$M397&lt;=$L397),"Concluída","Concluída com atraso"),IF($L397="","Na carteira",IF($L397&lt;TODAY(),"VENCIDA",IF($N397="Em execução","Em execução",IF($L397=TODAY(),"Hoje","Programada")))))))</f>
        <v/>
      </c>
      <c r="S397" s="34" t="str">
        <f aca="false">IF($E397="","",IF(ISNUMBER(SEARCH("(externo)",$G397&amp;$H397&amp;$I397)),"Terceirizada","Interna"))</f>
        <v/>
      </c>
      <c r="T397" s="40" t="str">
        <f aca="false">IF($L397="","",IF($O397="",$L397,$O397))</f>
        <v/>
      </c>
      <c r="U397" s="34" t="str">
        <f aca="false">IF($E397="","",IF(OR($M397="",$L397=""),0,IF($M397&lt;=$L397,1,0)))</f>
        <v/>
      </c>
      <c r="V397" s="34" t="str">
        <f aca="false">IF($E397="","",IF(OR($M397="",$T397=""),0,IF($M397&lt;=$T397,1,0)))</f>
        <v/>
      </c>
      <c r="W397" s="42" t="str">
        <f aca="false">IF(OR($M397="",$L397=""),"",MAX(0,$M397-$L397))</f>
        <v/>
      </c>
      <c r="X397" s="34" t="str">
        <f aca="false">IF($E397="","",IF(AND($O397&lt;&gt;"",$L397&lt;&gt;"",$O397&lt;&gt;$L397),1,0))</f>
        <v/>
      </c>
      <c r="Y397" s="34" t="str">
        <f aca="false">IF($E397="","",IF($N397="Cancelada",0,IF(OR($M397&lt;&gt;"",$N397="Concluída"),1,0)))</f>
        <v/>
      </c>
    </row>
    <row r="398" customFormat="false" ht="15" hidden="false" customHeight="true" outlineLevel="0" collapsed="false">
      <c r="A398" s="34" t="str">
        <f aca="false">IF($E398="","",COUNTA($E$5:$E398))</f>
        <v/>
      </c>
      <c r="B398" s="35"/>
      <c r="C398" s="35"/>
      <c r="D398" s="35"/>
      <c r="E398" s="35"/>
      <c r="F398" s="36"/>
      <c r="G398" s="37"/>
      <c r="H398" s="37"/>
      <c r="I398" s="37"/>
      <c r="J398" s="38"/>
      <c r="K398" s="39"/>
      <c r="L398" s="40" t="str">
        <f aca="false">IF(OR($J398="",$K398=""),"",$J398+MATCH($K398,Listas!$F$5:$F$11,0)-1)</f>
        <v/>
      </c>
      <c r="M398" s="41"/>
      <c r="N398" s="36"/>
      <c r="O398" s="41"/>
      <c r="P398" s="35"/>
      <c r="Q398" s="35"/>
      <c r="R398" s="42" t="str">
        <f aca="true">IF($E398="","",IF($N398="Cancelada","Cancelada",IF(OR($M398&lt;&gt;"",$N398="Concluída"),IF(OR($L398="",$M398="",$M398&lt;=$L398),"Concluída","Concluída com atraso"),IF($L398="","Na carteira",IF($L398&lt;TODAY(),"VENCIDA",IF($N398="Em execução","Em execução",IF($L398=TODAY(),"Hoje","Programada")))))))</f>
        <v/>
      </c>
      <c r="S398" s="34" t="str">
        <f aca="false">IF($E398="","",IF(ISNUMBER(SEARCH("(externo)",$G398&amp;$H398&amp;$I398)),"Terceirizada","Interna"))</f>
        <v/>
      </c>
      <c r="T398" s="40" t="str">
        <f aca="false">IF($L398="","",IF($O398="",$L398,$O398))</f>
        <v/>
      </c>
      <c r="U398" s="34" t="str">
        <f aca="false">IF($E398="","",IF(OR($M398="",$L398=""),0,IF($M398&lt;=$L398,1,0)))</f>
        <v/>
      </c>
      <c r="V398" s="34" t="str">
        <f aca="false">IF($E398="","",IF(OR($M398="",$T398=""),0,IF($M398&lt;=$T398,1,0)))</f>
        <v/>
      </c>
      <c r="W398" s="42" t="str">
        <f aca="false">IF(OR($M398="",$L398=""),"",MAX(0,$M398-$L398))</f>
        <v/>
      </c>
      <c r="X398" s="34" t="str">
        <f aca="false">IF($E398="","",IF(AND($O398&lt;&gt;"",$L398&lt;&gt;"",$O398&lt;&gt;$L398),1,0))</f>
        <v/>
      </c>
      <c r="Y398" s="34" t="str">
        <f aca="false">IF($E398="","",IF($N398="Cancelada",0,IF(OR($M398&lt;&gt;"",$N398="Concluída"),1,0)))</f>
        <v/>
      </c>
    </row>
    <row r="399" customFormat="false" ht="15" hidden="false" customHeight="true" outlineLevel="0" collapsed="false">
      <c r="A399" s="34" t="str">
        <f aca="false">IF($E399="","",COUNTA($E$5:$E399))</f>
        <v/>
      </c>
      <c r="B399" s="35"/>
      <c r="C399" s="35"/>
      <c r="D399" s="35"/>
      <c r="E399" s="35"/>
      <c r="F399" s="36"/>
      <c r="G399" s="37"/>
      <c r="H399" s="37"/>
      <c r="I399" s="37"/>
      <c r="J399" s="38"/>
      <c r="K399" s="39"/>
      <c r="L399" s="40" t="str">
        <f aca="false">IF(OR($J399="",$K399=""),"",$J399+MATCH($K399,Listas!$F$5:$F$11,0)-1)</f>
        <v/>
      </c>
      <c r="M399" s="41"/>
      <c r="N399" s="36"/>
      <c r="O399" s="41"/>
      <c r="P399" s="35"/>
      <c r="Q399" s="35"/>
      <c r="R399" s="42" t="str">
        <f aca="true">IF($E399="","",IF($N399="Cancelada","Cancelada",IF(OR($M399&lt;&gt;"",$N399="Concluída"),IF(OR($L399="",$M399="",$M399&lt;=$L399),"Concluída","Concluída com atraso"),IF($L399="","Na carteira",IF($L399&lt;TODAY(),"VENCIDA",IF($N399="Em execução","Em execução",IF($L399=TODAY(),"Hoje","Programada")))))))</f>
        <v/>
      </c>
      <c r="S399" s="34" t="str">
        <f aca="false">IF($E399="","",IF(ISNUMBER(SEARCH("(externo)",$G399&amp;$H399&amp;$I399)),"Terceirizada","Interna"))</f>
        <v/>
      </c>
      <c r="T399" s="40" t="str">
        <f aca="false">IF($L399="","",IF($O399="",$L399,$O399))</f>
        <v/>
      </c>
      <c r="U399" s="34" t="str">
        <f aca="false">IF($E399="","",IF(OR($M399="",$L399=""),0,IF($M399&lt;=$L399,1,0)))</f>
        <v/>
      </c>
      <c r="V399" s="34" t="str">
        <f aca="false">IF($E399="","",IF(OR($M399="",$T399=""),0,IF($M399&lt;=$T399,1,0)))</f>
        <v/>
      </c>
      <c r="W399" s="42" t="str">
        <f aca="false">IF(OR($M399="",$L399=""),"",MAX(0,$M399-$L399))</f>
        <v/>
      </c>
      <c r="X399" s="34" t="str">
        <f aca="false">IF($E399="","",IF(AND($O399&lt;&gt;"",$L399&lt;&gt;"",$O399&lt;&gt;$L399),1,0))</f>
        <v/>
      </c>
      <c r="Y399" s="34" t="str">
        <f aca="false">IF($E399="","",IF($N399="Cancelada",0,IF(OR($M399&lt;&gt;"",$N399="Concluída"),1,0)))</f>
        <v/>
      </c>
    </row>
    <row r="400" customFormat="false" ht="15" hidden="false" customHeight="true" outlineLevel="0" collapsed="false">
      <c r="A400" s="34" t="str">
        <f aca="false">IF($E400="","",COUNTA($E$5:$E400))</f>
        <v/>
      </c>
      <c r="B400" s="35"/>
      <c r="C400" s="35"/>
      <c r="D400" s="35"/>
      <c r="E400" s="35"/>
      <c r="F400" s="36"/>
      <c r="G400" s="37"/>
      <c r="H400" s="37"/>
      <c r="I400" s="37"/>
      <c r="J400" s="38"/>
      <c r="K400" s="39"/>
      <c r="L400" s="40" t="str">
        <f aca="false">IF(OR($J400="",$K400=""),"",$J400+MATCH($K400,Listas!$F$5:$F$11,0)-1)</f>
        <v/>
      </c>
      <c r="M400" s="41"/>
      <c r="N400" s="36"/>
      <c r="O400" s="41"/>
      <c r="P400" s="35"/>
      <c r="Q400" s="35"/>
      <c r="R400" s="42" t="str">
        <f aca="true">IF($E400="","",IF($N400="Cancelada","Cancelada",IF(OR($M400&lt;&gt;"",$N400="Concluída"),IF(OR($L400="",$M400="",$M400&lt;=$L400),"Concluída","Concluída com atraso"),IF($L400="","Na carteira",IF($L400&lt;TODAY(),"VENCIDA",IF($N400="Em execução","Em execução",IF($L400=TODAY(),"Hoje","Programada")))))))</f>
        <v/>
      </c>
      <c r="S400" s="34" t="str">
        <f aca="false">IF($E400="","",IF(ISNUMBER(SEARCH("(externo)",$G400&amp;$H400&amp;$I400)),"Terceirizada","Interna"))</f>
        <v/>
      </c>
      <c r="T400" s="40" t="str">
        <f aca="false">IF($L400="","",IF($O400="",$L400,$O400))</f>
        <v/>
      </c>
      <c r="U400" s="34" t="str">
        <f aca="false">IF($E400="","",IF(OR($M400="",$L400=""),0,IF($M400&lt;=$L400,1,0)))</f>
        <v/>
      </c>
      <c r="V400" s="34" t="str">
        <f aca="false">IF($E400="","",IF(OR($M400="",$T400=""),0,IF($M400&lt;=$T400,1,0)))</f>
        <v/>
      </c>
      <c r="W400" s="42" t="str">
        <f aca="false">IF(OR($M400="",$L400=""),"",MAX(0,$M400-$L400))</f>
        <v/>
      </c>
      <c r="X400" s="34" t="str">
        <f aca="false">IF($E400="","",IF(AND($O400&lt;&gt;"",$L400&lt;&gt;"",$O400&lt;&gt;$L400),1,0))</f>
        <v/>
      </c>
      <c r="Y400" s="34" t="str">
        <f aca="false">IF($E400="","",IF($N400="Cancelada",0,IF(OR($M400&lt;&gt;"",$N400="Concluída"),1,0)))</f>
        <v/>
      </c>
    </row>
    <row r="401" customFormat="false" ht="15" hidden="false" customHeight="true" outlineLevel="0" collapsed="false">
      <c r="A401" s="34" t="str">
        <f aca="false">IF($E401="","",COUNTA($E$5:$E401))</f>
        <v/>
      </c>
      <c r="B401" s="35"/>
      <c r="C401" s="35"/>
      <c r="D401" s="35"/>
      <c r="E401" s="35"/>
      <c r="F401" s="36"/>
      <c r="G401" s="37"/>
      <c r="H401" s="37"/>
      <c r="I401" s="37"/>
      <c r="J401" s="38"/>
      <c r="K401" s="39"/>
      <c r="L401" s="40" t="str">
        <f aca="false">IF(OR($J401="",$K401=""),"",$J401+MATCH($K401,Listas!$F$5:$F$11,0)-1)</f>
        <v/>
      </c>
      <c r="M401" s="41"/>
      <c r="N401" s="36"/>
      <c r="O401" s="41"/>
      <c r="P401" s="35"/>
      <c r="Q401" s="35"/>
      <c r="R401" s="42" t="str">
        <f aca="true">IF($E401="","",IF($N401="Cancelada","Cancelada",IF(OR($M401&lt;&gt;"",$N401="Concluída"),IF(OR($L401="",$M401="",$M401&lt;=$L401),"Concluída","Concluída com atraso"),IF($L401="","Na carteira",IF($L401&lt;TODAY(),"VENCIDA",IF($N401="Em execução","Em execução",IF($L401=TODAY(),"Hoje","Programada")))))))</f>
        <v/>
      </c>
      <c r="S401" s="34" t="str">
        <f aca="false">IF($E401="","",IF(ISNUMBER(SEARCH("(externo)",$G401&amp;$H401&amp;$I401)),"Terceirizada","Interna"))</f>
        <v/>
      </c>
      <c r="T401" s="40" t="str">
        <f aca="false">IF($L401="","",IF($O401="",$L401,$O401))</f>
        <v/>
      </c>
      <c r="U401" s="34" t="str">
        <f aca="false">IF($E401="","",IF(OR($M401="",$L401=""),0,IF($M401&lt;=$L401,1,0)))</f>
        <v/>
      </c>
      <c r="V401" s="34" t="str">
        <f aca="false">IF($E401="","",IF(OR($M401="",$T401=""),0,IF($M401&lt;=$T401,1,0)))</f>
        <v/>
      </c>
      <c r="W401" s="42" t="str">
        <f aca="false">IF(OR($M401="",$L401=""),"",MAX(0,$M401-$L401))</f>
        <v/>
      </c>
      <c r="X401" s="34" t="str">
        <f aca="false">IF($E401="","",IF(AND($O401&lt;&gt;"",$L401&lt;&gt;"",$O401&lt;&gt;$L401),1,0))</f>
        <v/>
      </c>
      <c r="Y401" s="34" t="str">
        <f aca="false">IF($E401="","",IF($N401="Cancelada",0,IF(OR($M401&lt;&gt;"",$N401="Concluída"),1,0)))</f>
        <v/>
      </c>
    </row>
    <row r="402" customFormat="false" ht="15" hidden="false" customHeight="true" outlineLevel="0" collapsed="false">
      <c r="A402" s="34" t="str">
        <f aca="false">IF($E402="","",COUNTA($E$5:$E402))</f>
        <v/>
      </c>
      <c r="B402" s="35"/>
      <c r="C402" s="35"/>
      <c r="D402" s="35"/>
      <c r="E402" s="35"/>
      <c r="F402" s="36"/>
      <c r="G402" s="37"/>
      <c r="H402" s="37"/>
      <c r="I402" s="37"/>
      <c r="J402" s="38"/>
      <c r="K402" s="39"/>
      <c r="L402" s="40" t="str">
        <f aca="false">IF(OR($J402="",$K402=""),"",$J402+MATCH($K402,Listas!$F$5:$F$11,0)-1)</f>
        <v/>
      </c>
      <c r="M402" s="41"/>
      <c r="N402" s="36"/>
      <c r="O402" s="41"/>
      <c r="P402" s="35"/>
      <c r="Q402" s="35"/>
      <c r="R402" s="42" t="str">
        <f aca="true">IF($E402="","",IF($N402="Cancelada","Cancelada",IF(OR($M402&lt;&gt;"",$N402="Concluída"),IF(OR($L402="",$M402="",$M402&lt;=$L402),"Concluída","Concluída com atraso"),IF($L402="","Na carteira",IF($L402&lt;TODAY(),"VENCIDA",IF($N402="Em execução","Em execução",IF($L402=TODAY(),"Hoje","Programada")))))))</f>
        <v/>
      </c>
      <c r="S402" s="34" t="str">
        <f aca="false">IF($E402="","",IF(ISNUMBER(SEARCH("(externo)",$G402&amp;$H402&amp;$I402)),"Terceirizada","Interna"))</f>
        <v/>
      </c>
      <c r="T402" s="40" t="str">
        <f aca="false">IF($L402="","",IF($O402="",$L402,$O402))</f>
        <v/>
      </c>
      <c r="U402" s="34" t="str">
        <f aca="false">IF($E402="","",IF(OR($M402="",$L402=""),0,IF($M402&lt;=$L402,1,0)))</f>
        <v/>
      </c>
      <c r="V402" s="34" t="str">
        <f aca="false">IF($E402="","",IF(OR($M402="",$T402=""),0,IF($M402&lt;=$T402,1,0)))</f>
        <v/>
      </c>
      <c r="W402" s="42" t="str">
        <f aca="false">IF(OR($M402="",$L402=""),"",MAX(0,$M402-$L402))</f>
        <v/>
      </c>
      <c r="X402" s="34" t="str">
        <f aca="false">IF($E402="","",IF(AND($O402&lt;&gt;"",$L402&lt;&gt;"",$O402&lt;&gt;$L402),1,0))</f>
        <v/>
      </c>
      <c r="Y402" s="34" t="str">
        <f aca="false">IF($E402="","",IF($N402="Cancelada",0,IF(OR($M402&lt;&gt;"",$N402="Concluída"),1,0)))</f>
        <v/>
      </c>
    </row>
    <row r="403" customFormat="false" ht="15" hidden="false" customHeight="true" outlineLevel="0" collapsed="false">
      <c r="A403" s="34" t="str">
        <f aca="false">IF($E403="","",COUNTA($E$5:$E403))</f>
        <v/>
      </c>
      <c r="B403" s="35"/>
      <c r="C403" s="35"/>
      <c r="D403" s="35"/>
      <c r="E403" s="35"/>
      <c r="F403" s="36"/>
      <c r="G403" s="37"/>
      <c r="H403" s="37"/>
      <c r="I403" s="37"/>
      <c r="J403" s="38"/>
      <c r="K403" s="39"/>
      <c r="L403" s="40" t="str">
        <f aca="false">IF(OR($J403="",$K403=""),"",$J403+MATCH($K403,Listas!$F$5:$F$11,0)-1)</f>
        <v/>
      </c>
      <c r="M403" s="41"/>
      <c r="N403" s="36"/>
      <c r="O403" s="41"/>
      <c r="P403" s="35"/>
      <c r="Q403" s="35"/>
      <c r="R403" s="42" t="str">
        <f aca="true">IF($E403="","",IF($N403="Cancelada","Cancelada",IF(OR($M403&lt;&gt;"",$N403="Concluída"),IF(OR($L403="",$M403="",$M403&lt;=$L403),"Concluída","Concluída com atraso"),IF($L403="","Na carteira",IF($L403&lt;TODAY(),"VENCIDA",IF($N403="Em execução","Em execução",IF($L403=TODAY(),"Hoje","Programada")))))))</f>
        <v/>
      </c>
      <c r="S403" s="34" t="str">
        <f aca="false">IF($E403="","",IF(ISNUMBER(SEARCH("(externo)",$G403&amp;$H403&amp;$I403)),"Terceirizada","Interna"))</f>
        <v/>
      </c>
      <c r="T403" s="40" t="str">
        <f aca="false">IF($L403="","",IF($O403="",$L403,$O403))</f>
        <v/>
      </c>
      <c r="U403" s="34" t="str">
        <f aca="false">IF($E403="","",IF(OR($M403="",$L403=""),0,IF($M403&lt;=$L403,1,0)))</f>
        <v/>
      </c>
      <c r="V403" s="34" t="str">
        <f aca="false">IF($E403="","",IF(OR($M403="",$T403=""),0,IF($M403&lt;=$T403,1,0)))</f>
        <v/>
      </c>
      <c r="W403" s="42" t="str">
        <f aca="false">IF(OR($M403="",$L403=""),"",MAX(0,$M403-$L403))</f>
        <v/>
      </c>
      <c r="X403" s="34" t="str">
        <f aca="false">IF($E403="","",IF(AND($O403&lt;&gt;"",$L403&lt;&gt;"",$O403&lt;&gt;$L403),1,0))</f>
        <v/>
      </c>
      <c r="Y403" s="34" t="str">
        <f aca="false">IF($E403="","",IF($N403="Cancelada",0,IF(OR($M403&lt;&gt;"",$N403="Concluída"),1,0)))</f>
        <v/>
      </c>
    </row>
    <row r="404" customFormat="false" ht="15" hidden="false" customHeight="true" outlineLevel="0" collapsed="false">
      <c r="A404" s="34" t="str">
        <f aca="false">IF($E404="","",COUNTA($E$5:$E404))</f>
        <v/>
      </c>
      <c r="B404" s="35"/>
      <c r="C404" s="35"/>
      <c r="D404" s="35"/>
      <c r="E404" s="35"/>
      <c r="F404" s="36"/>
      <c r="G404" s="37"/>
      <c r="H404" s="37"/>
      <c r="I404" s="37"/>
      <c r="J404" s="38"/>
      <c r="K404" s="39"/>
      <c r="L404" s="40" t="str">
        <f aca="false">IF(OR($J404="",$K404=""),"",$J404+MATCH($K404,Listas!$F$5:$F$11,0)-1)</f>
        <v/>
      </c>
      <c r="M404" s="41"/>
      <c r="N404" s="36"/>
      <c r="O404" s="41"/>
      <c r="P404" s="35"/>
      <c r="Q404" s="35"/>
      <c r="R404" s="42" t="str">
        <f aca="true">IF($E404="","",IF($N404="Cancelada","Cancelada",IF(OR($M404&lt;&gt;"",$N404="Concluída"),IF(OR($L404="",$M404="",$M404&lt;=$L404),"Concluída","Concluída com atraso"),IF($L404="","Na carteira",IF($L404&lt;TODAY(),"VENCIDA",IF($N404="Em execução","Em execução",IF($L404=TODAY(),"Hoje","Programada")))))))</f>
        <v/>
      </c>
      <c r="S404" s="34" t="str">
        <f aca="false">IF($E404="","",IF(ISNUMBER(SEARCH("(externo)",$G404&amp;$H404&amp;$I404)),"Terceirizada","Interna"))</f>
        <v/>
      </c>
      <c r="T404" s="40" t="str">
        <f aca="false">IF($L404="","",IF($O404="",$L404,$O404))</f>
        <v/>
      </c>
      <c r="U404" s="34" t="str">
        <f aca="false">IF($E404="","",IF(OR($M404="",$L404=""),0,IF($M404&lt;=$L404,1,0)))</f>
        <v/>
      </c>
      <c r="V404" s="34" t="str">
        <f aca="false">IF($E404="","",IF(OR($M404="",$T404=""),0,IF($M404&lt;=$T404,1,0)))</f>
        <v/>
      </c>
      <c r="W404" s="42" t="str">
        <f aca="false">IF(OR($M404="",$L404=""),"",MAX(0,$M404-$L404))</f>
        <v/>
      </c>
      <c r="X404" s="34" t="str">
        <f aca="false">IF($E404="","",IF(AND($O404&lt;&gt;"",$L404&lt;&gt;"",$O404&lt;&gt;$L404),1,0))</f>
        <v/>
      </c>
      <c r="Y404" s="34" t="str">
        <f aca="false">IF($E404="","",IF($N404="Cancelada",0,IF(OR($M404&lt;&gt;"",$N404="Concluída"),1,0)))</f>
        <v/>
      </c>
    </row>
    <row r="405" customFormat="false" ht="15" hidden="false" customHeight="true" outlineLevel="0" collapsed="false">
      <c r="A405" s="34" t="str">
        <f aca="false">IF($E405="","",COUNTA($E$5:$E405))</f>
        <v/>
      </c>
      <c r="B405" s="35"/>
      <c r="C405" s="35"/>
      <c r="D405" s="35"/>
      <c r="E405" s="35"/>
      <c r="F405" s="36"/>
      <c r="G405" s="37"/>
      <c r="H405" s="37"/>
      <c r="I405" s="37"/>
      <c r="J405" s="38"/>
      <c r="K405" s="39"/>
      <c r="L405" s="40" t="str">
        <f aca="false">IF(OR($J405="",$K405=""),"",$J405+MATCH($K405,Listas!$F$5:$F$11,0)-1)</f>
        <v/>
      </c>
      <c r="M405" s="41"/>
      <c r="N405" s="36"/>
      <c r="O405" s="41"/>
      <c r="P405" s="35"/>
      <c r="Q405" s="35"/>
      <c r="R405" s="42" t="str">
        <f aca="true">IF($E405="","",IF($N405="Cancelada","Cancelada",IF(OR($M405&lt;&gt;"",$N405="Concluída"),IF(OR($L405="",$M405="",$M405&lt;=$L405),"Concluída","Concluída com atraso"),IF($L405="","Na carteira",IF($L405&lt;TODAY(),"VENCIDA",IF($N405="Em execução","Em execução",IF($L405=TODAY(),"Hoje","Programada")))))))</f>
        <v/>
      </c>
      <c r="S405" s="34" t="str">
        <f aca="false">IF($E405="","",IF(ISNUMBER(SEARCH("(externo)",$G405&amp;$H405&amp;$I405)),"Terceirizada","Interna"))</f>
        <v/>
      </c>
      <c r="T405" s="40" t="str">
        <f aca="false">IF($L405="","",IF($O405="",$L405,$O405))</f>
        <v/>
      </c>
      <c r="U405" s="34" t="str">
        <f aca="false">IF($E405="","",IF(OR($M405="",$L405=""),0,IF($M405&lt;=$L405,1,0)))</f>
        <v/>
      </c>
      <c r="V405" s="34" t="str">
        <f aca="false">IF($E405="","",IF(OR($M405="",$T405=""),0,IF($M405&lt;=$T405,1,0)))</f>
        <v/>
      </c>
      <c r="W405" s="42" t="str">
        <f aca="false">IF(OR($M405="",$L405=""),"",MAX(0,$M405-$L405))</f>
        <v/>
      </c>
      <c r="X405" s="34" t="str">
        <f aca="false">IF($E405="","",IF(AND($O405&lt;&gt;"",$L405&lt;&gt;"",$O405&lt;&gt;$L405),1,0))</f>
        <v/>
      </c>
      <c r="Y405" s="34" t="str">
        <f aca="false">IF($E405="","",IF($N405="Cancelada",0,IF(OR($M405&lt;&gt;"",$N405="Concluída"),1,0)))</f>
        <v/>
      </c>
    </row>
    <row r="406" customFormat="false" ht="15" hidden="false" customHeight="true" outlineLevel="0" collapsed="false">
      <c r="A406" s="34" t="str">
        <f aca="false">IF($E406="","",COUNTA($E$5:$E406))</f>
        <v/>
      </c>
      <c r="B406" s="35"/>
      <c r="C406" s="35"/>
      <c r="D406" s="35"/>
      <c r="E406" s="35"/>
      <c r="F406" s="36"/>
      <c r="G406" s="37"/>
      <c r="H406" s="37"/>
      <c r="I406" s="37"/>
      <c r="J406" s="38"/>
      <c r="K406" s="39"/>
      <c r="L406" s="40" t="str">
        <f aca="false">IF(OR($J406="",$K406=""),"",$J406+MATCH($K406,Listas!$F$5:$F$11,0)-1)</f>
        <v/>
      </c>
      <c r="M406" s="41"/>
      <c r="N406" s="36"/>
      <c r="O406" s="41"/>
      <c r="P406" s="35"/>
      <c r="Q406" s="35"/>
      <c r="R406" s="42" t="str">
        <f aca="true">IF($E406="","",IF($N406="Cancelada","Cancelada",IF(OR($M406&lt;&gt;"",$N406="Concluída"),IF(OR($L406="",$M406="",$M406&lt;=$L406),"Concluída","Concluída com atraso"),IF($L406="","Na carteira",IF($L406&lt;TODAY(),"VENCIDA",IF($N406="Em execução","Em execução",IF($L406=TODAY(),"Hoje","Programada")))))))</f>
        <v/>
      </c>
      <c r="S406" s="34" t="str">
        <f aca="false">IF($E406="","",IF(ISNUMBER(SEARCH("(externo)",$G406&amp;$H406&amp;$I406)),"Terceirizada","Interna"))</f>
        <v/>
      </c>
      <c r="T406" s="40" t="str">
        <f aca="false">IF($L406="","",IF($O406="",$L406,$O406))</f>
        <v/>
      </c>
      <c r="U406" s="34" t="str">
        <f aca="false">IF($E406="","",IF(OR($M406="",$L406=""),0,IF($M406&lt;=$L406,1,0)))</f>
        <v/>
      </c>
      <c r="V406" s="34" t="str">
        <f aca="false">IF($E406="","",IF(OR($M406="",$T406=""),0,IF($M406&lt;=$T406,1,0)))</f>
        <v/>
      </c>
      <c r="W406" s="42" t="str">
        <f aca="false">IF(OR($M406="",$L406=""),"",MAX(0,$M406-$L406))</f>
        <v/>
      </c>
      <c r="X406" s="34" t="str">
        <f aca="false">IF($E406="","",IF(AND($O406&lt;&gt;"",$L406&lt;&gt;"",$O406&lt;&gt;$L406),1,0))</f>
        <v/>
      </c>
      <c r="Y406" s="34" t="str">
        <f aca="false">IF($E406="","",IF($N406="Cancelada",0,IF(OR($M406&lt;&gt;"",$N406="Concluída"),1,0)))</f>
        <v/>
      </c>
    </row>
    <row r="407" customFormat="false" ht="15" hidden="false" customHeight="true" outlineLevel="0" collapsed="false">
      <c r="A407" s="34" t="str">
        <f aca="false">IF($E407="","",COUNTA($E$5:$E407))</f>
        <v/>
      </c>
      <c r="B407" s="35"/>
      <c r="C407" s="35"/>
      <c r="D407" s="35"/>
      <c r="E407" s="35"/>
      <c r="F407" s="36"/>
      <c r="G407" s="37"/>
      <c r="H407" s="37"/>
      <c r="I407" s="37"/>
      <c r="J407" s="38"/>
      <c r="K407" s="39"/>
      <c r="L407" s="40" t="str">
        <f aca="false">IF(OR($J407="",$K407=""),"",$J407+MATCH($K407,Listas!$F$5:$F$11,0)-1)</f>
        <v/>
      </c>
      <c r="M407" s="41"/>
      <c r="N407" s="36"/>
      <c r="O407" s="41"/>
      <c r="P407" s="35"/>
      <c r="Q407" s="35"/>
      <c r="R407" s="42" t="str">
        <f aca="true">IF($E407="","",IF($N407="Cancelada","Cancelada",IF(OR($M407&lt;&gt;"",$N407="Concluída"),IF(OR($L407="",$M407="",$M407&lt;=$L407),"Concluída","Concluída com atraso"),IF($L407="","Na carteira",IF($L407&lt;TODAY(),"VENCIDA",IF($N407="Em execução","Em execução",IF($L407=TODAY(),"Hoje","Programada")))))))</f>
        <v/>
      </c>
      <c r="S407" s="34" t="str">
        <f aca="false">IF($E407="","",IF(ISNUMBER(SEARCH("(externo)",$G407&amp;$H407&amp;$I407)),"Terceirizada","Interna"))</f>
        <v/>
      </c>
      <c r="T407" s="40" t="str">
        <f aca="false">IF($L407="","",IF($O407="",$L407,$O407))</f>
        <v/>
      </c>
      <c r="U407" s="34" t="str">
        <f aca="false">IF($E407="","",IF(OR($M407="",$L407=""),0,IF($M407&lt;=$L407,1,0)))</f>
        <v/>
      </c>
      <c r="V407" s="34" t="str">
        <f aca="false">IF($E407="","",IF(OR($M407="",$T407=""),0,IF($M407&lt;=$T407,1,0)))</f>
        <v/>
      </c>
      <c r="W407" s="42" t="str">
        <f aca="false">IF(OR($M407="",$L407=""),"",MAX(0,$M407-$L407))</f>
        <v/>
      </c>
      <c r="X407" s="34" t="str">
        <f aca="false">IF($E407="","",IF(AND($O407&lt;&gt;"",$L407&lt;&gt;"",$O407&lt;&gt;$L407),1,0))</f>
        <v/>
      </c>
      <c r="Y407" s="34" t="str">
        <f aca="false">IF($E407="","",IF($N407="Cancelada",0,IF(OR($M407&lt;&gt;"",$N407="Concluída"),1,0)))</f>
        <v/>
      </c>
    </row>
    <row r="408" customFormat="false" ht="15" hidden="false" customHeight="true" outlineLevel="0" collapsed="false">
      <c r="A408" s="34" t="str">
        <f aca="false">IF($E408="","",COUNTA($E$5:$E408))</f>
        <v/>
      </c>
      <c r="B408" s="35"/>
      <c r="C408" s="35"/>
      <c r="D408" s="35"/>
      <c r="E408" s="35"/>
      <c r="F408" s="36"/>
      <c r="G408" s="37"/>
      <c r="H408" s="37"/>
      <c r="I408" s="37"/>
      <c r="J408" s="38"/>
      <c r="K408" s="39"/>
      <c r="L408" s="40" t="str">
        <f aca="false">IF(OR($J408="",$K408=""),"",$J408+MATCH($K408,Listas!$F$5:$F$11,0)-1)</f>
        <v/>
      </c>
      <c r="M408" s="41"/>
      <c r="N408" s="36"/>
      <c r="O408" s="41"/>
      <c r="P408" s="35"/>
      <c r="Q408" s="35"/>
      <c r="R408" s="42" t="str">
        <f aca="true">IF($E408="","",IF($N408="Cancelada","Cancelada",IF(OR($M408&lt;&gt;"",$N408="Concluída"),IF(OR($L408="",$M408="",$M408&lt;=$L408),"Concluída","Concluída com atraso"),IF($L408="","Na carteira",IF($L408&lt;TODAY(),"VENCIDA",IF($N408="Em execução","Em execução",IF($L408=TODAY(),"Hoje","Programada")))))))</f>
        <v/>
      </c>
      <c r="S408" s="34" t="str">
        <f aca="false">IF($E408="","",IF(ISNUMBER(SEARCH("(externo)",$G408&amp;$H408&amp;$I408)),"Terceirizada","Interna"))</f>
        <v/>
      </c>
      <c r="T408" s="40" t="str">
        <f aca="false">IF($L408="","",IF($O408="",$L408,$O408))</f>
        <v/>
      </c>
      <c r="U408" s="34" t="str">
        <f aca="false">IF($E408="","",IF(OR($M408="",$L408=""),0,IF($M408&lt;=$L408,1,0)))</f>
        <v/>
      </c>
      <c r="V408" s="34" t="str">
        <f aca="false">IF($E408="","",IF(OR($M408="",$T408=""),0,IF($M408&lt;=$T408,1,0)))</f>
        <v/>
      </c>
      <c r="W408" s="42" t="str">
        <f aca="false">IF(OR($M408="",$L408=""),"",MAX(0,$M408-$L408))</f>
        <v/>
      </c>
      <c r="X408" s="34" t="str">
        <f aca="false">IF($E408="","",IF(AND($O408&lt;&gt;"",$L408&lt;&gt;"",$O408&lt;&gt;$L408),1,0))</f>
        <v/>
      </c>
      <c r="Y408" s="34" t="str">
        <f aca="false">IF($E408="","",IF($N408="Cancelada",0,IF(OR($M408&lt;&gt;"",$N408="Concluída"),1,0)))</f>
        <v/>
      </c>
    </row>
    <row r="409" customFormat="false" ht="15" hidden="false" customHeight="true" outlineLevel="0" collapsed="false">
      <c r="A409" s="34" t="str">
        <f aca="false">IF($E409="","",COUNTA($E$5:$E409))</f>
        <v/>
      </c>
      <c r="B409" s="35"/>
      <c r="C409" s="35"/>
      <c r="D409" s="35"/>
      <c r="E409" s="35"/>
      <c r="F409" s="36"/>
      <c r="G409" s="37"/>
      <c r="H409" s="37"/>
      <c r="I409" s="37"/>
      <c r="J409" s="38"/>
      <c r="K409" s="39"/>
      <c r="L409" s="40" t="str">
        <f aca="false">IF(OR($J409="",$K409=""),"",$J409+MATCH($K409,Listas!$F$5:$F$11,0)-1)</f>
        <v/>
      </c>
      <c r="M409" s="41"/>
      <c r="N409" s="36"/>
      <c r="O409" s="41"/>
      <c r="P409" s="35"/>
      <c r="Q409" s="35"/>
      <c r="R409" s="42" t="str">
        <f aca="true">IF($E409="","",IF($N409="Cancelada","Cancelada",IF(OR($M409&lt;&gt;"",$N409="Concluída"),IF(OR($L409="",$M409="",$M409&lt;=$L409),"Concluída","Concluída com atraso"),IF($L409="","Na carteira",IF($L409&lt;TODAY(),"VENCIDA",IF($N409="Em execução","Em execução",IF($L409=TODAY(),"Hoje","Programada")))))))</f>
        <v/>
      </c>
      <c r="S409" s="34" t="str">
        <f aca="false">IF($E409="","",IF(ISNUMBER(SEARCH("(externo)",$G409&amp;$H409&amp;$I409)),"Terceirizada","Interna"))</f>
        <v/>
      </c>
      <c r="T409" s="40" t="str">
        <f aca="false">IF($L409="","",IF($O409="",$L409,$O409))</f>
        <v/>
      </c>
      <c r="U409" s="34" t="str">
        <f aca="false">IF($E409="","",IF(OR($M409="",$L409=""),0,IF($M409&lt;=$L409,1,0)))</f>
        <v/>
      </c>
      <c r="V409" s="34" t="str">
        <f aca="false">IF($E409="","",IF(OR($M409="",$T409=""),0,IF($M409&lt;=$T409,1,0)))</f>
        <v/>
      </c>
      <c r="W409" s="42" t="str">
        <f aca="false">IF(OR($M409="",$L409=""),"",MAX(0,$M409-$L409))</f>
        <v/>
      </c>
      <c r="X409" s="34" t="str">
        <f aca="false">IF($E409="","",IF(AND($O409&lt;&gt;"",$L409&lt;&gt;"",$O409&lt;&gt;$L409),1,0))</f>
        <v/>
      </c>
      <c r="Y409" s="34" t="str">
        <f aca="false">IF($E409="","",IF($N409="Cancelada",0,IF(OR($M409&lt;&gt;"",$N409="Concluída"),1,0)))</f>
        <v/>
      </c>
    </row>
    <row r="410" customFormat="false" ht="15" hidden="false" customHeight="true" outlineLevel="0" collapsed="false">
      <c r="A410" s="34" t="str">
        <f aca="false">IF($E410="","",COUNTA($E$5:$E410))</f>
        <v/>
      </c>
      <c r="B410" s="35"/>
      <c r="C410" s="35"/>
      <c r="D410" s="35"/>
      <c r="E410" s="35"/>
      <c r="F410" s="36"/>
      <c r="G410" s="37"/>
      <c r="H410" s="37"/>
      <c r="I410" s="37"/>
      <c r="J410" s="38"/>
      <c r="K410" s="39"/>
      <c r="L410" s="40" t="str">
        <f aca="false">IF(OR($J410="",$K410=""),"",$J410+MATCH($K410,Listas!$F$5:$F$11,0)-1)</f>
        <v/>
      </c>
      <c r="M410" s="41"/>
      <c r="N410" s="36"/>
      <c r="O410" s="41"/>
      <c r="P410" s="35"/>
      <c r="Q410" s="35"/>
      <c r="R410" s="42" t="str">
        <f aca="true">IF($E410="","",IF($N410="Cancelada","Cancelada",IF(OR($M410&lt;&gt;"",$N410="Concluída"),IF(OR($L410="",$M410="",$M410&lt;=$L410),"Concluída","Concluída com atraso"),IF($L410="","Na carteira",IF($L410&lt;TODAY(),"VENCIDA",IF($N410="Em execução","Em execução",IF($L410=TODAY(),"Hoje","Programada")))))))</f>
        <v/>
      </c>
      <c r="S410" s="34" t="str">
        <f aca="false">IF($E410="","",IF(ISNUMBER(SEARCH("(externo)",$G410&amp;$H410&amp;$I410)),"Terceirizada","Interna"))</f>
        <v/>
      </c>
      <c r="T410" s="40" t="str">
        <f aca="false">IF($L410="","",IF($O410="",$L410,$O410))</f>
        <v/>
      </c>
      <c r="U410" s="34" t="str">
        <f aca="false">IF($E410="","",IF(OR($M410="",$L410=""),0,IF($M410&lt;=$L410,1,0)))</f>
        <v/>
      </c>
      <c r="V410" s="34" t="str">
        <f aca="false">IF($E410="","",IF(OR($M410="",$T410=""),0,IF($M410&lt;=$T410,1,0)))</f>
        <v/>
      </c>
      <c r="W410" s="42" t="str">
        <f aca="false">IF(OR($M410="",$L410=""),"",MAX(0,$M410-$L410))</f>
        <v/>
      </c>
      <c r="X410" s="34" t="str">
        <f aca="false">IF($E410="","",IF(AND($O410&lt;&gt;"",$L410&lt;&gt;"",$O410&lt;&gt;$L410),1,0))</f>
        <v/>
      </c>
      <c r="Y410" s="34" t="str">
        <f aca="false">IF($E410="","",IF($N410="Cancelada",0,IF(OR($M410&lt;&gt;"",$N410="Concluída"),1,0)))</f>
        <v/>
      </c>
    </row>
    <row r="411" customFormat="false" ht="15" hidden="false" customHeight="true" outlineLevel="0" collapsed="false">
      <c r="A411" s="34" t="str">
        <f aca="false">IF($E411="","",COUNTA($E$5:$E411))</f>
        <v/>
      </c>
      <c r="B411" s="35"/>
      <c r="C411" s="35"/>
      <c r="D411" s="35"/>
      <c r="E411" s="35"/>
      <c r="F411" s="36"/>
      <c r="G411" s="37"/>
      <c r="H411" s="37"/>
      <c r="I411" s="37"/>
      <c r="J411" s="38"/>
      <c r="K411" s="39"/>
      <c r="L411" s="40" t="str">
        <f aca="false">IF(OR($J411="",$K411=""),"",$J411+MATCH($K411,Listas!$F$5:$F$11,0)-1)</f>
        <v/>
      </c>
      <c r="M411" s="41"/>
      <c r="N411" s="36"/>
      <c r="O411" s="41"/>
      <c r="P411" s="35"/>
      <c r="Q411" s="35"/>
      <c r="R411" s="42" t="str">
        <f aca="true">IF($E411="","",IF($N411="Cancelada","Cancelada",IF(OR($M411&lt;&gt;"",$N411="Concluída"),IF(OR($L411="",$M411="",$M411&lt;=$L411),"Concluída","Concluída com atraso"),IF($L411="","Na carteira",IF($L411&lt;TODAY(),"VENCIDA",IF($N411="Em execução","Em execução",IF($L411=TODAY(),"Hoje","Programada")))))))</f>
        <v/>
      </c>
      <c r="S411" s="34" t="str">
        <f aca="false">IF($E411="","",IF(ISNUMBER(SEARCH("(externo)",$G411&amp;$H411&amp;$I411)),"Terceirizada","Interna"))</f>
        <v/>
      </c>
      <c r="T411" s="40" t="str">
        <f aca="false">IF($L411="","",IF($O411="",$L411,$O411))</f>
        <v/>
      </c>
      <c r="U411" s="34" t="str">
        <f aca="false">IF($E411="","",IF(OR($M411="",$L411=""),0,IF($M411&lt;=$L411,1,0)))</f>
        <v/>
      </c>
      <c r="V411" s="34" t="str">
        <f aca="false">IF($E411="","",IF(OR($M411="",$T411=""),0,IF($M411&lt;=$T411,1,0)))</f>
        <v/>
      </c>
      <c r="W411" s="42" t="str">
        <f aca="false">IF(OR($M411="",$L411=""),"",MAX(0,$M411-$L411))</f>
        <v/>
      </c>
      <c r="X411" s="34" t="str">
        <f aca="false">IF($E411="","",IF(AND($O411&lt;&gt;"",$L411&lt;&gt;"",$O411&lt;&gt;$L411),1,0))</f>
        <v/>
      </c>
      <c r="Y411" s="34" t="str">
        <f aca="false">IF($E411="","",IF($N411="Cancelada",0,IF(OR($M411&lt;&gt;"",$N411="Concluída"),1,0)))</f>
        <v/>
      </c>
    </row>
    <row r="412" customFormat="false" ht="15" hidden="false" customHeight="true" outlineLevel="0" collapsed="false">
      <c r="A412" s="34" t="str">
        <f aca="false">IF($E412="","",COUNTA($E$5:$E412))</f>
        <v/>
      </c>
      <c r="B412" s="35"/>
      <c r="C412" s="35"/>
      <c r="D412" s="35"/>
      <c r="E412" s="35"/>
      <c r="F412" s="36"/>
      <c r="G412" s="37"/>
      <c r="H412" s="37"/>
      <c r="I412" s="37"/>
      <c r="J412" s="38"/>
      <c r="K412" s="39"/>
      <c r="L412" s="40" t="str">
        <f aca="false">IF(OR($J412="",$K412=""),"",$J412+MATCH($K412,Listas!$F$5:$F$11,0)-1)</f>
        <v/>
      </c>
      <c r="M412" s="41"/>
      <c r="N412" s="36"/>
      <c r="O412" s="41"/>
      <c r="P412" s="35"/>
      <c r="Q412" s="35"/>
      <c r="R412" s="42" t="str">
        <f aca="true">IF($E412="","",IF($N412="Cancelada","Cancelada",IF(OR($M412&lt;&gt;"",$N412="Concluída"),IF(OR($L412="",$M412="",$M412&lt;=$L412),"Concluída","Concluída com atraso"),IF($L412="","Na carteira",IF($L412&lt;TODAY(),"VENCIDA",IF($N412="Em execução","Em execução",IF($L412=TODAY(),"Hoje","Programada")))))))</f>
        <v/>
      </c>
      <c r="S412" s="34" t="str">
        <f aca="false">IF($E412="","",IF(ISNUMBER(SEARCH("(externo)",$G412&amp;$H412&amp;$I412)),"Terceirizada","Interna"))</f>
        <v/>
      </c>
      <c r="T412" s="40" t="str">
        <f aca="false">IF($L412="","",IF($O412="",$L412,$O412))</f>
        <v/>
      </c>
      <c r="U412" s="34" t="str">
        <f aca="false">IF($E412="","",IF(OR($M412="",$L412=""),0,IF($M412&lt;=$L412,1,0)))</f>
        <v/>
      </c>
      <c r="V412" s="34" t="str">
        <f aca="false">IF($E412="","",IF(OR($M412="",$T412=""),0,IF($M412&lt;=$T412,1,0)))</f>
        <v/>
      </c>
      <c r="W412" s="42" t="str">
        <f aca="false">IF(OR($M412="",$L412=""),"",MAX(0,$M412-$L412))</f>
        <v/>
      </c>
      <c r="X412" s="34" t="str">
        <f aca="false">IF($E412="","",IF(AND($O412&lt;&gt;"",$L412&lt;&gt;"",$O412&lt;&gt;$L412),1,0))</f>
        <v/>
      </c>
      <c r="Y412" s="34" t="str">
        <f aca="false">IF($E412="","",IF($N412="Cancelada",0,IF(OR($M412&lt;&gt;"",$N412="Concluída"),1,0)))</f>
        <v/>
      </c>
    </row>
    <row r="413" customFormat="false" ht="15" hidden="false" customHeight="true" outlineLevel="0" collapsed="false">
      <c r="A413" s="34" t="str">
        <f aca="false">IF($E413="","",COUNTA($E$5:$E413))</f>
        <v/>
      </c>
      <c r="B413" s="35"/>
      <c r="C413" s="35"/>
      <c r="D413" s="35"/>
      <c r="E413" s="35"/>
      <c r="F413" s="36"/>
      <c r="G413" s="37"/>
      <c r="H413" s="37"/>
      <c r="I413" s="37"/>
      <c r="J413" s="38"/>
      <c r="K413" s="39"/>
      <c r="L413" s="40" t="str">
        <f aca="false">IF(OR($J413="",$K413=""),"",$J413+MATCH($K413,Listas!$F$5:$F$11,0)-1)</f>
        <v/>
      </c>
      <c r="M413" s="41"/>
      <c r="N413" s="36"/>
      <c r="O413" s="41"/>
      <c r="P413" s="35"/>
      <c r="Q413" s="35"/>
      <c r="R413" s="42" t="str">
        <f aca="true">IF($E413="","",IF($N413="Cancelada","Cancelada",IF(OR($M413&lt;&gt;"",$N413="Concluída"),IF(OR($L413="",$M413="",$M413&lt;=$L413),"Concluída","Concluída com atraso"),IF($L413="","Na carteira",IF($L413&lt;TODAY(),"VENCIDA",IF($N413="Em execução","Em execução",IF($L413=TODAY(),"Hoje","Programada")))))))</f>
        <v/>
      </c>
      <c r="S413" s="34" t="str">
        <f aca="false">IF($E413="","",IF(ISNUMBER(SEARCH("(externo)",$G413&amp;$H413&amp;$I413)),"Terceirizada","Interna"))</f>
        <v/>
      </c>
      <c r="T413" s="40" t="str">
        <f aca="false">IF($L413="","",IF($O413="",$L413,$O413))</f>
        <v/>
      </c>
      <c r="U413" s="34" t="str">
        <f aca="false">IF($E413="","",IF(OR($M413="",$L413=""),0,IF($M413&lt;=$L413,1,0)))</f>
        <v/>
      </c>
      <c r="V413" s="34" t="str">
        <f aca="false">IF($E413="","",IF(OR($M413="",$T413=""),0,IF($M413&lt;=$T413,1,0)))</f>
        <v/>
      </c>
      <c r="W413" s="42" t="str">
        <f aca="false">IF(OR($M413="",$L413=""),"",MAX(0,$M413-$L413))</f>
        <v/>
      </c>
      <c r="X413" s="34" t="str">
        <f aca="false">IF($E413="","",IF(AND($O413&lt;&gt;"",$L413&lt;&gt;"",$O413&lt;&gt;$L413),1,0))</f>
        <v/>
      </c>
      <c r="Y413" s="34" t="str">
        <f aca="false">IF($E413="","",IF($N413="Cancelada",0,IF(OR($M413&lt;&gt;"",$N413="Concluída"),1,0)))</f>
        <v/>
      </c>
    </row>
    <row r="414" customFormat="false" ht="15" hidden="false" customHeight="true" outlineLevel="0" collapsed="false">
      <c r="A414" s="34" t="str">
        <f aca="false">IF($E414="","",COUNTA($E$5:$E414))</f>
        <v/>
      </c>
      <c r="B414" s="35"/>
      <c r="C414" s="35"/>
      <c r="D414" s="35"/>
      <c r="E414" s="35"/>
      <c r="F414" s="36"/>
      <c r="G414" s="37"/>
      <c r="H414" s="37"/>
      <c r="I414" s="37"/>
      <c r="J414" s="38"/>
      <c r="K414" s="39"/>
      <c r="L414" s="40" t="str">
        <f aca="false">IF(OR($J414="",$K414=""),"",$J414+MATCH($K414,Listas!$F$5:$F$11,0)-1)</f>
        <v/>
      </c>
      <c r="M414" s="41"/>
      <c r="N414" s="36"/>
      <c r="O414" s="41"/>
      <c r="P414" s="35"/>
      <c r="Q414" s="35"/>
      <c r="R414" s="42" t="str">
        <f aca="true">IF($E414="","",IF($N414="Cancelada","Cancelada",IF(OR($M414&lt;&gt;"",$N414="Concluída"),IF(OR($L414="",$M414="",$M414&lt;=$L414),"Concluída","Concluída com atraso"),IF($L414="","Na carteira",IF($L414&lt;TODAY(),"VENCIDA",IF($N414="Em execução","Em execução",IF($L414=TODAY(),"Hoje","Programada")))))))</f>
        <v/>
      </c>
      <c r="S414" s="34" t="str">
        <f aca="false">IF($E414="","",IF(ISNUMBER(SEARCH("(externo)",$G414&amp;$H414&amp;$I414)),"Terceirizada","Interna"))</f>
        <v/>
      </c>
      <c r="T414" s="40" t="str">
        <f aca="false">IF($L414="","",IF($O414="",$L414,$O414))</f>
        <v/>
      </c>
      <c r="U414" s="34" t="str">
        <f aca="false">IF($E414="","",IF(OR($M414="",$L414=""),0,IF($M414&lt;=$L414,1,0)))</f>
        <v/>
      </c>
      <c r="V414" s="34" t="str">
        <f aca="false">IF($E414="","",IF(OR($M414="",$T414=""),0,IF($M414&lt;=$T414,1,0)))</f>
        <v/>
      </c>
      <c r="W414" s="42" t="str">
        <f aca="false">IF(OR($M414="",$L414=""),"",MAX(0,$M414-$L414))</f>
        <v/>
      </c>
      <c r="X414" s="34" t="str">
        <f aca="false">IF($E414="","",IF(AND($O414&lt;&gt;"",$L414&lt;&gt;"",$O414&lt;&gt;$L414),1,0))</f>
        <v/>
      </c>
      <c r="Y414" s="34" t="str">
        <f aca="false">IF($E414="","",IF($N414="Cancelada",0,IF(OR($M414&lt;&gt;"",$N414="Concluída"),1,0)))</f>
        <v/>
      </c>
    </row>
    <row r="415" customFormat="false" ht="15" hidden="false" customHeight="true" outlineLevel="0" collapsed="false">
      <c r="A415" s="34" t="str">
        <f aca="false">IF($E415="","",COUNTA($E$5:$E415))</f>
        <v/>
      </c>
      <c r="B415" s="35"/>
      <c r="C415" s="35"/>
      <c r="D415" s="35"/>
      <c r="E415" s="35"/>
      <c r="F415" s="36"/>
      <c r="G415" s="37"/>
      <c r="H415" s="37"/>
      <c r="I415" s="37"/>
      <c r="J415" s="38"/>
      <c r="K415" s="39"/>
      <c r="L415" s="40" t="str">
        <f aca="false">IF(OR($J415="",$K415=""),"",$J415+MATCH($K415,Listas!$F$5:$F$11,0)-1)</f>
        <v/>
      </c>
      <c r="M415" s="41"/>
      <c r="N415" s="36"/>
      <c r="O415" s="41"/>
      <c r="P415" s="35"/>
      <c r="Q415" s="35"/>
      <c r="R415" s="42" t="str">
        <f aca="true">IF($E415="","",IF($N415="Cancelada","Cancelada",IF(OR($M415&lt;&gt;"",$N415="Concluída"),IF(OR($L415="",$M415="",$M415&lt;=$L415),"Concluída","Concluída com atraso"),IF($L415="","Na carteira",IF($L415&lt;TODAY(),"VENCIDA",IF($N415="Em execução","Em execução",IF($L415=TODAY(),"Hoje","Programada")))))))</f>
        <v/>
      </c>
      <c r="S415" s="34" t="str">
        <f aca="false">IF($E415="","",IF(ISNUMBER(SEARCH("(externo)",$G415&amp;$H415&amp;$I415)),"Terceirizada","Interna"))</f>
        <v/>
      </c>
      <c r="T415" s="40" t="str">
        <f aca="false">IF($L415="","",IF($O415="",$L415,$O415))</f>
        <v/>
      </c>
      <c r="U415" s="34" t="str">
        <f aca="false">IF($E415="","",IF(OR($M415="",$L415=""),0,IF($M415&lt;=$L415,1,0)))</f>
        <v/>
      </c>
      <c r="V415" s="34" t="str">
        <f aca="false">IF($E415="","",IF(OR($M415="",$T415=""),0,IF($M415&lt;=$T415,1,0)))</f>
        <v/>
      </c>
      <c r="W415" s="42" t="str">
        <f aca="false">IF(OR($M415="",$L415=""),"",MAX(0,$M415-$L415))</f>
        <v/>
      </c>
      <c r="X415" s="34" t="str">
        <f aca="false">IF($E415="","",IF(AND($O415&lt;&gt;"",$L415&lt;&gt;"",$O415&lt;&gt;$L415),1,0))</f>
        <v/>
      </c>
      <c r="Y415" s="34" t="str">
        <f aca="false">IF($E415="","",IF($N415="Cancelada",0,IF(OR($M415&lt;&gt;"",$N415="Concluída"),1,0)))</f>
        <v/>
      </c>
    </row>
    <row r="416" customFormat="false" ht="15" hidden="false" customHeight="true" outlineLevel="0" collapsed="false">
      <c r="A416" s="34" t="str">
        <f aca="false">IF($E416="","",COUNTA($E$5:$E416))</f>
        <v/>
      </c>
      <c r="B416" s="35"/>
      <c r="C416" s="35"/>
      <c r="D416" s="35"/>
      <c r="E416" s="35"/>
      <c r="F416" s="36"/>
      <c r="G416" s="37"/>
      <c r="H416" s="37"/>
      <c r="I416" s="37"/>
      <c r="J416" s="38"/>
      <c r="K416" s="39"/>
      <c r="L416" s="40" t="str">
        <f aca="false">IF(OR($J416="",$K416=""),"",$J416+MATCH($K416,Listas!$F$5:$F$11,0)-1)</f>
        <v/>
      </c>
      <c r="M416" s="41"/>
      <c r="N416" s="36"/>
      <c r="O416" s="41"/>
      <c r="P416" s="35"/>
      <c r="Q416" s="35"/>
      <c r="R416" s="42" t="str">
        <f aca="true">IF($E416="","",IF($N416="Cancelada","Cancelada",IF(OR($M416&lt;&gt;"",$N416="Concluída"),IF(OR($L416="",$M416="",$M416&lt;=$L416),"Concluída","Concluída com atraso"),IF($L416="","Na carteira",IF($L416&lt;TODAY(),"VENCIDA",IF($N416="Em execução","Em execução",IF($L416=TODAY(),"Hoje","Programada")))))))</f>
        <v/>
      </c>
      <c r="S416" s="34" t="str">
        <f aca="false">IF($E416="","",IF(ISNUMBER(SEARCH("(externo)",$G416&amp;$H416&amp;$I416)),"Terceirizada","Interna"))</f>
        <v/>
      </c>
      <c r="T416" s="40" t="str">
        <f aca="false">IF($L416="","",IF($O416="",$L416,$O416))</f>
        <v/>
      </c>
      <c r="U416" s="34" t="str">
        <f aca="false">IF($E416="","",IF(OR($M416="",$L416=""),0,IF($M416&lt;=$L416,1,0)))</f>
        <v/>
      </c>
      <c r="V416" s="34" t="str">
        <f aca="false">IF($E416="","",IF(OR($M416="",$T416=""),0,IF($M416&lt;=$T416,1,0)))</f>
        <v/>
      </c>
      <c r="W416" s="42" t="str">
        <f aca="false">IF(OR($M416="",$L416=""),"",MAX(0,$M416-$L416))</f>
        <v/>
      </c>
      <c r="X416" s="34" t="str">
        <f aca="false">IF($E416="","",IF(AND($O416&lt;&gt;"",$L416&lt;&gt;"",$O416&lt;&gt;$L416),1,0))</f>
        <v/>
      </c>
      <c r="Y416" s="34" t="str">
        <f aca="false">IF($E416="","",IF($N416="Cancelada",0,IF(OR($M416&lt;&gt;"",$N416="Concluída"),1,0)))</f>
        <v/>
      </c>
    </row>
    <row r="417" customFormat="false" ht="15" hidden="false" customHeight="true" outlineLevel="0" collapsed="false">
      <c r="A417" s="34" t="str">
        <f aca="false">IF($E417="","",COUNTA($E$5:$E417))</f>
        <v/>
      </c>
      <c r="B417" s="35"/>
      <c r="C417" s="35"/>
      <c r="D417" s="35"/>
      <c r="E417" s="35"/>
      <c r="F417" s="36"/>
      <c r="G417" s="37"/>
      <c r="H417" s="37"/>
      <c r="I417" s="37"/>
      <c r="J417" s="38"/>
      <c r="K417" s="39"/>
      <c r="L417" s="40" t="str">
        <f aca="false">IF(OR($J417="",$K417=""),"",$J417+MATCH($K417,Listas!$F$5:$F$11,0)-1)</f>
        <v/>
      </c>
      <c r="M417" s="41"/>
      <c r="N417" s="36"/>
      <c r="O417" s="41"/>
      <c r="P417" s="35"/>
      <c r="Q417" s="35"/>
      <c r="R417" s="42" t="str">
        <f aca="true">IF($E417="","",IF($N417="Cancelada","Cancelada",IF(OR($M417&lt;&gt;"",$N417="Concluída"),IF(OR($L417="",$M417="",$M417&lt;=$L417),"Concluída","Concluída com atraso"),IF($L417="","Na carteira",IF($L417&lt;TODAY(),"VENCIDA",IF($N417="Em execução","Em execução",IF($L417=TODAY(),"Hoje","Programada")))))))</f>
        <v/>
      </c>
      <c r="S417" s="34" t="str">
        <f aca="false">IF($E417="","",IF(ISNUMBER(SEARCH("(externo)",$G417&amp;$H417&amp;$I417)),"Terceirizada","Interna"))</f>
        <v/>
      </c>
      <c r="T417" s="40" t="str">
        <f aca="false">IF($L417="","",IF($O417="",$L417,$O417))</f>
        <v/>
      </c>
      <c r="U417" s="34" t="str">
        <f aca="false">IF($E417="","",IF(OR($M417="",$L417=""),0,IF($M417&lt;=$L417,1,0)))</f>
        <v/>
      </c>
      <c r="V417" s="34" t="str">
        <f aca="false">IF($E417="","",IF(OR($M417="",$T417=""),0,IF($M417&lt;=$T417,1,0)))</f>
        <v/>
      </c>
      <c r="W417" s="42" t="str">
        <f aca="false">IF(OR($M417="",$L417=""),"",MAX(0,$M417-$L417))</f>
        <v/>
      </c>
      <c r="X417" s="34" t="str">
        <f aca="false">IF($E417="","",IF(AND($O417&lt;&gt;"",$L417&lt;&gt;"",$O417&lt;&gt;$L417),1,0))</f>
        <v/>
      </c>
      <c r="Y417" s="34" t="str">
        <f aca="false">IF($E417="","",IF($N417="Cancelada",0,IF(OR($M417&lt;&gt;"",$N417="Concluída"),1,0)))</f>
        <v/>
      </c>
    </row>
    <row r="418" customFormat="false" ht="15" hidden="false" customHeight="true" outlineLevel="0" collapsed="false">
      <c r="A418" s="34" t="str">
        <f aca="false">IF($E418="","",COUNTA($E$5:$E418))</f>
        <v/>
      </c>
      <c r="B418" s="35"/>
      <c r="C418" s="35"/>
      <c r="D418" s="35"/>
      <c r="E418" s="35"/>
      <c r="F418" s="36"/>
      <c r="G418" s="37"/>
      <c r="H418" s="37"/>
      <c r="I418" s="37"/>
      <c r="J418" s="38"/>
      <c r="K418" s="39"/>
      <c r="L418" s="40" t="str">
        <f aca="false">IF(OR($J418="",$K418=""),"",$J418+MATCH($K418,Listas!$F$5:$F$11,0)-1)</f>
        <v/>
      </c>
      <c r="M418" s="41"/>
      <c r="N418" s="36"/>
      <c r="O418" s="41"/>
      <c r="P418" s="35"/>
      <c r="Q418" s="35"/>
      <c r="R418" s="42" t="str">
        <f aca="true">IF($E418="","",IF($N418="Cancelada","Cancelada",IF(OR($M418&lt;&gt;"",$N418="Concluída"),IF(OR($L418="",$M418="",$M418&lt;=$L418),"Concluída","Concluída com atraso"),IF($L418="","Na carteira",IF($L418&lt;TODAY(),"VENCIDA",IF($N418="Em execução","Em execução",IF($L418=TODAY(),"Hoje","Programada")))))))</f>
        <v/>
      </c>
      <c r="S418" s="34" t="str">
        <f aca="false">IF($E418="","",IF(ISNUMBER(SEARCH("(externo)",$G418&amp;$H418&amp;$I418)),"Terceirizada","Interna"))</f>
        <v/>
      </c>
      <c r="T418" s="40" t="str">
        <f aca="false">IF($L418="","",IF($O418="",$L418,$O418))</f>
        <v/>
      </c>
      <c r="U418" s="34" t="str">
        <f aca="false">IF($E418="","",IF(OR($M418="",$L418=""),0,IF($M418&lt;=$L418,1,0)))</f>
        <v/>
      </c>
      <c r="V418" s="34" t="str">
        <f aca="false">IF($E418="","",IF(OR($M418="",$T418=""),0,IF($M418&lt;=$T418,1,0)))</f>
        <v/>
      </c>
      <c r="W418" s="42" t="str">
        <f aca="false">IF(OR($M418="",$L418=""),"",MAX(0,$M418-$L418))</f>
        <v/>
      </c>
      <c r="X418" s="34" t="str">
        <f aca="false">IF($E418="","",IF(AND($O418&lt;&gt;"",$L418&lt;&gt;"",$O418&lt;&gt;$L418),1,0))</f>
        <v/>
      </c>
      <c r="Y418" s="34" t="str">
        <f aca="false">IF($E418="","",IF($N418="Cancelada",0,IF(OR($M418&lt;&gt;"",$N418="Concluída"),1,0)))</f>
        <v/>
      </c>
    </row>
    <row r="419" customFormat="false" ht="15" hidden="false" customHeight="true" outlineLevel="0" collapsed="false">
      <c r="A419" s="34" t="str">
        <f aca="false">IF($E419="","",COUNTA($E$5:$E419))</f>
        <v/>
      </c>
      <c r="B419" s="35"/>
      <c r="C419" s="35"/>
      <c r="D419" s="35"/>
      <c r="E419" s="35"/>
      <c r="F419" s="36"/>
      <c r="G419" s="37"/>
      <c r="H419" s="37"/>
      <c r="I419" s="37"/>
      <c r="J419" s="38"/>
      <c r="K419" s="39"/>
      <c r="L419" s="40" t="str">
        <f aca="false">IF(OR($J419="",$K419=""),"",$J419+MATCH($K419,Listas!$F$5:$F$11,0)-1)</f>
        <v/>
      </c>
      <c r="M419" s="41"/>
      <c r="N419" s="36"/>
      <c r="O419" s="41"/>
      <c r="P419" s="35"/>
      <c r="Q419" s="35"/>
      <c r="R419" s="42" t="str">
        <f aca="true">IF($E419="","",IF($N419="Cancelada","Cancelada",IF(OR($M419&lt;&gt;"",$N419="Concluída"),IF(OR($L419="",$M419="",$M419&lt;=$L419),"Concluída","Concluída com atraso"),IF($L419="","Na carteira",IF($L419&lt;TODAY(),"VENCIDA",IF($N419="Em execução","Em execução",IF($L419=TODAY(),"Hoje","Programada")))))))</f>
        <v/>
      </c>
      <c r="S419" s="34" t="str">
        <f aca="false">IF($E419="","",IF(ISNUMBER(SEARCH("(externo)",$G419&amp;$H419&amp;$I419)),"Terceirizada","Interna"))</f>
        <v/>
      </c>
      <c r="T419" s="40" t="str">
        <f aca="false">IF($L419="","",IF($O419="",$L419,$O419))</f>
        <v/>
      </c>
      <c r="U419" s="34" t="str">
        <f aca="false">IF($E419="","",IF(OR($M419="",$L419=""),0,IF($M419&lt;=$L419,1,0)))</f>
        <v/>
      </c>
      <c r="V419" s="34" t="str">
        <f aca="false">IF($E419="","",IF(OR($M419="",$T419=""),0,IF($M419&lt;=$T419,1,0)))</f>
        <v/>
      </c>
      <c r="W419" s="42" t="str">
        <f aca="false">IF(OR($M419="",$L419=""),"",MAX(0,$M419-$L419))</f>
        <v/>
      </c>
      <c r="X419" s="34" t="str">
        <f aca="false">IF($E419="","",IF(AND($O419&lt;&gt;"",$L419&lt;&gt;"",$O419&lt;&gt;$L419),1,0))</f>
        <v/>
      </c>
      <c r="Y419" s="34" t="str">
        <f aca="false">IF($E419="","",IF($N419="Cancelada",0,IF(OR($M419&lt;&gt;"",$N419="Concluída"),1,0)))</f>
        <v/>
      </c>
    </row>
    <row r="420" customFormat="false" ht="15" hidden="false" customHeight="true" outlineLevel="0" collapsed="false">
      <c r="A420" s="34" t="str">
        <f aca="false">IF($E420="","",COUNTA($E$5:$E420))</f>
        <v/>
      </c>
      <c r="B420" s="35"/>
      <c r="C420" s="35"/>
      <c r="D420" s="35"/>
      <c r="E420" s="35"/>
      <c r="F420" s="36"/>
      <c r="G420" s="37"/>
      <c r="H420" s="37"/>
      <c r="I420" s="37"/>
      <c r="J420" s="38"/>
      <c r="K420" s="39"/>
      <c r="L420" s="40" t="str">
        <f aca="false">IF(OR($J420="",$K420=""),"",$J420+MATCH($K420,Listas!$F$5:$F$11,0)-1)</f>
        <v/>
      </c>
      <c r="M420" s="41"/>
      <c r="N420" s="36"/>
      <c r="O420" s="41"/>
      <c r="P420" s="35"/>
      <c r="Q420" s="35"/>
      <c r="R420" s="42" t="str">
        <f aca="true">IF($E420="","",IF($N420="Cancelada","Cancelada",IF(OR($M420&lt;&gt;"",$N420="Concluída"),IF(OR($L420="",$M420="",$M420&lt;=$L420),"Concluída","Concluída com atraso"),IF($L420="","Na carteira",IF($L420&lt;TODAY(),"VENCIDA",IF($N420="Em execução","Em execução",IF($L420=TODAY(),"Hoje","Programada")))))))</f>
        <v/>
      </c>
      <c r="S420" s="34" t="str">
        <f aca="false">IF($E420="","",IF(ISNUMBER(SEARCH("(externo)",$G420&amp;$H420&amp;$I420)),"Terceirizada","Interna"))</f>
        <v/>
      </c>
      <c r="T420" s="40" t="str">
        <f aca="false">IF($L420="","",IF($O420="",$L420,$O420))</f>
        <v/>
      </c>
      <c r="U420" s="34" t="str">
        <f aca="false">IF($E420="","",IF(OR($M420="",$L420=""),0,IF($M420&lt;=$L420,1,0)))</f>
        <v/>
      </c>
      <c r="V420" s="34" t="str">
        <f aca="false">IF($E420="","",IF(OR($M420="",$T420=""),0,IF($M420&lt;=$T420,1,0)))</f>
        <v/>
      </c>
      <c r="W420" s="42" t="str">
        <f aca="false">IF(OR($M420="",$L420=""),"",MAX(0,$M420-$L420))</f>
        <v/>
      </c>
      <c r="X420" s="34" t="str">
        <f aca="false">IF($E420="","",IF(AND($O420&lt;&gt;"",$L420&lt;&gt;"",$O420&lt;&gt;$L420),1,0))</f>
        <v/>
      </c>
      <c r="Y420" s="34" t="str">
        <f aca="false">IF($E420="","",IF($N420="Cancelada",0,IF(OR($M420&lt;&gt;"",$N420="Concluída"),1,0)))</f>
        <v/>
      </c>
    </row>
    <row r="421" customFormat="false" ht="15" hidden="false" customHeight="true" outlineLevel="0" collapsed="false">
      <c r="A421" s="34" t="str">
        <f aca="false">IF($E421="","",COUNTA($E$5:$E421))</f>
        <v/>
      </c>
      <c r="B421" s="35"/>
      <c r="C421" s="35"/>
      <c r="D421" s="35"/>
      <c r="E421" s="35"/>
      <c r="F421" s="36"/>
      <c r="G421" s="37"/>
      <c r="H421" s="37"/>
      <c r="I421" s="37"/>
      <c r="J421" s="38"/>
      <c r="K421" s="39"/>
      <c r="L421" s="40" t="str">
        <f aca="false">IF(OR($J421="",$K421=""),"",$J421+MATCH($K421,Listas!$F$5:$F$11,0)-1)</f>
        <v/>
      </c>
      <c r="M421" s="41"/>
      <c r="N421" s="36"/>
      <c r="O421" s="41"/>
      <c r="P421" s="35"/>
      <c r="Q421" s="35"/>
      <c r="R421" s="42" t="str">
        <f aca="true">IF($E421="","",IF($N421="Cancelada","Cancelada",IF(OR($M421&lt;&gt;"",$N421="Concluída"),IF(OR($L421="",$M421="",$M421&lt;=$L421),"Concluída","Concluída com atraso"),IF($L421="","Na carteira",IF($L421&lt;TODAY(),"VENCIDA",IF($N421="Em execução","Em execução",IF($L421=TODAY(),"Hoje","Programada")))))))</f>
        <v/>
      </c>
      <c r="S421" s="34" t="str">
        <f aca="false">IF($E421="","",IF(ISNUMBER(SEARCH("(externo)",$G421&amp;$H421&amp;$I421)),"Terceirizada","Interna"))</f>
        <v/>
      </c>
      <c r="T421" s="40" t="str">
        <f aca="false">IF($L421="","",IF($O421="",$L421,$O421))</f>
        <v/>
      </c>
      <c r="U421" s="34" t="str">
        <f aca="false">IF($E421="","",IF(OR($M421="",$L421=""),0,IF($M421&lt;=$L421,1,0)))</f>
        <v/>
      </c>
      <c r="V421" s="34" t="str">
        <f aca="false">IF($E421="","",IF(OR($M421="",$T421=""),0,IF($M421&lt;=$T421,1,0)))</f>
        <v/>
      </c>
      <c r="W421" s="42" t="str">
        <f aca="false">IF(OR($M421="",$L421=""),"",MAX(0,$M421-$L421))</f>
        <v/>
      </c>
      <c r="X421" s="34" t="str">
        <f aca="false">IF($E421="","",IF(AND($O421&lt;&gt;"",$L421&lt;&gt;"",$O421&lt;&gt;$L421),1,0))</f>
        <v/>
      </c>
      <c r="Y421" s="34" t="str">
        <f aca="false">IF($E421="","",IF($N421="Cancelada",0,IF(OR($M421&lt;&gt;"",$N421="Concluída"),1,0)))</f>
        <v/>
      </c>
    </row>
    <row r="422" customFormat="false" ht="15" hidden="false" customHeight="true" outlineLevel="0" collapsed="false">
      <c r="A422" s="34" t="str">
        <f aca="false">IF($E422="","",COUNTA($E$5:$E422))</f>
        <v/>
      </c>
      <c r="B422" s="35"/>
      <c r="C422" s="35"/>
      <c r="D422" s="35"/>
      <c r="E422" s="35"/>
      <c r="F422" s="36"/>
      <c r="G422" s="37"/>
      <c r="H422" s="37"/>
      <c r="I422" s="37"/>
      <c r="J422" s="38"/>
      <c r="K422" s="39"/>
      <c r="L422" s="40" t="str">
        <f aca="false">IF(OR($J422="",$K422=""),"",$J422+MATCH($K422,Listas!$F$5:$F$11,0)-1)</f>
        <v/>
      </c>
      <c r="M422" s="41"/>
      <c r="N422" s="36"/>
      <c r="O422" s="41"/>
      <c r="P422" s="35"/>
      <c r="Q422" s="35"/>
      <c r="R422" s="42" t="str">
        <f aca="true">IF($E422="","",IF($N422="Cancelada","Cancelada",IF(OR($M422&lt;&gt;"",$N422="Concluída"),IF(OR($L422="",$M422="",$M422&lt;=$L422),"Concluída","Concluída com atraso"),IF($L422="","Na carteira",IF($L422&lt;TODAY(),"VENCIDA",IF($N422="Em execução","Em execução",IF($L422=TODAY(),"Hoje","Programada")))))))</f>
        <v/>
      </c>
      <c r="S422" s="34" t="str">
        <f aca="false">IF($E422="","",IF(ISNUMBER(SEARCH("(externo)",$G422&amp;$H422&amp;$I422)),"Terceirizada","Interna"))</f>
        <v/>
      </c>
      <c r="T422" s="40" t="str">
        <f aca="false">IF($L422="","",IF($O422="",$L422,$O422))</f>
        <v/>
      </c>
      <c r="U422" s="34" t="str">
        <f aca="false">IF($E422="","",IF(OR($M422="",$L422=""),0,IF($M422&lt;=$L422,1,0)))</f>
        <v/>
      </c>
      <c r="V422" s="34" t="str">
        <f aca="false">IF($E422="","",IF(OR($M422="",$T422=""),0,IF($M422&lt;=$T422,1,0)))</f>
        <v/>
      </c>
      <c r="W422" s="42" t="str">
        <f aca="false">IF(OR($M422="",$L422=""),"",MAX(0,$M422-$L422))</f>
        <v/>
      </c>
      <c r="X422" s="34" t="str">
        <f aca="false">IF($E422="","",IF(AND($O422&lt;&gt;"",$L422&lt;&gt;"",$O422&lt;&gt;$L422),1,0))</f>
        <v/>
      </c>
      <c r="Y422" s="34" t="str">
        <f aca="false">IF($E422="","",IF($N422="Cancelada",0,IF(OR($M422&lt;&gt;"",$N422="Concluída"),1,0)))</f>
        <v/>
      </c>
    </row>
    <row r="423" customFormat="false" ht="15" hidden="false" customHeight="true" outlineLevel="0" collapsed="false">
      <c r="A423" s="34" t="str">
        <f aca="false">IF($E423="","",COUNTA($E$5:$E423))</f>
        <v/>
      </c>
      <c r="B423" s="35"/>
      <c r="C423" s="35"/>
      <c r="D423" s="35"/>
      <c r="E423" s="35"/>
      <c r="F423" s="36"/>
      <c r="G423" s="37"/>
      <c r="H423" s="37"/>
      <c r="I423" s="37"/>
      <c r="J423" s="38"/>
      <c r="K423" s="39"/>
      <c r="L423" s="40" t="str">
        <f aca="false">IF(OR($J423="",$K423=""),"",$J423+MATCH($K423,Listas!$F$5:$F$11,0)-1)</f>
        <v/>
      </c>
      <c r="M423" s="41"/>
      <c r="N423" s="36"/>
      <c r="O423" s="41"/>
      <c r="P423" s="35"/>
      <c r="Q423" s="35"/>
      <c r="R423" s="42" t="str">
        <f aca="true">IF($E423="","",IF($N423="Cancelada","Cancelada",IF(OR($M423&lt;&gt;"",$N423="Concluída"),IF(OR($L423="",$M423="",$M423&lt;=$L423),"Concluída","Concluída com atraso"),IF($L423="","Na carteira",IF($L423&lt;TODAY(),"VENCIDA",IF($N423="Em execução","Em execução",IF($L423=TODAY(),"Hoje","Programada")))))))</f>
        <v/>
      </c>
      <c r="S423" s="34" t="str">
        <f aca="false">IF($E423="","",IF(ISNUMBER(SEARCH("(externo)",$G423&amp;$H423&amp;$I423)),"Terceirizada","Interna"))</f>
        <v/>
      </c>
      <c r="T423" s="40" t="str">
        <f aca="false">IF($L423="","",IF($O423="",$L423,$O423))</f>
        <v/>
      </c>
      <c r="U423" s="34" t="str">
        <f aca="false">IF($E423="","",IF(OR($M423="",$L423=""),0,IF($M423&lt;=$L423,1,0)))</f>
        <v/>
      </c>
      <c r="V423" s="34" t="str">
        <f aca="false">IF($E423="","",IF(OR($M423="",$T423=""),0,IF($M423&lt;=$T423,1,0)))</f>
        <v/>
      </c>
      <c r="W423" s="42" t="str">
        <f aca="false">IF(OR($M423="",$L423=""),"",MAX(0,$M423-$L423))</f>
        <v/>
      </c>
      <c r="X423" s="34" t="str">
        <f aca="false">IF($E423="","",IF(AND($O423&lt;&gt;"",$L423&lt;&gt;"",$O423&lt;&gt;$L423),1,0))</f>
        <v/>
      </c>
      <c r="Y423" s="34" t="str">
        <f aca="false">IF($E423="","",IF($N423="Cancelada",0,IF(OR($M423&lt;&gt;"",$N423="Concluída"),1,0)))</f>
        <v/>
      </c>
    </row>
    <row r="424" customFormat="false" ht="15" hidden="false" customHeight="true" outlineLevel="0" collapsed="false">
      <c r="A424" s="34" t="str">
        <f aca="false">IF($E424="","",COUNTA($E$5:$E424))</f>
        <v/>
      </c>
      <c r="B424" s="35"/>
      <c r="C424" s="35"/>
      <c r="D424" s="35"/>
      <c r="E424" s="35"/>
      <c r="F424" s="36"/>
      <c r="G424" s="37"/>
      <c r="H424" s="37"/>
      <c r="I424" s="37"/>
      <c r="J424" s="38"/>
      <c r="K424" s="39"/>
      <c r="L424" s="40" t="str">
        <f aca="false">IF(OR($J424="",$K424=""),"",$J424+MATCH($K424,Listas!$F$5:$F$11,0)-1)</f>
        <v/>
      </c>
      <c r="M424" s="41"/>
      <c r="N424" s="36"/>
      <c r="O424" s="41"/>
      <c r="P424" s="35"/>
      <c r="Q424" s="35"/>
      <c r="R424" s="42" t="str">
        <f aca="true">IF($E424="","",IF($N424="Cancelada","Cancelada",IF(OR($M424&lt;&gt;"",$N424="Concluída"),IF(OR($L424="",$M424="",$M424&lt;=$L424),"Concluída","Concluída com atraso"),IF($L424="","Na carteira",IF($L424&lt;TODAY(),"VENCIDA",IF($N424="Em execução","Em execução",IF($L424=TODAY(),"Hoje","Programada")))))))</f>
        <v/>
      </c>
      <c r="S424" s="34" t="str">
        <f aca="false">IF($E424="","",IF(ISNUMBER(SEARCH("(externo)",$G424&amp;$H424&amp;$I424)),"Terceirizada","Interna"))</f>
        <v/>
      </c>
      <c r="T424" s="40" t="str">
        <f aca="false">IF($L424="","",IF($O424="",$L424,$O424))</f>
        <v/>
      </c>
      <c r="U424" s="34" t="str">
        <f aca="false">IF($E424="","",IF(OR($M424="",$L424=""),0,IF($M424&lt;=$L424,1,0)))</f>
        <v/>
      </c>
      <c r="V424" s="34" t="str">
        <f aca="false">IF($E424="","",IF(OR($M424="",$T424=""),0,IF($M424&lt;=$T424,1,0)))</f>
        <v/>
      </c>
      <c r="W424" s="42" t="str">
        <f aca="false">IF(OR($M424="",$L424=""),"",MAX(0,$M424-$L424))</f>
        <v/>
      </c>
      <c r="X424" s="34" t="str">
        <f aca="false">IF($E424="","",IF(AND($O424&lt;&gt;"",$L424&lt;&gt;"",$O424&lt;&gt;$L424),1,0))</f>
        <v/>
      </c>
      <c r="Y424" s="34" t="str">
        <f aca="false">IF($E424="","",IF($N424="Cancelada",0,IF(OR($M424&lt;&gt;"",$N424="Concluída"),1,0)))</f>
        <v/>
      </c>
    </row>
    <row r="425" customFormat="false" ht="15" hidden="false" customHeight="true" outlineLevel="0" collapsed="false">
      <c r="A425" s="34" t="str">
        <f aca="false">IF($E425="","",COUNTA($E$5:$E425))</f>
        <v/>
      </c>
      <c r="B425" s="35"/>
      <c r="C425" s="35"/>
      <c r="D425" s="35"/>
      <c r="E425" s="35"/>
      <c r="F425" s="36"/>
      <c r="G425" s="37"/>
      <c r="H425" s="37"/>
      <c r="I425" s="37"/>
      <c r="J425" s="38"/>
      <c r="K425" s="39"/>
      <c r="L425" s="40" t="str">
        <f aca="false">IF(OR($J425="",$K425=""),"",$J425+MATCH($K425,Listas!$F$5:$F$11,0)-1)</f>
        <v/>
      </c>
      <c r="M425" s="41"/>
      <c r="N425" s="36"/>
      <c r="O425" s="41"/>
      <c r="P425" s="35"/>
      <c r="Q425" s="35"/>
      <c r="R425" s="42" t="str">
        <f aca="true">IF($E425="","",IF($N425="Cancelada","Cancelada",IF(OR($M425&lt;&gt;"",$N425="Concluída"),IF(OR($L425="",$M425="",$M425&lt;=$L425),"Concluída","Concluída com atraso"),IF($L425="","Na carteira",IF($L425&lt;TODAY(),"VENCIDA",IF($N425="Em execução","Em execução",IF($L425=TODAY(),"Hoje","Programada")))))))</f>
        <v/>
      </c>
      <c r="S425" s="34" t="str">
        <f aca="false">IF($E425="","",IF(ISNUMBER(SEARCH("(externo)",$G425&amp;$H425&amp;$I425)),"Terceirizada","Interna"))</f>
        <v/>
      </c>
      <c r="T425" s="40" t="str">
        <f aca="false">IF($L425="","",IF($O425="",$L425,$O425))</f>
        <v/>
      </c>
      <c r="U425" s="34" t="str">
        <f aca="false">IF($E425="","",IF(OR($M425="",$L425=""),0,IF($M425&lt;=$L425,1,0)))</f>
        <v/>
      </c>
      <c r="V425" s="34" t="str">
        <f aca="false">IF($E425="","",IF(OR($M425="",$T425=""),0,IF($M425&lt;=$T425,1,0)))</f>
        <v/>
      </c>
      <c r="W425" s="42" t="str">
        <f aca="false">IF(OR($M425="",$L425=""),"",MAX(0,$M425-$L425))</f>
        <v/>
      </c>
      <c r="X425" s="34" t="str">
        <f aca="false">IF($E425="","",IF(AND($O425&lt;&gt;"",$L425&lt;&gt;"",$O425&lt;&gt;$L425),1,0))</f>
        <v/>
      </c>
      <c r="Y425" s="34" t="str">
        <f aca="false">IF($E425="","",IF($N425="Cancelada",0,IF(OR($M425&lt;&gt;"",$N425="Concluída"),1,0)))</f>
        <v/>
      </c>
    </row>
    <row r="426" customFormat="false" ht="15" hidden="false" customHeight="true" outlineLevel="0" collapsed="false">
      <c r="A426" s="34" t="str">
        <f aca="false">IF($E426="","",COUNTA($E$5:$E426))</f>
        <v/>
      </c>
      <c r="B426" s="35"/>
      <c r="C426" s="35"/>
      <c r="D426" s="35"/>
      <c r="E426" s="35"/>
      <c r="F426" s="36"/>
      <c r="G426" s="37"/>
      <c r="H426" s="37"/>
      <c r="I426" s="37"/>
      <c r="J426" s="38"/>
      <c r="K426" s="39"/>
      <c r="L426" s="40" t="str">
        <f aca="false">IF(OR($J426="",$K426=""),"",$J426+MATCH($K426,Listas!$F$5:$F$11,0)-1)</f>
        <v/>
      </c>
      <c r="M426" s="41"/>
      <c r="N426" s="36"/>
      <c r="O426" s="41"/>
      <c r="P426" s="35"/>
      <c r="Q426" s="35"/>
      <c r="R426" s="42" t="str">
        <f aca="true">IF($E426="","",IF($N426="Cancelada","Cancelada",IF(OR($M426&lt;&gt;"",$N426="Concluída"),IF(OR($L426="",$M426="",$M426&lt;=$L426),"Concluída","Concluída com atraso"),IF($L426="","Na carteira",IF($L426&lt;TODAY(),"VENCIDA",IF($N426="Em execução","Em execução",IF($L426=TODAY(),"Hoje","Programada")))))))</f>
        <v/>
      </c>
      <c r="S426" s="34" t="str">
        <f aca="false">IF($E426="","",IF(ISNUMBER(SEARCH("(externo)",$G426&amp;$H426&amp;$I426)),"Terceirizada","Interna"))</f>
        <v/>
      </c>
      <c r="T426" s="40" t="str">
        <f aca="false">IF($L426="","",IF($O426="",$L426,$O426))</f>
        <v/>
      </c>
      <c r="U426" s="34" t="str">
        <f aca="false">IF($E426="","",IF(OR($M426="",$L426=""),0,IF($M426&lt;=$L426,1,0)))</f>
        <v/>
      </c>
      <c r="V426" s="34" t="str">
        <f aca="false">IF($E426="","",IF(OR($M426="",$T426=""),0,IF($M426&lt;=$T426,1,0)))</f>
        <v/>
      </c>
      <c r="W426" s="42" t="str">
        <f aca="false">IF(OR($M426="",$L426=""),"",MAX(0,$M426-$L426))</f>
        <v/>
      </c>
      <c r="X426" s="34" t="str">
        <f aca="false">IF($E426="","",IF(AND($O426&lt;&gt;"",$L426&lt;&gt;"",$O426&lt;&gt;$L426),1,0))</f>
        <v/>
      </c>
      <c r="Y426" s="34" t="str">
        <f aca="false">IF($E426="","",IF($N426="Cancelada",0,IF(OR($M426&lt;&gt;"",$N426="Concluída"),1,0)))</f>
        <v/>
      </c>
    </row>
    <row r="427" customFormat="false" ht="15" hidden="false" customHeight="true" outlineLevel="0" collapsed="false">
      <c r="A427" s="34" t="str">
        <f aca="false">IF($E427="","",COUNTA($E$5:$E427))</f>
        <v/>
      </c>
      <c r="B427" s="35"/>
      <c r="C427" s="35"/>
      <c r="D427" s="35"/>
      <c r="E427" s="35"/>
      <c r="F427" s="36"/>
      <c r="G427" s="37"/>
      <c r="H427" s="37"/>
      <c r="I427" s="37"/>
      <c r="J427" s="38"/>
      <c r="K427" s="39"/>
      <c r="L427" s="40" t="str">
        <f aca="false">IF(OR($J427="",$K427=""),"",$J427+MATCH($K427,Listas!$F$5:$F$11,0)-1)</f>
        <v/>
      </c>
      <c r="M427" s="41"/>
      <c r="N427" s="36"/>
      <c r="O427" s="41"/>
      <c r="P427" s="35"/>
      <c r="Q427" s="35"/>
      <c r="R427" s="42" t="str">
        <f aca="true">IF($E427="","",IF($N427="Cancelada","Cancelada",IF(OR($M427&lt;&gt;"",$N427="Concluída"),IF(OR($L427="",$M427="",$M427&lt;=$L427),"Concluída","Concluída com atraso"),IF($L427="","Na carteira",IF($L427&lt;TODAY(),"VENCIDA",IF($N427="Em execução","Em execução",IF($L427=TODAY(),"Hoje","Programada")))))))</f>
        <v/>
      </c>
      <c r="S427" s="34" t="str">
        <f aca="false">IF($E427="","",IF(ISNUMBER(SEARCH("(externo)",$G427&amp;$H427&amp;$I427)),"Terceirizada","Interna"))</f>
        <v/>
      </c>
      <c r="T427" s="40" t="str">
        <f aca="false">IF($L427="","",IF($O427="",$L427,$O427))</f>
        <v/>
      </c>
      <c r="U427" s="34" t="str">
        <f aca="false">IF($E427="","",IF(OR($M427="",$L427=""),0,IF($M427&lt;=$L427,1,0)))</f>
        <v/>
      </c>
      <c r="V427" s="34" t="str">
        <f aca="false">IF($E427="","",IF(OR($M427="",$T427=""),0,IF($M427&lt;=$T427,1,0)))</f>
        <v/>
      </c>
      <c r="W427" s="42" t="str">
        <f aca="false">IF(OR($M427="",$L427=""),"",MAX(0,$M427-$L427))</f>
        <v/>
      </c>
      <c r="X427" s="34" t="str">
        <f aca="false">IF($E427="","",IF(AND($O427&lt;&gt;"",$L427&lt;&gt;"",$O427&lt;&gt;$L427),1,0))</f>
        <v/>
      </c>
      <c r="Y427" s="34" t="str">
        <f aca="false">IF($E427="","",IF($N427="Cancelada",0,IF(OR($M427&lt;&gt;"",$N427="Concluída"),1,0)))</f>
        <v/>
      </c>
    </row>
    <row r="428" customFormat="false" ht="15" hidden="false" customHeight="true" outlineLevel="0" collapsed="false">
      <c r="A428" s="34" t="str">
        <f aca="false">IF($E428="","",COUNTA($E$5:$E428))</f>
        <v/>
      </c>
      <c r="B428" s="35"/>
      <c r="C428" s="35"/>
      <c r="D428" s="35"/>
      <c r="E428" s="35"/>
      <c r="F428" s="36"/>
      <c r="G428" s="37"/>
      <c r="H428" s="37"/>
      <c r="I428" s="37"/>
      <c r="J428" s="38"/>
      <c r="K428" s="39"/>
      <c r="L428" s="40" t="str">
        <f aca="false">IF(OR($J428="",$K428=""),"",$J428+MATCH($K428,Listas!$F$5:$F$11,0)-1)</f>
        <v/>
      </c>
      <c r="M428" s="41"/>
      <c r="N428" s="36"/>
      <c r="O428" s="41"/>
      <c r="P428" s="35"/>
      <c r="Q428" s="35"/>
      <c r="R428" s="42" t="str">
        <f aca="true">IF($E428="","",IF($N428="Cancelada","Cancelada",IF(OR($M428&lt;&gt;"",$N428="Concluída"),IF(OR($L428="",$M428="",$M428&lt;=$L428),"Concluída","Concluída com atraso"),IF($L428="","Na carteira",IF($L428&lt;TODAY(),"VENCIDA",IF($N428="Em execução","Em execução",IF($L428=TODAY(),"Hoje","Programada")))))))</f>
        <v/>
      </c>
      <c r="S428" s="34" t="str">
        <f aca="false">IF($E428="","",IF(ISNUMBER(SEARCH("(externo)",$G428&amp;$H428&amp;$I428)),"Terceirizada","Interna"))</f>
        <v/>
      </c>
      <c r="T428" s="40" t="str">
        <f aca="false">IF($L428="","",IF($O428="",$L428,$O428))</f>
        <v/>
      </c>
      <c r="U428" s="34" t="str">
        <f aca="false">IF($E428="","",IF(OR($M428="",$L428=""),0,IF($M428&lt;=$L428,1,0)))</f>
        <v/>
      </c>
      <c r="V428" s="34" t="str">
        <f aca="false">IF($E428="","",IF(OR($M428="",$T428=""),0,IF($M428&lt;=$T428,1,0)))</f>
        <v/>
      </c>
      <c r="W428" s="42" t="str">
        <f aca="false">IF(OR($M428="",$L428=""),"",MAX(0,$M428-$L428))</f>
        <v/>
      </c>
      <c r="X428" s="34" t="str">
        <f aca="false">IF($E428="","",IF(AND($O428&lt;&gt;"",$L428&lt;&gt;"",$O428&lt;&gt;$L428),1,0))</f>
        <v/>
      </c>
      <c r="Y428" s="34" t="str">
        <f aca="false">IF($E428="","",IF($N428="Cancelada",0,IF(OR($M428&lt;&gt;"",$N428="Concluída"),1,0)))</f>
        <v/>
      </c>
    </row>
    <row r="429" customFormat="false" ht="15" hidden="false" customHeight="true" outlineLevel="0" collapsed="false">
      <c r="A429" s="34" t="str">
        <f aca="false">IF($E429="","",COUNTA($E$5:$E429))</f>
        <v/>
      </c>
      <c r="B429" s="35"/>
      <c r="C429" s="35"/>
      <c r="D429" s="35"/>
      <c r="E429" s="35"/>
      <c r="F429" s="36"/>
      <c r="G429" s="37"/>
      <c r="H429" s="37"/>
      <c r="I429" s="37"/>
      <c r="J429" s="38"/>
      <c r="K429" s="39"/>
      <c r="L429" s="40" t="str">
        <f aca="false">IF(OR($J429="",$K429=""),"",$J429+MATCH($K429,Listas!$F$5:$F$11,0)-1)</f>
        <v/>
      </c>
      <c r="M429" s="41"/>
      <c r="N429" s="36"/>
      <c r="O429" s="41"/>
      <c r="P429" s="35"/>
      <c r="Q429" s="35"/>
      <c r="R429" s="42" t="str">
        <f aca="true">IF($E429="","",IF($N429="Cancelada","Cancelada",IF(OR($M429&lt;&gt;"",$N429="Concluída"),IF(OR($L429="",$M429="",$M429&lt;=$L429),"Concluída","Concluída com atraso"),IF($L429="","Na carteira",IF($L429&lt;TODAY(),"VENCIDA",IF($N429="Em execução","Em execução",IF($L429=TODAY(),"Hoje","Programada")))))))</f>
        <v/>
      </c>
      <c r="S429" s="34" t="str">
        <f aca="false">IF($E429="","",IF(ISNUMBER(SEARCH("(externo)",$G429&amp;$H429&amp;$I429)),"Terceirizada","Interna"))</f>
        <v/>
      </c>
      <c r="T429" s="40" t="str">
        <f aca="false">IF($L429="","",IF($O429="",$L429,$O429))</f>
        <v/>
      </c>
      <c r="U429" s="34" t="str">
        <f aca="false">IF($E429="","",IF(OR($M429="",$L429=""),0,IF($M429&lt;=$L429,1,0)))</f>
        <v/>
      </c>
      <c r="V429" s="34" t="str">
        <f aca="false">IF($E429="","",IF(OR($M429="",$T429=""),0,IF($M429&lt;=$T429,1,0)))</f>
        <v/>
      </c>
      <c r="W429" s="42" t="str">
        <f aca="false">IF(OR($M429="",$L429=""),"",MAX(0,$M429-$L429))</f>
        <v/>
      </c>
      <c r="X429" s="34" t="str">
        <f aca="false">IF($E429="","",IF(AND($O429&lt;&gt;"",$L429&lt;&gt;"",$O429&lt;&gt;$L429),1,0))</f>
        <v/>
      </c>
      <c r="Y429" s="34" t="str">
        <f aca="false">IF($E429="","",IF($N429="Cancelada",0,IF(OR($M429&lt;&gt;"",$N429="Concluída"),1,0)))</f>
        <v/>
      </c>
    </row>
    <row r="430" customFormat="false" ht="15" hidden="false" customHeight="true" outlineLevel="0" collapsed="false">
      <c r="A430" s="34" t="str">
        <f aca="false">IF($E430="","",COUNTA($E$5:$E430))</f>
        <v/>
      </c>
      <c r="B430" s="35"/>
      <c r="C430" s="35"/>
      <c r="D430" s="35"/>
      <c r="E430" s="35"/>
      <c r="F430" s="36"/>
      <c r="G430" s="37"/>
      <c r="H430" s="37"/>
      <c r="I430" s="37"/>
      <c r="J430" s="38"/>
      <c r="K430" s="39"/>
      <c r="L430" s="40" t="str">
        <f aca="false">IF(OR($J430="",$K430=""),"",$J430+MATCH($K430,Listas!$F$5:$F$11,0)-1)</f>
        <v/>
      </c>
      <c r="M430" s="41"/>
      <c r="N430" s="36"/>
      <c r="O430" s="41"/>
      <c r="P430" s="35"/>
      <c r="Q430" s="35"/>
      <c r="R430" s="42" t="str">
        <f aca="true">IF($E430="","",IF($N430="Cancelada","Cancelada",IF(OR($M430&lt;&gt;"",$N430="Concluída"),IF(OR($L430="",$M430="",$M430&lt;=$L430),"Concluída","Concluída com atraso"),IF($L430="","Na carteira",IF($L430&lt;TODAY(),"VENCIDA",IF($N430="Em execução","Em execução",IF($L430=TODAY(),"Hoje","Programada")))))))</f>
        <v/>
      </c>
      <c r="S430" s="34" t="str">
        <f aca="false">IF($E430="","",IF(ISNUMBER(SEARCH("(externo)",$G430&amp;$H430&amp;$I430)),"Terceirizada","Interna"))</f>
        <v/>
      </c>
      <c r="T430" s="40" t="str">
        <f aca="false">IF($L430="","",IF($O430="",$L430,$O430))</f>
        <v/>
      </c>
      <c r="U430" s="34" t="str">
        <f aca="false">IF($E430="","",IF(OR($M430="",$L430=""),0,IF($M430&lt;=$L430,1,0)))</f>
        <v/>
      </c>
      <c r="V430" s="34" t="str">
        <f aca="false">IF($E430="","",IF(OR($M430="",$T430=""),0,IF($M430&lt;=$T430,1,0)))</f>
        <v/>
      </c>
      <c r="W430" s="42" t="str">
        <f aca="false">IF(OR($M430="",$L430=""),"",MAX(0,$M430-$L430))</f>
        <v/>
      </c>
      <c r="X430" s="34" t="str">
        <f aca="false">IF($E430="","",IF(AND($O430&lt;&gt;"",$L430&lt;&gt;"",$O430&lt;&gt;$L430),1,0))</f>
        <v/>
      </c>
      <c r="Y430" s="34" t="str">
        <f aca="false">IF($E430="","",IF($N430="Cancelada",0,IF(OR($M430&lt;&gt;"",$N430="Concluída"),1,0)))</f>
        <v/>
      </c>
    </row>
    <row r="431" customFormat="false" ht="15" hidden="false" customHeight="true" outlineLevel="0" collapsed="false">
      <c r="A431" s="34" t="str">
        <f aca="false">IF($E431="","",COUNTA($E$5:$E431))</f>
        <v/>
      </c>
      <c r="B431" s="35"/>
      <c r="C431" s="35"/>
      <c r="D431" s="35"/>
      <c r="E431" s="35"/>
      <c r="F431" s="36"/>
      <c r="G431" s="37"/>
      <c r="H431" s="37"/>
      <c r="I431" s="37"/>
      <c r="J431" s="38"/>
      <c r="K431" s="39"/>
      <c r="L431" s="40" t="str">
        <f aca="false">IF(OR($J431="",$K431=""),"",$J431+MATCH($K431,Listas!$F$5:$F$11,0)-1)</f>
        <v/>
      </c>
      <c r="M431" s="41"/>
      <c r="N431" s="36"/>
      <c r="O431" s="41"/>
      <c r="P431" s="35"/>
      <c r="Q431" s="35"/>
      <c r="R431" s="42" t="str">
        <f aca="true">IF($E431="","",IF($N431="Cancelada","Cancelada",IF(OR($M431&lt;&gt;"",$N431="Concluída"),IF(OR($L431="",$M431="",$M431&lt;=$L431),"Concluída","Concluída com atraso"),IF($L431="","Na carteira",IF($L431&lt;TODAY(),"VENCIDA",IF($N431="Em execução","Em execução",IF($L431=TODAY(),"Hoje","Programada")))))))</f>
        <v/>
      </c>
      <c r="S431" s="34" t="str">
        <f aca="false">IF($E431="","",IF(ISNUMBER(SEARCH("(externo)",$G431&amp;$H431&amp;$I431)),"Terceirizada","Interna"))</f>
        <v/>
      </c>
      <c r="T431" s="40" t="str">
        <f aca="false">IF($L431="","",IF($O431="",$L431,$O431))</f>
        <v/>
      </c>
      <c r="U431" s="34" t="str">
        <f aca="false">IF($E431="","",IF(OR($M431="",$L431=""),0,IF($M431&lt;=$L431,1,0)))</f>
        <v/>
      </c>
      <c r="V431" s="34" t="str">
        <f aca="false">IF($E431="","",IF(OR($M431="",$T431=""),0,IF($M431&lt;=$T431,1,0)))</f>
        <v/>
      </c>
      <c r="W431" s="42" t="str">
        <f aca="false">IF(OR($M431="",$L431=""),"",MAX(0,$M431-$L431))</f>
        <v/>
      </c>
      <c r="X431" s="34" t="str">
        <f aca="false">IF($E431="","",IF(AND($O431&lt;&gt;"",$L431&lt;&gt;"",$O431&lt;&gt;$L431),1,0))</f>
        <v/>
      </c>
      <c r="Y431" s="34" t="str">
        <f aca="false">IF($E431="","",IF($N431="Cancelada",0,IF(OR($M431&lt;&gt;"",$N431="Concluída"),1,0)))</f>
        <v/>
      </c>
    </row>
    <row r="432" customFormat="false" ht="15" hidden="false" customHeight="true" outlineLevel="0" collapsed="false">
      <c r="A432" s="34" t="str">
        <f aca="false">IF($E432="","",COUNTA($E$5:$E432))</f>
        <v/>
      </c>
      <c r="B432" s="35"/>
      <c r="C432" s="35"/>
      <c r="D432" s="35"/>
      <c r="E432" s="35"/>
      <c r="F432" s="36"/>
      <c r="G432" s="37"/>
      <c r="H432" s="37"/>
      <c r="I432" s="37"/>
      <c r="J432" s="38"/>
      <c r="K432" s="39"/>
      <c r="L432" s="40" t="str">
        <f aca="false">IF(OR($J432="",$K432=""),"",$J432+MATCH($K432,Listas!$F$5:$F$11,0)-1)</f>
        <v/>
      </c>
      <c r="M432" s="41"/>
      <c r="N432" s="36"/>
      <c r="O432" s="41"/>
      <c r="P432" s="35"/>
      <c r="Q432" s="35"/>
      <c r="R432" s="42" t="str">
        <f aca="true">IF($E432="","",IF($N432="Cancelada","Cancelada",IF(OR($M432&lt;&gt;"",$N432="Concluída"),IF(OR($L432="",$M432="",$M432&lt;=$L432),"Concluída","Concluída com atraso"),IF($L432="","Na carteira",IF($L432&lt;TODAY(),"VENCIDA",IF($N432="Em execução","Em execução",IF($L432=TODAY(),"Hoje","Programada")))))))</f>
        <v/>
      </c>
      <c r="S432" s="34" t="str">
        <f aca="false">IF($E432="","",IF(ISNUMBER(SEARCH("(externo)",$G432&amp;$H432&amp;$I432)),"Terceirizada","Interna"))</f>
        <v/>
      </c>
      <c r="T432" s="40" t="str">
        <f aca="false">IF($L432="","",IF($O432="",$L432,$O432))</f>
        <v/>
      </c>
      <c r="U432" s="34" t="str">
        <f aca="false">IF($E432="","",IF(OR($M432="",$L432=""),0,IF($M432&lt;=$L432,1,0)))</f>
        <v/>
      </c>
      <c r="V432" s="34" t="str">
        <f aca="false">IF($E432="","",IF(OR($M432="",$T432=""),0,IF($M432&lt;=$T432,1,0)))</f>
        <v/>
      </c>
      <c r="W432" s="42" t="str">
        <f aca="false">IF(OR($M432="",$L432=""),"",MAX(0,$M432-$L432))</f>
        <v/>
      </c>
      <c r="X432" s="34" t="str">
        <f aca="false">IF($E432="","",IF(AND($O432&lt;&gt;"",$L432&lt;&gt;"",$O432&lt;&gt;$L432),1,0))</f>
        <v/>
      </c>
      <c r="Y432" s="34" t="str">
        <f aca="false">IF($E432="","",IF($N432="Cancelada",0,IF(OR($M432&lt;&gt;"",$N432="Concluída"),1,0)))</f>
        <v/>
      </c>
    </row>
    <row r="433" customFormat="false" ht="15" hidden="false" customHeight="true" outlineLevel="0" collapsed="false">
      <c r="A433" s="34" t="str">
        <f aca="false">IF($E433="","",COUNTA($E$5:$E433))</f>
        <v/>
      </c>
      <c r="B433" s="35"/>
      <c r="C433" s="35"/>
      <c r="D433" s="35"/>
      <c r="E433" s="35"/>
      <c r="F433" s="36"/>
      <c r="G433" s="37"/>
      <c r="H433" s="37"/>
      <c r="I433" s="37"/>
      <c r="J433" s="38"/>
      <c r="K433" s="39"/>
      <c r="L433" s="40" t="str">
        <f aca="false">IF(OR($J433="",$K433=""),"",$J433+MATCH($K433,Listas!$F$5:$F$11,0)-1)</f>
        <v/>
      </c>
      <c r="M433" s="41"/>
      <c r="N433" s="36"/>
      <c r="O433" s="41"/>
      <c r="P433" s="35"/>
      <c r="Q433" s="35"/>
      <c r="R433" s="42" t="str">
        <f aca="true">IF($E433="","",IF($N433="Cancelada","Cancelada",IF(OR($M433&lt;&gt;"",$N433="Concluída"),IF(OR($L433="",$M433="",$M433&lt;=$L433),"Concluída","Concluída com atraso"),IF($L433="","Na carteira",IF($L433&lt;TODAY(),"VENCIDA",IF($N433="Em execução","Em execução",IF($L433=TODAY(),"Hoje","Programada")))))))</f>
        <v/>
      </c>
      <c r="S433" s="34" t="str">
        <f aca="false">IF($E433="","",IF(ISNUMBER(SEARCH("(externo)",$G433&amp;$H433&amp;$I433)),"Terceirizada","Interna"))</f>
        <v/>
      </c>
      <c r="T433" s="40" t="str">
        <f aca="false">IF($L433="","",IF($O433="",$L433,$O433))</f>
        <v/>
      </c>
      <c r="U433" s="34" t="str">
        <f aca="false">IF($E433="","",IF(OR($M433="",$L433=""),0,IF($M433&lt;=$L433,1,0)))</f>
        <v/>
      </c>
      <c r="V433" s="34" t="str">
        <f aca="false">IF($E433="","",IF(OR($M433="",$T433=""),0,IF($M433&lt;=$T433,1,0)))</f>
        <v/>
      </c>
      <c r="W433" s="42" t="str">
        <f aca="false">IF(OR($M433="",$L433=""),"",MAX(0,$M433-$L433))</f>
        <v/>
      </c>
      <c r="X433" s="34" t="str">
        <f aca="false">IF($E433="","",IF(AND($O433&lt;&gt;"",$L433&lt;&gt;"",$O433&lt;&gt;$L433),1,0))</f>
        <v/>
      </c>
      <c r="Y433" s="34" t="str">
        <f aca="false">IF($E433="","",IF($N433="Cancelada",0,IF(OR($M433&lt;&gt;"",$N433="Concluída"),1,0)))</f>
        <v/>
      </c>
    </row>
    <row r="434" customFormat="false" ht="15" hidden="false" customHeight="true" outlineLevel="0" collapsed="false">
      <c r="A434" s="34" t="str">
        <f aca="false">IF($E434="","",COUNTA($E$5:$E434))</f>
        <v/>
      </c>
      <c r="B434" s="35"/>
      <c r="C434" s="35"/>
      <c r="D434" s="35"/>
      <c r="E434" s="35"/>
      <c r="F434" s="36"/>
      <c r="G434" s="37"/>
      <c r="H434" s="37"/>
      <c r="I434" s="37"/>
      <c r="J434" s="38"/>
      <c r="K434" s="39"/>
      <c r="L434" s="40" t="str">
        <f aca="false">IF(OR($J434="",$K434=""),"",$J434+MATCH($K434,Listas!$F$5:$F$11,0)-1)</f>
        <v/>
      </c>
      <c r="M434" s="41"/>
      <c r="N434" s="36"/>
      <c r="O434" s="41"/>
      <c r="P434" s="35"/>
      <c r="Q434" s="35"/>
      <c r="R434" s="42" t="str">
        <f aca="true">IF($E434="","",IF($N434="Cancelada","Cancelada",IF(OR($M434&lt;&gt;"",$N434="Concluída"),IF(OR($L434="",$M434="",$M434&lt;=$L434),"Concluída","Concluída com atraso"),IF($L434="","Na carteira",IF($L434&lt;TODAY(),"VENCIDA",IF($N434="Em execução","Em execução",IF($L434=TODAY(),"Hoje","Programada")))))))</f>
        <v/>
      </c>
      <c r="S434" s="34" t="str">
        <f aca="false">IF($E434="","",IF(ISNUMBER(SEARCH("(externo)",$G434&amp;$H434&amp;$I434)),"Terceirizada","Interna"))</f>
        <v/>
      </c>
      <c r="T434" s="40" t="str">
        <f aca="false">IF($L434="","",IF($O434="",$L434,$O434))</f>
        <v/>
      </c>
      <c r="U434" s="34" t="str">
        <f aca="false">IF($E434="","",IF(OR($M434="",$L434=""),0,IF($M434&lt;=$L434,1,0)))</f>
        <v/>
      </c>
      <c r="V434" s="34" t="str">
        <f aca="false">IF($E434="","",IF(OR($M434="",$T434=""),0,IF($M434&lt;=$T434,1,0)))</f>
        <v/>
      </c>
      <c r="W434" s="42" t="str">
        <f aca="false">IF(OR($M434="",$L434=""),"",MAX(0,$M434-$L434))</f>
        <v/>
      </c>
      <c r="X434" s="34" t="str">
        <f aca="false">IF($E434="","",IF(AND($O434&lt;&gt;"",$L434&lt;&gt;"",$O434&lt;&gt;$L434),1,0))</f>
        <v/>
      </c>
      <c r="Y434" s="34" t="str">
        <f aca="false">IF($E434="","",IF($N434="Cancelada",0,IF(OR($M434&lt;&gt;"",$N434="Concluída"),1,0)))</f>
        <v/>
      </c>
    </row>
    <row r="435" customFormat="false" ht="15" hidden="false" customHeight="true" outlineLevel="0" collapsed="false">
      <c r="A435" s="34" t="str">
        <f aca="false">IF($E435="","",COUNTA($E$5:$E435))</f>
        <v/>
      </c>
      <c r="B435" s="35"/>
      <c r="C435" s="35"/>
      <c r="D435" s="35"/>
      <c r="E435" s="35"/>
      <c r="F435" s="36"/>
      <c r="G435" s="37"/>
      <c r="H435" s="37"/>
      <c r="I435" s="37"/>
      <c r="J435" s="38"/>
      <c r="K435" s="39"/>
      <c r="L435" s="40" t="str">
        <f aca="false">IF(OR($J435="",$K435=""),"",$J435+MATCH($K435,Listas!$F$5:$F$11,0)-1)</f>
        <v/>
      </c>
      <c r="M435" s="41"/>
      <c r="N435" s="36"/>
      <c r="O435" s="41"/>
      <c r="P435" s="35"/>
      <c r="Q435" s="35"/>
      <c r="R435" s="42" t="str">
        <f aca="true">IF($E435="","",IF($N435="Cancelada","Cancelada",IF(OR($M435&lt;&gt;"",$N435="Concluída"),IF(OR($L435="",$M435="",$M435&lt;=$L435),"Concluída","Concluída com atraso"),IF($L435="","Na carteira",IF($L435&lt;TODAY(),"VENCIDA",IF($N435="Em execução","Em execução",IF($L435=TODAY(),"Hoje","Programada")))))))</f>
        <v/>
      </c>
      <c r="S435" s="34" t="str">
        <f aca="false">IF($E435="","",IF(ISNUMBER(SEARCH("(externo)",$G435&amp;$H435&amp;$I435)),"Terceirizada","Interna"))</f>
        <v/>
      </c>
      <c r="T435" s="40" t="str">
        <f aca="false">IF($L435="","",IF($O435="",$L435,$O435))</f>
        <v/>
      </c>
      <c r="U435" s="34" t="str">
        <f aca="false">IF($E435="","",IF(OR($M435="",$L435=""),0,IF($M435&lt;=$L435,1,0)))</f>
        <v/>
      </c>
      <c r="V435" s="34" t="str">
        <f aca="false">IF($E435="","",IF(OR($M435="",$T435=""),0,IF($M435&lt;=$T435,1,0)))</f>
        <v/>
      </c>
      <c r="W435" s="42" t="str">
        <f aca="false">IF(OR($M435="",$L435=""),"",MAX(0,$M435-$L435))</f>
        <v/>
      </c>
      <c r="X435" s="34" t="str">
        <f aca="false">IF($E435="","",IF(AND($O435&lt;&gt;"",$L435&lt;&gt;"",$O435&lt;&gt;$L435),1,0))</f>
        <v/>
      </c>
      <c r="Y435" s="34" t="str">
        <f aca="false">IF($E435="","",IF($N435="Cancelada",0,IF(OR($M435&lt;&gt;"",$N435="Concluída"),1,0)))</f>
        <v/>
      </c>
    </row>
    <row r="436" customFormat="false" ht="15" hidden="false" customHeight="true" outlineLevel="0" collapsed="false">
      <c r="A436" s="34" t="str">
        <f aca="false">IF($E436="","",COUNTA($E$5:$E436))</f>
        <v/>
      </c>
      <c r="B436" s="35"/>
      <c r="C436" s="35"/>
      <c r="D436" s="35"/>
      <c r="E436" s="35"/>
      <c r="F436" s="36"/>
      <c r="G436" s="37"/>
      <c r="H436" s="37"/>
      <c r="I436" s="37"/>
      <c r="J436" s="38"/>
      <c r="K436" s="39"/>
      <c r="L436" s="40" t="str">
        <f aca="false">IF(OR($J436="",$K436=""),"",$J436+MATCH($K436,Listas!$F$5:$F$11,0)-1)</f>
        <v/>
      </c>
      <c r="M436" s="41"/>
      <c r="N436" s="36"/>
      <c r="O436" s="41"/>
      <c r="P436" s="35"/>
      <c r="Q436" s="35"/>
      <c r="R436" s="42" t="str">
        <f aca="true">IF($E436="","",IF($N436="Cancelada","Cancelada",IF(OR($M436&lt;&gt;"",$N436="Concluída"),IF(OR($L436="",$M436="",$M436&lt;=$L436),"Concluída","Concluída com atraso"),IF($L436="","Na carteira",IF($L436&lt;TODAY(),"VENCIDA",IF($N436="Em execução","Em execução",IF($L436=TODAY(),"Hoje","Programada")))))))</f>
        <v/>
      </c>
      <c r="S436" s="34" t="str">
        <f aca="false">IF($E436="","",IF(ISNUMBER(SEARCH("(externo)",$G436&amp;$H436&amp;$I436)),"Terceirizada","Interna"))</f>
        <v/>
      </c>
      <c r="T436" s="40" t="str">
        <f aca="false">IF($L436="","",IF($O436="",$L436,$O436))</f>
        <v/>
      </c>
      <c r="U436" s="34" t="str">
        <f aca="false">IF($E436="","",IF(OR($M436="",$L436=""),0,IF($M436&lt;=$L436,1,0)))</f>
        <v/>
      </c>
      <c r="V436" s="34" t="str">
        <f aca="false">IF($E436="","",IF(OR($M436="",$T436=""),0,IF($M436&lt;=$T436,1,0)))</f>
        <v/>
      </c>
      <c r="W436" s="42" t="str">
        <f aca="false">IF(OR($M436="",$L436=""),"",MAX(0,$M436-$L436))</f>
        <v/>
      </c>
      <c r="X436" s="34" t="str">
        <f aca="false">IF($E436="","",IF(AND($O436&lt;&gt;"",$L436&lt;&gt;"",$O436&lt;&gt;$L436),1,0))</f>
        <v/>
      </c>
      <c r="Y436" s="34" t="str">
        <f aca="false">IF($E436="","",IF($N436="Cancelada",0,IF(OR($M436&lt;&gt;"",$N436="Concluída"),1,0)))</f>
        <v/>
      </c>
    </row>
    <row r="437" customFormat="false" ht="15" hidden="false" customHeight="true" outlineLevel="0" collapsed="false">
      <c r="A437" s="34" t="str">
        <f aca="false">IF($E437="","",COUNTA($E$5:$E437))</f>
        <v/>
      </c>
      <c r="B437" s="35"/>
      <c r="C437" s="35"/>
      <c r="D437" s="35"/>
      <c r="E437" s="35"/>
      <c r="F437" s="36"/>
      <c r="G437" s="37"/>
      <c r="H437" s="37"/>
      <c r="I437" s="37"/>
      <c r="J437" s="38"/>
      <c r="K437" s="39"/>
      <c r="L437" s="40" t="str">
        <f aca="false">IF(OR($J437="",$K437=""),"",$J437+MATCH($K437,Listas!$F$5:$F$11,0)-1)</f>
        <v/>
      </c>
      <c r="M437" s="41"/>
      <c r="N437" s="36"/>
      <c r="O437" s="41"/>
      <c r="P437" s="35"/>
      <c r="Q437" s="35"/>
      <c r="R437" s="42" t="str">
        <f aca="true">IF($E437="","",IF($N437="Cancelada","Cancelada",IF(OR($M437&lt;&gt;"",$N437="Concluída"),IF(OR($L437="",$M437="",$M437&lt;=$L437),"Concluída","Concluída com atraso"),IF($L437="","Na carteira",IF($L437&lt;TODAY(),"VENCIDA",IF($N437="Em execução","Em execução",IF($L437=TODAY(),"Hoje","Programada")))))))</f>
        <v/>
      </c>
      <c r="S437" s="34" t="str">
        <f aca="false">IF($E437="","",IF(ISNUMBER(SEARCH("(externo)",$G437&amp;$H437&amp;$I437)),"Terceirizada","Interna"))</f>
        <v/>
      </c>
      <c r="T437" s="40" t="str">
        <f aca="false">IF($L437="","",IF($O437="",$L437,$O437))</f>
        <v/>
      </c>
      <c r="U437" s="34" t="str">
        <f aca="false">IF($E437="","",IF(OR($M437="",$L437=""),0,IF($M437&lt;=$L437,1,0)))</f>
        <v/>
      </c>
      <c r="V437" s="34" t="str">
        <f aca="false">IF($E437="","",IF(OR($M437="",$T437=""),0,IF($M437&lt;=$T437,1,0)))</f>
        <v/>
      </c>
      <c r="W437" s="42" t="str">
        <f aca="false">IF(OR($M437="",$L437=""),"",MAX(0,$M437-$L437))</f>
        <v/>
      </c>
      <c r="X437" s="34" t="str">
        <f aca="false">IF($E437="","",IF(AND($O437&lt;&gt;"",$L437&lt;&gt;"",$O437&lt;&gt;$L437),1,0))</f>
        <v/>
      </c>
      <c r="Y437" s="34" t="str">
        <f aca="false">IF($E437="","",IF($N437="Cancelada",0,IF(OR($M437&lt;&gt;"",$N437="Concluída"),1,0)))</f>
        <v/>
      </c>
    </row>
    <row r="438" customFormat="false" ht="15" hidden="false" customHeight="true" outlineLevel="0" collapsed="false">
      <c r="A438" s="34" t="str">
        <f aca="false">IF($E438="","",COUNTA($E$5:$E438))</f>
        <v/>
      </c>
      <c r="B438" s="35"/>
      <c r="C438" s="35"/>
      <c r="D438" s="35"/>
      <c r="E438" s="35"/>
      <c r="F438" s="36"/>
      <c r="G438" s="37"/>
      <c r="H438" s="37"/>
      <c r="I438" s="37"/>
      <c r="J438" s="38"/>
      <c r="K438" s="39"/>
      <c r="L438" s="40" t="str">
        <f aca="false">IF(OR($J438="",$K438=""),"",$J438+MATCH($K438,Listas!$F$5:$F$11,0)-1)</f>
        <v/>
      </c>
      <c r="M438" s="41"/>
      <c r="N438" s="36"/>
      <c r="O438" s="41"/>
      <c r="P438" s="35"/>
      <c r="Q438" s="35"/>
      <c r="R438" s="42" t="str">
        <f aca="true">IF($E438="","",IF($N438="Cancelada","Cancelada",IF(OR($M438&lt;&gt;"",$N438="Concluída"),IF(OR($L438="",$M438="",$M438&lt;=$L438),"Concluída","Concluída com atraso"),IF($L438="","Na carteira",IF($L438&lt;TODAY(),"VENCIDA",IF($N438="Em execução","Em execução",IF($L438=TODAY(),"Hoje","Programada")))))))</f>
        <v/>
      </c>
      <c r="S438" s="34" t="str">
        <f aca="false">IF($E438="","",IF(ISNUMBER(SEARCH("(externo)",$G438&amp;$H438&amp;$I438)),"Terceirizada","Interna"))</f>
        <v/>
      </c>
      <c r="T438" s="40" t="str">
        <f aca="false">IF($L438="","",IF($O438="",$L438,$O438))</f>
        <v/>
      </c>
      <c r="U438" s="34" t="str">
        <f aca="false">IF($E438="","",IF(OR($M438="",$L438=""),0,IF($M438&lt;=$L438,1,0)))</f>
        <v/>
      </c>
      <c r="V438" s="34" t="str">
        <f aca="false">IF($E438="","",IF(OR($M438="",$T438=""),0,IF($M438&lt;=$T438,1,0)))</f>
        <v/>
      </c>
      <c r="W438" s="42" t="str">
        <f aca="false">IF(OR($M438="",$L438=""),"",MAX(0,$M438-$L438))</f>
        <v/>
      </c>
      <c r="X438" s="34" t="str">
        <f aca="false">IF($E438="","",IF(AND($O438&lt;&gt;"",$L438&lt;&gt;"",$O438&lt;&gt;$L438),1,0))</f>
        <v/>
      </c>
      <c r="Y438" s="34" t="str">
        <f aca="false">IF($E438="","",IF($N438="Cancelada",0,IF(OR($M438&lt;&gt;"",$N438="Concluída"),1,0)))</f>
        <v/>
      </c>
    </row>
    <row r="439" customFormat="false" ht="15" hidden="false" customHeight="true" outlineLevel="0" collapsed="false">
      <c r="A439" s="34" t="str">
        <f aca="false">IF($E439="","",COUNTA($E$5:$E439))</f>
        <v/>
      </c>
      <c r="B439" s="35"/>
      <c r="C439" s="35"/>
      <c r="D439" s="35"/>
      <c r="E439" s="35"/>
      <c r="F439" s="36"/>
      <c r="G439" s="37"/>
      <c r="H439" s="37"/>
      <c r="I439" s="37"/>
      <c r="J439" s="38"/>
      <c r="K439" s="39"/>
      <c r="L439" s="40" t="str">
        <f aca="false">IF(OR($J439="",$K439=""),"",$J439+MATCH($K439,Listas!$F$5:$F$11,0)-1)</f>
        <v/>
      </c>
      <c r="M439" s="41"/>
      <c r="N439" s="36"/>
      <c r="O439" s="41"/>
      <c r="P439" s="35"/>
      <c r="Q439" s="35"/>
      <c r="R439" s="42" t="str">
        <f aca="true">IF($E439="","",IF($N439="Cancelada","Cancelada",IF(OR($M439&lt;&gt;"",$N439="Concluída"),IF(OR($L439="",$M439="",$M439&lt;=$L439),"Concluída","Concluída com atraso"),IF($L439="","Na carteira",IF($L439&lt;TODAY(),"VENCIDA",IF($N439="Em execução","Em execução",IF($L439=TODAY(),"Hoje","Programada")))))))</f>
        <v/>
      </c>
      <c r="S439" s="34" t="str">
        <f aca="false">IF($E439="","",IF(ISNUMBER(SEARCH("(externo)",$G439&amp;$H439&amp;$I439)),"Terceirizada","Interna"))</f>
        <v/>
      </c>
      <c r="T439" s="40" t="str">
        <f aca="false">IF($L439="","",IF($O439="",$L439,$O439))</f>
        <v/>
      </c>
      <c r="U439" s="34" t="str">
        <f aca="false">IF($E439="","",IF(OR($M439="",$L439=""),0,IF($M439&lt;=$L439,1,0)))</f>
        <v/>
      </c>
      <c r="V439" s="34" t="str">
        <f aca="false">IF($E439="","",IF(OR($M439="",$T439=""),0,IF($M439&lt;=$T439,1,0)))</f>
        <v/>
      </c>
      <c r="W439" s="42" t="str">
        <f aca="false">IF(OR($M439="",$L439=""),"",MAX(0,$M439-$L439))</f>
        <v/>
      </c>
      <c r="X439" s="34" t="str">
        <f aca="false">IF($E439="","",IF(AND($O439&lt;&gt;"",$L439&lt;&gt;"",$O439&lt;&gt;$L439),1,0))</f>
        <v/>
      </c>
      <c r="Y439" s="34" t="str">
        <f aca="false">IF($E439="","",IF($N439="Cancelada",0,IF(OR($M439&lt;&gt;"",$N439="Concluída"),1,0)))</f>
        <v/>
      </c>
    </row>
    <row r="440" customFormat="false" ht="15" hidden="false" customHeight="true" outlineLevel="0" collapsed="false">
      <c r="A440" s="34" t="str">
        <f aca="false">IF($E440="","",COUNTA($E$5:$E440))</f>
        <v/>
      </c>
      <c r="B440" s="35"/>
      <c r="C440" s="35"/>
      <c r="D440" s="35"/>
      <c r="E440" s="35"/>
      <c r="F440" s="36"/>
      <c r="G440" s="37"/>
      <c r="H440" s="37"/>
      <c r="I440" s="37"/>
      <c r="J440" s="38"/>
      <c r="K440" s="39"/>
      <c r="L440" s="40" t="str">
        <f aca="false">IF(OR($J440="",$K440=""),"",$J440+MATCH($K440,Listas!$F$5:$F$11,0)-1)</f>
        <v/>
      </c>
      <c r="M440" s="41"/>
      <c r="N440" s="36"/>
      <c r="O440" s="41"/>
      <c r="P440" s="35"/>
      <c r="Q440" s="35"/>
      <c r="R440" s="42" t="str">
        <f aca="true">IF($E440="","",IF($N440="Cancelada","Cancelada",IF(OR($M440&lt;&gt;"",$N440="Concluída"),IF(OR($L440="",$M440="",$M440&lt;=$L440),"Concluída","Concluída com atraso"),IF($L440="","Na carteira",IF($L440&lt;TODAY(),"VENCIDA",IF($N440="Em execução","Em execução",IF($L440=TODAY(),"Hoje","Programada")))))))</f>
        <v/>
      </c>
      <c r="S440" s="34" t="str">
        <f aca="false">IF($E440="","",IF(ISNUMBER(SEARCH("(externo)",$G440&amp;$H440&amp;$I440)),"Terceirizada","Interna"))</f>
        <v/>
      </c>
      <c r="T440" s="40" t="str">
        <f aca="false">IF($L440="","",IF($O440="",$L440,$O440))</f>
        <v/>
      </c>
      <c r="U440" s="34" t="str">
        <f aca="false">IF($E440="","",IF(OR($M440="",$L440=""),0,IF($M440&lt;=$L440,1,0)))</f>
        <v/>
      </c>
      <c r="V440" s="34" t="str">
        <f aca="false">IF($E440="","",IF(OR($M440="",$T440=""),0,IF($M440&lt;=$T440,1,0)))</f>
        <v/>
      </c>
      <c r="W440" s="42" t="str">
        <f aca="false">IF(OR($M440="",$L440=""),"",MAX(0,$M440-$L440))</f>
        <v/>
      </c>
      <c r="X440" s="34" t="str">
        <f aca="false">IF($E440="","",IF(AND($O440&lt;&gt;"",$L440&lt;&gt;"",$O440&lt;&gt;$L440),1,0))</f>
        <v/>
      </c>
      <c r="Y440" s="34" t="str">
        <f aca="false">IF($E440="","",IF($N440="Cancelada",0,IF(OR($M440&lt;&gt;"",$N440="Concluída"),1,0)))</f>
        <v/>
      </c>
    </row>
    <row r="441" customFormat="false" ht="15" hidden="false" customHeight="true" outlineLevel="0" collapsed="false">
      <c r="A441" s="34" t="str">
        <f aca="false">IF($E441="","",COUNTA($E$5:$E441))</f>
        <v/>
      </c>
      <c r="B441" s="35"/>
      <c r="C441" s="35"/>
      <c r="D441" s="35"/>
      <c r="E441" s="35"/>
      <c r="F441" s="36"/>
      <c r="G441" s="37"/>
      <c r="H441" s="37"/>
      <c r="I441" s="37"/>
      <c r="J441" s="38"/>
      <c r="K441" s="39"/>
      <c r="L441" s="40" t="str">
        <f aca="false">IF(OR($J441="",$K441=""),"",$J441+MATCH($K441,Listas!$F$5:$F$11,0)-1)</f>
        <v/>
      </c>
      <c r="M441" s="41"/>
      <c r="N441" s="36"/>
      <c r="O441" s="41"/>
      <c r="P441" s="35"/>
      <c r="Q441" s="35"/>
      <c r="R441" s="42" t="str">
        <f aca="true">IF($E441="","",IF($N441="Cancelada","Cancelada",IF(OR($M441&lt;&gt;"",$N441="Concluída"),IF(OR($L441="",$M441="",$M441&lt;=$L441),"Concluída","Concluída com atraso"),IF($L441="","Na carteira",IF($L441&lt;TODAY(),"VENCIDA",IF($N441="Em execução","Em execução",IF($L441=TODAY(),"Hoje","Programada")))))))</f>
        <v/>
      </c>
      <c r="S441" s="34" t="str">
        <f aca="false">IF($E441="","",IF(ISNUMBER(SEARCH("(externo)",$G441&amp;$H441&amp;$I441)),"Terceirizada","Interna"))</f>
        <v/>
      </c>
      <c r="T441" s="40" t="str">
        <f aca="false">IF($L441="","",IF($O441="",$L441,$O441))</f>
        <v/>
      </c>
      <c r="U441" s="34" t="str">
        <f aca="false">IF($E441="","",IF(OR($M441="",$L441=""),0,IF($M441&lt;=$L441,1,0)))</f>
        <v/>
      </c>
      <c r="V441" s="34" t="str">
        <f aca="false">IF($E441="","",IF(OR($M441="",$T441=""),0,IF($M441&lt;=$T441,1,0)))</f>
        <v/>
      </c>
      <c r="W441" s="42" t="str">
        <f aca="false">IF(OR($M441="",$L441=""),"",MAX(0,$M441-$L441))</f>
        <v/>
      </c>
      <c r="X441" s="34" t="str">
        <f aca="false">IF($E441="","",IF(AND($O441&lt;&gt;"",$L441&lt;&gt;"",$O441&lt;&gt;$L441),1,0))</f>
        <v/>
      </c>
      <c r="Y441" s="34" t="str">
        <f aca="false">IF($E441="","",IF($N441="Cancelada",0,IF(OR($M441&lt;&gt;"",$N441="Concluída"),1,0)))</f>
        <v/>
      </c>
    </row>
    <row r="442" customFormat="false" ht="15" hidden="false" customHeight="true" outlineLevel="0" collapsed="false">
      <c r="A442" s="34" t="str">
        <f aca="false">IF($E442="","",COUNTA($E$5:$E442))</f>
        <v/>
      </c>
      <c r="B442" s="35"/>
      <c r="C442" s="35"/>
      <c r="D442" s="35"/>
      <c r="E442" s="35"/>
      <c r="F442" s="36"/>
      <c r="G442" s="37"/>
      <c r="H442" s="37"/>
      <c r="I442" s="37"/>
      <c r="J442" s="38"/>
      <c r="K442" s="39"/>
      <c r="L442" s="40" t="str">
        <f aca="false">IF(OR($J442="",$K442=""),"",$J442+MATCH($K442,Listas!$F$5:$F$11,0)-1)</f>
        <v/>
      </c>
      <c r="M442" s="41"/>
      <c r="N442" s="36"/>
      <c r="O442" s="41"/>
      <c r="P442" s="35"/>
      <c r="Q442" s="35"/>
      <c r="R442" s="42" t="str">
        <f aca="true">IF($E442="","",IF($N442="Cancelada","Cancelada",IF(OR($M442&lt;&gt;"",$N442="Concluída"),IF(OR($L442="",$M442="",$M442&lt;=$L442),"Concluída","Concluída com atraso"),IF($L442="","Na carteira",IF($L442&lt;TODAY(),"VENCIDA",IF($N442="Em execução","Em execução",IF($L442=TODAY(),"Hoje","Programada")))))))</f>
        <v/>
      </c>
      <c r="S442" s="34" t="str">
        <f aca="false">IF($E442="","",IF(ISNUMBER(SEARCH("(externo)",$G442&amp;$H442&amp;$I442)),"Terceirizada","Interna"))</f>
        <v/>
      </c>
      <c r="T442" s="40" t="str">
        <f aca="false">IF($L442="","",IF($O442="",$L442,$O442))</f>
        <v/>
      </c>
      <c r="U442" s="34" t="str">
        <f aca="false">IF($E442="","",IF(OR($M442="",$L442=""),0,IF($M442&lt;=$L442,1,0)))</f>
        <v/>
      </c>
      <c r="V442" s="34" t="str">
        <f aca="false">IF($E442="","",IF(OR($M442="",$T442=""),0,IF($M442&lt;=$T442,1,0)))</f>
        <v/>
      </c>
      <c r="W442" s="42" t="str">
        <f aca="false">IF(OR($M442="",$L442=""),"",MAX(0,$M442-$L442))</f>
        <v/>
      </c>
      <c r="X442" s="34" t="str">
        <f aca="false">IF($E442="","",IF(AND($O442&lt;&gt;"",$L442&lt;&gt;"",$O442&lt;&gt;$L442),1,0))</f>
        <v/>
      </c>
      <c r="Y442" s="34" t="str">
        <f aca="false">IF($E442="","",IF($N442="Cancelada",0,IF(OR($M442&lt;&gt;"",$N442="Concluída"),1,0)))</f>
        <v/>
      </c>
    </row>
    <row r="443" customFormat="false" ht="15" hidden="false" customHeight="true" outlineLevel="0" collapsed="false">
      <c r="A443" s="34" t="str">
        <f aca="false">IF($E443="","",COUNTA($E$5:$E443))</f>
        <v/>
      </c>
      <c r="B443" s="35"/>
      <c r="C443" s="35"/>
      <c r="D443" s="35"/>
      <c r="E443" s="35"/>
      <c r="F443" s="36"/>
      <c r="G443" s="37"/>
      <c r="H443" s="37"/>
      <c r="I443" s="37"/>
      <c r="J443" s="38"/>
      <c r="K443" s="39"/>
      <c r="L443" s="40" t="str">
        <f aca="false">IF(OR($J443="",$K443=""),"",$J443+MATCH($K443,Listas!$F$5:$F$11,0)-1)</f>
        <v/>
      </c>
      <c r="M443" s="41"/>
      <c r="N443" s="36"/>
      <c r="O443" s="41"/>
      <c r="P443" s="35"/>
      <c r="Q443" s="35"/>
      <c r="R443" s="42" t="str">
        <f aca="true">IF($E443="","",IF($N443="Cancelada","Cancelada",IF(OR($M443&lt;&gt;"",$N443="Concluída"),IF(OR($L443="",$M443="",$M443&lt;=$L443),"Concluída","Concluída com atraso"),IF($L443="","Na carteira",IF($L443&lt;TODAY(),"VENCIDA",IF($N443="Em execução","Em execução",IF($L443=TODAY(),"Hoje","Programada")))))))</f>
        <v/>
      </c>
      <c r="S443" s="34" t="str">
        <f aca="false">IF($E443="","",IF(ISNUMBER(SEARCH("(externo)",$G443&amp;$H443&amp;$I443)),"Terceirizada","Interna"))</f>
        <v/>
      </c>
      <c r="T443" s="40" t="str">
        <f aca="false">IF($L443="","",IF($O443="",$L443,$O443))</f>
        <v/>
      </c>
      <c r="U443" s="34" t="str">
        <f aca="false">IF($E443="","",IF(OR($M443="",$L443=""),0,IF($M443&lt;=$L443,1,0)))</f>
        <v/>
      </c>
      <c r="V443" s="34" t="str">
        <f aca="false">IF($E443="","",IF(OR($M443="",$T443=""),0,IF($M443&lt;=$T443,1,0)))</f>
        <v/>
      </c>
      <c r="W443" s="42" t="str">
        <f aca="false">IF(OR($M443="",$L443=""),"",MAX(0,$M443-$L443))</f>
        <v/>
      </c>
      <c r="X443" s="34" t="str">
        <f aca="false">IF($E443="","",IF(AND($O443&lt;&gt;"",$L443&lt;&gt;"",$O443&lt;&gt;$L443),1,0))</f>
        <v/>
      </c>
      <c r="Y443" s="34" t="str">
        <f aca="false">IF($E443="","",IF($N443="Cancelada",0,IF(OR($M443&lt;&gt;"",$N443="Concluída"),1,0)))</f>
        <v/>
      </c>
    </row>
    <row r="444" customFormat="false" ht="15" hidden="false" customHeight="true" outlineLevel="0" collapsed="false">
      <c r="A444" s="34" t="str">
        <f aca="false">IF($E444="","",COUNTA($E$5:$E444))</f>
        <v/>
      </c>
      <c r="B444" s="35"/>
      <c r="C444" s="35"/>
      <c r="D444" s="35"/>
      <c r="E444" s="35"/>
      <c r="F444" s="36"/>
      <c r="G444" s="37"/>
      <c r="H444" s="37"/>
      <c r="I444" s="37"/>
      <c r="J444" s="38"/>
      <c r="K444" s="39"/>
      <c r="L444" s="40" t="str">
        <f aca="false">IF(OR($J444="",$K444=""),"",$J444+MATCH($K444,Listas!$F$5:$F$11,0)-1)</f>
        <v/>
      </c>
      <c r="M444" s="41"/>
      <c r="N444" s="36"/>
      <c r="O444" s="41"/>
      <c r="P444" s="35"/>
      <c r="Q444" s="35"/>
      <c r="R444" s="42" t="str">
        <f aca="true">IF($E444="","",IF($N444="Cancelada","Cancelada",IF(OR($M444&lt;&gt;"",$N444="Concluída"),IF(OR($L444="",$M444="",$M444&lt;=$L444),"Concluída","Concluída com atraso"),IF($L444="","Na carteira",IF($L444&lt;TODAY(),"VENCIDA",IF($N444="Em execução","Em execução",IF($L444=TODAY(),"Hoje","Programada")))))))</f>
        <v/>
      </c>
      <c r="S444" s="34" t="str">
        <f aca="false">IF($E444="","",IF(ISNUMBER(SEARCH("(externo)",$G444&amp;$H444&amp;$I444)),"Terceirizada","Interna"))</f>
        <v/>
      </c>
      <c r="T444" s="40" t="str">
        <f aca="false">IF($L444="","",IF($O444="",$L444,$O444))</f>
        <v/>
      </c>
      <c r="U444" s="34" t="str">
        <f aca="false">IF($E444="","",IF(OR($M444="",$L444=""),0,IF($M444&lt;=$L444,1,0)))</f>
        <v/>
      </c>
      <c r="V444" s="34" t="str">
        <f aca="false">IF($E444="","",IF(OR($M444="",$T444=""),0,IF($M444&lt;=$T444,1,0)))</f>
        <v/>
      </c>
      <c r="W444" s="42" t="str">
        <f aca="false">IF(OR($M444="",$L444=""),"",MAX(0,$M444-$L444))</f>
        <v/>
      </c>
      <c r="X444" s="34" t="str">
        <f aca="false">IF($E444="","",IF(AND($O444&lt;&gt;"",$L444&lt;&gt;"",$O444&lt;&gt;$L444),1,0))</f>
        <v/>
      </c>
      <c r="Y444" s="34" t="str">
        <f aca="false">IF($E444="","",IF($N444="Cancelada",0,IF(OR($M444&lt;&gt;"",$N444="Concluída"),1,0)))</f>
        <v/>
      </c>
    </row>
    <row r="445" customFormat="false" ht="15" hidden="false" customHeight="true" outlineLevel="0" collapsed="false">
      <c r="A445" s="34" t="str">
        <f aca="false">IF($E445="","",COUNTA($E$5:$E445))</f>
        <v/>
      </c>
      <c r="B445" s="35"/>
      <c r="C445" s="35"/>
      <c r="D445" s="35"/>
      <c r="E445" s="35"/>
      <c r="F445" s="36"/>
      <c r="G445" s="37"/>
      <c r="H445" s="37"/>
      <c r="I445" s="37"/>
      <c r="J445" s="38"/>
      <c r="K445" s="39"/>
      <c r="L445" s="40" t="str">
        <f aca="false">IF(OR($J445="",$K445=""),"",$J445+MATCH($K445,Listas!$F$5:$F$11,0)-1)</f>
        <v/>
      </c>
      <c r="M445" s="41"/>
      <c r="N445" s="36"/>
      <c r="O445" s="41"/>
      <c r="P445" s="35"/>
      <c r="Q445" s="35"/>
      <c r="R445" s="42" t="str">
        <f aca="true">IF($E445="","",IF($N445="Cancelada","Cancelada",IF(OR($M445&lt;&gt;"",$N445="Concluída"),IF(OR($L445="",$M445="",$M445&lt;=$L445),"Concluída","Concluída com atraso"),IF($L445="","Na carteira",IF($L445&lt;TODAY(),"VENCIDA",IF($N445="Em execução","Em execução",IF($L445=TODAY(),"Hoje","Programada")))))))</f>
        <v/>
      </c>
      <c r="S445" s="34" t="str">
        <f aca="false">IF($E445="","",IF(ISNUMBER(SEARCH("(externo)",$G445&amp;$H445&amp;$I445)),"Terceirizada","Interna"))</f>
        <v/>
      </c>
      <c r="T445" s="40" t="str">
        <f aca="false">IF($L445="","",IF($O445="",$L445,$O445))</f>
        <v/>
      </c>
      <c r="U445" s="34" t="str">
        <f aca="false">IF($E445="","",IF(OR($M445="",$L445=""),0,IF($M445&lt;=$L445,1,0)))</f>
        <v/>
      </c>
      <c r="V445" s="34" t="str">
        <f aca="false">IF($E445="","",IF(OR($M445="",$T445=""),0,IF($M445&lt;=$T445,1,0)))</f>
        <v/>
      </c>
      <c r="W445" s="42" t="str">
        <f aca="false">IF(OR($M445="",$L445=""),"",MAX(0,$M445-$L445))</f>
        <v/>
      </c>
      <c r="X445" s="34" t="str">
        <f aca="false">IF($E445="","",IF(AND($O445&lt;&gt;"",$L445&lt;&gt;"",$O445&lt;&gt;$L445),1,0))</f>
        <v/>
      </c>
      <c r="Y445" s="34" t="str">
        <f aca="false">IF($E445="","",IF($N445="Cancelada",0,IF(OR($M445&lt;&gt;"",$N445="Concluída"),1,0)))</f>
        <v/>
      </c>
    </row>
    <row r="446" customFormat="false" ht="15" hidden="false" customHeight="true" outlineLevel="0" collapsed="false">
      <c r="A446" s="34" t="str">
        <f aca="false">IF($E446="","",COUNTA($E$5:$E446))</f>
        <v/>
      </c>
      <c r="B446" s="35"/>
      <c r="C446" s="35"/>
      <c r="D446" s="35"/>
      <c r="E446" s="35"/>
      <c r="F446" s="36"/>
      <c r="G446" s="37"/>
      <c r="H446" s="37"/>
      <c r="I446" s="37"/>
      <c r="J446" s="38"/>
      <c r="K446" s="39"/>
      <c r="L446" s="40" t="str">
        <f aca="false">IF(OR($J446="",$K446=""),"",$J446+MATCH($K446,Listas!$F$5:$F$11,0)-1)</f>
        <v/>
      </c>
      <c r="M446" s="41"/>
      <c r="N446" s="36"/>
      <c r="O446" s="41"/>
      <c r="P446" s="35"/>
      <c r="Q446" s="35"/>
      <c r="R446" s="42" t="str">
        <f aca="true">IF($E446="","",IF($N446="Cancelada","Cancelada",IF(OR($M446&lt;&gt;"",$N446="Concluída"),IF(OR($L446="",$M446="",$M446&lt;=$L446),"Concluída","Concluída com atraso"),IF($L446="","Na carteira",IF($L446&lt;TODAY(),"VENCIDA",IF($N446="Em execução","Em execução",IF($L446=TODAY(),"Hoje","Programada")))))))</f>
        <v/>
      </c>
      <c r="S446" s="34" t="str">
        <f aca="false">IF($E446="","",IF(ISNUMBER(SEARCH("(externo)",$G446&amp;$H446&amp;$I446)),"Terceirizada","Interna"))</f>
        <v/>
      </c>
      <c r="T446" s="40" t="str">
        <f aca="false">IF($L446="","",IF($O446="",$L446,$O446))</f>
        <v/>
      </c>
      <c r="U446" s="34" t="str">
        <f aca="false">IF($E446="","",IF(OR($M446="",$L446=""),0,IF($M446&lt;=$L446,1,0)))</f>
        <v/>
      </c>
      <c r="V446" s="34" t="str">
        <f aca="false">IF($E446="","",IF(OR($M446="",$T446=""),0,IF($M446&lt;=$T446,1,0)))</f>
        <v/>
      </c>
      <c r="W446" s="42" t="str">
        <f aca="false">IF(OR($M446="",$L446=""),"",MAX(0,$M446-$L446))</f>
        <v/>
      </c>
      <c r="X446" s="34" t="str">
        <f aca="false">IF($E446="","",IF(AND($O446&lt;&gt;"",$L446&lt;&gt;"",$O446&lt;&gt;$L446),1,0))</f>
        <v/>
      </c>
      <c r="Y446" s="34" t="str">
        <f aca="false">IF($E446="","",IF($N446="Cancelada",0,IF(OR($M446&lt;&gt;"",$N446="Concluída"),1,0)))</f>
        <v/>
      </c>
    </row>
    <row r="447" customFormat="false" ht="15" hidden="false" customHeight="true" outlineLevel="0" collapsed="false">
      <c r="A447" s="34" t="str">
        <f aca="false">IF($E447="","",COUNTA($E$5:$E447))</f>
        <v/>
      </c>
      <c r="B447" s="35"/>
      <c r="C447" s="35"/>
      <c r="D447" s="35"/>
      <c r="E447" s="35"/>
      <c r="F447" s="36"/>
      <c r="G447" s="37"/>
      <c r="H447" s="37"/>
      <c r="I447" s="37"/>
      <c r="J447" s="38"/>
      <c r="K447" s="39"/>
      <c r="L447" s="40" t="str">
        <f aca="false">IF(OR($J447="",$K447=""),"",$J447+MATCH($K447,Listas!$F$5:$F$11,0)-1)</f>
        <v/>
      </c>
      <c r="M447" s="41"/>
      <c r="N447" s="36"/>
      <c r="O447" s="41"/>
      <c r="P447" s="35"/>
      <c r="Q447" s="35"/>
      <c r="R447" s="42" t="str">
        <f aca="true">IF($E447="","",IF($N447="Cancelada","Cancelada",IF(OR($M447&lt;&gt;"",$N447="Concluída"),IF(OR($L447="",$M447="",$M447&lt;=$L447),"Concluída","Concluída com atraso"),IF($L447="","Na carteira",IF($L447&lt;TODAY(),"VENCIDA",IF($N447="Em execução","Em execução",IF($L447=TODAY(),"Hoje","Programada")))))))</f>
        <v/>
      </c>
      <c r="S447" s="34" t="str">
        <f aca="false">IF($E447="","",IF(ISNUMBER(SEARCH("(externo)",$G447&amp;$H447&amp;$I447)),"Terceirizada","Interna"))</f>
        <v/>
      </c>
      <c r="T447" s="40" t="str">
        <f aca="false">IF($L447="","",IF($O447="",$L447,$O447))</f>
        <v/>
      </c>
      <c r="U447" s="34" t="str">
        <f aca="false">IF($E447="","",IF(OR($M447="",$L447=""),0,IF($M447&lt;=$L447,1,0)))</f>
        <v/>
      </c>
      <c r="V447" s="34" t="str">
        <f aca="false">IF($E447="","",IF(OR($M447="",$T447=""),0,IF($M447&lt;=$T447,1,0)))</f>
        <v/>
      </c>
      <c r="W447" s="42" t="str">
        <f aca="false">IF(OR($M447="",$L447=""),"",MAX(0,$M447-$L447))</f>
        <v/>
      </c>
      <c r="X447" s="34" t="str">
        <f aca="false">IF($E447="","",IF(AND($O447&lt;&gt;"",$L447&lt;&gt;"",$O447&lt;&gt;$L447),1,0))</f>
        <v/>
      </c>
      <c r="Y447" s="34" t="str">
        <f aca="false">IF($E447="","",IF($N447="Cancelada",0,IF(OR($M447&lt;&gt;"",$N447="Concluída"),1,0)))</f>
        <v/>
      </c>
    </row>
    <row r="448" customFormat="false" ht="15" hidden="false" customHeight="true" outlineLevel="0" collapsed="false">
      <c r="A448" s="34" t="str">
        <f aca="false">IF($E448="","",COUNTA($E$5:$E448))</f>
        <v/>
      </c>
      <c r="B448" s="35"/>
      <c r="C448" s="35"/>
      <c r="D448" s="35"/>
      <c r="E448" s="35"/>
      <c r="F448" s="36"/>
      <c r="G448" s="37"/>
      <c r="H448" s="37"/>
      <c r="I448" s="37"/>
      <c r="J448" s="38"/>
      <c r="K448" s="39"/>
      <c r="L448" s="40" t="str">
        <f aca="false">IF(OR($J448="",$K448=""),"",$J448+MATCH($K448,Listas!$F$5:$F$11,0)-1)</f>
        <v/>
      </c>
      <c r="M448" s="41"/>
      <c r="N448" s="36"/>
      <c r="O448" s="41"/>
      <c r="P448" s="35"/>
      <c r="Q448" s="35"/>
      <c r="R448" s="42" t="str">
        <f aca="true">IF($E448="","",IF($N448="Cancelada","Cancelada",IF(OR($M448&lt;&gt;"",$N448="Concluída"),IF(OR($L448="",$M448="",$M448&lt;=$L448),"Concluída","Concluída com atraso"),IF($L448="","Na carteira",IF($L448&lt;TODAY(),"VENCIDA",IF($N448="Em execução","Em execução",IF($L448=TODAY(),"Hoje","Programada")))))))</f>
        <v/>
      </c>
      <c r="S448" s="34" t="str">
        <f aca="false">IF($E448="","",IF(ISNUMBER(SEARCH("(externo)",$G448&amp;$H448&amp;$I448)),"Terceirizada","Interna"))</f>
        <v/>
      </c>
      <c r="T448" s="40" t="str">
        <f aca="false">IF($L448="","",IF($O448="",$L448,$O448))</f>
        <v/>
      </c>
      <c r="U448" s="34" t="str">
        <f aca="false">IF($E448="","",IF(OR($M448="",$L448=""),0,IF($M448&lt;=$L448,1,0)))</f>
        <v/>
      </c>
      <c r="V448" s="34" t="str">
        <f aca="false">IF($E448="","",IF(OR($M448="",$T448=""),0,IF($M448&lt;=$T448,1,0)))</f>
        <v/>
      </c>
      <c r="W448" s="42" t="str">
        <f aca="false">IF(OR($M448="",$L448=""),"",MAX(0,$M448-$L448))</f>
        <v/>
      </c>
      <c r="X448" s="34" t="str">
        <f aca="false">IF($E448="","",IF(AND($O448&lt;&gt;"",$L448&lt;&gt;"",$O448&lt;&gt;$L448),1,0))</f>
        <v/>
      </c>
      <c r="Y448" s="34" t="str">
        <f aca="false">IF($E448="","",IF($N448="Cancelada",0,IF(OR($M448&lt;&gt;"",$N448="Concluída"),1,0)))</f>
        <v/>
      </c>
    </row>
    <row r="449" customFormat="false" ht="15" hidden="false" customHeight="true" outlineLevel="0" collapsed="false">
      <c r="A449" s="34" t="str">
        <f aca="false">IF($E449="","",COUNTA($E$5:$E449))</f>
        <v/>
      </c>
      <c r="B449" s="35"/>
      <c r="C449" s="35"/>
      <c r="D449" s="35"/>
      <c r="E449" s="35"/>
      <c r="F449" s="36"/>
      <c r="G449" s="37"/>
      <c r="H449" s="37"/>
      <c r="I449" s="37"/>
      <c r="J449" s="38"/>
      <c r="K449" s="39"/>
      <c r="L449" s="40" t="str">
        <f aca="false">IF(OR($J449="",$K449=""),"",$J449+MATCH($K449,Listas!$F$5:$F$11,0)-1)</f>
        <v/>
      </c>
      <c r="M449" s="41"/>
      <c r="N449" s="36"/>
      <c r="O449" s="41"/>
      <c r="P449" s="35"/>
      <c r="Q449" s="35"/>
      <c r="R449" s="42" t="str">
        <f aca="true">IF($E449="","",IF($N449="Cancelada","Cancelada",IF(OR($M449&lt;&gt;"",$N449="Concluída"),IF(OR($L449="",$M449="",$M449&lt;=$L449),"Concluída","Concluída com atraso"),IF($L449="","Na carteira",IF($L449&lt;TODAY(),"VENCIDA",IF($N449="Em execução","Em execução",IF($L449=TODAY(),"Hoje","Programada")))))))</f>
        <v/>
      </c>
      <c r="S449" s="34" t="str">
        <f aca="false">IF($E449="","",IF(ISNUMBER(SEARCH("(externo)",$G449&amp;$H449&amp;$I449)),"Terceirizada","Interna"))</f>
        <v/>
      </c>
      <c r="T449" s="40" t="str">
        <f aca="false">IF($L449="","",IF($O449="",$L449,$O449))</f>
        <v/>
      </c>
      <c r="U449" s="34" t="str">
        <f aca="false">IF($E449="","",IF(OR($M449="",$L449=""),0,IF($M449&lt;=$L449,1,0)))</f>
        <v/>
      </c>
      <c r="V449" s="34" t="str">
        <f aca="false">IF($E449="","",IF(OR($M449="",$T449=""),0,IF($M449&lt;=$T449,1,0)))</f>
        <v/>
      </c>
      <c r="W449" s="42" t="str">
        <f aca="false">IF(OR($M449="",$L449=""),"",MAX(0,$M449-$L449))</f>
        <v/>
      </c>
      <c r="X449" s="34" t="str">
        <f aca="false">IF($E449="","",IF(AND($O449&lt;&gt;"",$L449&lt;&gt;"",$O449&lt;&gt;$L449),1,0))</f>
        <v/>
      </c>
      <c r="Y449" s="34" t="str">
        <f aca="false">IF($E449="","",IF($N449="Cancelada",0,IF(OR($M449&lt;&gt;"",$N449="Concluída"),1,0)))</f>
        <v/>
      </c>
    </row>
    <row r="450" customFormat="false" ht="15" hidden="false" customHeight="true" outlineLevel="0" collapsed="false">
      <c r="A450" s="34" t="str">
        <f aca="false">IF($E450="","",COUNTA($E$5:$E450))</f>
        <v/>
      </c>
      <c r="B450" s="35"/>
      <c r="C450" s="35"/>
      <c r="D450" s="35"/>
      <c r="E450" s="35"/>
      <c r="F450" s="36"/>
      <c r="G450" s="37"/>
      <c r="H450" s="37"/>
      <c r="I450" s="37"/>
      <c r="J450" s="38"/>
      <c r="K450" s="39"/>
      <c r="L450" s="40" t="str">
        <f aca="false">IF(OR($J450="",$K450=""),"",$J450+MATCH($K450,Listas!$F$5:$F$11,0)-1)</f>
        <v/>
      </c>
      <c r="M450" s="41"/>
      <c r="N450" s="36"/>
      <c r="O450" s="41"/>
      <c r="P450" s="35"/>
      <c r="Q450" s="35"/>
      <c r="R450" s="42" t="str">
        <f aca="true">IF($E450="","",IF($N450="Cancelada","Cancelada",IF(OR($M450&lt;&gt;"",$N450="Concluída"),IF(OR($L450="",$M450="",$M450&lt;=$L450),"Concluída","Concluída com atraso"),IF($L450="","Na carteira",IF($L450&lt;TODAY(),"VENCIDA",IF($N450="Em execução","Em execução",IF($L450=TODAY(),"Hoje","Programada")))))))</f>
        <v/>
      </c>
      <c r="S450" s="34" t="str">
        <f aca="false">IF($E450="","",IF(ISNUMBER(SEARCH("(externo)",$G450&amp;$H450&amp;$I450)),"Terceirizada","Interna"))</f>
        <v/>
      </c>
      <c r="T450" s="40" t="str">
        <f aca="false">IF($L450="","",IF($O450="",$L450,$O450))</f>
        <v/>
      </c>
      <c r="U450" s="34" t="str">
        <f aca="false">IF($E450="","",IF(OR($M450="",$L450=""),0,IF($M450&lt;=$L450,1,0)))</f>
        <v/>
      </c>
      <c r="V450" s="34" t="str">
        <f aca="false">IF($E450="","",IF(OR($M450="",$T450=""),0,IF($M450&lt;=$T450,1,0)))</f>
        <v/>
      </c>
      <c r="W450" s="42" t="str">
        <f aca="false">IF(OR($M450="",$L450=""),"",MAX(0,$M450-$L450))</f>
        <v/>
      </c>
      <c r="X450" s="34" t="str">
        <f aca="false">IF($E450="","",IF(AND($O450&lt;&gt;"",$L450&lt;&gt;"",$O450&lt;&gt;$L450),1,0))</f>
        <v/>
      </c>
      <c r="Y450" s="34" t="str">
        <f aca="false">IF($E450="","",IF($N450="Cancelada",0,IF(OR($M450&lt;&gt;"",$N450="Concluída"),1,0)))</f>
        <v/>
      </c>
    </row>
    <row r="451" customFormat="false" ht="15" hidden="false" customHeight="true" outlineLevel="0" collapsed="false">
      <c r="A451" s="34" t="str">
        <f aca="false">IF($E451="","",COUNTA($E$5:$E451))</f>
        <v/>
      </c>
      <c r="B451" s="35"/>
      <c r="C451" s="35"/>
      <c r="D451" s="35"/>
      <c r="E451" s="35"/>
      <c r="F451" s="36"/>
      <c r="G451" s="37"/>
      <c r="H451" s="37"/>
      <c r="I451" s="37"/>
      <c r="J451" s="38"/>
      <c r="K451" s="39"/>
      <c r="L451" s="40" t="str">
        <f aca="false">IF(OR($J451="",$K451=""),"",$J451+MATCH($K451,Listas!$F$5:$F$11,0)-1)</f>
        <v/>
      </c>
      <c r="M451" s="41"/>
      <c r="N451" s="36"/>
      <c r="O451" s="41"/>
      <c r="P451" s="35"/>
      <c r="Q451" s="35"/>
      <c r="R451" s="42" t="str">
        <f aca="true">IF($E451="","",IF($N451="Cancelada","Cancelada",IF(OR($M451&lt;&gt;"",$N451="Concluída"),IF(OR($L451="",$M451="",$M451&lt;=$L451),"Concluída","Concluída com atraso"),IF($L451="","Na carteira",IF($L451&lt;TODAY(),"VENCIDA",IF($N451="Em execução","Em execução",IF($L451=TODAY(),"Hoje","Programada")))))))</f>
        <v/>
      </c>
      <c r="S451" s="34" t="str">
        <f aca="false">IF($E451="","",IF(ISNUMBER(SEARCH("(externo)",$G451&amp;$H451&amp;$I451)),"Terceirizada","Interna"))</f>
        <v/>
      </c>
      <c r="T451" s="40" t="str">
        <f aca="false">IF($L451="","",IF($O451="",$L451,$O451))</f>
        <v/>
      </c>
      <c r="U451" s="34" t="str">
        <f aca="false">IF($E451="","",IF(OR($M451="",$L451=""),0,IF($M451&lt;=$L451,1,0)))</f>
        <v/>
      </c>
      <c r="V451" s="34" t="str">
        <f aca="false">IF($E451="","",IF(OR($M451="",$T451=""),0,IF($M451&lt;=$T451,1,0)))</f>
        <v/>
      </c>
      <c r="W451" s="42" t="str">
        <f aca="false">IF(OR($M451="",$L451=""),"",MAX(0,$M451-$L451))</f>
        <v/>
      </c>
      <c r="X451" s="34" t="str">
        <f aca="false">IF($E451="","",IF(AND($O451&lt;&gt;"",$L451&lt;&gt;"",$O451&lt;&gt;$L451),1,0))</f>
        <v/>
      </c>
      <c r="Y451" s="34" t="str">
        <f aca="false">IF($E451="","",IF($N451="Cancelada",0,IF(OR($M451&lt;&gt;"",$N451="Concluída"),1,0)))</f>
        <v/>
      </c>
    </row>
    <row r="452" customFormat="false" ht="15" hidden="false" customHeight="true" outlineLevel="0" collapsed="false">
      <c r="A452" s="34" t="str">
        <f aca="false">IF($E452="","",COUNTA($E$5:$E452))</f>
        <v/>
      </c>
      <c r="B452" s="35"/>
      <c r="C452" s="35"/>
      <c r="D452" s="35"/>
      <c r="E452" s="35"/>
      <c r="F452" s="36"/>
      <c r="G452" s="37"/>
      <c r="H452" s="37"/>
      <c r="I452" s="37"/>
      <c r="J452" s="38"/>
      <c r="K452" s="39"/>
      <c r="L452" s="40" t="str">
        <f aca="false">IF(OR($J452="",$K452=""),"",$J452+MATCH($K452,Listas!$F$5:$F$11,0)-1)</f>
        <v/>
      </c>
      <c r="M452" s="41"/>
      <c r="N452" s="36"/>
      <c r="O452" s="41"/>
      <c r="P452" s="35"/>
      <c r="Q452" s="35"/>
      <c r="R452" s="42" t="str">
        <f aca="true">IF($E452="","",IF($N452="Cancelada","Cancelada",IF(OR($M452&lt;&gt;"",$N452="Concluída"),IF(OR($L452="",$M452="",$M452&lt;=$L452),"Concluída","Concluída com atraso"),IF($L452="","Na carteira",IF($L452&lt;TODAY(),"VENCIDA",IF($N452="Em execução","Em execução",IF($L452=TODAY(),"Hoje","Programada")))))))</f>
        <v/>
      </c>
      <c r="S452" s="34" t="str">
        <f aca="false">IF($E452="","",IF(ISNUMBER(SEARCH("(externo)",$G452&amp;$H452&amp;$I452)),"Terceirizada","Interna"))</f>
        <v/>
      </c>
      <c r="T452" s="40" t="str">
        <f aca="false">IF($L452="","",IF($O452="",$L452,$O452))</f>
        <v/>
      </c>
      <c r="U452" s="34" t="str">
        <f aca="false">IF($E452="","",IF(OR($M452="",$L452=""),0,IF($M452&lt;=$L452,1,0)))</f>
        <v/>
      </c>
      <c r="V452" s="34" t="str">
        <f aca="false">IF($E452="","",IF(OR($M452="",$T452=""),0,IF($M452&lt;=$T452,1,0)))</f>
        <v/>
      </c>
      <c r="W452" s="42" t="str">
        <f aca="false">IF(OR($M452="",$L452=""),"",MAX(0,$M452-$L452))</f>
        <v/>
      </c>
      <c r="X452" s="34" t="str">
        <f aca="false">IF($E452="","",IF(AND($O452&lt;&gt;"",$L452&lt;&gt;"",$O452&lt;&gt;$L452),1,0))</f>
        <v/>
      </c>
      <c r="Y452" s="34" t="str">
        <f aca="false">IF($E452="","",IF($N452="Cancelada",0,IF(OR($M452&lt;&gt;"",$N452="Concluída"),1,0)))</f>
        <v/>
      </c>
    </row>
    <row r="453" customFormat="false" ht="15" hidden="false" customHeight="true" outlineLevel="0" collapsed="false">
      <c r="A453" s="34" t="str">
        <f aca="false">IF($E453="","",COUNTA($E$5:$E453))</f>
        <v/>
      </c>
      <c r="B453" s="35"/>
      <c r="C453" s="35"/>
      <c r="D453" s="35"/>
      <c r="E453" s="35"/>
      <c r="F453" s="36"/>
      <c r="G453" s="37"/>
      <c r="H453" s="37"/>
      <c r="I453" s="37"/>
      <c r="J453" s="38"/>
      <c r="K453" s="39"/>
      <c r="L453" s="40" t="str">
        <f aca="false">IF(OR($J453="",$K453=""),"",$J453+MATCH($K453,Listas!$F$5:$F$11,0)-1)</f>
        <v/>
      </c>
      <c r="M453" s="41"/>
      <c r="N453" s="36"/>
      <c r="O453" s="41"/>
      <c r="P453" s="35"/>
      <c r="Q453" s="35"/>
      <c r="R453" s="42" t="str">
        <f aca="true">IF($E453="","",IF($N453="Cancelada","Cancelada",IF(OR($M453&lt;&gt;"",$N453="Concluída"),IF(OR($L453="",$M453="",$M453&lt;=$L453),"Concluída","Concluída com atraso"),IF($L453="","Na carteira",IF($L453&lt;TODAY(),"VENCIDA",IF($N453="Em execução","Em execução",IF($L453=TODAY(),"Hoje","Programada")))))))</f>
        <v/>
      </c>
      <c r="S453" s="34" t="str">
        <f aca="false">IF($E453="","",IF(ISNUMBER(SEARCH("(externo)",$G453&amp;$H453&amp;$I453)),"Terceirizada","Interna"))</f>
        <v/>
      </c>
      <c r="T453" s="40" t="str">
        <f aca="false">IF($L453="","",IF($O453="",$L453,$O453))</f>
        <v/>
      </c>
      <c r="U453" s="34" t="str">
        <f aca="false">IF($E453="","",IF(OR($M453="",$L453=""),0,IF($M453&lt;=$L453,1,0)))</f>
        <v/>
      </c>
      <c r="V453" s="34" t="str">
        <f aca="false">IF($E453="","",IF(OR($M453="",$T453=""),0,IF($M453&lt;=$T453,1,0)))</f>
        <v/>
      </c>
      <c r="W453" s="42" t="str">
        <f aca="false">IF(OR($M453="",$L453=""),"",MAX(0,$M453-$L453))</f>
        <v/>
      </c>
      <c r="X453" s="34" t="str">
        <f aca="false">IF($E453="","",IF(AND($O453&lt;&gt;"",$L453&lt;&gt;"",$O453&lt;&gt;$L453),1,0))</f>
        <v/>
      </c>
      <c r="Y453" s="34" t="str">
        <f aca="false">IF($E453="","",IF($N453="Cancelada",0,IF(OR($M453&lt;&gt;"",$N453="Concluída"),1,0)))</f>
        <v/>
      </c>
    </row>
    <row r="454" customFormat="false" ht="15" hidden="false" customHeight="true" outlineLevel="0" collapsed="false">
      <c r="A454" s="34" t="str">
        <f aca="false">IF($E454="","",COUNTA($E$5:$E454))</f>
        <v/>
      </c>
      <c r="B454" s="35"/>
      <c r="C454" s="35"/>
      <c r="D454" s="35"/>
      <c r="E454" s="35"/>
      <c r="F454" s="36"/>
      <c r="G454" s="37"/>
      <c r="H454" s="37"/>
      <c r="I454" s="37"/>
      <c r="J454" s="38"/>
      <c r="K454" s="39"/>
      <c r="L454" s="40" t="str">
        <f aca="false">IF(OR($J454="",$K454=""),"",$J454+MATCH($K454,Listas!$F$5:$F$11,0)-1)</f>
        <v/>
      </c>
      <c r="M454" s="41"/>
      <c r="N454" s="36"/>
      <c r="O454" s="41"/>
      <c r="P454" s="35"/>
      <c r="Q454" s="35"/>
      <c r="R454" s="42" t="str">
        <f aca="true">IF($E454="","",IF($N454="Cancelada","Cancelada",IF(OR($M454&lt;&gt;"",$N454="Concluída"),IF(OR($L454="",$M454="",$M454&lt;=$L454),"Concluída","Concluída com atraso"),IF($L454="","Na carteira",IF($L454&lt;TODAY(),"VENCIDA",IF($N454="Em execução","Em execução",IF($L454=TODAY(),"Hoje","Programada")))))))</f>
        <v/>
      </c>
      <c r="S454" s="34" t="str">
        <f aca="false">IF($E454="","",IF(ISNUMBER(SEARCH("(externo)",$G454&amp;$H454&amp;$I454)),"Terceirizada","Interna"))</f>
        <v/>
      </c>
      <c r="T454" s="40" t="str">
        <f aca="false">IF($L454="","",IF($O454="",$L454,$O454))</f>
        <v/>
      </c>
      <c r="U454" s="34" t="str">
        <f aca="false">IF($E454="","",IF(OR($M454="",$L454=""),0,IF($M454&lt;=$L454,1,0)))</f>
        <v/>
      </c>
      <c r="V454" s="34" t="str">
        <f aca="false">IF($E454="","",IF(OR($M454="",$T454=""),0,IF($M454&lt;=$T454,1,0)))</f>
        <v/>
      </c>
      <c r="W454" s="42" t="str">
        <f aca="false">IF(OR($M454="",$L454=""),"",MAX(0,$M454-$L454))</f>
        <v/>
      </c>
      <c r="X454" s="34" t="str">
        <f aca="false">IF($E454="","",IF(AND($O454&lt;&gt;"",$L454&lt;&gt;"",$O454&lt;&gt;$L454),1,0))</f>
        <v/>
      </c>
      <c r="Y454" s="34" t="str">
        <f aca="false">IF($E454="","",IF($N454="Cancelada",0,IF(OR($M454&lt;&gt;"",$N454="Concluída"),1,0)))</f>
        <v/>
      </c>
    </row>
    <row r="455" customFormat="false" ht="15" hidden="false" customHeight="true" outlineLevel="0" collapsed="false">
      <c r="A455" s="34" t="str">
        <f aca="false">IF($E455="","",COUNTA($E$5:$E455))</f>
        <v/>
      </c>
      <c r="B455" s="35"/>
      <c r="C455" s="35"/>
      <c r="D455" s="35"/>
      <c r="E455" s="35"/>
      <c r="F455" s="36"/>
      <c r="G455" s="37"/>
      <c r="H455" s="37"/>
      <c r="I455" s="37"/>
      <c r="J455" s="38"/>
      <c r="K455" s="39"/>
      <c r="L455" s="40" t="str">
        <f aca="false">IF(OR($J455="",$K455=""),"",$J455+MATCH($K455,Listas!$F$5:$F$11,0)-1)</f>
        <v/>
      </c>
      <c r="M455" s="41"/>
      <c r="N455" s="36"/>
      <c r="O455" s="41"/>
      <c r="P455" s="35"/>
      <c r="Q455" s="35"/>
      <c r="R455" s="42" t="str">
        <f aca="true">IF($E455="","",IF($N455="Cancelada","Cancelada",IF(OR($M455&lt;&gt;"",$N455="Concluída"),IF(OR($L455="",$M455="",$M455&lt;=$L455),"Concluída","Concluída com atraso"),IF($L455="","Na carteira",IF($L455&lt;TODAY(),"VENCIDA",IF($N455="Em execução","Em execução",IF($L455=TODAY(),"Hoje","Programada")))))))</f>
        <v/>
      </c>
      <c r="S455" s="34" t="str">
        <f aca="false">IF($E455="","",IF(ISNUMBER(SEARCH("(externo)",$G455&amp;$H455&amp;$I455)),"Terceirizada","Interna"))</f>
        <v/>
      </c>
      <c r="T455" s="40" t="str">
        <f aca="false">IF($L455="","",IF($O455="",$L455,$O455))</f>
        <v/>
      </c>
      <c r="U455" s="34" t="str">
        <f aca="false">IF($E455="","",IF(OR($M455="",$L455=""),0,IF($M455&lt;=$L455,1,0)))</f>
        <v/>
      </c>
      <c r="V455" s="34" t="str">
        <f aca="false">IF($E455="","",IF(OR($M455="",$T455=""),0,IF($M455&lt;=$T455,1,0)))</f>
        <v/>
      </c>
      <c r="W455" s="42" t="str">
        <f aca="false">IF(OR($M455="",$L455=""),"",MAX(0,$M455-$L455))</f>
        <v/>
      </c>
      <c r="X455" s="34" t="str">
        <f aca="false">IF($E455="","",IF(AND($O455&lt;&gt;"",$L455&lt;&gt;"",$O455&lt;&gt;$L455),1,0))</f>
        <v/>
      </c>
      <c r="Y455" s="34" t="str">
        <f aca="false">IF($E455="","",IF($N455="Cancelada",0,IF(OR($M455&lt;&gt;"",$N455="Concluída"),1,0)))</f>
        <v/>
      </c>
    </row>
    <row r="456" customFormat="false" ht="15" hidden="false" customHeight="true" outlineLevel="0" collapsed="false">
      <c r="A456" s="34" t="str">
        <f aca="false">IF($E456="","",COUNTA($E$5:$E456))</f>
        <v/>
      </c>
      <c r="B456" s="35"/>
      <c r="C456" s="35"/>
      <c r="D456" s="35"/>
      <c r="E456" s="35"/>
      <c r="F456" s="36"/>
      <c r="G456" s="37"/>
      <c r="H456" s="37"/>
      <c r="I456" s="37"/>
      <c r="J456" s="38"/>
      <c r="K456" s="39"/>
      <c r="L456" s="40" t="str">
        <f aca="false">IF(OR($J456="",$K456=""),"",$J456+MATCH($K456,Listas!$F$5:$F$11,0)-1)</f>
        <v/>
      </c>
      <c r="M456" s="41"/>
      <c r="N456" s="36"/>
      <c r="O456" s="41"/>
      <c r="P456" s="35"/>
      <c r="Q456" s="35"/>
      <c r="R456" s="42" t="str">
        <f aca="true">IF($E456="","",IF($N456="Cancelada","Cancelada",IF(OR($M456&lt;&gt;"",$N456="Concluída"),IF(OR($L456="",$M456="",$M456&lt;=$L456),"Concluída","Concluída com atraso"),IF($L456="","Na carteira",IF($L456&lt;TODAY(),"VENCIDA",IF($N456="Em execução","Em execução",IF($L456=TODAY(),"Hoje","Programada")))))))</f>
        <v/>
      </c>
      <c r="S456" s="34" t="str">
        <f aca="false">IF($E456="","",IF(ISNUMBER(SEARCH("(externo)",$G456&amp;$H456&amp;$I456)),"Terceirizada","Interna"))</f>
        <v/>
      </c>
      <c r="T456" s="40" t="str">
        <f aca="false">IF($L456="","",IF($O456="",$L456,$O456))</f>
        <v/>
      </c>
      <c r="U456" s="34" t="str">
        <f aca="false">IF($E456="","",IF(OR($M456="",$L456=""),0,IF($M456&lt;=$L456,1,0)))</f>
        <v/>
      </c>
      <c r="V456" s="34" t="str">
        <f aca="false">IF($E456="","",IF(OR($M456="",$T456=""),0,IF($M456&lt;=$T456,1,0)))</f>
        <v/>
      </c>
      <c r="W456" s="42" t="str">
        <f aca="false">IF(OR($M456="",$L456=""),"",MAX(0,$M456-$L456))</f>
        <v/>
      </c>
      <c r="X456" s="34" t="str">
        <f aca="false">IF($E456="","",IF(AND($O456&lt;&gt;"",$L456&lt;&gt;"",$O456&lt;&gt;$L456),1,0))</f>
        <v/>
      </c>
      <c r="Y456" s="34" t="str">
        <f aca="false">IF($E456="","",IF($N456="Cancelada",0,IF(OR($M456&lt;&gt;"",$N456="Concluída"),1,0)))</f>
        <v/>
      </c>
    </row>
    <row r="457" customFormat="false" ht="15" hidden="false" customHeight="true" outlineLevel="0" collapsed="false">
      <c r="A457" s="34" t="str">
        <f aca="false">IF($E457="","",COUNTA($E$5:$E457))</f>
        <v/>
      </c>
      <c r="B457" s="35"/>
      <c r="C457" s="35"/>
      <c r="D457" s="35"/>
      <c r="E457" s="35"/>
      <c r="F457" s="36"/>
      <c r="G457" s="37"/>
      <c r="H457" s="37"/>
      <c r="I457" s="37"/>
      <c r="J457" s="38"/>
      <c r="K457" s="39"/>
      <c r="L457" s="40" t="str">
        <f aca="false">IF(OR($J457="",$K457=""),"",$J457+MATCH($K457,Listas!$F$5:$F$11,0)-1)</f>
        <v/>
      </c>
      <c r="M457" s="41"/>
      <c r="N457" s="36"/>
      <c r="O457" s="41"/>
      <c r="P457" s="35"/>
      <c r="Q457" s="35"/>
      <c r="R457" s="42" t="str">
        <f aca="true">IF($E457="","",IF($N457="Cancelada","Cancelada",IF(OR($M457&lt;&gt;"",$N457="Concluída"),IF(OR($L457="",$M457="",$M457&lt;=$L457),"Concluída","Concluída com atraso"),IF($L457="","Na carteira",IF($L457&lt;TODAY(),"VENCIDA",IF($N457="Em execução","Em execução",IF($L457=TODAY(),"Hoje","Programada")))))))</f>
        <v/>
      </c>
      <c r="S457" s="34" t="str">
        <f aca="false">IF($E457="","",IF(ISNUMBER(SEARCH("(externo)",$G457&amp;$H457&amp;$I457)),"Terceirizada","Interna"))</f>
        <v/>
      </c>
      <c r="T457" s="40" t="str">
        <f aca="false">IF($L457="","",IF($O457="",$L457,$O457))</f>
        <v/>
      </c>
      <c r="U457" s="34" t="str">
        <f aca="false">IF($E457="","",IF(OR($M457="",$L457=""),0,IF($M457&lt;=$L457,1,0)))</f>
        <v/>
      </c>
      <c r="V457" s="34" t="str">
        <f aca="false">IF($E457="","",IF(OR($M457="",$T457=""),0,IF($M457&lt;=$T457,1,0)))</f>
        <v/>
      </c>
      <c r="W457" s="42" t="str">
        <f aca="false">IF(OR($M457="",$L457=""),"",MAX(0,$M457-$L457))</f>
        <v/>
      </c>
      <c r="X457" s="34" t="str">
        <f aca="false">IF($E457="","",IF(AND($O457&lt;&gt;"",$L457&lt;&gt;"",$O457&lt;&gt;$L457),1,0))</f>
        <v/>
      </c>
      <c r="Y457" s="34" t="str">
        <f aca="false">IF($E457="","",IF($N457="Cancelada",0,IF(OR($M457&lt;&gt;"",$N457="Concluída"),1,0)))</f>
        <v/>
      </c>
    </row>
    <row r="458" customFormat="false" ht="15" hidden="false" customHeight="true" outlineLevel="0" collapsed="false">
      <c r="A458" s="34" t="str">
        <f aca="false">IF($E458="","",COUNTA($E$5:$E458))</f>
        <v/>
      </c>
      <c r="B458" s="35"/>
      <c r="C458" s="35"/>
      <c r="D458" s="35"/>
      <c r="E458" s="35"/>
      <c r="F458" s="36"/>
      <c r="G458" s="37"/>
      <c r="H458" s="37"/>
      <c r="I458" s="37"/>
      <c r="J458" s="38"/>
      <c r="K458" s="39"/>
      <c r="L458" s="40" t="str">
        <f aca="false">IF(OR($J458="",$K458=""),"",$J458+MATCH($K458,Listas!$F$5:$F$11,0)-1)</f>
        <v/>
      </c>
      <c r="M458" s="41"/>
      <c r="N458" s="36"/>
      <c r="O458" s="41"/>
      <c r="P458" s="35"/>
      <c r="Q458" s="35"/>
      <c r="R458" s="42" t="str">
        <f aca="true">IF($E458="","",IF($N458="Cancelada","Cancelada",IF(OR($M458&lt;&gt;"",$N458="Concluída"),IF(OR($L458="",$M458="",$M458&lt;=$L458),"Concluída","Concluída com atraso"),IF($L458="","Na carteira",IF($L458&lt;TODAY(),"VENCIDA",IF($N458="Em execução","Em execução",IF($L458=TODAY(),"Hoje","Programada")))))))</f>
        <v/>
      </c>
      <c r="S458" s="34" t="str">
        <f aca="false">IF($E458="","",IF(ISNUMBER(SEARCH("(externo)",$G458&amp;$H458&amp;$I458)),"Terceirizada","Interna"))</f>
        <v/>
      </c>
      <c r="T458" s="40" t="str">
        <f aca="false">IF($L458="","",IF($O458="",$L458,$O458))</f>
        <v/>
      </c>
      <c r="U458" s="34" t="str">
        <f aca="false">IF($E458="","",IF(OR($M458="",$L458=""),0,IF($M458&lt;=$L458,1,0)))</f>
        <v/>
      </c>
      <c r="V458" s="34" t="str">
        <f aca="false">IF($E458="","",IF(OR($M458="",$T458=""),0,IF($M458&lt;=$T458,1,0)))</f>
        <v/>
      </c>
      <c r="W458" s="42" t="str">
        <f aca="false">IF(OR($M458="",$L458=""),"",MAX(0,$M458-$L458))</f>
        <v/>
      </c>
      <c r="X458" s="34" t="str">
        <f aca="false">IF($E458="","",IF(AND($O458&lt;&gt;"",$L458&lt;&gt;"",$O458&lt;&gt;$L458),1,0))</f>
        <v/>
      </c>
      <c r="Y458" s="34" t="str">
        <f aca="false">IF($E458="","",IF($N458="Cancelada",0,IF(OR($M458&lt;&gt;"",$N458="Concluída"),1,0)))</f>
        <v/>
      </c>
    </row>
    <row r="459" customFormat="false" ht="15" hidden="false" customHeight="true" outlineLevel="0" collapsed="false">
      <c r="A459" s="34" t="str">
        <f aca="false">IF($E459="","",COUNTA($E$5:$E459))</f>
        <v/>
      </c>
      <c r="B459" s="35"/>
      <c r="C459" s="35"/>
      <c r="D459" s="35"/>
      <c r="E459" s="35"/>
      <c r="F459" s="36"/>
      <c r="G459" s="37"/>
      <c r="H459" s="37"/>
      <c r="I459" s="37"/>
      <c r="J459" s="38"/>
      <c r="K459" s="39"/>
      <c r="L459" s="40" t="str">
        <f aca="false">IF(OR($J459="",$K459=""),"",$J459+MATCH($K459,Listas!$F$5:$F$11,0)-1)</f>
        <v/>
      </c>
      <c r="M459" s="41"/>
      <c r="N459" s="36"/>
      <c r="O459" s="41"/>
      <c r="P459" s="35"/>
      <c r="Q459" s="35"/>
      <c r="R459" s="42" t="str">
        <f aca="true">IF($E459="","",IF($N459="Cancelada","Cancelada",IF(OR($M459&lt;&gt;"",$N459="Concluída"),IF(OR($L459="",$M459="",$M459&lt;=$L459),"Concluída","Concluída com atraso"),IF($L459="","Na carteira",IF($L459&lt;TODAY(),"VENCIDA",IF($N459="Em execução","Em execução",IF($L459=TODAY(),"Hoje","Programada")))))))</f>
        <v/>
      </c>
      <c r="S459" s="34" t="str">
        <f aca="false">IF($E459="","",IF(ISNUMBER(SEARCH("(externo)",$G459&amp;$H459&amp;$I459)),"Terceirizada","Interna"))</f>
        <v/>
      </c>
      <c r="T459" s="40" t="str">
        <f aca="false">IF($L459="","",IF($O459="",$L459,$O459))</f>
        <v/>
      </c>
      <c r="U459" s="34" t="str">
        <f aca="false">IF($E459="","",IF(OR($M459="",$L459=""),0,IF($M459&lt;=$L459,1,0)))</f>
        <v/>
      </c>
      <c r="V459" s="34" t="str">
        <f aca="false">IF($E459="","",IF(OR($M459="",$T459=""),0,IF($M459&lt;=$T459,1,0)))</f>
        <v/>
      </c>
      <c r="W459" s="42" t="str">
        <f aca="false">IF(OR($M459="",$L459=""),"",MAX(0,$M459-$L459))</f>
        <v/>
      </c>
      <c r="X459" s="34" t="str">
        <f aca="false">IF($E459="","",IF(AND($O459&lt;&gt;"",$L459&lt;&gt;"",$O459&lt;&gt;$L459),1,0))</f>
        <v/>
      </c>
      <c r="Y459" s="34" t="str">
        <f aca="false">IF($E459="","",IF($N459="Cancelada",0,IF(OR($M459&lt;&gt;"",$N459="Concluída"),1,0)))</f>
        <v/>
      </c>
    </row>
    <row r="460" customFormat="false" ht="15" hidden="false" customHeight="true" outlineLevel="0" collapsed="false">
      <c r="A460" s="34" t="str">
        <f aca="false">IF($E460="","",COUNTA($E$5:$E460))</f>
        <v/>
      </c>
      <c r="B460" s="35"/>
      <c r="C460" s="35"/>
      <c r="D460" s="35"/>
      <c r="E460" s="35"/>
      <c r="F460" s="36"/>
      <c r="G460" s="37"/>
      <c r="H460" s="37"/>
      <c r="I460" s="37"/>
      <c r="J460" s="38"/>
      <c r="K460" s="39"/>
      <c r="L460" s="40" t="str">
        <f aca="false">IF(OR($J460="",$K460=""),"",$J460+MATCH($K460,Listas!$F$5:$F$11,0)-1)</f>
        <v/>
      </c>
      <c r="M460" s="41"/>
      <c r="N460" s="36"/>
      <c r="O460" s="41"/>
      <c r="P460" s="35"/>
      <c r="Q460" s="35"/>
      <c r="R460" s="42" t="str">
        <f aca="true">IF($E460="","",IF($N460="Cancelada","Cancelada",IF(OR($M460&lt;&gt;"",$N460="Concluída"),IF(OR($L460="",$M460="",$M460&lt;=$L460),"Concluída","Concluída com atraso"),IF($L460="","Na carteira",IF($L460&lt;TODAY(),"VENCIDA",IF($N460="Em execução","Em execução",IF($L460=TODAY(),"Hoje","Programada")))))))</f>
        <v/>
      </c>
      <c r="S460" s="34" t="str">
        <f aca="false">IF($E460="","",IF(ISNUMBER(SEARCH("(externo)",$G460&amp;$H460&amp;$I460)),"Terceirizada","Interna"))</f>
        <v/>
      </c>
      <c r="T460" s="40" t="str">
        <f aca="false">IF($L460="","",IF($O460="",$L460,$O460))</f>
        <v/>
      </c>
      <c r="U460" s="34" t="str">
        <f aca="false">IF($E460="","",IF(OR($M460="",$L460=""),0,IF($M460&lt;=$L460,1,0)))</f>
        <v/>
      </c>
      <c r="V460" s="34" t="str">
        <f aca="false">IF($E460="","",IF(OR($M460="",$T460=""),0,IF($M460&lt;=$T460,1,0)))</f>
        <v/>
      </c>
      <c r="W460" s="42" t="str">
        <f aca="false">IF(OR($M460="",$L460=""),"",MAX(0,$M460-$L460))</f>
        <v/>
      </c>
      <c r="X460" s="34" t="str">
        <f aca="false">IF($E460="","",IF(AND($O460&lt;&gt;"",$L460&lt;&gt;"",$O460&lt;&gt;$L460),1,0))</f>
        <v/>
      </c>
      <c r="Y460" s="34" t="str">
        <f aca="false">IF($E460="","",IF($N460="Cancelada",0,IF(OR($M460&lt;&gt;"",$N460="Concluída"),1,0)))</f>
        <v/>
      </c>
    </row>
    <row r="461" customFormat="false" ht="15" hidden="false" customHeight="true" outlineLevel="0" collapsed="false">
      <c r="A461" s="34" t="str">
        <f aca="false">IF($E461="","",COUNTA($E$5:$E461))</f>
        <v/>
      </c>
      <c r="B461" s="35"/>
      <c r="C461" s="35"/>
      <c r="D461" s="35"/>
      <c r="E461" s="35"/>
      <c r="F461" s="36"/>
      <c r="G461" s="37"/>
      <c r="H461" s="37"/>
      <c r="I461" s="37"/>
      <c r="J461" s="38"/>
      <c r="K461" s="39"/>
      <c r="L461" s="40" t="str">
        <f aca="false">IF(OR($J461="",$K461=""),"",$J461+MATCH($K461,Listas!$F$5:$F$11,0)-1)</f>
        <v/>
      </c>
      <c r="M461" s="41"/>
      <c r="N461" s="36"/>
      <c r="O461" s="41"/>
      <c r="P461" s="35"/>
      <c r="Q461" s="35"/>
      <c r="R461" s="42" t="str">
        <f aca="true">IF($E461="","",IF($N461="Cancelada","Cancelada",IF(OR($M461&lt;&gt;"",$N461="Concluída"),IF(OR($L461="",$M461="",$M461&lt;=$L461),"Concluída","Concluída com atraso"),IF($L461="","Na carteira",IF($L461&lt;TODAY(),"VENCIDA",IF($N461="Em execução","Em execução",IF($L461=TODAY(),"Hoje","Programada")))))))</f>
        <v/>
      </c>
      <c r="S461" s="34" t="str">
        <f aca="false">IF($E461="","",IF(ISNUMBER(SEARCH("(externo)",$G461&amp;$H461&amp;$I461)),"Terceirizada","Interna"))</f>
        <v/>
      </c>
      <c r="T461" s="40" t="str">
        <f aca="false">IF($L461="","",IF($O461="",$L461,$O461))</f>
        <v/>
      </c>
      <c r="U461" s="34" t="str">
        <f aca="false">IF($E461="","",IF(OR($M461="",$L461=""),0,IF($M461&lt;=$L461,1,0)))</f>
        <v/>
      </c>
      <c r="V461" s="34" t="str">
        <f aca="false">IF($E461="","",IF(OR($M461="",$T461=""),0,IF($M461&lt;=$T461,1,0)))</f>
        <v/>
      </c>
      <c r="W461" s="42" t="str">
        <f aca="false">IF(OR($M461="",$L461=""),"",MAX(0,$M461-$L461))</f>
        <v/>
      </c>
      <c r="X461" s="34" t="str">
        <f aca="false">IF($E461="","",IF(AND($O461&lt;&gt;"",$L461&lt;&gt;"",$O461&lt;&gt;$L461),1,0))</f>
        <v/>
      </c>
      <c r="Y461" s="34" t="str">
        <f aca="false">IF($E461="","",IF($N461="Cancelada",0,IF(OR($M461&lt;&gt;"",$N461="Concluída"),1,0)))</f>
        <v/>
      </c>
    </row>
    <row r="462" customFormat="false" ht="15" hidden="false" customHeight="true" outlineLevel="0" collapsed="false">
      <c r="A462" s="34" t="str">
        <f aca="false">IF($E462="","",COUNTA($E$5:$E462))</f>
        <v/>
      </c>
      <c r="B462" s="35"/>
      <c r="C462" s="35"/>
      <c r="D462" s="35"/>
      <c r="E462" s="35"/>
      <c r="F462" s="36"/>
      <c r="G462" s="37"/>
      <c r="H462" s="37"/>
      <c r="I462" s="37"/>
      <c r="J462" s="38"/>
      <c r="K462" s="39"/>
      <c r="L462" s="40" t="str">
        <f aca="false">IF(OR($J462="",$K462=""),"",$J462+MATCH($K462,Listas!$F$5:$F$11,0)-1)</f>
        <v/>
      </c>
      <c r="M462" s="41"/>
      <c r="N462" s="36"/>
      <c r="O462" s="41"/>
      <c r="P462" s="35"/>
      <c r="Q462" s="35"/>
      <c r="R462" s="42" t="str">
        <f aca="true">IF($E462="","",IF($N462="Cancelada","Cancelada",IF(OR($M462&lt;&gt;"",$N462="Concluída"),IF(OR($L462="",$M462="",$M462&lt;=$L462),"Concluída","Concluída com atraso"),IF($L462="","Na carteira",IF($L462&lt;TODAY(),"VENCIDA",IF($N462="Em execução","Em execução",IF($L462=TODAY(),"Hoje","Programada")))))))</f>
        <v/>
      </c>
      <c r="S462" s="34" t="str">
        <f aca="false">IF($E462="","",IF(ISNUMBER(SEARCH("(externo)",$G462&amp;$H462&amp;$I462)),"Terceirizada","Interna"))</f>
        <v/>
      </c>
      <c r="T462" s="40" t="str">
        <f aca="false">IF($L462="","",IF($O462="",$L462,$O462))</f>
        <v/>
      </c>
      <c r="U462" s="34" t="str">
        <f aca="false">IF($E462="","",IF(OR($M462="",$L462=""),0,IF($M462&lt;=$L462,1,0)))</f>
        <v/>
      </c>
      <c r="V462" s="34" t="str">
        <f aca="false">IF($E462="","",IF(OR($M462="",$T462=""),0,IF($M462&lt;=$T462,1,0)))</f>
        <v/>
      </c>
      <c r="W462" s="42" t="str">
        <f aca="false">IF(OR($M462="",$L462=""),"",MAX(0,$M462-$L462))</f>
        <v/>
      </c>
      <c r="X462" s="34" t="str">
        <f aca="false">IF($E462="","",IF(AND($O462&lt;&gt;"",$L462&lt;&gt;"",$O462&lt;&gt;$L462),1,0))</f>
        <v/>
      </c>
      <c r="Y462" s="34" t="str">
        <f aca="false">IF($E462="","",IF($N462="Cancelada",0,IF(OR($M462&lt;&gt;"",$N462="Concluída"),1,0)))</f>
        <v/>
      </c>
    </row>
    <row r="463" customFormat="false" ht="15" hidden="false" customHeight="true" outlineLevel="0" collapsed="false">
      <c r="A463" s="34" t="str">
        <f aca="false">IF($E463="","",COUNTA($E$5:$E463))</f>
        <v/>
      </c>
      <c r="B463" s="35"/>
      <c r="C463" s="35"/>
      <c r="D463" s="35"/>
      <c r="E463" s="35"/>
      <c r="F463" s="36"/>
      <c r="G463" s="37"/>
      <c r="H463" s="37"/>
      <c r="I463" s="37"/>
      <c r="J463" s="38"/>
      <c r="K463" s="39"/>
      <c r="L463" s="40" t="str">
        <f aca="false">IF(OR($J463="",$K463=""),"",$J463+MATCH($K463,Listas!$F$5:$F$11,0)-1)</f>
        <v/>
      </c>
      <c r="M463" s="41"/>
      <c r="N463" s="36"/>
      <c r="O463" s="41"/>
      <c r="P463" s="35"/>
      <c r="Q463" s="35"/>
      <c r="R463" s="42" t="str">
        <f aca="true">IF($E463="","",IF($N463="Cancelada","Cancelada",IF(OR($M463&lt;&gt;"",$N463="Concluída"),IF(OR($L463="",$M463="",$M463&lt;=$L463),"Concluída","Concluída com atraso"),IF($L463="","Na carteira",IF($L463&lt;TODAY(),"VENCIDA",IF($N463="Em execução","Em execução",IF($L463=TODAY(),"Hoje","Programada")))))))</f>
        <v/>
      </c>
      <c r="S463" s="34" t="str">
        <f aca="false">IF($E463="","",IF(ISNUMBER(SEARCH("(externo)",$G463&amp;$H463&amp;$I463)),"Terceirizada","Interna"))</f>
        <v/>
      </c>
      <c r="T463" s="40" t="str">
        <f aca="false">IF($L463="","",IF($O463="",$L463,$O463))</f>
        <v/>
      </c>
      <c r="U463" s="34" t="str">
        <f aca="false">IF($E463="","",IF(OR($M463="",$L463=""),0,IF($M463&lt;=$L463,1,0)))</f>
        <v/>
      </c>
      <c r="V463" s="34" t="str">
        <f aca="false">IF($E463="","",IF(OR($M463="",$T463=""),0,IF($M463&lt;=$T463,1,0)))</f>
        <v/>
      </c>
      <c r="W463" s="42" t="str">
        <f aca="false">IF(OR($M463="",$L463=""),"",MAX(0,$M463-$L463))</f>
        <v/>
      </c>
      <c r="X463" s="34" t="str">
        <f aca="false">IF($E463="","",IF(AND($O463&lt;&gt;"",$L463&lt;&gt;"",$O463&lt;&gt;$L463),1,0))</f>
        <v/>
      </c>
      <c r="Y463" s="34" t="str">
        <f aca="false">IF($E463="","",IF($N463="Cancelada",0,IF(OR($M463&lt;&gt;"",$N463="Concluída"),1,0)))</f>
        <v/>
      </c>
    </row>
    <row r="464" customFormat="false" ht="15" hidden="false" customHeight="true" outlineLevel="0" collapsed="false">
      <c r="A464" s="34" t="str">
        <f aca="false">IF($E464="","",COUNTA($E$5:$E464))</f>
        <v/>
      </c>
      <c r="B464" s="35"/>
      <c r="C464" s="35"/>
      <c r="D464" s="35"/>
      <c r="E464" s="35"/>
      <c r="F464" s="36"/>
      <c r="G464" s="37"/>
      <c r="H464" s="37"/>
      <c r="I464" s="37"/>
      <c r="J464" s="38"/>
      <c r="K464" s="39"/>
      <c r="L464" s="40" t="str">
        <f aca="false">IF(OR($J464="",$K464=""),"",$J464+MATCH($K464,Listas!$F$5:$F$11,0)-1)</f>
        <v/>
      </c>
      <c r="M464" s="41"/>
      <c r="N464" s="36"/>
      <c r="O464" s="41"/>
      <c r="P464" s="35"/>
      <c r="Q464" s="35"/>
      <c r="R464" s="42" t="str">
        <f aca="true">IF($E464="","",IF($N464="Cancelada","Cancelada",IF(OR($M464&lt;&gt;"",$N464="Concluída"),IF(OR($L464="",$M464="",$M464&lt;=$L464),"Concluída","Concluída com atraso"),IF($L464="","Na carteira",IF($L464&lt;TODAY(),"VENCIDA",IF($N464="Em execução","Em execução",IF($L464=TODAY(),"Hoje","Programada")))))))</f>
        <v/>
      </c>
      <c r="S464" s="34" t="str">
        <f aca="false">IF($E464="","",IF(ISNUMBER(SEARCH("(externo)",$G464&amp;$H464&amp;$I464)),"Terceirizada","Interna"))</f>
        <v/>
      </c>
      <c r="T464" s="40" t="str">
        <f aca="false">IF($L464="","",IF($O464="",$L464,$O464))</f>
        <v/>
      </c>
      <c r="U464" s="34" t="str">
        <f aca="false">IF($E464="","",IF(OR($M464="",$L464=""),0,IF($M464&lt;=$L464,1,0)))</f>
        <v/>
      </c>
      <c r="V464" s="34" t="str">
        <f aca="false">IF($E464="","",IF(OR($M464="",$T464=""),0,IF($M464&lt;=$T464,1,0)))</f>
        <v/>
      </c>
      <c r="W464" s="42" t="str">
        <f aca="false">IF(OR($M464="",$L464=""),"",MAX(0,$M464-$L464))</f>
        <v/>
      </c>
      <c r="X464" s="34" t="str">
        <f aca="false">IF($E464="","",IF(AND($O464&lt;&gt;"",$L464&lt;&gt;"",$O464&lt;&gt;$L464),1,0))</f>
        <v/>
      </c>
      <c r="Y464" s="34" t="str">
        <f aca="false">IF($E464="","",IF($N464="Cancelada",0,IF(OR($M464&lt;&gt;"",$N464="Concluída"),1,0)))</f>
        <v/>
      </c>
    </row>
    <row r="465" customFormat="false" ht="15" hidden="false" customHeight="true" outlineLevel="0" collapsed="false">
      <c r="A465" s="34" t="str">
        <f aca="false">IF($E465="","",COUNTA($E$5:$E465))</f>
        <v/>
      </c>
      <c r="B465" s="35"/>
      <c r="C465" s="35"/>
      <c r="D465" s="35"/>
      <c r="E465" s="35"/>
      <c r="F465" s="36"/>
      <c r="G465" s="37"/>
      <c r="H465" s="37"/>
      <c r="I465" s="37"/>
      <c r="J465" s="38"/>
      <c r="K465" s="39"/>
      <c r="L465" s="40" t="str">
        <f aca="false">IF(OR($J465="",$K465=""),"",$J465+MATCH($K465,Listas!$F$5:$F$11,0)-1)</f>
        <v/>
      </c>
      <c r="M465" s="41"/>
      <c r="N465" s="36"/>
      <c r="O465" s="41"/>
      <c r="P465" s="35"/>
      <c r="Q465" s="35"/>
      <c r="R465" s="42" t="str">
        <f aca="true">IF($E465="","",IF($N465="Cancelada","Cancelada",IF(OR($M465&lt;&gt;"",$N465="Concluída"),IF(OR($L465="",$M465="",$M465&lt;=$L465),"Concluída","Concluída com atraso"),IF($L465="","Na carteira",IF($L465&lt;TODAY(),"VENCIDA",IF($N465="Em execução","Em execução",IF($L465=TODAY(),"Hoje","Programada")))))))</f>
        <v/>
      </c>
      <c r="S465" s="34" t="str">
        <f aca="false">IF($E465="","",IF(ISNUMBER(SEARCH("(externo)",$G465&amp;$H465&amp;$I465)),"Terceirizada","Interna"))</f>
        <v/>
      </c>
      <c r="T465" s="40" t="str">
        <f aca="false">IF($L465="","",IF($O465="",$L465,$O465))</f>
        <v/>
      </c>
      <c r="U465" s="34" t="str">
        <f aca="false">IF($E465="","",IF(OR($M465="",$L465=""),0,IF($M465&lt;=$L465,1,0)))</f>
        <v/>
      </c>
      <c r="V465" s="34" t="str">
        <f aca="false">IF($E465="","",IF(OR($M465="",$T465=""),0,IF($M465&lt;=$T465,1,0)))</f>
        <v/>
      </c>
      <c r="W465" s="42" t="str">
        <f aca="false">IF(OR($M465="",$L465=""),"",MAX(0,$M465-$L465))</f>
        <v/>
      </c>
      <c r="X465" s="34" t="str">
        <f aca="false">IF($E465="","",IF(AND($O465&lt;&gt;"",$L465&lt;&gt;"",$O465&lt;&gt;$L465),1,0))</f>
        <v/>
      </c>
      <c r="Y465" s="34" t="str">
        <f aca="false">IF($E465="","",IF($N465="Cancelada",0,IF(OR($M465&lt;&gt;"",$N465="Concluída"),1,0)))</f>
        <v/>
      </c>
    </row>
    <row r="466" customFormat="false" ht="15" hidden="false" customHeight="true" outlineLevel="0" collapsed="false">
      <c r="A466" s="34" t="str">
        <f aca="false">IF($E466="","",COUNTA($E$5:$E466))</f>
        <v/>
      </c>
      <c r="B466" s="35"/>
      <c r="C466" s="35"/>
      <c r="D466" s="35"/>
      <c r="E466" s="35"/>
      <c r="F466" s="36"/>
      <c r="G466" s="37"/>
      <c r="H466" s="37"/>
      <c r="I466" s="37"/>
      <c r="J466" s="38"/>
      <c r="K466" s="39"/>
      <c r="L466" s="40" t="str">
        <f aca="false">IF(OR($J466="",$K466=""),"",$J466+MATCH($K466,Listas!$F$5:$F$11,0)-1)</f>
        <v/>
      </c>
      <c r="M466" s="41"/>
      <c r="N466" s="36"/>
      <c r="O466" s="41"/>
      <c r="P466" s="35"/>
      <c r="Q466" s="35"/>
      <c r="R466" s="42" t="str">
        <f aca="true">IF($E466="","",IF($N466="Cancelada","Cancelada",IF(OR($M466&lt;&gt;"",$N466="Concluída"),IF(OR($L466="",$M466="",$M466&lt;=$L466),"Concluída","Concluída com atraso"),IF($L466="","Na carteira",IF($L466&lt;TODAY(),"VENCIDA",IF($N466="Em execução","Em execução",IF($L466=TODAY(),"Hoje","Programada")))))))</f>
        <v/>
      </c>
      <c r="S466" s="34" t="str">
        <f aca="false">IF($E466="","",IF(ISNUMBER(SEARCH("(externo)",$G466&amp;$H466&amp;$I466)),"Terceirizada","Interna"))</f>
        <v/>
      </c>
      <c r="T466" s="40" t="str">
        <f aca="false">IF($L466="","",IF($O466="",$L466,$O466))</f>
        <v/>
      </c>
      <c r="U466" s="34" t="str">
        <f aca="false">IF($E466="","",IF(OR($M466="",$L466=""),0,IF($M466&lt;=$L466,1,0)))</f>
        <v/>
      </c>
      <c r="V466" s="34" t="str">
        <f aca="false">IF($E466="","",IF(OR($M466="",$T466=""),0,IF($M466&lt;=$T466,1,0)))</f>
        <v/>
      </c>
      <c r="W466" s="42" t="str">
        <f aca="false">IF(OR($M466="",$L466=""),"",MAX(0,$M466-$L466))</f>
        <v/>
      </c>
      <c r="X466" s="34" t="str">
        <f aca="false">IF($E466="","",IF(AND($O466&lt;&gt;"",$L466&lt;&gt;"",$O466&lt;&gt;$L466),1,0))</f>
        <v/>
      </c>
      <c r="Y466" s="34" t="str">
        <f aca="false">IF($E466="","",IF($N466="Cancelada",0,IF(OR($M466&lt;&gt;"",$N466="Concluída"),1,0)))</f>
        <v/>
      </c>
    </row>
    <row r="467" customFormat="false" ht="15" hidden="false" customHeight="true" outlineLevel="0" collapsed="false">
      <c r="A467" s="34" t="str">
        <f aca="false">IF($E467="","",COUNTA($E$5:$E467))</f>
        <v/>
      </c>
      <c r="B467" s="35"/>
      <c r="C467" s="35"/>
      <c r="D467" s="35"/>
      <c r="E467" s="35"/>
      <c r="F467" s="36"/>
      <c r="G467" s="37"/>
      <c r="H467" s="37"/>
      <c r="I467" s="37"/>
      <c r="J467" s="38"/>
      <c r="K467" s="39"/>
      <c r="L467" s="40" t="str">
        <f aca="false">IF(OR($J467="",$K467=""),"",$J467+MATCH($K467,Listas!$F$5:$F$11,0)-1)</f>
        <v/>
      </c>
      <c r="M467" s="41"/>
      <c r="N467" s="36"/>
      <c r="O467" s="41"/>
      <c r="P467" s="35"/>
      <c r="Q467" s="35"/>
      <c r="R467" s="42" t="str">
        <f aca="true">IF($E467="","",IF($N467="Cancelada","Cancelada",IF(OR($M467&lt;&gt;"",$N467="Concluída"),IF(OR($L467="",$M467="",$M467&lt;=$L467),"Concluída","Concluída com atraso"),IF($L467="","Na carteira",IF($L467&lt;TODAY(),"VENCIDA",IF($N467="Em execução","Em execução",IF($L467=TODAY(),"Hoje","Programada")))))))</f>
        <v/>
      </c>
      <c r="S467" s="34" t="str">
        <f aca="false">IF($E467="","",IF(ISNUMBER(SEARCH("(externo)",$G467&amp;$H467&amp;$I467)),"Terceirizada","Interna"))</f>
        <v/>
      </c>
      <c r="T467" s="40" t="str">
        <f aca="false">IF($L467="","",IF($O467="",$L467,$O467))</f>
        <v/>
      </c>
      <c r="U467" s="34" t="str">
        <f aca="false">IF($E467="","",IF(OR($M467="",$L467=""),0,IF($M467&lt;=$L467,1,0)))</f>
        <v/>
      </c>
      <c r="V467" s="34" t="str">
        <f aca="false">IF($E467="","",IF(OR($M467="",$T467=""),0,IF($M467&lt;=$T467,1,0)))</f>
        <v/>
      </c>
      <c r="W467" s="42" t="str">
        <f aca="false">IF(OR($M467="",$L467=""),"",MAX(0,$M467-$L467))</f>
        <v/>
      </c>
      <c r="X467" s="34" t="str">
        <f aca="false">IF($E467="","",IF(AND($O467&lt;&gt;"",$L467&lt;&gt;"",$O467&lt;&gt;$L467),1,0))</f>
        <v/>
      </c>
      <c r="Y467" s="34" t="str">
        <f aca="false">IF($E467="","",IF($N467="Cancelada",0,IF(OR($M467&lt;&gt;"",$N467="Concluída"),1,0)))</f>
        <v/>
      </c>
    </row>
    <row r="468" customFormat="false" ht="15" hidden="false" customHeight="true" outlineLevel="0" collapsed="false">
      <c r="A468" s="34" t="str">
        <f aca="false">IF($E468="","",COUNTA($E$5:$E468))</f>
        <v/>
      </c>
      <c r="B468" s="35"/>
      <c r="C468" s="35"/>
      <c r="D468" s="35"/>
      <c r="E468" s="35"/>
      <c r="F468" s="36"/>
      <c r="G468" s="37"/>
      <c r="H468" s="37"/>
      <c r="I468" s="37"/>
      <c r="J468" s="38"/>
      <c r="K468" s="39"/>
      <c r="L468" s="40" t="str">
        <f aca="false">IF(OR($J468="",$K468=""),"",$J468+MATCH($K468,Listas!$F$5:$F$11,0)-1)</f>
        <v/>
      </c>
      <c r="M468" s="41"/>
      <c r="N468" s="36"/>
      <c r="O468" s="41"/>
      <c r="P468" s="35"/>
      <c r="Q468" s="35"/>
      <c r="R468" s="42" t="str">
        <f aca="true">IF($E468="","",IF($N468="Cancelada","Cancelada",IF(OR($M468&lt;&gt;"",$N468="Concluída"),IF(OR($L468="",$M468="",$M468&lt;=$L468),"Concluída","Concluída com atraso"),IF($L468="","Na carteira",IF($L468&lt;TODAY(),"VENCIDA",IF($N468="Em execução","Em execução",IF($L468=TODAY(),"Hoje","Programada")))))))</f>
        <v/>
      </c>
      <c r="S468" s="34" t="str">
        <f aca="false">IF($E468="","",IF(ISNUMBER(SEARCH("(externo)",$G468&amp;$H468&amp;$I468)),"Terceirizada","Interna"))</f>
        <v/>
      </c>
      <c r="T468" s="40" t="str">
        <f aca="false">IF($L468="","",IF($O468="",$L468,$O468))</f>
        <v/>
      </c>
      <c r="U468" s="34" t="str">
        <f aca="false">IF($E468="","",IF(OR($M468="",$L468=""),0,IF($M468&lt;=$L468,1,0)))</f>
        <v/>
      </c>
      <c r="V468" s="34" t="str">
        <f aca="false">IF($E468="","",IF(OR($M468="",$T468=""),0,IF($M468&lt;=$T468,1,0)))</f>
        <v/>
      </c>
      <c r="W468" s="42" t="str">
        <f aca="false">IF(OR($M468="",$L468=""),"",MAX(0,$M468-$L468))</f>
        <v/>
      </c>
      <c r="X468" s="34" t="str">
        <f aca="false">IF($E468="","",IF(AND($O468&lt;&gt;"",$L468&lt;&gt;"",$O468&lt;&gt;$L468),1,0))</f>
        <v/>
      </c>
      <c r="Y468" s="34" t="str">
        <f aca="false">IF($E468="","",IF($N468="Cancelada",0,IF(OR($M468&lt;&gt;"",$N468="Concluída"),1,0)))</f>
        <v/>
      </c>
    </row>
    <row r="469" customFormat="false" ht="15" hidden="false" customHeight="true" outlineLevel="0" collapsed="false">
      <c r="A469" s="34" t="str">
        <f aca="false">IF($E469="","",COUNTA($E$5:$E469))</f>
        <v/>
      </c>
      <c r="B469" s="35"/>
      <c r="C469" s="35"/>
      <c r="D469" s="35"/>
      <c r="E469" s="35"/>
      <c r="F469" s="36"/>
      <c r="G469" s="37"/>
      <c r="H469" s="37"/>
      <c r="I469" s="37"/>
      <c r="J469" s="38"/>
      <c r="K469" s="39"/>
      <c r="L469" s="40" t="str">
        <f aca="false">IF(OR($J469="",$K469=""),"",$J469+MATCH($K469,Listas!$F$5:$F$11,0)-1)</f>
        <v/>
      </c>
      <c r="M469" s="41"/>
      <c r="N469" s="36"/>
      <c r="O469" s="41"/>
      <c r="P469" s="35"/>
      <c r="Q469" s="35"/>
      <c r="R469" s="42" t="str">
        <f aca="true">IF($E469="","",IF($N469="Cancelada","Cancelada",IF(OR($M469&lt;&gt;"",$N469="Concluída"),IF(OR($L469="",$M469="",$M469&lt;=$L469),"Concluída","Concluída com atraso"),IF($L469="","Na carteira",IF($L469&lt;TODAY(),"VENCIDA",IF($N469="Em execução","Em execução",IF($L469=TODAY(),"Hoje","Programada")))))))</f>
        <v/>
      </c>
      <c r="S469" s="34" t="str">
        <f aca="false">IF($E469="","",IF(ISNUMBER(SEARCH("(externo)",$G469&amp;$H469&amp;$I469)),"Terceirizada","Interna"))</f>
        <v/>
      </c>
      <c r="T469" s="40" t="str">
        <f aca="false">IF($L469="","",IF($O469="",$L469,$O469))</f>
        <v/>
      </c>
      <c r="U469" s="34" t="str">
        <f aca="false">IF($E469="","",IF(OR($M469="",$L469=""),0,IF($M469&lt;=$L469,1,0)))</f>
        <v/>
      </c>
      <c r="V469" s="34" t="str">
        <f aca="false">IF($E469="","",IF(OR($M469="",$T469=""),0,IF($M469&lt;=$T469,1,0)))</f>
        <v/>
      </c>
      <c r="W469" s="42" t="str">
        <f aca="false">IF(OR($M469="",$L469=""),"",MAX(0,$M469-$L469))</f>
        <v/>
      </c>
      <c r="X469" s="34" t="str">
        <f aca="false">IF($E469="","",IF(AND($O469&lt;&gt;"",$L469&lt;&gt;"",$O469&lt;&gt;$L469),1,0))</f>
        <v/>
      </c>
      <c r="Y469" s="34" t="str">
        <f aca="false">IF($E469="","",IF($N469="Cancelada",0,IF(OR($M469&lt;&gt;"",$N469="Concluída"),1,0)))</f>
        <v/>
      </c>
    </row>
    <row r="470" customFormat="false" ht="15" hidden="false" customHeight="true" outlineLevel="0" collapsed="false">
      <c r="A470" s="34" t="str">
        <f aca="false">IF($E470="","",COUNTA($E$5:$E470))</f>
        <v/>
      </c>
      <c r="B470" s="35"/>
      <c r="C470" s="35"/>
      <c r="D470" s="35"/>
      <c r="E470" s="35"/>
      <c r="F470" s="36"/>
      <c r="G470" s="37"/>
      <c r="H470" s="37"/>
      <c r="I470" s="37"/>
      <c r="J470" s="38"/>
      <c r="K470" s="39"/>
      <c r="L470" s="40" t="str">
        <f aca="false">IF(OR($J470="",$K470=""),"",$J470+MATCH($K470,Listas!$F$5:$F$11,0)-1)</f>
        <v/>
      </c>
      <c r="M470" s="41"/>
      <c r="N470" s="36"/>
      <c r="O470" s="41"/>
      <c r="P470" s="35"/>
      <c r="Q470" s="35"/>
      <c r="R470" s="42" t="str">
        <f aca="true">IF($E470="","",IF($N470="Cancelada","Cancelada",IF(OR($M470&lt;&gt;"",$N470="Concluída"),IF(OR($L470="",$M470="",$M470&lt;=$L470),"Concluída","Concluída com atraso"),IF($L470="","Na carteira",IF($L470&lt;TODAY(),"VENCIDA",IF($N470="Em execução","Em execução",IF($L470=TODAY(),"Hoje","Programada")))))))</f>
        <v/>
      </c>
      <c r="S470" s="34" t="str">
        <f aca="false">IF($E470="","",IF(ISNUMBER(SEARCH("(externo)",$G470&amp;$H470&amp;$I470)),"Terceirizada","Interna"))</f>
        <v/>
      </c>
      <c r="T470" s="40" t="str">
        <f aca="false">IF($L470="","",IF($O470="",$L470,$O470))</f>
        <v/>
      </c>
      <c r="U470" s="34" t="str">
        <f aca="false">IF($E470="","",IF(OR($M470="",$L470=""),0,IF($M470&lt;=$L470,1,0)))</f>
        <v/>
      </c>
      <c r="V470" s="34" t="str">
        <f aca="false">IF($E470="","",IF(OR($M470="",$T470=""),0,IF($M470&lt;=$T470,1,0)))</f>
        <v/>
      </c>
      <c r="W470" s="42" t="str">
        <f aca="false">IF(OR($M470="",$L470=""),"",MAX(0,$M470-$L470))</f>
        <v/>
      </c>
      <c r="X470" s="34" t="str">
        <f aca="false">IF($E470="","",IF(AND($O470&lt;&gt;"",$L470&lt;&gt;"",$O470&lt;&gt;$L470),1,0))</f>
        <v/>
      </c>
      <c r="Y470" s="34" t="str">
        <f aca="false">IF($E470="","",IF($N470="Cancelada",0,IF(OR($M470&lt;&gt;"",$N470="Concluída"),1,0)))</f>
        <v/>
      </c>
    </row>
    <row r="471" customFormat="false" ht="15" hidden="false" customHeight="true" outlineLevel="0" collapsed="false">
      <c r="A471" s="34" t="str">
        <f aca="false">IF($E471="","",COUNTA($E$5:$E471))</f>
        <v/>
      </c>
      <c r="B471" s="35"/>
      <c r="C471" s="35"/>
      <c r="D471" s="35"/>
      <c r="E471" s="35"/>
      <c r="F471" s="36"/>
      <c r="G471" s="37"/>
      <c r="H471" s="37"/>
      <c r="I471" s="37"/>
      <c r="J471" s="38"/>
      <c r="K471" s="39"/>
      <c r="L471" s="40" t="str">
        <f aca="false">IF(OR($J471="",$K471=""),"",$J471+MATCH($K471,Listas!$F$5:$F$11,0)-1)</f>
        <v/>
      </c>
      <c r="M471" s="41"/>
      <c r="N471" s="36"/>
      <c r="O471" s="41"/>
      <c r="P471" s="35"/>
      <c r="Q471" s="35"/>
      <c r="R471" s="42" t="str">
        <f aca="true">IF($E471="","",IF($N471="Cancelada","Cancelada",IF(OR($M471&lt;&gt;"",$N471="Concluída"),IF(OR($L471="",$M471="",$M471&lt;=$L471),"Concluída","Concluída com atraso"),IF($L471="","Na carteira",IF($L471&lt;TODAY(),"VENCIDA",IF($N471="Em execução","Em execução",IF($L471=TODAY(),"Hoje","Programada")))))))</f>
        <v/>
      </c>
      <c r="S471" s="34" t="str">
        <f aca="false">IF($E471="","",IF(ISNUMBER(SEARCH("(externo)",$G471&amp;$H471&amp;$I471)),"Terceirizada","Interna"))</f>
        <v/>
      </c>
      <c r="T471" s="40" t="str">
        <f aca="false">IF($L471="","",IF($O471="",$L471,$O471))</f>
        <v/>
      </c>
      <c r="U471" s="34" t="str">
        <f aca="false">IF($E471="","",IF(OR($M471="",$L471=""),0,IF($M471&lt;=$L471,1,0)))</f>
        <v/>
      </c>
      <c r="V471" s="34" t="str">
        <f aca="false">IF($E471="","",IF(OR($M471="",$T471=""),0,IF($M471&lt;=$T471,1,0)))</f>
        <v/>
      </c>
      <c r="W471" s="42" t="str">
        <f aca="false">IF(OR($M471="",$L471=""),"",MAX(0,$M471-$L471))</f>
        <v/>
      </c>
      <c r="X471" s="34" t="str">
        <f aca="false">IF($E471="","",IF(AND($O471&lt;&gt;"",$L471&lt;&gt;"",$O471&lt;&gt;$L471),1,0))</f>
        <v/>
      </c>
      <c r="Y471" s="34" t="str">
        <f aca="false">IF($E471="","",IF($N471="Cancelada",0,IF(OR($M471&lt;&gt;"",$N471="Concluída"),1,0)))</f>
        <v/>
      </c>
    </row>
    <row r="472" customFormat="false" ht="15" hidden="false" customHeight="true" outlineLevel="0" collapsed="false">
      <c r="A472" s="34" t="str">
        <f aca="false">IF($E472="","",COUNTA($E$5:$E472))</f>
        <v/>
      </c>
      <c r="B472" s="35"/>
      <c r="C472" s="35"/>
      <c r="D472" s="35"/>
      <c r="E472" s="35"/>
      <c r="F472" s="36"/>
      <c r="G472" s="37"/>
      <c r="H472" s="37"/>
      <c r="I472" s="37"/>
      <c r="J472" s="38"/>
      <c r="K472" s="39"/>
      <c r="L472" s="40" t="str">
        <f aca="false">IF(OR($J472="",$K472=""),"",$J472+MATCH($K472,Listas!$F$5:$F$11,0)-1)</f>
        <v/>
      </c>
      <c r="M472" s="41"/>
      <c r="N472" s="36"/>
      <c r="O472" s="41"/>
      <c r="P472" s="35"/>
      <c r="Q472" s="35"/>
      <c r="R472" s="42" t="str">
        <f aca="true">IF($E472="","",IF($N472="Cancelada","Cancelada",IF(OR($M472&lt;&gt;"",$N472="Concluída"),IF(OR($L472="",$M472="",$M472&lt;=$L472),"Concluída","Concluída com atraso"),IF($L472="","Na carteira",IF($L472&lt;TODAY(),"VENCIDA",IF($N472="Em execução","Em execução",IF($L472=TODAY(),"Hoje","Programada")))))))</f>
        <v/>
      </c>
      <c r="S472" s="34" t="str">
        <f aca="false">IF($E472="","",IF(ISNUMBER(SEARCH("(externo)",$G472&amp;$H472&amp;$I472)),"Terceirizada","Interna"))</f>
        <v/>
      </c>
      <c r="T472" s="40" t="str">
        <f aca="false">IF($L472="","",IF($O472="",$L472,$O472))</f>
        <v/>
      </c>
      <c r="U472" s="34" t="str">
        <f aca="false">IF($E472="","",IF(OR($M472="",$L472=""),0,IF($M472&lt;=$L472,1,0)))</f>
        <v/>
      </c>
      <c r="V472" s="34" t="str">
        <f aca="false">IF($E472="","",IF(OR($M472="",$T472=""),0,IF($M472&lt;=$T472,1,0)))</f>
        <v/>
      </c>
      <c r="W472" s="42" t="str">
        <f aca="false">IF(OR($M472="",$L472=""),"",MAX(0,$M472-$L472))</f>
        <v/>
      </c>
      <c r="X472" s="34" t="str">
        <f aca="false">IF($E472="","",IF(AND($O472&lt;&gt;"",$L472&lt;&gt;"",$O472&lt;&gt;$L472),1,0))</f>
        <v/>
      </c>
      <c r="Y472" s="34" t="str">
        <f aca="false">IF($E472="","",IF($N472="Cancelada",0,IF(OR($M472&lt;&gt;"",$N472="Concluída"),1,0)))</f>
        <v/>
      </c>
    </row>
    <row r="473" customFormat="false" ht="15" hidden="false" customHeight="true" outlineLevel="0" collapsed="false">
      <c r="A473" s="34" t="str">
        <f aca="false">IF($E473="","",COUNTA($E$5:$E473))</f>
        <v/>
      </c>
      <c r="B473" s="35"/>
      <c r="C473" s="35"/>
      <c r="D473" s="35"/>
      <c r="E473" s="35"/>
      <c r="F473" s="36"/>
      <c r="G473" s="37"/>
      <c r="H473" s="37"/>
      <c r="I473" s="37"/>
      <c r="J473" s="38"/>
      <c r="K473" s="39"/>
      <c r="L473" s="40" t="str">
        <f aca="false">IF(OR($J473="",$K473=""),"",$J473+MATCH($K473,Listas!$F$5:$F$11,0)-1)</f>
        <v/>
      </c>
      <c r="M473" s="41"/>
      <c r="N473" s="36"/>
      <c r="O473" s="41"/>
      <c r="P473" s="35"/>
      <c r="Q473" s="35"/>
      <c r="R473" s="42" t="str">
        <f aca="true">IF($E473="","",IF($N473="Cancelada","Cancelada",IF(OR($M473&lt;&gt;"",$N473="Concluída"),IF(OR($L473="",$M473="",$M473&lt;=$L473),"Concluída","Concluída com atraso"),IF($L473="","Na carteira",IF($L473&lt;TODAY(),"VENCIDA",IF($N473="Em execução","Em execução",IF($L473=TODAY(),"Hoje","Programada")))))))</f>
        <v/>
      </c>
      <c r="S473" s="34" t="str">
        <f aca="false">IF($E473="","",IF(ISNUMBER(SEARCH("(externo)",$G473&amp;$H473&amp;$I473)),"Terceirizada","Interna"))</f>
        <v/>
      </c>
      <c r="T473" s="40" t="str">
        <f aca="false">IF($L473="","",IF($O473="",$L473,$O473))</f>
        <v/>
      </c>
      <c r="U473" s="34" t="str">
        <f aca="false">IF($E473="","",IF(OR($M473="",$L473=""),0,IF($M473&lt;=$L473,1,0)))</f>
        <v/>
      </c>
      <c r="V473" s="34" t="str">
        <f aca="false">IF($E473="","",IF(OR($M473="",$T473=""),0,IF($M473&lt;=$T473,1,0)))</f>
        <v/>
      </c>
      <c r="W473" s="42" t="str">
        <f aca="false">IF(OR($M473="",$L473=""),"",MAX(0,$M473-$L473))</f>
        <v/>
      </c>
      <c r="X473" s="34" t="str">
        <f aca="false">IF($E473="","",IF(AND($O473&lt;&gt;"",$L473&lt;&gt;"",$O473&lt;&gt;$L473),1,0))</f>
        <v/>
      </c>
      <c r="Y473" s="34" t="str">
        <f aca="false">IF($E473="","",IF($N473="Cancelada",0,IF(OR($M473&lt;&gt;"",$N473="Concluída"),1,0)))</f>
        <v/>
      </c>
    </row>
    <row r="474" customFormat="false" ht="15" hidden="false" customHeight="true" outlineLevel="0" collapsed="false">
      <c r="A474" s="34" t="str">
        <f aca="false">IF($E474="","",COUNTA($E$5:$E474))</f>
        <v/>
      </c>
      <c r="B474" s="35"/>
      <c r="C474" s="35"/>
      <c r="D474" s="35"/>
      <c r="E474" s="35"/>
      <c r="F474" s="36"/>
      <c r="G474" s="37"/>
      <c r="H474" s="37"/>
      <c r="I474" s="37"/>
      <c r="J474" s="38"/>
      <c r="K474" s="39"/>
      <c r="L474" s="40" t="str">
        <f aca="false">IF(OR($J474="",$K474=""),"",$J474+MATCH($K474,Listas!$F$5:$F$11,0)-1)</f>
        <v/>
      </c>
      <c r="M474" s="41"/>
      <c r="N474" s="36"/>
      <c r="O474" s="41"/>
      <c r="P474" s="35"/>
      <c r="Q474" s="35"/>
      <c r="R474" s="42" t="str">
        <f aca="true">IF($E474="","",IF($N474="Cancelada","Cancelada",IF(OR($M474&lt;&gt;"",$N474="Concluída"),IF(OR($L474="",$M474="",$M474&lt;=$L474),"Concluída","Concluída com atraso"),IF($L474="","Na carteira",IF($L474&lt;TODAY(),"VENCIDA",IF($N474="Em execução","Em execução",IF($L474=TODAY(),"Hoje","Programada")))))))</f>
        <v/>
      </c>
      <c r="S474" s="34" t="str">
        <f aca="false">IF($E474="","",IF(ISNUMBER(SEARCH("(externo)",$G474&amp;$H474&amp;$I474)),"Terceirizada","Interna"))</f>
        <v/>
      </c>
      <c r="T474" s="40" t="str">
        <f aca="false">IF($L474="","",IF($O474="",$L474,$O474))</f>
        <v/>
      </c>
      <c r="U474" s="34" t="str">
        <f aca="false">IF($E474="","",IF(OR($M474="",$L474=""),0,IF($M474&lt;=$L474,1,0)))</f>
        <v/>
      </c>
      <c r="V474" s="34" t="str">
        <f aca="false">IF($E474="","",IF(OR($M474="",$T474=""),0,IF($M474&lt;=$T474,1,0)))</f>
        <v/>
      </c>
      <c r="W474" s="42" t="str">
        <f aca="false">IF(OR($M474="",$L474=""),"",MAX(0,$M474-$L474))</f>
        <v/>
      </c>
      <c r="X474" s="34" t="str">
        <f aca="false">IF($E474="","",IF(AND($O474&lt;&gt;"",$L474&lt;&gt;"",$O474&lt;&gt;$L474),1,0))</f>
        <v/>
      </c>
      <c r="Y474" s="34" t="str">
        <f aca="false">IF($E474="","",IF($N474="Cancelada",0,IF(OR($M474&lt;&gt;"",$N474="Concluída"),1,0)))</f>
        <v/>
      </c>
    </row>
    <row r="475" customFormat="false" ht="15" hidden="false" customHeight="true" outlineLevel="0" collapsed="false">
      <c r="A475" s="34" t="str">
        <f aca="false">IF($E475="","",COUNTA($E$5:$E475))</f>
        <v/>
      </c>
      <c r="B475" s="35"/>
      <c r="C475" s="35"/>
      <c r="D475" s="35"/>
      <c r="E475" s="35"/>
      <c r="F475" s="36"/>
      <c r="G475" s="37"/>
      <c r="H475" s="37"/>
      <c r="I475" s="37"/>
      <c r="J475" s="38"/>
      <c r="K475" s="39"/>
      <c r="L475" s="40" t="str">
        <f aca="false">IF(OR($J475="",$K475=""),"",$J475+MATCH($K475,Listas!$F$5:$F$11,0)-1)</f>
        <v/>
      </c>
      <c r="M475" s="41"/>
      <c r="N475" s="36"/>
      <c r="O475" s="41"/>
      <c r="P475" s="35"/>
      <c r="Q475" s="35"/>
      <c r="R475" s="42" t="str">
        <f aca="true">IF($E475="","",IF($N475="Cancelada","Cancelada",IF(OR($M475&lt;&gt;"",$N475="Concluída"),IF(OR($L475="",$M475="",$M475&lt;=$L475),"Concluída","Concluída com atraso"),IF($L475="","Na carteira",IF($L475&lt;TODAY(),"VENCIDA",IF($N475="Em execução","Em execução",IF($L475=TODAY(),"Hoje","Programada")))))))</f>
        <v/>
      </c>
      <c r="S475" s="34" t="str">
        <f aca="false">IF($E475="","",IF(ISNUMBER(SEARCH("(externo)",$G475&amp;$H475&amp;$I475)),"Terceirizada","Interna"))</f>
        <v/>
      </c>
      <c r="T475" s="40" t="str">
        <f aca="false">IF($L475="","",IF($O475="",$L475,$O475))</f>
        <v/>
      </c>
      <c r="U475" s="34" t="str">
        <f aca="false">IF($E475="","",IF(OR($M475="",$L475=""),0,IF($M475&lt;=$L475,1,0)))</f>
        <v/>
      </c>
      <c r="V475" s="34" t="str">
        <f aca="false">IF($E475="","",IF(OR($M475="",$T475=""),0,IF($M475&lt;=$T475,1,0)))</f>
        <v/>
      </c>
      <c r="W475" s="42" t="str">
        <f aca="false">IF(OR($M475="",$L475=""),"",MAX(0,$M475-$L475))</f>
        <v/>
      </c>
      <c r="X475" s="34" t="str">
        <f aca="false">IF($E475="","",IF(AND($O475&lt;&gt;"",$L475&lt;&gt;"",$O475&lt;&gt;$L475),1,0))</f>
        <v/>
      </c>
      <c r="Y475" s="34" t="str">
        <f aca="false">IF($E475="","",IF($N475="Cancelada",0,IF(OR($M475&lt;&gt;"",$N475="Concluída"),1,0)))</f>
        <v/>
      </c>
    </row>
    <row r="476" customFormat="false" ht="15" hidden="false" customHeight="true" outlineLevel="0" collapsed="false">
      <c r="A476" s="34" t="str">
        <f aca="false">IF($E476="","",COUNTA($E$5:$E476))</f>
        <v/>
      </c>
      <c r="B476" s="35"/>
      <c r="C476" s="35"/>
      <c r="D476" s="35"/>
      <c r="E476" s="35"/>
      <c r="F476" s="36"/>
      <c r="G476" s="37"/>
      <c r="H476" s="37"/>
      <c r="I476" s="37"/>
      <c r="J476" s="38"/>
      <c r="K476" s="39"/>
      <c r="L476" s="40" t="str">
        <f aca="false">IF(OR($J476="",$K476=""),"",$J476+MATCH($K476,Listas!$F$5:$F$11,0)-1)</f>
        <v/>
      </c>
      <c r="M476" s="41"/>
      <c r="N476" s="36"/>
      <c r="O476" s="41"/>
      <c r="P476" s="35"/>
      <c r="Q476" s="35"/>
      <c r="R476" s="42" t="str">
        <f aca="true">IF($E476="","",IF($N476="Cancelada","Cancelada",IF(OR($M476&lt;&gt;"",$N476="Concluída"),IF(OR($L476="",$M476="",$M476&lt;=$L476),"Concluída","Concluída com atraso"),IF($L476="","Na carteira",IF($L476&lt;TODAY(),"VENCIDA",IF($N476="Em execução","Em execução",IF($L476=TODAY(),"Hoje","Programada")))))))</f>
        <v/>
      </c>
      <c r="S476" s="34" t="str">
        <f aca="false">IF($E476="","",IF(ISNUMBER(SEARCH("(externo)",$G476&amp;$H476&amp;$I476)),"Terceirizada","Interna"))</f>
        <v/>
      </c>
      <c r="T476" s="40" t="str">
        <f aca="false">IF($L476="","",IF($O476="",$L476,$O476))</f>
        <v/>
      </c>
      <c r="U476" s="34" t="str">
        <f aca="false">IF($E476="","",IF(OR($M476="",$L476=""),0,IF($M476&lt;=$L476,1,0)))</f>
        <v/>
      </c>
      <c r="V476" s="34" t="str">
        <f aca="false">IF($E476="","",IF(OR($M476="",$T476=""),0,IF($M476&lt;=$T476,1,0)))</f>
        <v/>
      </c>
      <c r="W476" s="42" t="str">
        <f aca="false">IF(OR($M476="",$L476=""),"",MAX(0,$M476-$L476))</f>
        <v/>
      </c>
      <c r="X476" s="34" t="str">
        <f aca="false">IF($E476="","",IF(AND($O476&lt;&gt;"",$L476&lt;&gt;"",$O476&lt;&gt;$L476),1,0))</f>
        <v/>
      </c>
      <c r="Y476" s="34" t="str">
        <f aca="false">IF($E476="","",IF($N476="Cancelada",0,IF(OR($M476&lt;&gt;"",$N476="Concluída"),1,0)))</f>
        <v/>
      </c>
    </row>
    <row r="477" customFormat="false" ht="15" hidden="false" customHeight="true" outlineLevel="0" collapsed="false">
      <c r="A477" s="34" t="str">
        <f aca="false">IF($E477="","",COUNTA($E$5:$E477))</f>
        <v/>
      </c>
      <c r="B477" s="35"/>
      <c r="C477" s="35"/>
      <c r="D477" s="35"/>
      <c r="E477" s="35"/>
      <c r="F477" s="36"/>
      <c r="G477" s="37"/>
      <c r="H477" s="37"/>
      <c r="I477" s="37"/>
      <c r="J477" s="38"/>
      <c r="K477" s="39"/>
      <c r="L477" s="40" t="str">
        <f aca="false">IF(OR($J477="",$K477=""),"",$J477+MATCH($K477,Listas!$F$5:$F$11,0)-1)</f>
        <v/>
      </c>
      <c r="M477" s="41"/>
      <c r="N477" s="36"/>
      <c r="O477" s="41"/>
      <c r="P477" s="35"/>
      <c r="Q477" s="35"/>
      <c r="R477" s="42" t="str">
        <f aca="true">IF($E477="","",IF($N477="Cancelada","Cancelada",IF(OR($M477&lt;&gt;"",$N477="Concluída"),IF(OR($L477="",$M477="",$M477&lt;=$L477),"Concluída","Concluída com atraso"),IF($L477="","Na carteira",IF($L477&lt;TODAY(),"VENCIDA",IF($N477="Em execução","Em execução",IF($L477=TODAY(),"Hoje","Programada")))))))</f>
        <v/>
      </c>
      <c r="S477" s="34" t="str">
        <f aca="false">IF($E477="","",IF(ISNUMBER(SEARCH("(externo)",$G477&amp;$H477&amp;$I477)),"Terceirizada","Interna"))</f>
        <v/>
      </c>
      <c r="T477" s="40" t="str">
        <f aca="false">IF($L477="","",IF($O477="",$L477,$O477))</f>
        <v/>
      </c>
      <c r="U477" s="34" t="str">
        <f aca="false">IF($E477="","",IF(OR($M477="",$L477=""),0,IF($M477&lt;=$L477,1,0)))</f>
        <v/>
      </c>
      <c r="V477" s="34" t="str">
        <f aca="false">IF($E477="","",IF(OR($M477="",$T477=""),0,IF($M477&lt;=$T477,1,0)))</f>
        <v/>
      </c>
      <c r="W477" s="42" t="str">
        <f aca="false">IF(OR($M477="",$L477=""),"",MAX(0,$M477-$L477))</f>
        <v/>
      </c>
      <c r="X477" s="34" t="str">
        <f aca="false">IF($E477="","",IF(AND($O477&lt;&gt;"",$L477&lt;&gt;"",$O477&lt;&gt;$L477),1,0))</f>
        <v/>
      </c>
      <c r="Y477" s="34" t="str">
        <f aca="false">IF($E477="","",IF($N477="Cancelada",0,IF(OR($M477&lt;&gt;"",$N477="Concluída"),1,0)))</f>
        <v/>
      </c>
    </row>
    <row r="478" customFormat="false" ht="15" hidden="false" customHeight="true" outlineLevel="0" collapsed="false">
      <c r="A478" s="34" t="str">
        <f aca="false">IF($E478="","",COUNTA($E$5:$E478))</f>
        <v/>
      </c>
      <c r="B478" s="35"/>
      <c r="C478" s="35"/>
      <c r="D478" s="35"/>
      <c r="E478" s="35"/>
      <c r="F478" s="36"/>
      <c r="G478" s="37"/>
      <c r="H478" s="37"/>
      <c r="I478" s="37"/>
      <c r="J478" s="38"/>
      <c r="K478" s="39"/>
      <c r="L478" s="40" t="str">
        <f aca="false">IF(OR($J478="",$K478=""),"",$J478+MATCH($K478,Listas!$F$5:$F$11,0)-1)</f>
        <v/>
      </c>
      <c r="M478" s="41"/>
      <c r="N478" s="36"/>
      <c r="O478" s="41"/>
      <c r="P478" s="35"/>
      <c r="Q478" s="35"/>
      <c r="R478" s="42" t="str">
        <f aca="true">IF($E478="","",IF($N478="Cancelada","Cancelada",IF(OR($M478&lt;&gt;"",$N478="Concluída"),IF(OR($L478="",$M478="",$M478&lt;=$L478),"Concluída","Concluída com atraso"),IF($L478="","Na carteira",IF($L478&lt;TODAY(),"VENCIDA",IF($N478="Em execução","Em execução",IF($L478=TODAY(),"Hoje","Programada")))))))</f>
        <v/>
      </c>
      <c r="S478" s="34" t="str">
        <f aca="false">IF($E478="","",IF(ISNUMBER(SEARCH("(externo)",$G478&amp;$H478&amp;$I478)),"Terceirizada","Interna"))</f>
        <v/>
      </c>
      <c r="T478" s="40" t="str">
        <f aca="false">IF($L478="","",IF($O478="",$L478,$O478))</f>
        <v/>
      </c>
      <c r="U478" s="34" t="str">
        <f aca="false">IF($E478="","",IF(OR($M478="",$L478=""),0,IF($M478&lt;=$L478,1,0)))</f>
        <v/>
      </c>
      <c r="V478" s="34" t="str">
        <f aca="false">IF($E478="","",IF(OR($M478="",$T478=""),0,IF($M478&lt;=$T478,1,0)))</f>
        <v/>
      </c>
      <c r="W478" s="42" t="str">
        <f aca="false">IF(OR($M478="",$L478=""),"",MAX(0,$M478-$L478))</f>
        <v/>
      </c>
      <c r="X478" s="34" t="str">
        <f aca="false">IF($E478="","",IF(AND($O478&lt;&gt;"",$L478&lt;&gt;"",$O478&lt;&gt;$L478),1,0))</f>
        <v/>
      </c>
      <c r="Y478" s="34" t="str">
        <f aca="false">IF($E478="","",IF($N478="Cancelada",0,IF(OR($M478&lt;&gt;"",$N478="Concluída"),1,0)))</f>
        <v/>
      </c>
    </row>
    <row r="479" customFormat="false" ht="15" hidden="false" customHeight="true" outlineLevel="0" collapsed="false">
      <c r="A479" s="34" t="str">
        <f aca="false">IF($E479="","",COUNTA($E$5:$E479))</f>
        <v/>
      </c>
      <c r="B479" s="35"/>
      <c r="C479" s="35"/>
      <c r="D479" s="35"/>
      <c r="E479" s="35"/>
      <c r="F479" s="36"/>
      <c r="G479" s="37"/>
      <c r="H479" s="37"/>
      <c r="I479" s="37"/>
      <c r="J479" s="38"/>
      <c r="K479" s="39"/>
      <c r="L479" s="40" t="str">
        <f aca="false">IF(OR($J479="",$K479=""),"",$J479+MATCH($K479,Listas!$F$5:$F$11,0)-1)</f>
        <v/>
      </c>
      <c r="M479" s="41"/>
      <c r="N479" s="36"/>
      <c r="O479" s="41"/>
      <c r="P479" s="35"/>
      <c r="Q479" s="35"/>
      <c r="R479" s="42" t="str">
        <f aca="true">IF($E479="","",IF($N479="Cancelada","Cancelada",IF(OR($M479&lt;&gt;"",$N479="Concluída"),IF(OR($L479="",$M479="",$M479&lt;=$L479),"Concluída","Concluída com atraso"),IF($L479="","Na carteira",IF($L479&lt;TODAY(),"VENCIDA",IF($N479="Em execução","Em execução",IF($L479=TODAY(),"Hoje","Programada")))))))</f>
        <v/>
      </c>
      <c r="S479" s="34" t="str">
        <f aca="false">IF($E479="","",IF(ISNUMBER(SEARCH("(externo)",$G479&amp;$H479&amp;$I479)),"Terceirizada","Interna"))</f>
        <v/>
      </c>
      <c r="T479" s="40" t="str">
        <f aca="false">IF($L479="","",IF($O479="",$L479,$O479))</f>
        <v/>
      </c>
      <c r="U479" s="34" t="str">
        <f aca="false">IF($E479="","",IF(OR($M479="",$L479=""),0,IF($M479&lt;=$L479,1,0)))</f>
        <v/>
      </c>
      <c r="V479" s="34" t="str">
        <f aca="false">IF($E479="","",IF(OR($M479="",$T479=""),0,IF($M479&lt;=$T479,1,0)))</f>
        <v/>
      </c>
      <c r="W479" s="42" t="str">
        <f aca="false">IF(OR($M479="",$L479=""),"",MAX(0,$M479-$L479))</f>
        <v/>
      </c>
      <c r="X479" s="34" t="str">
        <f aca="false">IF($E479="","",IF(AND($O479&lt;&gt;"",$L479&lt;&gt;"",$O479&lt;&gt;$L479),1,0))</f>
        <v/>
      </c>
      <c r="Y479" s="34" t="str">
        <f aca="false">IF($E479="","",IF($N479="Cancelada",0,IF(OR($M479&lt;&gt;"",$N479="Concluída"),1,0)))</f>
        <v/>
      </c>
    </row>
    <row r="480" customFormat="false" ht="15" hidden="false" customHeight="true" outlineLevel="0" collapsed="false">
      <c r="A480" s="34" t="str">
        <f aca="false">IF($E480="","",COUNTA($E$5:$E480))</f>
        <v/>
      </c>
      <c r="B480" s="35"/>
      <c r="C480" s="35"/>
      <c r="D480" s="35"/>
      <c r="E480" s="35"/>
      <c r="F480" s="36"/>
      <c r="G480" s="37"/>
      <c r="H480" s="37"/>
      <c r="I480" s="37"/>
      <c r="J480" s="38"/>
      <c r="K480" s="39"/>
      <c r="L480" s="40" t="str">
        <f aca="false">IF(OR($J480="",$K480=""),"",$J480+MATCH($K480,Listas!$F$5:$F$11,0)-1)</f>
        <v/>
      </c>
      <c r="M480" s="41"/>
      <c r="N480" s="36"/>
      <c r="O480" s="41"/>
      <c r="P480" s="35"/>
      <c r="Q480" s="35"/>
      <c r="R480" s="42" t="str">
        <f aca="true">IF($E480="","",IF($N480="Cancelada","Cancelada",IF(OR($M480&lt;&gt;"",$N480="Concluída"),IF(OR($L480="",$M480="",$M480&lt;=$L480),"Concluída","Concluída com atraso"),IF($L480="","Na carteira",IF($L480&lt;TODAY(),"VENCIDA",IF($N480="Em execução","Em execução",IF($L480=TODAY(),"Hoje","Programada")))))))</f>
        <v/>
      </c>
      <c r="S480" s="34" t="str">
        <f aca="false">IF($E480="","",IF(ISNUMBER(SEARCH("(externo)",$G480&amp;$H480&amp;$I480)),"Terceirizada","Interna"))</f>
        <v/>
      </c>
      <c r="T480" s="40" t="str">
        <f aca="false">IF($L480="","",IF($O480="",$L480,$O480))</f>
        <v/>
      </c>
      <c r="U480" s="34" t="str">
        <f aca="false">IF($E480="","",IF(OR($M480="",$L480=""),0,IF($M480&lt;=$L480,1,0)))</f>
        <v/>
      </c>
      <c r="V480" s="34" t="str">
        <f aca="false">IF($E480="","",IF(OR($M480="",$T480=""),0,IF($M480&lt;=$T480,1,0)))</f>
        <v/>
      </c>
      <c r="W480" s="42" t="str">
        <f aca="false">IF(OR($M480="",$L480=""),"",MAX(0,$M480-$L480))</f>
        <v/>
      </c>
      <c r="X480" s="34" t="str">
        <f aca="false">IF($E480="","",IF(AND($O480&lt;&gt;"",$L480&lt;&gt;"",$O480&lt;&gt;$L480),1,0))</f>
        <v/>
      </c>
      <c r="Y480" s="34" t="str">
        <f aca="false">IF($E480="","",IF($N480="Cancelada",0,IF(OR($M480&lt;&gt;"",$N480="Concluída"),1,0)))</f>
        <v/>
      </c>
    </row>
    <row r="481" customFormat="false" ht="15" hidden="false" customHeight="true" outlineLevel="0" collapsed="false">
      <c r="A481" s="34" t="str">
        <f aca="false">IF($E481="","",COUNTA($E$5:$E481))</f>
        <v/>
      </c>
      <c r="B481" s="35"/>
      <c r="C481" s="35"/>
      <c r="D481" s="35"/>
      <c r="E481" s="35"/>
      <c r="F481" s="36"/>
      <c r="G481" s="37"/>
      <c r="H481" s="37"/>
      <c r="I481" s="37"/>
      <c r="J481" s="38"/>
      <c r="K481" s="39"/>
      <c r="L481" s="40" t="str">
        <f aca="false">IF(OR($J481="",$K481=""),"",$J481+MATCH($K481,Listas!$F$5:$F$11,0)-1)</f>
        <v/>
      </c>
      <c r="M481" s="41"/>
      <c r="N481" s="36"/>
      <c r="O481" s="41"/>
      <c r="P481" s="35"/>
      <c r="Q481" s="35"/>
      <c r="R481" s="42" t="str">
        <f aca="true">IF($E481="","",IF($N481="Cancelada","Cancelada",IF(OR($M481&lt;&gt;"",$N481="Concluída"),IF(OR($L481="",$M481="",$M481&lt;=$L481),"Concluída","Concluída com atraso"),IF($L481="","Na carteira",IF($L481&lt;TODAY(),"VENCIDA",IF($N481="Em execução","Em execução",IF($L481=TODAY(),"Hoje","Programada")))))))</f>
        <v/>
      </c>
      <c r="S481" s="34" t="str">
        <f aca="false">IF($E481="","",IF(ISNUMBER(SEARCH("(externo)",$G481&amp;$H481&amp;$I481)),"Terceirizada","Interna"))</f>
        <v/>
      </c>
      <c r="T481" s="40" t="str">
        <f aca="false">IF($L481="","",IF($O481="",$L481,$O481))</f>
        <v/>
      </c>
      <c r="U481" s="34" t="str">
        <f aca="false">IF($E481="","",IF(OR($M481="",$L481=""),0,IF($M481&lt;=$L481,1,0)))</f>
        <v/>
      </c>
      <c r="V481" s="34" t="str">
        <f aca="false">IF($E481="","",IF(OR($M481="",$T481=""),0,IF($M481&lt;=$T481,1,0)))</f>
        <v/>
      </c>
      <c r="W481" s="42" t="str">
        <f aca="false">IF(OR($M481="",$L481=""),"",MAX(0,$M481-$L481))</f>
        <v/>
      </c>
      <c r="X481" s="34" t="str">
        <f aca="false">IF($E481="","",IF(AND($O481&lt;&gt;"",$L481&lt;&gt;"",$O481&lt;&gt;$L481),1,0))</f>
        <v/>
      </c>
      <c r="Y481" s="34" t="str">
        <f aca="false">IF($E481="","",IF($N481="Cancelada",0,IF(OR($M481&lt;&gt;"",$N481="Concluída"),1,0)))</f>
        <v/>
      </c>
    </row>
    <row r="482" customFormat="false" ht="15" hidden="false" customHeight="true" outlineLevel="0" collapsed="false">
      <c r="A482" s="34" t="str">
        <f aca="false">IF($E482="","",COUNTA($E$5:$E482))</f>
        <v/>
      </c>
      <c r="B482" s="35"/>
      <c r="C482" s="35"/>
      <c r="D482" s="35"/>
      <c r="E482" s="35"/>
      <c r="F482" s="36"/>
      <c r="G482" s="37"/>
      <c r="H482" s="37"/>
      <c r="I482" s="37"/>
      <c r="J482" s="38"/>
      <c r="K482" s="39"/>
      <c r="L482" s="40" t="str">
        <f aca="false">IF(OR($J482="",$K482=""),"",$J482+MATCH($K482,Listas!$F$5:$F$11,0)-1)</f>
        <v/>
      </c>
      <c r="M482" s="41"/>
      <c r="N482" s="36"/>
      <c r="O482" s="41"/>
      <c r="P482" s="35"/>
      <c r="Q482" s="35"/>
      <c r="R482" s="42" t="str">
        <f aca="true">IF($E482="","",IF($N482="Cancelada","Cancelada",IF(OR($M482&lt;&gt;"",$N482="Concluída"),IF(OR($L482="",$M482="",$M482&lt;=$L482),"Concluída","Concluída com atraso"),IF($L482="","Na carteira",IF($L482&lt;TODAY(),"VENCIDA",IF($N482="Em execução","Em execução",IF($L482=TODAY(),"Hoje","Programada")))))))</f>
        <v/>
      </c>
      <c r="S482" s="34" t="str">
        <f aca="false">IF($E482="","",IF(ISNUMBER(SEARCH("(externo)",$G482&amp;$H482&amp;$I482)),"Terceirizada","Interna"))</f>
        <v/>
      </c>
      <c r="T482" s="40" t="str">
        <f aca="false">IF($L482="","",IF($O482="",$L482,$O482))</f>
        <v/>
      </c>
      <c r="U482" s="34" t="str">
        <f aca="false">IF($E482="","",IF(OR($M482="",$L482=""),0,IF($M482&lt;=$L482,1,0)))</f>
        <v/>
      </c>
      <c r="V482" s="34" t="str">
        <f aca="false">IF($E482="","",IF(OR($M482="",$T482=""),0,IF($M482&lt;=$T482,1,0)))</f>
        <v/>
      </c>
      <c r="W482" s="42" t="str">
        <f aca="false">IF(OR($M482="",$L482=""),"",MAX(0,$M482-$L482))</f>
        <v/>
      </c>
      <c r="X482" s="34" t="str">
        <f aca="false">IF($E482="","",IF(AND($O482&lt;&gt;"",$L482&lt;&gt;"",$O482&lt;&gt;$L482),1,0))</f>
        <v/>
      </c>
      <c r="Y482" s="34" t="str">
        <f aca="false">IF($E482="","",IF($N482="Cancelada",0,IF(OR($M482&lt;&gt;"",$N482="Concluída"),1,0)))</f>
        <v/>
      </c>
    </row>
    <row r="483" customFormat="false" ht="15" hidden="false" customHeight="true" outlineLevel="0" collapsed="false">
      <c r="A483" s="34" t="str">
        <f aca="false">IF($E483="","",COUNTA($E$5:$E483))</f>
        <v/>
      </c>
      <c r="B483" s="35"/>
      <c r="C483" s="35"/>
      <c r="D483" s="35"/>
      <c r="E483" s="35"/>
      <c r="F483" s="36"/>
      <c r="G483" s="37"/>
      <c r="H483" s="37"/>
      <c r="I483" s="37"/>
      <c r="J483" s="38"/>
      <c r="K483" s="39"/>
      <c r="L483" s="40" t="str">
        <f aca="false">IF(OR($J483="",$K483=""),"",$J483+MATCH($K483,Listas!$F$5:$F$11,0)-1)</f>
        <v/>
      </c>
      <c r="M483" s="41"/>
      <c r="N483" s="36"/>
      <c r="O483" s="41"/>
      <c r="P483" s="35"/>
      <c r="Q483" s="35"/>
      <c r="R483" s="42" t="str">
        <f aca="true">IF($E483="","",IF($N483="Cancelada","Cancelada",IF(OR($M483&lt;&gt;"",$N483="Concluída"),IF(OR($L483="",$M483="",$M483&lt;=$L483),"Concluída","Concluída com atraso"),IF($L483="","Na carteira",IF($L483&lt;TODAY(),"VENCIDA",IF($N483="Em execução","Em execução",IF($L483=TODAY(),"Hoje","Programada")))))))</f>
        <v/>
      </c>
      <c r="S483" s="34" t="str">
        <f aca="false">IF($E483="","",IF(ISNUMBER(SEARCH("(externo)",$G483&amp;$H483&amp;$I483)),"Terceirizada","Interna"))</f>
        <v/>
      </c>
      <c r="T483" s="40" t="str">
        <f aca="false">IF($L483="","",IF($O483="",$L483,$O483))</f>
        <v/>
      </c>
      <c r="U483" s="34" t="str">
        <f aca="false">IF($E483="","",IF(OR($M483="",$L483=""),0,IF($M483&lt;=$L483,1,0)))</f>
        <v/>
      </c>
      <c r="V483" s="34" t="str">
        <f aca="false">IF($E483="","",IF(OR($M483="",$T483=""),0,IF($M483&lt;=$T483,1,0)))</f>
        <v/>
      </c>
      <c r="W483" s="42" t="str">
        <f aca="false">IF(OR($M483="",$L483=""),"",MAX(0,$M483-$L483))</f>
        <v/>
      </c>
      <c r="X483" s="34" t="str">
        <f aca="false">IF($E483="","",IF(AND($O483&lt;&gt;"",$L483&lt;&gt;"",$O483&lt;&gt;$L483),1,0))</f>
        <v/>
      </c>
      <c r="Y483" s="34" t="str">
        <f aca="false">IF($E483="","",IF($N483="Cancelada",0,IF(OR($M483&lt;&gt;"",$N483="Concluída"),1,0)))</f>
        <v/>
      </c>
    </row>
    <row r="484" customFormat="false" ht="15" hidden="false" customHeight="true" outlineLevel="0" collapsed="false">
      <c r="A484" s="34" t="str">
        <f aca="false">IF($E484="","",COUNTA($E$5:$E484))</f>
        <v/>
      </c>
      <c r="B484" s="35"/>
      <c r="C484" s="35"/>
      <c r="D484" s="35"/>
      <c r="E484" s="35"/>
      <c r="F484" s="36"/>
      <c r="G484" s="37"/>
      <c r="H484" s="37"/>
      <c r="I484" s="37"/>
      <c r="J484" s="38"/>
      <c r="K484" s="39"/>
      <c r="L484" s="40" t="str">
        <f aca="false">IF(OR($J484="",$K484=""),"",$J484+MATCH($K484,Listas!$F$5:$F$11,0)-1)</f>
        <v/>
      </c>
      <c r="M484" s="41"/>
      <c r="N484" s="36"/>
      <c r="O484" s="41"/>
      <c r="P484" s="35"/>
      <c r="Q484" s="35"/>
      <c r="R484" s="42" t="str">
        <f aca="true">IF($E484="","",IF($N484="Cancelada","Cancelada",IF(OR($M484&lt;&gt;"",$N484="Concluída"),IF(OR($L484="",$M484="",$M484&lt;=$L484),"Concluída","Concluída com atraso"),IF($L484="","Na carteira",IF($L484&lt;TODAY(),"VENCIDA",IF($N484="Em execução","Em execução",IF($L484=TODAY(),"Hoje","Programada")))))))</f>
        <v/>
      </c>
      <c r="S484" s="34" t="str">
        <f aca="false">IF($E484="","",IF(ISNUMBER(SEARCH("(externo)",$G484&amp;$H484&amp;$I484)),"Terceirizada","Interna"))</f>
        <v/>
      </c>
      <c r="T484" s="40" t="str">
        <f aca="false">IF($L484="","",IF($O484="",$L484,$O484))</f>
        <v/>
      </c>
      <c r="U484" s="34" t="str">
        <f aca="false">IF($E484="","",IF(OR($M484="",$L484=""),0,IF($M484&lt;=$L484,1,0)))</f>
        <v/>
      </c>
      <c r="V484" s="34" t="str">
        <f aca="false">IF($E484="","",IF(OR($M484="",$T484=""),0,IF($M484&lt;=$T484,1,0)))</f>
        <v/>
      </c>
      <c r="W484" s="42" t="str">
        <f aca="false">IF(OR($M484="",$L484=""),"",MAX(0,$M484-$L484))</f>
        <v/>
      </c>
      <c r="X484" s="34" t="str">
        <f aca="false">IF($E484="","",IF(AND($O484&lt;&gt;"",$L484&lt;&gt;"",$O484&lt;&gt;$L484),1,0))</f>
        <v/>
      </c>
      <c r="Y484" s="34" t="str">
        <f aca="false">IF($E484="","",IF($N484="Cancelada",0,IF(OR($M484&lt;&gt;"",$N484="Concluída"),1,0)))</f>
        <v/>
      </c>
    </row>
    <row r="485" customFormat="false" ht="15" hidden="false" customHeight="true" outlineLevel="0" collapsed="false">
      <c r="A485" s="34" t="str">
        <f aca="false">IF($E485="","",COUNTA($E$5:$E485))</f>
        <v/>
      </c>
      <c r="B485" s="35"/>
      <c r="C485" s="35"/>
      <c r="D485" s="35"/>
      <c r="E485" s="35"/>
      <c r="F485" s="36"/>
      <c r="G485" s="37"/>
      <c r="H485" s="37"/>
      <c r="I485" s="37"/>
      <c r="J485" s="38"/>
      <c r="K485" s="39"/>
      <c r="L485" s="40" t="str">
        <f aca="false">IF(OR($J485="",$K485=""),"",$J485+MATCH($K485,Listas!$F$5:$F$11,0)-1)</f>
        <v/>
      </c>
      <c r="M485" s="41"/>
      <c r="N485" s="36"/>
      <c r="O485" s="41"/>
      <c r="P485" s="35"/>
      <c r="Q485" s="35"/>
      <c r="R485" s="42" t="str">
        <f aca="true">IF($E485="","",IF($N485="Cancelada","Cancelada",IF(OR($M485&lt;&gt;"",$N485="Concluída"),IF(OR($L485="",$M485="",$M485&lt;=$L485),"Concluída","Concluída com atraso"),IF($L485="","Na carteira",IF($L485&lt;TODAY(),"VENCIDA",IF($N485="Em execução","Em execução",IF($L485=TODAY(),"Hoje","Programada")))))))</f>
        <v/>
      </c>
      <c r="S485" s="34" t="str">
        <f aca="false">IF($E485="","",IF(ISNUMBER(SEARCH("(externo)",$G485&amp;$H485&amp;$I485)),"Terceirizada","Interna"))</f>
        <v/>
      </c>
      <c r="T485" s="40" t="str">
        <f aca="false">IF($L485="","",IF($O485="",$L485,$O485))</f>
        <v/>
      </c>
      <c r="U485" s="34" t="str">
        <f aca="false">IF($E485="","",IF(OR($M485="",$L485=""),0,IF($M485&lt;=$L485,1,0)))</f>
        <v/>
      </c>
      <c r="V485" s="34" t="str">
        <f aca="false">IF($E485="","",IF(OR($M485="",$T485=""),0,IF($M485&lt;=$T485,1,0)))</f>
        <v/>
      </c>
      <c r="W485" s="42" t="str">
        <f aca="false">IF(OR($M485="",$L485=""),"",MAX(0,$M485-$L485))</f>
        <v/>
      </c>
      <c r="X485" s="34" t="str">
        <f aca="false">IF($E485="","",IF(AND($O485&lt;&gt;"",$L485&lt;&gt;"",$O485&lt;&gt;$L485),1,0))</f>
        <v/>
      </c>
      <c r="Y485" s="34" t="str">
        <f aca="false">IF($E485="","",IF($N485="Cancelada",0,IF(OR($M485&lt;&gt;"",$N485="Concluída"),1,0)))</f>
        <v/>
      </c>
    </row>
    <row r="486" customFormat="false" ht="15" hidden="false" customHeight="true" outlineLevel="0" collapsed="false">
      <c r="A486" s="34" t="str">
        <f aca="false">IF($E486="","",COUNTA($E$5:$E486))</f>
        <v/>
      </c>
      <c r="B486" s="35"/>
      <c r="C486" s="35"/>
      <c r="D486" s="35"/>
      <c r="E486" s="35"/>
      <c r="F486" s="36"/>
      <c r="G486" s="37"/>
      <c r="H486" s="37"/>
      <c r="I486" s="37"/>
      <c r="J486" s="38"/>
      <c r="K486" s="39"/>
      <c r="L486" s="40" t="str">
        <f aca="false">IF(OR($J486="",$K486=""),"",$J486+MATCH($K486,Listas!$F$5:$F$11,0)-1)</f>
        <v/>
      </c>
      <c r="M486" s="41"/>
      <c r="N486" s="36"/>
      <c r="O486" s="41"/>
      <c r="P486" s="35"/>
      <c r="Q486" s="35"/>
      <c r="R486" s="42" t="str">
        <f aca="true">IF($E486="","",IF($N486="Cancelada","Cancelada",IF(OR($M486&lt;&gt;"",$N486="Concluída"),IF(OR($L486="",$M486="",$M486&lt;=$L486),"Concluída","Concluída com atraso"),IF($L486="","Na carteira",IF($L486&lt;TODAY(),"VENCIDA",IF($N486="Em execução","Em execução",IF($L486=TODAY(),"Hoje","Programada")))))))</f>
        <v/>
      </c>
      <c r="S486" s="34" t="str">
        <f aca="false">IF($E486="","",IF(ISNUMBER(SEARCH("(externo)",$G486&amp;$H486&amp;$I486)),"Terceirizada","Interna"))</f>
        <v/>
      </c>
      <c r="T486" s="40" t="str">
        <f aca="false">IF($L486="","",IF($O486="",$L486,$O486))</f>
        <v/>
      </c>
      <c r="U486" s="34" t="str">
        <f aca="false">IF($E486="","",IF(OR($M486="",$L486=""),0,IF($M486&lt;=$L486,1,0)))</f>
        <v/>
      </c>
      <c r="V486" s="34" t="str">
        <f aca="false">IF($E486="","",IF(OR($M486="",$T486=""),0,IF($M486&lt;=$T486,1,0)))</f>
        <v/>
      </c>
      <c r="W486" s="42" t="str">
        <f aca="false">IF(OR($M486="",$L486=""),"",MAX(0,$M486-$L486))</f>
        <v/>
      </c>
      <c r="X486" s="34" t="str">
        <f aca="false">IF($E486="","",IF(AND($O486&lt;&gt;"",$L486&lt;&gt;"",$O486&lt;&gt;$L486),1,0))</f>
        <v/>
      </c>
      <c r="Y486" s="34" t="str">
        <f aca="false">IF($E486="","",IF($N486="Cancelada",0,IF(OR($M486&lt;&gt;"",$N486="Concluída"),1,0)))</f>
        <v/>
      </c>
    </row>
    <row r="487" customFormat="false" ht="15" hidden="false" customHeight="true" outlineLevel="0" collapsed="false">
      <c r="A487" s="34" t="str">
        <f aca="false">IF($E487="","",COUNTA($E$5:$E487))</f>
        <v/>
      </c>
      <c r="B487" s="35"/>
      <c r="C487" s="35"/>
      <c r="D487" s="35"/>
      <c r="E487" s="35"/>
      <c r="F487" s="36"/>
      <c r="G487" s="37"/>
      <c r="H487" s="37"/>
      <c r="I487" s="37"/>
      <c r="J487" s="38"/>
      <c r="K487" s="39"/>
      <c r="L487" s="40" t="str">
        <f aca="false">IF(OR($J487="",$K487=""),"",$J487+MATCH($K487,Listas!$F$5:$F$11,0)-1)</f>
        <v/>
      </c>
      <c r="M487" s="41"/>
      <c r="N487" s="36"/>
      <c r="O487" s="41"/>
      <c r="P487" s="35"/>
      <c r="Q487" s="35"/>
      <c r="R487" s="42" t="str">
        <f aca="true">IF($E487="","",IF($N487="Cancelada","Cancelada",IF(OR($M487&lt;&gt;"",$N487="Concluída"),IF(OR($L487="",$M487="",$M487&lt;=$L487),"Concluída","Concluída com atraso"),IF($L487="","Na carteira",IF($L487&lt;TODAY(),"VENCIDA",IF($N487="Em execução","Em execução",IF($L487=TODAY(),"Hoje","Programada")))))))</f>
        <v/>
      </c>
      <c r="S487" s="34" t="str">
        <f aca="false">IF($E487="","",IF(ISNUMBER(SEARCH("(externo)",$G487&amp;$H487&amp;$I487)),"Terceirizada","Interna"))</f>
        <v/>
      </c>
      <c r="T487" s="40" t="str">
        <f aca="false">IF($L487="","",IF($O487="",$L487,$O487))</f>
        <v/>
      </c>
      <c r="U487" s="34" t="str">
        <f aca="false">IF($E487="","",IF(OR($M487="",$L487=""),0,IF($M487&lt;=$L487,1,0)))</f>
        <v/>
      </c>
      <c r="V487" s="34" t="str">
        <f aca="false">IF($E487="","",IF(OR($M487="",$T487=""),0,IF($M487&lt;=$T487,1,0)))</f>
        <v/>
      </c>
      <c r="W487" s="42" t="str">
        <f aca="false">IF(OR($M487="",$L487=""),"",MAX(0,$M487-$L487))</f>
        <v/>
      </c>
      <c r="X487" s="34" t="str">
        <f aca="false">IF($E487="","",IF(AND($O487&lt;&gt;"",$L487&lt;&gt;"",$O487&lt;&gt;$L487),1,0))</f>
        <v/>
      </c>
      <c r="Y487" s="34" t="str">
        <f aca="false">IF($E487="","",IF($N487="Cancelada",0,IF(OR($M487&lt;&gt;"",$N487="Concluída"),1,0)))</f>
        <v/>
      </c>
    </row>
    <row r="488" customFormat="false" ht="15" hidden="false" customHeight="true" outlineLevel="0" collapsed="false">
      <c r="A488" s="34" t="str">
        <f aca="false">IF($E488="","",COUNTA($E$5:$E488))</f>
        <v/>
      </c>
      <c r="B488" s="35"/>
      <c r="C488" s="35"/>
      <c r="D488" s="35"/>
      <c r="E488" s="35"/>
      <c r="F488" s="36"/>
      <c r="G488" s="37"/>
      <c r="H488" s="37"/>
      <c r="I488" s="37"/>
      <c r="J488" s="38"/>
      <c r="K488" s="39"/>
      <c r="L488" s="40" t="str">
        <f aca="false">IF(OR($J488="",$K488=""),"",$J488+MATCH($K488,Listas!$F$5:$F$11,0)-1)</f>
        <v/>
      </c>
      <c r="M488" s="41"/>
      <c r="N488" s="36"/>
      <c r="O488" s="41"/>
      <c r="P488" s="35"/>
      <c r="Q488" s="35"/>
      <c r="R488" s="42" t="str">
        <f aca="true">IF($E488="","",IF($N488="Cancelada","Cancelada",IF(OR($M488&lt;&gt;"",$N488="Concluída"),IF(OR($L488="",$M488="",$M488&lt;=$L488),"Concluída","Concluída com atraso"),IF($L488="","Na carteira",IF($L488&lt;TODAY(),"VENCIDA",IF($N488="Em execução","Em execução",IF($L488=TODAY(),"Hoje","Programada")))))))</f>
        <v/>
      </c>
      <c r="S488" s="34" t="str">
        <f aca="false">IF($E488="","",IF(ISNUMBER(SEARCH("(externo)",$G488&amp;$H488&amp;$I488)),"Terceirizada","Interna"))</f>
        <v/>
      </c>
      <c r="T488" s="40" t="str">
        <f aca="false">IF($L488="","",IF($O488="",$L488,$O488))</f>
        <v/>
      </c>
      <c r="U488" s="34" t="str">
        <f aca="false">IF($E488="","",IF(OR($M488="",$L488=""),0,IF($M488&lt;=$L488,1,0)))</f>
        <v/>
      </c>
      <c r="V488" s="34" t="str">
        <f aca="false">IF($E488="","",IF(OR($M488="",$T488=""),0,IF($M488&lt;=$T488,1,0)))</f>
        <v/>
      </c>
      <c r="W488" s="42" t="str">
        <f aca="false">IF(OR($M488="",$L488=""),"",MAX(0,$M488-$L488))</f>
        <v/>
      </c>
      <c r="X488" s="34" t="str">
        <f aca="false">IF($E488="","",IF(AND($O488&lt;&gt;"",$L488&lt;&gt;"",$O488&lt;&gt;$L488),1,0))</f>
        <v/>
      </c>
      <c r="Y488" s="34" t="str">
        <f aca="false">IF($E488="","",IF($N488="Cancelada",0,IF(OR($M488&lt;&gt;"",$N488="Concluída"),1,0)))</f>
        <v/>
      </c>
    </row>
    <row r="489" customFormat="false" ht="15" hidden="false" customHeight="true" outlineLevel="0" collapsed="false">
      <c r="A489" s="34" t="str">
        <f aca="false">IF($E489="","",COUNTA($E$5:$E489))</f>
        <v/>
      </c>
      <c r="B489" s="35"/>
      <c r="C489" s="35"/>
      <c r="D489" s="35"/>
      <c r="E489" s="35"/>
      <c r="F489" s="36"/>
      <c r="G489" s="37"/>
      <c r="H489" s="37"/>
      <c r="I489" s="37"/>
      <c r="J489" s="38"/>
      <c r="K489" s="39"/>
      <c r="L489" s="40" t="str">
        <f aca="false">IF(OR($J489="",$K489=""),"",$J489+MATCH($K489,Listas!$F$5:$F$11,0)-1)</f>
        <v/>
      </c>
      <c r="M489" s="41"/>
      <c r="N489" s="36"/>
      <c r="O489" s="41"/>
      <c r="P489" s="35"/>
      <c r="Q489" s="35"/>
      <c r="R489" s="42" t="str">
        <f aca="true">IF($E489="","",IF($N489="Cancelada","Cancelada",IF(OR($M489&lt;&gt;"",$N489="Concluída"),IF(OR($L489="",$M489="",$M489&lt;=$L489),"Concluída","Concluída com atraso"),IF($L489="","Na carteira",IF($L489&lt;TODAY(),"VENCIDA",IF($N489="Em execução","Em execução",IF($L489=TODAY(),"Hoje","Programada")))))))</f>
        <v/>
      </c>
      <c r="S489" s="34" t="str">
        <f aca="false">IF($E489="","",IF(ISNUMBER(SEARCH("(externo)",$G489&amp;$H489&amp;$I489)),"Terceirizada","Interna"))</f>
        <v/>
      </c>
      <c r="T489" s="40" t="str">
        <f aca="false">IF($L489="","",IF($O489="",$L489,$O489))</f>
        <v/>
      </c>
      <c r="U489" s="34" t="str">
        <f aca="false">IF($E489="","",IF(OR($M489="",$L489=""),0,IF($M489&lt;=$L489,1,0)))</f>
        <v/>
      </c>
      <c r="V489" s="34" t="str">
        <f aca="false">IF($E489="","",IF(OR($M489="",$T489=""),0,IF($M489&lt;=$T489,1,0)))</f>
        <v/>
      </c>
      <c r="W489" s="42" t="str">
        <f aca="false">IF(OR($M489="",$L489=""),"",MAX(0,$M489-$L489))</f>
        <v/>
      </c>
      <c r="X489" s="34" t="str">
        <f aca="false">IF($E489="","",IF(AND($O489&lt;&gt;"",$L489&lt;&gt;"",$O489&lt;&gt;$L489),1,0))</f>
        <v/>
      </c>
      <c r="Y489" s="34" t="str">
        <f aca="false">IF($E489="","",IF($N489="Cancelada",0,IF(OR($M489&lt;&gt;"",$N489="Concluída"),1,0)))</f>
        <v/>
      </c>
    </row>
    <row r="490" customFormat="false" ht="15" hidden="false" customHeight="true" outlineLevel="0" collapsed="false">
      <c r="A490" s="34" t="str">
        <f aca="false">IF($E490="","",COUNTA($E$5:$E490))</f>
        <v/>
      </c>
      <c r="B490" s="35"/>
      <c r="C490" s="35"/>
      <c r="D490" s="35"/>
      <c r="E490" s="35"/>
      <c r="F490" s="36"/>
      <c r="G490" s="37"/>
      <c r="H490" s="37"/>
      <c r="I490" s="37"/>
      <c r="J490" s="38"/>
      <c r="K490" s="39"/>
      <c r="L490" s="40" t="str">
        <f aca="false">IF(OR($J490="",$K490=""),"",$J490+MATCH($K490,Listas!$F$5:$F$11,0)-1)</f>
        <v/>
      </c>
      <c r="M490" s="41"/>
      <c r="N490" s="36"/>
      <c r="O490" s="41"/>
      <c r="P490" s="35"/>
      <c r="Q490" s="35"/>
      <c r="R490" s="42" t="str">
        <f aca="true">IF($E490="","",IF($N490="Cancelada","Cancelada",IF(OR($M490&lt;&gt;"",$N490="Concluída"),IF(OR($L490="",$M490="",$M490&lt;=$L490),"Concluída","Concluída com atraso"),IF($L490="","Na carteira",IF($L490&lt;TODAY(),"VENCIDA",IF($N490="Em execução","Em execução",IF($L490=TODAY(),"Hoje","Programada")))))))</f>
        <v/>
      </c>
      <c r="S490" s="34" t="str">
        <f aca="false">IF($E490="","",IF(ISNUMBER(SEARCH("(externo)",$G490&amp;$H490&amp;$I490)),"Terceirizada","Interna"))</f>
        <v/>
      </c>
      <c r="T490" s="40" t="str">
        <f aca="false">IF($L490="","",IF($O490="",$L490,$O490))</f>
        <v/>
      </c>
      <c r="U490" s="34" t="str">
        <f aca="false">IF($E490="","",IF(OR($M490="",$L490=""),0,IF($M490&lt;=$L490,1,0)))</f>
        <v/>
      </c>
      <c r="V490" s="34" t="str">
        <f aca="false">IF($E490="","",IF(OR($M490="",$T490=""),0,IF($M490&lt;=$T490,1,0)))</f>
        <v/>
      </c>
      <c r="W490" s="42" t="str">
        <f aca="false">IF(OR($M490="",$L490=""),"",MAX(0,$M490-$L490))</f>
        <v/>
      </c>
      <c r="X490" s="34" t="str">
        <f aca="false">IF($E490="","",IF(AND($O490&lt;&gt;"",$L490&lt;&gt;"",$O490&lt;&gt;$L490),1,0))</f>
        <v/>
      </c>
      <c r="Y490" s="34" t="str">
        <f aca="false">IF($E490="","",IF($N490="Cancelada",0,IF(OR($M490&lt;&gt;"",$N490="Concluída"),1,0)))</f>
        <v/>
      </c>
    </row>
    <row r="491" customFormat="false" ht="15" hidden="false" customHeight="true" outlineLevel="0" collapsed="false">
      <c r="A491" s="34" t="str">
        <f aca="false">IF($E491="","",COUNTA($E$5:$E491))</f>
        <v/>
      </c>
      <c r="B491" s="35"/>
      <c r="C491" s="35"/>
      <c r="D491" s="35"/>
      <c r="E491" s="35"/>
      <c r="F491" s="36"/>
      <c r="G491" s="37"/>
      <c r="H491" s="37"/>
      <c r="I491" s="37"/>
      <c r="J491" s="38"/>
      <c r="K491" s="39"/>
      <c r="L491" s="40" t="str">
        <f aca="false">IF(OR($J491="",$K491=""),"",$J491+MATCH($K491,Listas!$F$5:$F$11,0)-1)</f>
        <v/>
      </c>
      <c r="M491" s="41"/>
      <c r="N491" s="36"/>
      <c r="O491" s="41"/>
      <c r="P491" s="35"/>
      <c r="Q491" s="35"/>
      <c r="R491" s="42" t="str">
        <f aca="true">IF($E491="","",IF($N491="Cancelada","Cancelada",IF(OR($M491&lt;&gt;"",$N491="Concluída"),IF(OR($L491="",$M491="",$M491&lt;=$L491),"Concluída","Concluída com atraso"),IF($L491="","Na carteira",IF($L491&lt;TODAY(),"VENCIDA",IF($N491="Em execução","Em execução",IF($L491=TODAY(),"Hoje","Programada")))))))</f>
        <v/>
      </c>
      <c r="S491" s="34" t="str">
        <f aca="false">IF($E491="","",IF(ISNUMBER(SEARCH("(externo)",$G491&amp;$H491&amp;$I491)),"Terceirizada","Interna"))</f>
        <v/>
      </c>
      <c r="T491" s="40" t="str">
        <f aca="false">IF($L491="","",IF($O491="",$L491,$O491))</f>
        <v/>
      </c>
      <c r="U491" s="34" t="str">
        <f aca="false">IF($E491="","",IF(OR($M491="",$L491=""),0,IF($M491&lt;=$L491,1,0)))</f>
        <v/>
      </c>
      <c r="V491" s="34" t="str">
        <f aca="false">IF($E491="","",IF(OR($M491="",$T491=""),0,IF($M491&lt;=$T491,1,0)))</f>
        <v/>
      </c>
      <c r="W491" s="42" t="str">
        <f aca="false">IF(OR($M491="",$L491=""),"",MAX(0,$M491-$L491))</f>
        <v/>
      </c>
      <c r="X491" s="34" t="str">
        <f aca="false">IF($E491="","",IF(AND($O491&lt;&gt;"",$L491&lt;&gt;"",$O491&lt;&gt;$L491),1,0))</f>
        <v/>
      </c>
      <c r="Y491" s="34" t="str">
        <f aca="false">IF($E491="","",IF($N491="Cancelada",0,IF(OR($M491&lt;&gt;"",$N491="Concluída"),1,0)))</f>
        <v/>
      </c>
    </row>
    <row r="492" customFormat="false" ht="15" hidden="false" customHeight="true" outlineLevel="0" collapsed="false">
      <c r="A492" s="34" t="str">
        <f aca="false">IF($E492="","",COUNTA($E$5:$E492))</f>
        <v/>
      </c>
      <c r="B492" s="35"/>
      <c r="C492" s="35"/>
      <c r="D492" s="35"/>
      <c r="E492" s="35"/>
      <c r="F492" s="36"/>
      <c r="G492" s="37"/>
      <c r="H492" s="37"/>
      <c r="I492" s="37"/>
      <c r="J492" s="38"/>
      <c r="K492" s="39"/>
      <c r="L492" s="40" t="str">
        <f aca="false">IF(OR($J492="",$K492=""),"",$J492+MATCH($K492,Listas!$F$5:$F$11,0)-1)</f>
        <v/>
      </c>
      <c r="M492" s="41"/>
      <c r="N492" s="36"/>
      <c r="O492" s="41"/>
      <c r="P492" s="35"/>
      <c r="Q492" s="35"/>
      <c r="R492" s="42" t="str">
        <f aca="true">IF($E492="","",IF($N492="Cancelada","Cancelada",IF(OR($M492&lt;&gt;"",$N492="Concluída"),IF(OR($L492="",$M492="",$M492&lt;=$L492),"Concluída","Concluída com atraso"),IF($L492="","Na carteira",IF($L492&lt;TODAY(),"VENCIDA",IF($N492="Em execução","Em execução",IF($L492=TODAY(),"Hoje","Programada")))))))</f>
        <v/>
      </c>
      <c r="S492" s="34" t="str">
        <f aca="false">IF($E492="","",IF(ISNUMBER(SEARCH("(externo)",$G492&amp;$H492&amp;$I492)),"Terceirizada","Interna"))</f>
        <v/>
      </c>
      <c r="T492" s="40" t="str">
        <f aca="false">IF($L492="","",IF($O492="",$L492,$O492))</f>
        <v/>
      </c>
      <c r="U492" s="34" t="str">
        <f aca="false">IF($E492="","",IF(OR($M492="",$L492=""),0,IF($M492&lt;=$L492,1,0)))</f>
        <v/>
      </c>
      <c r="V492" s="34" t="str">
        <f aca="false">IF($E492="","",IF(OR($M492="",$T492=""),0,IF($M492&lt;=$T492,1,0)))</f>
        <v/>
      </c>
      <c r="W492" s="42" t="str">
        <f aca="false">IF(OR($M492="",$L492=""),"",MAX(0,$M492-$L492))</f>
        <v/>
      </c>
      <c r="X492" s="34" t="str">
        <f aca="false">IF($E492="","",IF(AND($O492&lt;&gt;"",$L492&lt;&gt;"",$O492&lt;&gt;$L492),1,0))</f>
        <v/>
      </c>
      <c r="Y492" s="34" t="str">
        <f aca="false">IF($E492="","",IF($N492="Cancelada",0,IF(OR($M492&lt;&gt;"",$N492="Concluída"),1,0)))</f>
        <v/>
      </c>
    </row>
    <row r="493" customFormat="false" ht="15" hidden="false" customHeight="true" outlineLevel="0" collapsed="false">
      <c r="A493" s="34" t="str">
        <f aca="false">IF($E493="","",COUNTA($E$5:$E493))</f>
        <v/>
      </c>
      <c r="B493" s="35"/>
      <c r="C493" s="35"/>
      <c r="D493" s="35"/>
      <c r="E493" s="35"/>
      <c r="F493" s="36"/>
      <c r="G493" s="37"/>
      <c r="H493" s="37"/>
      <c r="I493" s="37"/>
      <c r="J493" s="38"/>
      <c r="K493" s="39"/>
      <c r="L493" s="40" t="str">
        <f aca="false">IF(OR($J493="",$K493=""),"",$J493+MATCH($K493,Listas!$F$5:$F$11,0)-1)</f>
        <v/>
      </c>
      <c r="M493" s="41"/>
      <c r="N493" s="36"/>
      <c r="O493" s="41"/>
      <c r="P493" s="35"/>
      <c r="Q493" s="35"/>
      <c r="R493" s="42" t="str">
        <f aca="true">IF($E493="","",IF($N493="Cancelada","Cancelada",IF(OR($M493&lt;&gt;"",$N493="Concluída"),IF(OR($L493="",$M493="",$M493&lt;=$L493),"Concluída","Concluída com atraso"),IF($L493="","Na carteira",IF($L493&lt;TODAY(),"VENCIDA",IF($N493="Em execução","Em execução",IF($L493=TODAY(),"Hoje","Programada")))))))</f>
        <v/>
      </c>
      <c r="S493" s="34" t="str">
        <f aca="false">IF($E493="","",IF(ISNUMBER(SEARCH("(externo)",$G493&amp;$H493&amp;$I493)),"Terceirizada","Interna"))</f>
        <v/>
      </c>
      <c r="T493" s="40" t="str">
        <f aca="false">IF($L493="","",IF($O493="",$L493,$O493))</f>
        <v/>
      </c>
      <c r="U493" s="34" t="str">
        <f aca="false">IF($E493="","",IF(OR($M493="",$L493=""),0,IF($M493&lt;=$L493,1,0)))</f>
        <v/>
      </c>
      <c r="V493" s="34" t="str">
        <f aca="false">IF($E493="","",IF(OR($M493="",$T493=""),0,IF($M493&lt;=$T493,1,0)))</f>
        <v/>
      </c>
      <c r="W493" s="42" t="str">
        <f aca="false">IF(OR($M493="",$L493=""),"",MAX(0,$M493-$L493))</f>
        <v/>
      </c>
      <c r="X493" s="34" t="str">
        <f aca="false">IF($E493="","",IF(AND($O493&lt;&gt;"",$L493&lt;&gt;"",$O493&lt;&gt;$L493),1,0))</f>
        <v/>
      </c>
      <c r="Y493" s="34" t="str">
        <f aca="false">IF($E493="","",IF($N493="Cancelada",0,IF(OR($M493&lt;&gt;"",$N493="Concluída"),1,0)))</f>
        <v/>
      </c>
    </row>
    <row r="494" customFormat="false" ht="15" hidden="false" customHeight="true" outlineLevel="0" collapsed="false">
      <c r="A494" s="34" t="str">
        <f aca="false">IF($E494="","",COUNTA($E$5:$E494))</f>
        <v/>
      </c>
      <c r="B494" s="35"/>
      <c r="C494" s="35"/>
      <c r="D494" s="35"/>
      <c r="E494" s="35"/>
      <c r="F494" s="36"/>
      <c r="G494" s="37"/>
      <c r="H494" s="37"/>
      <c r="I494" s="37"/>
      <c r="J494" s="38"/>
      <c r="K494" s="39"/>
      <c r="L494" s="40" t="str">
        <f aca="false">IF(OR($J494="",$K494=""),"",$J494+MATCH($K494,Listas!$F$5:$F$11,0)-1)</f>
        <v/>
      </c>
      <c r="M494" s="41"/>
      <c r="N494" s="36"/>
      <c r="O494" s="41"/>
      <c r="P494" s="35"/>
      <c r="Q494" s="35"/>
      <c r="R494" s="42" t="str">
        <f aca="true">IF($E494="","",IF($N494="Cancelada","Cancelada",IF(OR($M494&lt;&gt;"",$N494="Concluída"),IF(OR($L494="",$M494="",$M494&lt;=$L494),"Concluída","Concluída com atraso"),IF($L494="","Na carteira",IF($L494&lt;TODAY(),"VENCIDA",IF($N494="Em execução","Em execução",IF($L494=TODAY(),"Hoje","Programada")))))))</f>
        <v/>
      </c>
      <c r="S494" s="34" t="str">
        <f aca="false">IF($E494="","",IF(ISNUMBER(SEARCH("(externo)",$G494&amp;$H494&amp;$I494)),"Terceirizada","Interna"))</f>
        <v/>
      </c>
      <c r="T494" s="40" t="str">
        <f aca="false">IF($L494="","",IF($O494="",$L494,$O494))</f>
        <v/>
      </c>
      <c r="U494" s="34" t="str">
        <f aca="false">IF($E494="","",IF(OR($M494="",$L494=""),0,IF($M494&lt;=$L494,1,0)))</f>
        <v/>
      </c>
      <c r="V494" s="34" t="str">
        <f aca="false">IF($E494="","",IF(OR($M494="",$T494=""),0,IF($M494&lt;=$T494,1,0)))</f>
        <v/>
      </c>
      <c r="W494" s="42" t="str">
        <f aca="false">IF(OR($M494="",$L494=""),"",MAX(0,$M494-$L494))</f>
        <v/>
      </c>
      <c r="X494" s="34" t="str">
        <f aca="false">IF($E494="","",IF(AND($O494&lt;&gt;"",$L494&lt;&gt;"",$O494&lt;&gt;$L494),1,0))</f>
        <v/>
      </c>
      <c r="Y494" s="34" t="str">
        <f aca="false">IF($E494="","",IF($N494="Cancelada",0,IF(OR($M494&lt;&gt;"",$N494="Concluída"),1,0)))</f>
        <v/>
      </c>
    </row>
    <row r="495" customFormat="false" ht="15" hidden="false" customHeight="true" outlineLevel="0" collapsed="false">
      <c r="A495" s="34" t="str">
        <f aca="false">IF($E495="","",COUNTA($E$5:$E495))</f>
        <v/>
      </c>
      <c r="B495" s="35"/>
      <c r="C495" s="35"/>
      <c r="D495" s="35"/>
      <c r="E495" s="35"/>
      <c r="F495" s="36"/>
      <c r="G495" s="37"/>
      <c r="H495" s="37"/>
      <c r="I495" s="37"/>
      <c r="J495" s="38"/>
      <c r="K495" s="39"/>
      <c r="L495" s="40" t="str">
        <f aca="false">IF(OR($J495="",$K495=""),"",$J495+MATCH($K495,Listas!$F$5:$F$11,0)-1)</f>
        <v/>
      </c>
      <c r="M495" s="41"/>
      <c r="N495" s="36"/>
      <c r="O495" s="41"/>
      <c r="P495" s="35"/>
      <c r="Q495" s="35"/>
      <c r="R495" s="42" t="str">
        <f aca="true">IF($E495="","",IF($N495="Cancelada","Cancelada",IF(OR($M495&lt;&gt;"",$N495="Concluída"),IF(OR($L495="",$M495="",$M495&lt;=$L495),"Concluída","Concluída com atraso"),IF($L495="","Na carteira",IF($L495&lt;TODAY(),"VENCIDA",IF($N495="Em execução","Em execução",IF($L495=TODAY(),"Hoje","Programada")))))))</f>
        <v/>
      </c>
      <c r="S495" s="34" t="str">
        <f aca="false">IF($E495="","",IF(ISNUMBER(SEARCH("(externo)",$G495&amp;$H495&amp;$I495)),"Terceirizada","Interna"))</f>
        <v/>
      </c>
      <c r="T495" s="40" t="str">
        <f aca="false">IF($L495="","",IF($O495="",$L495,$O495))</f>
        <v/>
      </c>
      <c r="U495" s="34" t="str">
        <f aca="false">IF($E495="","",IF(OR($M495="",$L495=""),0,IF($M495&lt;=$L495,1,0)))</f>
        <v/>
      </c>
      <c r="V495" s="34" t="str">
        <f aca="false">IF($E495="","",IF(OR($M495="",$T495=""),0,IF($M495&lt;=$T495,1,0)))</f>
        <v/>
      </c>
      <c r="W495" s="42" t="str">
        <f aca="false">IF(OR($M495="",$L495=""),"",MAX(0,$M495-$L495))</f>
        <v/>
      </c>
      <c r="X495" s="34" t="str">
        <f aca="false">IF($E495="","",IF(AND($O495&lt;&gt;"",$L495&lt;&gt;"",$O495&lt;&gt;$L495),1,0))</f>
        <v/>
      </c>
      <c r="Y495" s="34" t="str">
        <f aca="false">IF($E495="","",IF($N495="Cancelada",0,IF(OR($M495&lt;&gt;"",$N495="Concluída"),1,0)))</f>
        <v/>
      </c>
    </row>
    <row r="496" customFormat="false" ht="15" hidden="false" customHeight="true" outlineLevel="0" collapsed="false">
      <c r="A496" s="34" t="str">
        <f aca="false">IF($E496="","",COUNTA($E$5:$E496))</f>
        <v/>
      </c>
      <c r="B496" s="35"/>
      <c r="C496" s="35"/>
      <c r="D496" s="35"/>
      <c r="E496" s="35"/>
      <c r="F496" s="36"/>
      <c r="G496" s="37"/>
      <c r="H496" s="37"/>
      <c r="I496" s="37"/>
      <c r="J496" s="38"/>
      <c r="K496" s="39"/>
      <c r="L496" s="40" t="str">
        <f aca="false">IF(OR($J496="",$K496=""),"",$J496+MATCH($K496,Listas!$F$5:$F$11,0)-1)</f>
        <v/>
      </c>
      <c r="M496" s="41"/>
      <c r="N496" s="36"/>
      <c r="O496" s="41"/>
      <c r="P496" s="35"/>
      <c r="Q496" s="35"/>
      <c r="R496" s="42" t="str">
        <f aca="true">IF($E496="","",IF($N496="Cancelada","Cancelada",IF(OR($M496&lt;&gt;"",$N496="Concluída"),IF(OR($L496="",$M496="",$M496&lt;=$L496),"Concluída","Concluída com atraso"),IF($L496="","Na carteira",IF($L496&lt;TODAY(),"VENCIDA",IF($N496="Em execução","Em execução",IF($L496=TODAY(),"Hoje","Programada")))))))</f>
        <v/>
      </c>
      <c r="S496" s="34" t="str">
        <f aca="false">IF($E496="","",IF(ISNUMBER(SEARCH("(externo)",$G496&amp;$H496&amp;$I496)),"Terceirizada","Interna"))</f>
        <v/>
      </c>
      <c r="T496" s="40" t="str">
        <f aca="false">IF($L496="","",IF($O496="",$L496,$O496))</f>
        <v/>
      </c>
      <c r="U496" s="34" t="str">
        <f aca="false">IF($E496="","",IF(OR($M496="",$L496=""),0,IF($M496&lt;=$L496,1,0)))</f>
        <v/>
      </c>
      <c r="V496" s="34" t="str">
        <f aca="false">IF($E496="","",IF(OR($M496="",$T496=""),0,IF($M496&lt;=$T496,1,0)))</f>
        <v/>
      </c>
      <c r="W496" s="42" t="str">
        <f aca="false">IF(OR($M496="",$L496=""),"",MAX(0,$M496-$L496))</f>
        <v/>
      </c>
      <c r="X496" s="34" t="str">
        <f aca="false">IF($E496="","",IF(AND($O496&lt;&gt;"",$L496&lt;&gt;"",$O496&lt;&gt;$L496),1,0))</f>
        <v/>
      </c>
      <c r="Y496" s="34" t="str">
        <f aca="false">IF($E496="","",IF($N496="Cancelada",0,IF(OR($M496&lt;&gt;"",$N496="Concluída"),1,0)))</f>
        <v/>
      </c>
    </row>
    <row r="497" customFormat="false" ht="15" hidden="false" customHeight="true" outlineLevel="0" collapsed="false">
      <c r="A497" s="34" t="str">
        <f aca="false">IF($E497="","",COUNTA($E$5:$E497))</f>
        <v/>
      </c>
      <c r="B497" s="35"/>
      <c r="C497" s="35"/>
      <c r="D497" s="35"/>
      <c r="E497" s="35"/>
      <c r="F497" s="36"/>
      <c r="G497" s="37"/>
      <c r="H497" s="37"/>
      <c r="I497" s="37"/>
      <c r="J497" s="38"/>
      <c r="K497" s="39"/>
      <c r="L497" s="40" t="str">
        <f aca="false">IF(OR($J497="",$K497=""),"",$J497+MATCH($K497,Listas!$F$5:$F$11,0)-1)</f>
        <v/>
      </c>
      <c r="M497" s="41"/>
      <c r="N497" s="36"/>
      <c r="O497" s="41"/>
      <c r="P497" s="35"/>
      <c r="Q497" s="35"/>
      <c r="R497" s="42" t="str">
        <f aca="true">IF($E497="","",IF($N497="Cancelada","Cancelada",IF(OR($M497&lt;&gt;"",$N497="Concluída"),IF(OR($L497="",$M497="",$M497&lt;=$L497),"Concluída","Concluída com atraso"),IF($L497="","Na carteira",IF($L497&lt;TODAY(),"VENCIDA",IF($N497="Em execução","Em execução",IF($L497=TODAY(),"Hoje","Programada")))))))</f>
        <v/>
      </c>
      <c r="S497" s="34" t="str">
        <f aca="false">IF($E497="","",IF(ISNUMBER(SEARCH("(externo)",$G497&amp;$H497&amp;$I497)),"Terceirizada","Interna"))</f>
        <v/>
      </c>
      <c r="T497" s="40" t="str">
        <f aca="false">IF($L497="","",IF($O497="",$L497,$O497))</f>
        <v/>
      </c>
      <c r="U497" s="34" t="str">
        <f aca="false">IF($E497="","",IF(OR($M497="",$L497=""),0,IF($M497&lt;=$L497,1,0)))</f>
        <v/>
      </c>
      <c r="V497" s="34" t="str">
        <f aca="false">IF($E497="","",IF(OR($M497="",$T497=""),0,IF($M497&lt;=$T497,1,0)))</f>
        <v/>
      </c>
      <c r="W497" s="42" t="str">
        <f aca="false">IF(OR($M497="",$L497=""),"",MAX(0,$M497-$L497))</f>
        <v/>
      </c>
      <c r="X497" s="34" t="str">
        <f aca="false">IF($E497="","",IF(AND($O497&lt;&gt;"",$L497&lt;&gt;"",$O497&lt;&gt;$L497),1,0))</f>
        <v/>
      </c>
      <c r="Y497" s="34" t="str">
        <f aca="false">IF($E497="","",IF($N497="Cancelada",0,IF(OR($M497&lt;&gt;"",$N497="Concluída"),1,0)))</f>
        <v/>
      </c>
    </row>
    <row r="498" customFormat="false" ht="15" hidden="false" customHeight="true" outlineLevel="0" collapsed="false">
      <c r="A498" s="34" t="str">
        <f aca="false">IF($E498="","",COUNTA($E$5:$E498))</f>
        <v/>
      </c>
      <c r="B498" s="35"/>
      <c r="C498" s="35"/>
      <c r="D498" s="35"/>
      <c r="E498" s="35"/>
      <c r="F498" s="36"/>
      <c r="G498" s="37"/>
      <c r="H498" s="37"/>
      <c r="I498" s="37"/>
      <c r="J498" s="38"/>
      <c r="K498" s="39"/>
      <c r="L498" s="40" t="str">
        <f aca="false">IF(OR($J498="",$K498=""),"",$J498+MATCH($K498,Listas!$F$5:$F$11,0)-1)</f>
        <v/>
      </c>
      <c r="M498" s="41"/>
      <c r="N498" s="36"/>
      <c r="O498" s="41"/>
      <c r="P498" s="35"/>
      <c r="Q498" s="35"/>
      <c r="R498" s="42" t="str">
        <f aca="true">IF($E498="","",IF($N498="Cancelada","Cancelada",IF(OR($M498&lt;&gt;"",$N498="Concluída"),IF(OR($L498="",$M498="",$M498&lt;=$L498),"Concluída","Concluída com atraso"),IF($L498="","Na carteira",IF($L498&lt;TODAY(),"VENCIDA",IF($N498="Em execução","Em execução",IF($L498=TODAY(),"Hoje","Programada")))))))</f>
        <v/>
      </c>
      <c r="S498" s="34" t="str">
        <f aca="false">IF($E498="","",IF(ISNUMBER(SEARCH("(externo)",$G498&amp;$H498&amp;$I498)),"Terceirizada","Interna"))</f>
        <v/>
      </c>
      <c r="T498" s="40" t="str">
        <f aca="false">IF($L498="","",IF($O498="",$L498,$O498))</f>
        <v/>
      </c>
      <c r="U498" s="34" t="str">
        <f aca="false">IF($E498="","",IF(OR($M498="",$L498=""),0,IF($M498&lt;=$L498,1,0)))</f>
        <v/>
      </c>
      <c r="V498" s="34" t="str">
        <f aca="false">IF($E498="","",IF(OR($M498="",$T498=""),0,IF($M498&lt;=$T498,1,0)))</f>
        <v/>
      </c>
      <c r="W498" s="42" t="str">
        <f aca="false">IF(OR($M498="",$L498=""),"",MAX(0,$M498-$L498))</f>
        <v/>
      </c>
      <c r="X498" s="34" t="str">
        <f aca="false">IF($E498="","",IF(AND($O498&lt;&gt;"",$L498&lt;&gt;"",$O498&lt;&gt;$L498),1,0))</f>
        <v/>
      </c>
      <c r="Y498" s="34" t="str">
        <f aca="false">IF($E498="","",IF($N498="Cancelada",0,IF(OR($M498&lt;&gt;"",$N498="Concluída"),1,0)))</f>
        <v/>
      </c>
    </row>
    <row r="499" customFormat="false" ht="15" hidden="false" customHeight="true" outlineLevel="0" collapsed="false">
      <c r="A499" s="34" t="str">
        <f aca="false">IF($E499="","",COUNTA($E$5:$E499))</f>
        <v/>
      </c>
      <c r="B499" s="35"/>
      <c r="C499" s="35"/>
      <c r="D499" s="35"/>
      <c r="E499" s="35"/>
      <c r="F499" s="36"/>
      <c r="G499" s="37"/>
      <c r="H499" s="37"/>
      <c r="I499" s="37"/>
      <c r="J499" s="38"/>
      <c r="K499" s="39"/>
      <c r="L499" s="40" t="str">
        <f aca="false">IF(OR($J499="",$K499=""),"",$J499+MATCH($K499,Listas!$F$5:$F$11,0)-1)</f>
        <v/>
      </c>
      <c r="M499" s="41"/>
      <c r="N499" s="36"/>
      <c r="O499" s="41"/>
      <c r="P499" s="35"/>
      <c r="Q499" s="35"/>
      <c r="R499" s="42" t="str">
        <f aca="true">IF($E499="","",IF($N499="Cancelada","Cancelada",IF(OR($M499&lt;&gt;"",$N499="Concluída"),IF(OR($L499="",$M499="",$M499&lt;=$L499),"Concluída","Concluída com atraso"),IF($L499="","Na carteira",IF($L499&lt;TODAY(),"VENCIDA",IF($N499="Em execução","Em execução",IF($L499=TODAY(),"Hoje","Programada")))))))</f>
        <v/>
      </c>
      <c r="S499" s="34" t="str">
        <f aca="false">IF($E499="","",IF(ISNUMBER(SEARCH("(externo)",$G499&amp;$H499&amp;$I499)),"Terceirizada","Interna"))</f>
        <v/>
      </c>
      <c r="T499" s="40" t="str">
        <f aca="false">IF($L499="","",IF($O499="",$L499,$O499))</f>
        <v/>
      </c>
      <c r="U499" s="34" t="str">
        <f aca="false">IF($E499="","",IF(OR($M499="",$L499=""),0,IF($M499&lt;=$L499,1,0)))</f>
        <v/>
      </c>
      <c r="V499" s="34" t="str">
        <f aca="false">IF($E499="","",IF(OR($M499="",$T499=""),0,IF($M499&lt;=$T499,1,0)))</f>
        <v/>
      </c>
      <c r="W499" s="42" t="str">
        <f aca="false">IF(OR($M499="",$L499=""),"",MAX(0,$M499-$L499))</f>
        <v/>
      </c>
      <c r="X499" s="34" t="str">
        <f aca="false">IF($E499="","",IF(AND($O499&lt;&gt;"",$L499&lt;&gt;"",$O499&lt;&gt;$L499),1,0))</f>
        <v/>
      </c>
      <c r="Y499" s="34" t="str">
        <f aca="false">IF($E499="","",IF($N499="Cancelada",0,IF(OR($M499&lt;&gt;"",$N499="Concluída"),1,0)))</f>
        <v/>
      </c>
    </row>
    <row r="500" customFormat="false" ht="15" hidden="false" customHeight="true" outlineLevel="0" collapsed="false">
      <c r="A500" s="34" t="str">
        <f aca="false">IF($E500="","",COUNTA($E$5:$E500))</f>
        <v/>
      </c>
      <c r="B500" s="35"/>
      <c r="C500" s="35"/>
      <c r="D500" s="35"/>
      <c r="E500" s="35"/>
      <c r="F500" s="36"/>
      <c r="G500" s="37"/>
      <c r="H500" s="37"/>
      <c r="I500" s="37"/>
      <c r="J500" s="38"/>
      <c r="K500" s="39"/>
      <c r="L500" s="40" t="str">
        <f aca="false">IF(OR($J500="",$K500=""),"",$J500+MATCH($K500,Listas!$F$5:$F$11,0)-1)</f>
        <v/>
      </c>
      <c r="M500" s="41"/>
      <c r="N500" s="36"/>
      <c r="O500" s="41"/>
      <c r="P500" s="35"/>
      <c r="Q500" s="35"/>
      <c r="R500" s="42" t="str">
        <f aca="true">IF($E500="","",IF($N500="Cancelada","Cancelada",IF(OR($M500&lt;&gt;"",$N500="Concluída"),IF(OR($L500="",$M500="",$M500&lt;=$L500),"Concluída","Concluída com atraso"),IF($L500="","Na carteira",IF($L500&lt;TODAY(),"VENCIDA",IF($N500="Em execução","Em execução",IF($L500=TODAY(),"Hoje","Programada")))))))</f>
        <v/>
      </c>
      <c r="S500" s="34" t="str">
        <f aca="false">IF($E500="","",IF(ISNUMBER(SEARCH("(externo)",$G500&amp;$H500&amp;$I500)),"Terceirizada","Interna"))</f>
        <v/>
      </c>
      <c r="T500" s="40" t="str">
        <f aca="false">IF($L500="","",IF($O500="",$L500,$O500))</f>
        <v/>
      </c>
      <c r="U500" s="34" t="str">
        <f aca="false">IF($E500="","",IF(OR($M500="",$L500=""),0,IF($M500&lt;=$L500,1,0)))</f>
        <v/>
      </c>
      <c r="V500" s="34" t="str">
        <f aca="false">IF($E500="","",IF(OR($M500="",$T500=""),0,IF($M500&lt;=$T500,1,0)))</f>
        <v/>
      </c>
      <c r="W500" s="42" t="str">
        <f aca="false">IF(OR($M500="",$L500=""),"",MAX(0,$M500-$L500))</f>
        <v/>
      </c>
      <c r="X500" s="34" t="str">
        <f aca="false">IF($E500="","",IF(AND($O500&lt;&gt;"",$L500&lt;&gt;"",$O500&lt;&gt;$L500),1,0))</f>
        <v/>
      </c>
      <c r="Y500" s="34" t="str">
        <f aca="false">IF($E500="","",IF($N500="Cancelada",0,IF(OR($M500&lt;&gt;"",$N500="Concluída"),1,0)))</f>
        <v/>
      </c>
    </row>
    <row r="501" customFormat="false" ht="15" hidden="false" customHeight="true" outlineLevel="0" collapsed="false">
      <c r="A501" s="34" t="str">
        <f aca="false">IF($E501="","",COUNTA($E$5:$E501))</f>
        <v/>
      </c>
      <c r="B501" s="35"/>
      <c r="C501" s="35"/>
      <c r="D501" s="35"/>
      <c r="E501" s="35"/>
      <c r="F501" s="36"/>
      <c r="G501" s="37"/>
      <c r="H501" s="37"/>
      <c r="I501" s="37"/>
      <c r="J501" s="38"/>
      <c r="K501" s="39"/>
      <c r="L501" s="40" t="str">
        <f aca="false">IF(OR($J501="",$K501=""),"",$J501+MATCH($K501,Listas!$F$5:$F$11,0)-1)</f>
        <v/>
      </c>
      <c r="M501" s="41"/>
      <c r="N501" s="36"/>
      <c r="O501" s="41"/>
      <c r="P501" s="35"/>
      <c r="Q501" s="35"/>
      <c r="R501" s="42" t="str">
        <f aca="true">IF($E501="","",IF($N501="Cancelada","Cancelada",IF(OR($M501&lt;&gt;"",$N501="Concluída"),IF(OR($L501="",$M501="",$M501&lt;=$L501),"Concluída","Concluída com atraso"),IF($L501="","Na carteira",IF($L501&lt;TODAY(),"VENCIDA",IF($N501="Em execução","Em execução",IF($L501=TODAY(),"Hoje","Programada")))))))</f>
        <v/>
      </c>
      <c r="S501" s="34" t="str">
        <f aca="false">IF($E501="","",IF(ISNUMBER(SEARCH("(externo)",$G501&amp;$H501&amp;$I501)),"Terceirizada","Interna"))</f>
        <v/>
      </c>
      <c r="T501" s="40" t="str">
        <f aca="false">IF($L501="","",IF($O501="",$L501,$O501))</f>
        <v/>
      </c>
      <c r="U501" s="34" t="str">
        <f aca="false">IF($E501="","",IF(OR($M501="",$L501=""),0,IF($M501&lt;=$L501,1,0)))</f>
        <v/>
      </c>
      <c r="V501" s="34" t="str">
        <f aca="false">IF($E501="","",IF(OR($M501="",$T501=""),0,IF($M501&lt;=$T501,1,0)))</f>
        <v/>
      </c>
      <c r="W501" s="42" t="str">
        <f aca="false">IF(OR($M501="",$L501=""),"",MAX(0,$M501-$L501))</f>
        <v/>
      </c>
      <c r="X501" s="34" t="str">
        <f aca="false">IF($E501="","",IF(AND($O501&lt;&gt;"",$L501&lt;&gt;"",$O501&lt;&gt;$L501),1,0))</f>
        <v/>
      </c>
      <c r="Y501" s="34" t="str">
        <f aca="false">IF($E501="","",IF($N501="Cancelada",0,IF(OR($M501&lt;&gt;"",$N501="Concluída"),1,0)))</f>
        <v/>
      </c>
    </row>
    <row r="502" customFormat="false" ht="15" hidden="false" customHeight="true" outlineLevel="0" collapsed="false">
      <c r="A502" s="34" t="str">
        <f aca="false">IF($E502="","",COUNTA($E$5:$E502))</f>
        <v/>
      </c>
      <c r="B502" s="35"/>
      <c r="C502" s="35"/>
      <c r="D502" s="35"/>
      <c r="E502" s="35"/>
      <c r="F502" s="36"/>
      <c r="G502" s="37"/>
      <c r="H502" s="37"/>
      <c r="I502" s="37"/>
      <c r="J502" s="38"/>
      <c r="K502" s="39"/>
      <c r="L502" s="40" t="str">
        <f aca="false">IF(OR($J502="",$K502=""),"",$J502+MATCH($K502,Listas!$F$5:$F$11,0)-1)</f>
        <v/>
      </c>
      <c r="M502" s="41"/>
      <c r="N502" s="36"/>
      <c r="O502" s="41"/>
      <c r="P502" s="35"/>
      <c r="Q502" s="35"/>
      <c r="R502" s="42" t="str">
        <f aca="true">IF($E502="","",IF($N502="Cancelada","Cancelada",IF(OR($M502&lt;&gt;"",$N502="Concluída"),IF(OR($L502="",$M502="",$M502&lt;=$L502),"Concluída","Concluída com atraso"),IF($L502="","Na carteira",IF($L502&lt;TODAY(),"VENCIDA",IF($N502="Em execução","Em execução",IF($L502=TODAY(),"Hoje","Programada")))))))</f>
        <v/>
      </c>
      <c r="S502" s="34" t="str">
        <f aca="false">IF($E502="","",IF(ISNUMBER(SEARCH("(externo)",$G502&amp;$H502&amp;$I502)),"Terceirizada","Interna"))</f>
        <v/>
      </c>
      <c r="T502" s="40" t="str">
        <f aca="false">IF($L502="","",IF($O502="",$L502,$O502))</f>
        <v/>
      </c>
      <c r="U502" s="34" t="str">
        <f aca="false">IF($E502="","",IF(OR($M502="",$L502=""),0,IF($M502&lt;=$L502,1,0)))</f>
        <v/>
      </c>
      <c r="V502" s="34" t="str">
        <f aca="false">IF($E502="","",IF(OR($M502="",$T502=""),0,IF($M502&lt;=$T502,1,0)))</f>
        <v/>
      </c>
      <c r="W502" s="42" t="str">
        <f aca="false">IF(OR($M502="",$L502=""),"",MAX(0,$M502-$L502))</f>
        <v/>
      </c>
      <c r="X502" s="34" t="str">
        <f aca="false">IF($E502="","",IF(AND($O502&lt;&gt;"",$L502&lt;&gt;"",$O502&lt;&gt;$L502),1,0))</f>
        <v/>
      </c>
      <c r="Y502" s="34" t="str">
        <f aca="false">IF($E502="","",IF($N502="Cancelada",0,IF(OR($M502&lt;&gt;"",$N502="Concluída"),1,0)))</f>
        <v/>
      </c>
    </row>
    <row r="503" customFormat="false" ht="15" hidden="false" customHeight="true" outlineLevel="0" collapsed="false">
      <c r="A503" s="34" t="str">
        <f aca="false">IF($E503="","",COUNTA($E$5:$E503))</f>
        <v/>
      </c>
      <c r="B503" s="35"/>
      <c r="C503" s="35"/>
      <c r="D503" s="35"/>
      <c r="E503" s="35"/>
      <c r="F503" s="36"/>
      <c r="G503" s="37"/>
      <c r="H503" s="37"/>
      <c r="I503" s="37"/>
      <c r="J503" s="38"/>
      <c r="K503" s="39"/>
      <c r="L503" s="40" t="str">
        <f aca="false">IF(OR($J503="",$K503=""),"",$J503+MATCH($K503,Listas!$F$5:$F$11,0)-1)</f>
        <v/>
      </c>
      <c r="M503" s="41"/>
      <c r="N503" s="36"/>
      <c r="O503" s="41"/>
      <c r="P503" s="35"/>
      <c r="Q503" s="35"/>
      <c r="R503" s="42" t="str">
        <f aca="true">IF($E503="","",IF($N503="Cancelada","Cancelada",IF(OR($M503&lt;&gt;"",$N503="Concluída"),IF(OR($L503="",$M503="",$M503&lt;=$L503),"Concluída","Concluída com atraso"),IF($L503="","Na carteira",IF($L503&lt;TODAY(),"VENCIDA",IF($N503="Em execução","Em execução",IF($L503=TODAY(),"Hoje","Programada")))))))</f>
        <v/>
      </c>
      <c r="S503" s="34" t="str">
        <f aca="false">IF($E503="","",IF(ISNUMBER(SEARCH("(externo)",$G503&amp;$H503&amp;$I503)),"Terceirizada","Interna"))</f>
        <v/>
      </c>
      <c r="T503" s="40" t="str">
        <f aca="false">IF($L503="","",IF($O503="",$L503,$O503))</f>
        <v/>
      </c>
      <c r="U503" s="34" t="str">
        <f aca="false">IF($E503="","",IF(OR($M503="",$L503=""),0,IF($M503&lt;=$L503,1,0)))</f>
        <v/>
      </c>
      <c r="V503" s="34" t="str">
        <f aca="false">IF($E503="","",IF(OR($M503="",$T503=""),0,IF($M503&lt;=$T503,1,0)))</f>
        <v/>
      </c>
      <c r="W503" s="42" t="str">
        <f aca="false">IF(OR($M503="",$L503=""),"",MAX(0,$M503-$L503))</f>
        <v/>
      </c>
      <c r="X503" s="34" t="str">
        <f aca="false">IF($E503="","",IF(AND($O503&lt;&gt;"",$L503&lt;&gt;"",$O503&lt;&gt;$L503),1,0))</f>
        <v/>
      </c>
      <c r="Y503" s="34" t="str">
        <f aca="false">IF($E503="","",IF($N503="Cancelada",0,IF(OR($M503&lt;&gt;"",$N503="Concluída"),1,0)))</f>
        <v/>
      </c>
    </row>
    <row r="504" customFormat="false" ht="15" hidden="false" customHeight="true" outlineLevel="0" collapsed="false">
      <c r="A504" s="34" t="str">
        <f aca="false">IF($E504="","",COUNTA($E$5:$E504))</f>
        <v/>
      </c>
      <c r="B504" s="35"/>
      <c r="C504" s="35"/>
      <c r="D504" s="35"/>
      <c r="E504" s="35"/>
      <c r="F504" s="36"/>
      <c r="G504" s="37"/>
      <c r="H504" s="37"/>
      <c r="I504" s="37"/>
      <c r="J504" s="38"/>
      <c r="K504" s="39"/>
      <c r="L504" s="40" t="str">
        <f aca="false">IF(OR($J504="",$K504=""),"",$J504+MATCH($K504,Listas!$F$5:$F$11,0)-1)</f>
        <v/>
      </c>
      <c r="M504" s="41"/>
      <c r="N504" s="36"/>
      <c r="O504" s="41"/>
      <c r="P504" s="35"/>
      <c r="Q504" s="35"/>
      <c r="R504" s="42" t="str">
        <f aca="true">IF($E504="","",IF($N504="Cancelada","Cancelada",IF(OR($M504&lt;&gt;"",$N504="Concluída"),IF(OR($L504="",$M504="",$M504&lt;=$L504),"Concluída","Concluída com atraso"),IF($L504="","Na carteira",IF($L504&lt;TODAY(),"VENCIDA",IF($N504="Em execução","Em execução",IF($L504=TODAY(),"Hoje","Programada")))))))</f>
        <v/>
      </c>
      <c r="S504" s="34" t="str">
        <f aca="false">IF($E504="","",IF(ISNUMBER(SEARCH("(externo)",$G504&amp;$H504&amp;$I504)),"Terceirizada","Interna"))</f>
        <v/>
      </c>
      <c r="T504" s="40" t="str">
        <f aca="false">IF($L504="","",IF($O504="",$L504,$O504))</f>
        <v/>
      </c>
      <c r="U504" s="34" t="str">
        <f aca="false">IF($E504="","",IF(OR($M504="",$L504=""),0,IF($M504&lt;=$L504,1,0)))</f>
        <v/>
      </c>
      <c r="V504" s="34" t="str">
        <f aca="false">IF($E504="","",IF(OR($M504="",$T504=""),0,IF($M504&lt;=$T504,1,0)))</f>
        <v/>
      </c>
      <c r="W504" s="42" t="str">
        <f aca="false">IF(OR($M504="",$L504=""),"",MAX(0,$M504-$L504))</f>
        <v/>
      </c>
      <c r="X504" s="34" t="str">
        <f aca="false">IF($E504="","",IF(AND($O504&lt;&gt;"",$L504&lt;&gt;"",$O504&lt;&gt;$L504),1,0))</f>
        <v/>
      </c>
      <c r="Y504" s="34" t="str">
        <f aca="false">IF($E504="","",IF($N504="Cancelada",0,IF(OR($M504&lt;&gt;"",$N504="Concluída"),1,0)))</f>
        <v/>
      </c>
    </row>
    <row r="505" customFormat="false" ht="15" hidden="false" customHeight="true" outlineLevel="0" collapsed="false">
      <c r="A505" s="34" t="str">
        <f aca="false">IF($E505="","",COUNTA($E$5:$E505))</f>
        <v/>
      </c>
      <c r="B505" s="35"/>
      <c r="C505" s="35"/>
      <c r="D505" s="35"/>
      <c r="E505" s="35"/>
      <c r="F505" s="36"/>
      <c r="G505" s="37"/>
      <c r="H505" s="37"/>
      <c r="I505" s="37"/>
      <c r="J505" s="38"/>
      <c r="K505" s="39"/>
      <c r="L505" s="40" t="str">
        <f aca="false">IF(OR($J505="",$K505=""),"",$J505+MATCH($K505,Listas!$F$5:$F$11,0)-1)</f>
        <v/>
      </c>
      <c r="M505" s="41"/>
      <c r="N505" s="36"/>
      <c r="O505" s="41"/>
      <c r="P505" s="35"/>
      <c r="Q505" s="35"/>
      <c r="R505" s="42" t="str">
        <f aca="true">IF($E505="","",IF($N505="Cancelada","Cancelada",IF(OR($M505&lt;&gt;"",$N505="Concluída"),IF(OR($L505="",$M505="",$M505&lt;=$L505),"Concluída","Concluída com atraso"),IF($L505="","Na carteira",IF($L505&lt;TODAY(),"VENCIDA",IF($N505="Em execução","Em execução",IF($L505=TODAY(),"Hoje","Programada")))))))</f>
        <v/>
      </c>
      <c r="S505" s="34" t="str">
        <f aca="false">IF($E505="","",IF(ISNUMBER(SEARCH("(externo)",$G505&amp;$H505&amp;$I505)),"Terceirizada","Interna"))</f>
        <v/>
      </c>
      <c r="T505" s="40" t="str">
        <f aca="false">IF($L505="","",IF($O505="",$L505,$O505))</f>
        <v/>
      </c>
      <c r="U505" s="34" t="str">
        <f aca="false">IF($E505="","",IF(OR($M505="",$L505=""),0,IF($M505&lt;=$L505,1,0)))</f>
        <v/>
      </c>
      <c r="V505" s="34" t="str">
        <f aca="false">IF($E505="","",IF(OR($M505="",$T505=""),0,IF($M505&lt;=$T505,1,0)))</f>
        <v/>
      </c>
      <c r="W505" s="42" t="str">
        <f aca="false">IF(OR($M505="",$L505=""),"",MAX(0,$M505-$L505))</f>
        <v/>
      </c>
      <c r="X505" s="34" t="str">
        <f aca="false">IF($E505="","",IF(AND($O505&lt;&gt;"",$L505&lt;&gt;"",$O505&lt;&gt;$L505),1,0))</f>
        <v/>
      </c>
      <c r="Y505" s="34" t="str">
        <f aca="false">IF($E505="","",IF($N505="Cancelada",0,IF(OR($M505&lt;&gt;"",$N505="Concluída"),1,0)))</f>
        <v/>
      </c>
    </row>
    <row r="506" customFormat="false" ht="15" hidden="false" customHeight="true" outlineLevel="0" collapsed="false">
      <c r="A506" s="34" t="str">
        <f aca="false">IF($E506="","",COUNTA($E$5:$E506))</f>
        <v/>
      </c>
      <c r="B506" s="35"/>
      <c r="C506" s="35"/>
      <c r="D506" s="35"/>
      <c r="E506" s="35"/>
      <c r="F506" s="36"/>
      <c r="G506" s="37"/>
      <c r="H506" s="37"/>
      <c r="I506" s="37"/>
      <c r="J506" s="38"/>
      <c r="K506" s="39"/>
      <c r="L506" s="40" t="str">
        <f aca="false">IF(OR($J506="",$K506=""),"",$J506+MATCH($K506,Listas!$F$5:$F$11,0)-1)</f>
        <v/>
      </c>
      <c r="M506" s="41"/>
      <c r="N506" s="36"/>
      <c r="O506" s="41"/>
      <c r="P506" s="35"/>
      <c r="Q506" s="35"/>
      <c r="R506" s="42" t="str">
        <f aca="true">IF($E506="","",IF($N506="Cancelada","Cancelada",IF(OR($M506&lt;&gt;"",$N506="Concluída"),IF(OR($L506="",$M506="",$M506&lt;=$L506),"Concluída","Concluída com atraso"),IF($L506="","Na carteira",IF($L506&lt;TODAY(),"VENCIDA",IF($N506="Em execução","Em execução",IF($L506=TODAY(),"Hoje","Programada")))))))</f>
        <v/>
      </c>
      <c r="S506" s="34" t="str">
        <f aca="false">IF($E506="","",IF(ISNUMBER(SEARCH("(externo)",$G506&amp;$H506&amp;$I506)),"Terceirizada","Interna"))</f>
        <v/>
      </c>
      <c r="T506" s="40" t="str">
        <f aca="false">IF($L506="","",IF($O506="",$L506,$O506))</f>
        <v/>
      </c>
      <c r="U506" s="34" t="str">
        <f aca="false">IF($E506="","",IF(OR($M506="",$L506=""),0,IF($M506&lt;=$L506,1,0)))</f>
        <v/>
      </c>
      <c r="V506" s="34" t="str">
        <f aca="false">IF($E506="","",IF(OR($M506="",$T506=""),0,IF($M506&lt;=$T506,1,0)))</f>
        <v/>
      </c>
      <c r="W506" s="42" t="str">
        <f aca="false">IF(OR($M506="",$L506=""),"",MAX(0,$M506-$L506))</f>
        <v/>
      </c>
      <c r="X506" s="34" t="str">
        <f aca="false">IF($E506="","",IF(AND($O506&lt;&gt;"",$L506&lt;&gt;"",$O506&lt;&gt;$L506),1,0))</f>
        <v/>
      </c>
      <c r="Y506" s="34" t="str">
        <f aca="false">IF($E506="","",IF($N506="Cancelada",0,IF(OR($M506&lt;&gt;"",$N506="Concluída"),1,0)))</f>
        <v/>
      </c>
    </row>
    <row r="507" customFormat="false" ht="15" hidden="false" customHeight="true" outlineLevel="0" collapsed="false">
      <c r="A507" s="34" t="str">
        <f aca="false">IF($E507="","",COUNTA($E$5:$E507))</f>
        <v/>
      </c>
      <c r="B507" s="35"/>
      <c r="C507" s="35"/>
      <c r="D507" s="35"/>
      <c r="E507" s="35"/>
      <c r="F507" s="36"/>
      <c r="G507" s="37"/>
      <c r="H507" s="37"/>
      <c r="I507" s="37"/>
      <c r="J507" s="38"/>
      <c r="K507" s="39"/>
      <c r="L507" s="40" t="str">
        <f aca="false">IF(OR($J507="",$K507=""),"",$J507+MATCH($K507,Listas!$F$5:$F$11,0)-1)</f>
        <v/>
      </c>
      <c r="M507" s="41"/>
      <c r="N507" s="36"/>
      <c r="O507" s="41"/>
      <c r="P507" s="35"/>
      <c r="Q507" s="35"/>
      <c r="R507" s="42" t="str">
        <f aca="true">IF($E507="","",IF($N507="Cancelada","Cancelada",IF(OR($M507&lt;&gt;"",$N507="Concluída"),IF(OR($L507="",$M507="",$M507&lt;=$L507),"Concluída","Concluída com atraso"),IF($L507="","Na carteira",IF($L507&lt;TODAY(),"VENCIDA",IF($N507="Em execução","Em execução",IF($L507=TODAY(),"Hoje","Programada")))))))</f>
        <v/>
      </c>
      <c r="S507" s="34" t="str">
        <f aca="false">IF($E507="","",IF(ISNUMBER(SEARCH("(externo)",$G507&amp;$H507&amp;$I507)),"Terceirizada","Interna"))</f>
        <v/>
      </c>
      <c r="T507" s="40" t="str">
        <f aca="false">IF($L507="","",IF($O507="",$L507,$O507))</f>
        <v/>
      </c>
      <c r="U507" s="34" t="str">
        <f aca="false">IF($E507="","",IF(OR($M507="",$L507=""),0,IF($M507&lt;=$L507,1,0)))</f>
        <v/>
      </c>
      <c r="V507" s="34" t="str">
        <f aca="false">IF($E507="","",IF(OR($M507="",$T507=""),0,IF($M507&lt;=$T507,1,0)))</f>
        <v/>
      </c>
      <c r="W507" s="42" t="str">
        <f aca="false">IF(OR($M507="",$L507=""),"",MAX(0,$M507-$L507))</f>
        <v/>
      </c>
      <c r="X507" s="34" t="str">
        <f aca="false">IF($E507="","",IF(AND($O507&lt;&gt;"",$L507&lt;&gt;"",$O507&lt;&gt;$L507),1,0))</f>
        <v/>
      </c>
      <c r="Y507" s="34" t="str">
        <f aca="false">IF($E507="","",IF($N507="Cancelada",0,IF(OR($M507&lt;&gt;"",$N507="Concluída"),1,0)))</f>
        <v/>
      </c>
    </row>
    <row r="508" customFormat="false" ht="15" hidden="false" customHeight="true" outlineLevel="0" collapsed="false">
      <c r="A508" s="34" t="str">
        <f aca="false">IF($E508="","",COUNTA($E$5:$E508))</f>
        <v/>
      </c>
      <c r="B508" s="35"/>
      <c r="C508" s="35"/>
      <c r="D508" s="35"/>
      <c r="E508" s="35"/>
      <c r="F508" s="36"/>
      <c r="G508" s="37"/>
      <c r="H508" s="37"/>
      <c r="I508" s="37"/>
      <c r="J508" s="38"/>
      <c r="K508" s="39"/>
      <c r="L508" s="40" t="str">
        <f aca="false">IF(OR($J508="",$K508=""),"",$J508+MATCH($K508,Listas!$F$5:$F$11,0)-1)</f>
        <v/>
      </c>
      <c r="M508" s="41"/>
      <c r="N508" s="36"/>
      <c r="O508" s="41"/>
      <c r="P508" s="35"/>
      <c r="Q508" s="35"/>
      <c r="R508" s="42" t="str">
        <f aca="true">IF($E508="","",IF($N508="Cancelada","Cancelada",IF(OR($M508&lt;&gt;"",$N508="Concluída"),IF(OR($L508="",$M508="",$M508&lt;=$L508),"Concluída","Concluída com atraso"),IF($L508="","Na carteira",IF($L508&lt;TODAY(),"VENCIDA",IF($N508="Em execução","Em execução",IF($L508=TODAY(),"Hoje","Programada")))))))</f>
        <v/>
      </c>
      <c r="S508" s="34" t="str">
        <f aca="false">IF($E508="","",IF(ISNUMBER(SEARCH("(externo)",$G508&amp;$H508&amp;$I508)),"Terceirizada","Interna"))</f>
        <v/>
      </c>
      <c r="T508" s="40" t="str">
        <f aca="false">IF($L508="","",IF($O508="",$L508,$O508))</f>
        <v/>
      </c>
      <c r="U508" s="34" t="str">
        <f aca="false">IF($E508="","",IF(OR($M508="",$L508=""),0,IF($M508&lt;=$L508,1,0)))</f>
        <v/>
      </c>
      <c r="V508" s="34" t="str">
        <f aca="false">IF($E508="","",IF(OR($M508="",$T508=""),0,IF($M508&lt;=$T508,1,0)))</f>
        <v/>
      </c>
      <c r="W508" s="42" t="str">
        <f aca="false">IF(OR($M508="",$L508=""),"",MAX(0,$M508-$L508))</f>
        <v/>
      </c>
      <c r="X508" s="34" t="str">
        <f aca="false">IF($E508="","",IF(AND($O508&lt;&gt;"",$L508&lt;&gt;"",$O508&lt;&gt;$L508),1,0))</f>
        <v/>
      </c>
      <c r="Y508" s="34" t="str">
        <f aca="false">IF($E508="","",IF($N508="Cancelada",0,IF(OR($M508&lt;&gt;"",$N508="Concluída"),1,0)))</f>
        <v/>
      </c>
    </row>
    <row r="509" customFormat="false" ht="15" hidden="false" customHeight="true" outlineLevel="0" collapsed="false">
      <c r="A509" s="34" t="str">
        <f aca="false">IF($E509="","",COUNTA($E$5:$E509))</f>
        <v/>
      </c>
      <c r="B509" s="35"/>
      <c r="C509" s="35"/>
      <c r="D509" s="35"/>
      <c r="E509" s="35"/>
      <c r="F509" s="36"/>
      <c r="G509" s="37"/>
      <c r="H509" s="37"/>
      <c r="I509" s="37"/>
      <c r="J509" s="38"/>
      <c r="K509" s="39"/>
      <c r="L509" s="40" t="str">
        <f aca="false">IF(OR($J509="",$K509=""),"",$J509+MATCH($K509,Listas!$F$5:$F$11,0)-1)</f>
        <v/>
      </c>
      <c r="M509" s="41"/>
      <c r="N509" s="36"/>
      <c r="O509" s="41"/>
      <c r="P509" s="35"/>
      <c r="Q509" s="35"/>
      <c r="R509" s="42" t="str">
        <f aca="true">IF($E509="","",IF($N509="Cancelada","Cancelada",IF(OR($M509&lt;&gt;"",$N509="Concluída"),IF(OR($L509="",$M509="",$M509&lt;=$L509),"Concluída","Concluída com atraso"),IF($L509="","Na carteira",IF($L509&lt;TODAY(),"VENCIDA",IF($N509="Em execução","Em execução",IF($L509=TODAY(),"Hoje","Programada")))))))</f>
        <v/>
      </c>
      <c r="S509" s="34" t="str">
        <f aca="false">IF($E509="","",IF(ISNUMBER(SEARCH("(externo)",$G509&amp;$H509&amp;$I509)),"Terceirizada","Interna"))</f>
        <v/>
      </c>
      <c r="T509" s="40" t="str">
        <f aca="false">IF($L509="","",IF($O509="",$L509,$O509))</f>
        <v/>
      </c>
      <c r="U509" s="34" t="str">
        <f aca="false">IF($E509="","",IF(OR($M509="",$L509=""),0,IF($M509&lt;=$L509,1,0)))</f>
        <v/>
      </c>
      <c r="V509" s="34" t="str">
        <f aca="false">IF($E509="","",IF(OR($M509="",$T509=""),0,IF($M509&lt;=$T509,1,0)))</f>
        <v/>
      </c>
      <c r="W509" s="42" t="str">
        <f aca="false">IF(OR($M509="",$L509=""),"",MAX(0,$M509-$L509))</f>
        <v/>
      </c>
      <c r="X509" s="34" t="str">
        <f aca="false">IF($E509="","",IF(AND($O509&lt;&gt;"",$L509&lt;&gt;"",$O509&lt;&gt;$L509),1,0))</f>
        <v/>
      </c>
      <c r="Y509" s="34" t="str">
        <f aca="false">IF($E509="","",IF($N509="Cancelada",0,IF(OR($M509&lt;&gt;"",$N509="Concluída"),1,0)))</f>
        <v/>
      </c>
    </row>
    <row r="510" customFormat="false" ht="15" hidden="false" customHeight="true" outlineLevel="0" collapsed="false">
      <c r="A510" s="34" t="str">
        <f aca="false">IF($E510="","",COUNTA($E$5:$E510))</f>
        <v/>
      </c>
      <c r="B510" s="35"/>
      <c r="C510" s="35"/>
      <c r="D510" s="35"/>
      <c r="E510" s="35"/>
      <c r="F510" s="36"/>
      <c r="G510" s="37"/>
      <c r="H510" s="37"/>
      <c r="I510" s="37"/>
      <c r="J510" s="38"/>
      <c r="K510" s="39"/>
      <c r="L510" s="40" t="str">
        <f aca="false">IF(OR($J510="",$K510=""),"",$J510+MATCH($K510,Listas!$F$5:$F$11,0)-1)</f>
        <v/>
      </c>
      <c r="M510" s="41"/>
      <c r="N510" s="36"/>
      <c r="O510" s="41"/>
      <c r="P510" s="35"/>
      <c r="Q510" s="35"/>
      <c r="R510" s="42" t="str">
        <f aca="true">IF($E510="","",IF($N510="Cancelada","Cancelada",IF(OR($M510&lt;&gt;"",$N510="Concluída"),IF(OR($L510="",$M510="",$M510&lt;=$L510),"Concluída","Concluída com atraso"),IF($L510="","Na carteira",IF($L510&lt;TODAY(),"VENCIDA",IF($N510="Em execução","Em execução",IF($L510=TODAY(),"Hoje","Programada")))))))</f>
        <v/>
      </c>
      <c r="S510" s="34" t="str">
        <f aca="false">IF($E510="","",IF(ISNUMBER(SEARCH("(externo)",$G510&amp;$H510&amp;$I510)),"Terceirizada","Interna"))</f>
        <v/>
      </c>
      <c r="T510" s="40" t="str">
        <f aca="false">IF($L510="","",IF($O510="",$L510,$O510))</f>
        <v/>
      </c>
      <c r="U510" s="34" t="str">
        <f aca="false">IF($E510="","",IF(OR($M510="",$L510=""),0,IF($M510&lt;=$L510,1,0)))</f>
        <v/>
      </c>
      <c r="V510" s="34" t="str">
        <f aca="false">IF($E510="","",IF(OR($M510="",$T510=""),0,IF($M510&lt;=$T510,1,0)))</f>
        <v/>
      </c>
      <c r="W510" s="42" t="str">
        <f aca="false">IF(OR($M510="",$L510=""),"",MAX(0,$M510-$L510))</f>
        <v/>
      </c>
      <c r="X510" s="34" t="str">
        <f aca="false">IF($E510="","",IF(AND($O510&lt;&gt;"",$L510&lt;&gt;"",$O510&lt;&gt;$L510),1,0))</f>
        <v/>
      </c>
      <c r="Y510" s="34" t="str">
        <f aca="false">IF($E510="","",IF($N510="Cancelada",0,IF(OR($M510&lt;&gt;"",$N510="Concluída"),1,0)))</f>
        <v/>
      </c>
    </row>
    <row r="511" customFormat="false" ht="15" hidden="false" customHeight="true" outlineLevel="0" collapsed="false">
      <c r="A511" s="34" t="str">
        <f aca="false">IF($E511="","",COUNTA($E$5:$E511))</f>
        <v/>
      </c>
      <c r="B511" s="35"/>
      <c r="C511" s="35"/>
      <c r="D511" s="35"/>
      <c r="E511" s="35"/>
      <c r="F511" s="36"/>
      <c r="G511" s="37"/>
      <c r="H511" s="37"/>
      <c r="I511" s="37"/>
      <c r="J511" s="38"/>
      <c r="K511" s="39"/>
      <c r="L511" s="40" t="str">
        <f aca="false">IF(OR($J511="",$K511=""),"",$J511+MATCH($K511,Listas!$F$5:$F$11,0)-1)</f>
        <v/>
      </c>
      <c r="M511" s="41"/>
      <c r="N511" s="36"/>
      <c r="O511" s="41"/>
      <c r="P511" s="35"/>
      <c r="Q511" s="35"/>
      <c r="R511" s="42" t="str">
        <f aca="true">IF($E511="","",IF($N511="Cancelada","Cancelada",IF(OR($M511&lt;&gt;"",$N511="Concluída"),IF(OR($L511="",$M511="",$M511&lt;=$L511),"Concluída","Concluída com atraso"),IF($L511="","Na carteira",IF($L511&lt;TODAY(),"VENCIDA",IF($N511="Em execução","Em execução",IF($L511=TODAY(),"Hoje","Programada")))))))</f>
        <v/>
      </c>
      <c r="S511" s="34" t="str">
        <f aca="false">IF($E511="","",IF(ISNUMBER(SEARCH("(externo)",$G511&amp;$H511&amp;$I511)),"Terceirizada","Interna"))</f>
        <v/>
      </c>
      <c r="T511" s="40" t="str">
        <f aca="false">IF($L511="","",IF($O511="",$L511,$O511))</f>
        <v/>
      </c>
      <c r="U511" s="34" t="str">
        <f aca="false">IF($E511="","",IF(OR($M511="",$L511=""),0,IF($M511&lt;=$L511,1,0)))</f>
        <v/>
      </c>
      <c r="V511" s="34" t="str">
        <f aca="false">IF($E511="","",IF(OR($M511="",$T511=""),0,IF($M511&lt;=$T511,1,0)))</f>
        <v/>
      </c>
      <c r="W511" s="42" t="str">
        <f aca="false">IF(OR($M511="",$L511=""),"",MAX(0,$M511-$L511))</f>
        <v/>
      </c>
      <c r="X511" s="34" t="str">
        <f aca="false">IF($E511="","",IF(AND($O511&lt;&gt;"",$L511&lt;&gt;"",$O511&lt;&gt;$L511),1,0))</f>
        <v/>
      </c>
      <c r="Y511" s="34" t="str">
        <f aca="false">IF($E511="","",IF($N511="Cancelada",0,IF(OR($M511&lt;&gt;"",$N511="Concluída"),1,0)))</f>
        <v/>
      </c>
    </row>
    <row r="512" customFormat="false" ht="15" hidden="false" customHeight="true" outlineLevel="0" collapsed="false">
      <c r="A512" s="34" t="str">
        <f aca="false">IF($E512="","",COUNTA($E$5:$E512))</f>
        <v/>
      </c>
      <c r="B512" s="35"/>
      <c r="C512" s="35"/>
      <c r="D512" s="35"/>
      <c r="E512" s="35"/>
      <c r="F512" s="36"/>
      <c r="G512" s="37"/>
      <c r="H512" s="37"/>
      <c r="I512" s="37"/>
      <c r="J512" s="38"/>
      <c r="K512" s="39"/>
      <c r="L512" s="40" t="str">
        <f aca="false">IF(OR($J512="",$K512=""),"",$J512+MATCH($K512,Listas!$F$5:$F$11,0)-1)</f>
        <v/>
      </c>
      <c r="M512" s="41"/>
      <c r="N512" s="36"/>
      <c r="O512" s="41"/>
      <c r="P512" s="35"/>
      <c r="Q512" s="35"/>
      <c r="R512" s="42" t="str">
        <f aca="true">IF($E512="","",IF($N512="Cancelada","Cancelada",IF(OR($M512&lt;&gt;"",$N512="Concluída"),IF(OR($L512="",$M512="",$M512&lt;=$L512),"Concluída","Concluída com atraso"),IF($L512="","Na carteira",IF($L512&lt;TODAY(),"VENCIDA",IF($N512="Em execução","Em execução",IF($L512=TODAY(),"Hoje","Programada")))))))</f>
        <v/>
      </c>
      <c r="S512" s="34" t="str">
        <f aca="false">IF($E512="","",IF(ISNUMBER(SEARCH("(externo)",$G512&amp;$H512&amp;$I512)),"Terceirizada","Interna"))</f>
        <v/>
      </c>
      <c r="T512" s="40" t="str">
        <f aca="false">IF($L512="","",IF($O512="",$L512,$O512))</f>
        <v/>
      </c>
      <c r="U512" s="34" t="str">
        <f aca="false">IF($E512="","",IF(OR($M512="",$L512=""),0,IF($M512&lt;=$L512,1,0)))</f>
        <v/>
      </c>
      <c r="V512" s="34" t="str">
        <f aca="false">IF($E512="","",IF(OR($M512="",$T512=""),0,IF($M512&lt;=$T512,1,0)))</f>
        <v/>
      </c>
      <c r="W512" s="42" t="str">
        <f aca="false">IF(OR($M512="",$L512=""),"",MAX(0,$M512-$L512))</f>
        <v/>
      </c>
      <c r="X512" s="34" t="str">
        <f aca="false">IF($E512="","",IF(AND($O512&lt;&gt;"",$L512&lt;&gt;"",$O512&lt;&gt;$L512),1,0))</f>
        <v/>
      </c>
      <c r="Y512" s="34" t="str">
        <f aca="false">IF($E512="","",IF($N512="Cancelada",0,IF(OR($M512&lt;&gt;"",$N512="Concluída"),1,0)))</f>
        <v/>
      </c>
    </row>
    <row r="513" customFormat="false" ht="15" hidden="false" customHeight="true" outlineLevel="0" collapsed="false">
      <c r="A513" s="34" t="str">
        <f aca="false">IF($E513="","",COUNTA($E$5:$E513))</f>
        <v/>
      </c>
      <c r="B513" s="35"/>
      <c r="C513" s="35"/>
      <c r="D513" s="35"/>
      <c r="E513" s="35"/>
      <c r="F513" s="36"/>
      <c r="G513" s="37"/>
      <c r="H513" s="37"/>
      <c r="I513" s="37"/>
      <c r="J513" s="38"/>
      <c r="K513" s="39"/>
      <c r="L513" s="40" t="str">
        <f aca="false">IF(OR($J513="",$K513=""),"",$J513+MATCH($K513,Listas!$F$5:$F$11,0)-1)</f>
        <v/>
      </c>
      <c r="M513" s="41"/>
      <c r="N513" s="36"/>
      <c r="O513" s="41"/>
      <c r="P513" s="35"/>
      <c r="Q513" s="35"/>
      <c r="R513" s="42" t="str">
        <f aca="true">IF($E513="","",IF($N513="Cancelada","Cancelada",IF(OR($M513&lt;&gt;"",$N513="Concluída"),IF(OR($L513="",$M513="",$M513&lt;=$L513),"Concluída","Concluída com atraso"),IF($L513="","Na carteira",IF($L513&lt;TODAY(),"VENCIDA",IF($N513="Em execução","Em execução",IF($L513=TODAY(),"Hoje","Programada")))))))</f>
        <v/>
      </c>
      <c r="S513" s="34" t="str">
        <f aca="false">IF($E513="","",IF(ISNUMBER(SEARCH("(externo)",$G513&amp;$H513&amp;$I513)),"Terceirizada","Interna"))</f>
        <v/>
      </c>
      <c r="T513" s="40" t="str">
        <f aca="false">IF($L513="","",IF($O513="",$L513,$O513))</f>
        <v/>
      </c>
      <c r="U513" s="34" t="str">
        <f aca="false">IF($E513="","",IF(OR($M513="",$L513=""),0,IF($M513&lt;=$L513,1,0)))</f>
        <v/>
      </c>
      <c r="V513" s="34" t="str">
        <f aca="false">IF($E513="","",IF(OR($M513="",$T513=""),0,IF($M513&lt;=$T513,1,0)))</f>
        <v/>
      </c>
      <c r="W513" s="42" t="str">
        <f aca="false">IF(OR($M513="",$L513=""),"",MAX(0,$M513-$L513))</f>
        <v/>
      </c>
      <c r="X513" s="34" t="str">
        <f aca="false">IF($E513="","",IF(AND($O513&lt;&gt;"",$L513&lt;&gt;"",$O513&lt;&gt;$L513),1,0))</f>
        <v/>
      </c>
      <c r="Y513" s="34" t="str">
        <f aca="false">IF($E513="","",IF($N513="Cancelada",0,IF(OR($M513&lt;&gt;"",$N513="Concluída"),1,0)))</f>
        <v/>
      </c>
    </row>
    <row r="514" customFormat="false" ht="15" hidden="false" customHeight="true" outlineLevel="0" collapsed="false">
      <c r="A514" s="34" t="str">
        <f aca="false">IF($E514="","",COUNTA($E$5:$E514))</f>
        <v/>
      </c>
      <c r="B514" s="35"/>
      <c r="C514" s="35"/>
      <c r="D514" s="35"/>
      <c r="E514" s="35"/>
      <c r="F514" s="36"/>
      <c r="G514" s="37"/>
      <c r="H514" s="37"/>
      <c r="I514" s="37"/>
      <c r="J514" s="38"/>
      <c r="K514" s="39"/>
      <c r="L514" s="40" t="str">
        <f aca="false">IF(OR($J514="",$K514=""),"",$J514+MATCH($K514,Listas!$F$5:$F$11,0)-1)</f>
        <v/>
      </c>
      <c r="M514" s="41"/>
      <c r="N514" s="36"/>
      <c r="O514" s="41"/>
      <c r="P514" s="35"/>
      <c r="Q514" s="35"/>
      <c r="R514" s="42" t="str">
        <f aca="true">IF($E514="","",IF($N514="Cancelada","Cancelada",IF(OR($M514&lt;&gt;"",$N514="Concluída"),IF(OR($L514="",$M514="",$M514&lt;=$L514),"Concluída","Concluída com atraso"),IF($L514="","Na carteira",IF($L514&lt;TODAY(),"VENCIDA",IF($N514="Em execução","Em execução",IF($L514=TODAY(),"Hoje","Programada")))))))</f>
        <v/>
      </c>
      <c r="S514" s="34" t="str">
        <f aca="false">IF($E514="","",IF(ISNUMBER(SEARCH("(externo)",$G514&amp;$H514&amp;$I514)),"Terceirizada","Interna"))</f>
        <v/>
      </c>
      <c r="T514" s="40" t="str">
        <f aca="false">IF($L514="","",IF($O514="",$L514,$O514))</f>
        <v/>
      </c>
      <c r="U514" s="34" t="str">
        <f aca="false">IF($E514="","",IF(OR($M514="",$L514=""),0,IF($M514&lt;=$L514,1,0)))</f>
        <v/>
      </c>
      <c r="V514" s="34" t="str">
        <f aca="false">IF($E514="","",IF(OR($M514="",$T514=""),0,IF($M514&lt;=$T514,1,0)))</f>
        <v/>
      </c>
      <c r="W514" s="42" t="str">
        <f aca="false">IF(OR($M514="",$L514=""),"",MAX(0,$M514-$L514))</f>
        <v/>
      </c>
      <c r="X514" s="34" t="str">
        <f aca="false">IF($E514="","",IF(AND($O514&lt;&gt;"",$L514&lt;&gt;"",$O514&lt;&gt;$L514),1,0))</f>
        <v/>
      </c>
      <c r="Y514" s="34" t="str">
        <f aca="false">IF($E514="","",IF($N514="Cancelada",0,IF(OR($M514&lt;&gt;"",$N514="Concluída"),1,0)))</f>
        <v/>
      </c>
    </row>
    <row r="515" customFormat="false" ht="15" hidden="false" customHeight="true" outlineLevel="0" collapsed="false">
      <c r="A515" s="34" t="str">
        <f aca="false">IF($E515="","",COUNTA($E$5:$E515))</f>
        <v/>
      </c>
      <c r="B515" s="35"/>
      <c r="C515" s="35"/>
      <c r="D515" s="35"/>
      <c r="E515" s="35"/>
      <c r="F515" s="36"/>
      <c r="G515" s="37"/>
      <c r="H515" s="37"/>
      <c r="I515" s="37"/>
      <c r="J515" s="38"/>
      <c r="K515" s="39"/>
      <c r="L515" s="40" t="str">
        <f aca="false">IF(OR($J515="",$K515=""),"",$J515+MATCH($K515,Listas!$F$5:$F$11,0)-1)</f>
        <v/>
      </c>
      <c r="M515" s="41"/>
      <c r="N515" s="36"/>
      <c r="O515" s="41"/>
      <c r="P515" s="35"/>
      <c r="Q515" s="35"/>
      <c r="R515" s="42" t="str">
        <f aca="true">IF($E515="","",IF($N515="Cancelada","Cancelada",IF(OR($M515&lt;&gt;"",$N515="Concluída"),IF(OR($L515="",$M515="",$M515&lt;=$L515),"Concluída","Concluída com atraso"),IF($L515="","Na carteira",IF($L515&lt;TODAY(),"VENCIDA",IF($N515="Em execução","Em execução",IF($L515=TODAY(),"Hoje","Programada")))))))</f>
        <v/>
      </c>
      <c r="S515" s="34" t="str">
        <f aca="false">IF($E515="","",IF(ISNUMBER(SEARCH("(externo)",$G515&amp;$H515&amp;$I515)),"Terceirizada","Interna"))</f>
        <v/>
      </c>
      <c r="T515" s="40" t="str">
        <f aca="false">IF($L515="","",IF($O515="",$L515,$O515))</f>
        <v/>
      </c>
      <c r="U515" s="34" t="str">
        <f aca="false">IF($E515="","",IF(OR($M515="",$L515=""),0,IF($M515&lt;=$L515,1,0)))</f>
        <v/>
      </c>
      <c r="V515" s="34" t="str">
        <f aca="false">IF($E515="","",IF(OR($M515="",$T515=""),0,IF($M515&lt;=$T515,1,0)))</f>
        <v/>
      </c>
      <c r="W515" s="42" t="str">
        <f aca="false">IF(OR($M515="",$L515=""),"",MAX(0,$M515-$L515))</f>
        <v/>
      </c>
      <c r="X515" s="34" t="str">
        <f aca="false">IF($E515="","",IF(AND($O515&lt;&gt;"",$L515&lt;&gt;"",$O515&lt;&gt;$L515),1,0))</f>
        <v/>
      </c>
      <c r="Y515" s="34" t="str">
        <f aca="false">IF($E515="","",IF($N515="Cancelada",0,IF(OR($M515&lt;&gt;"",$N515="Concluída"),1,0)))</f>
        <v/>
      </c>
    </row>
    <row r="516" customFormat="false" ht="15" hidden="false" customHeight="true" outlineLevel="0" collapsed="false">
      <c r="A516" s="34" t="str">
        <f aca="false">IF($E516="","",COUNTA($E$5:$E516))</f>
        <v/>
      </c>
      <c r="B516" s="35"/>
      <c r="C516" s="35"/>
      <c r="D516" s="35"/>
      <c r="E516" s="35"/>
      <c r="F516" s="36"/>
      <c r="G516" s="37"/>
      <c r="H516" s="37"/>
      <c r="I516" s="37"/>
      <c r="J516" s="38"/>
      <c r="K516" s="39"/>
      <c r="L516" s="40" t="str">
        <f aca="false">IF(OR($J516="",$K516=""),"",$J516+MATCH($K516,Listas!$F$5:$F$11,0)-1)</f>
        <v/>
      </c>
      <c r="M516" s="41"/>
      <c r="N516" s="36"/>
      <c r="O516" s="41"/>
      <c r="P516" s="35"/>
      <c r="Q516" s="35"/>
      <c r="R516" s="42" t="str">
        <f aca="true">IF($E516="","",IF($N516="Cancelada","Cancelada",IF(OR($M516&lt;&gt;"",$N516="Concluída"),IF(OR($L516="",$M516="",$M516&lt;=$L516),"Concluída","Concluída com atraso"),IF($L516="","Na carteira",IF($L516&lt;TODAY(),"VENCIDA",IF($N516="Em execução","Em execução",IF($L516=TODAY(),"Hoje","Programada")))))))</f>
        <v/>
      </c>
      <c r="S516" s="34" t="str">
        <f aca="false">IF($E516="","",IF(ISNUMBER(SEARCH("(externo)",$G516&amp;$H516&amp;$I516)),"Terceirizada","Interna"))</f>
        <v/>
      </c>
      <c r="T516" s="40" t="str">
        <f aca="false">IF($L516="","",IF($O516="",$L516,$O516))</f>
        <v/>
      </c>
      <c r="U516" s="34" t="str">
        <f aca="false">IF($E516="","",IF(OR($M516="",$L516=""),0,IF($M516&lt;=$L516,1,0)))</f>
        <v/>
      </c>
      <c r="V516" s="34" t="str">
        <f aca="false">IF($E516="","",IF(OR($M516="",$T516=""),0,IF($M516&lt;=$T516,1,0)))</f>
        <v/>
      </c>
      <c r="W516" s="42" t="str">
        <f aca="false">IF(OR($M516="",$L516=""),"",MAX(0,$M516-$L516))</f>
        <v/>
      </c>
      <c r="X516" s="34" t="str">
        <f aca="false">IF($E516="","",IF(AND($O516&lt;&gt;"",$L516&lt;&gt;"",$O516&lt;&gt;$L516),1,0))</f>
        <v/>
      </c>
      <c r="Y516" s="34" t="str">
        <f aca="false">IF($E516="","",IF($N516="Cancelada",0,IF(OR($M516&lt;&gt;"",$N516="Concluída"),1,0)))</f>
        <v/>
      </c>
    </row>
    <row r="517" customFormat="false" ht="15" hidden="false" customHeight="true" outlineLevel="0" collapsed="false">
      <c r="A517" s="34" t="str">
        <f aca="false">IF($E517="","",COUNTA($E$5:$E517))</f>
        <v/>
      </c>
      <c r="B517" s="35"/>
      <c r="C517" s="35"/>
      <c r="D517" s="35"/>
      <c r="E517" s="35"/>
      <c r="F517" s="36"/>
      <c r="G517" s="37"/>
      <c r="H517" s="37"/>
      <c r="I517" s="37"/>
      <c r="J517" s="38"/>
      <c r="K517" s="39"/>
      <c r="L517" s="40" t="str">
        <f aca="false">IF(OR($J517="",$K517=""),"",$J517+MATCH($K517,Listas!$F$5:$F$11,0)-1)</f>
        <v/>
      </c>
      <c r="M517" s="41"/>
      <c r="N517" s="36"/>
      <c r="O517" s="41"/>
      <c r="P517" s="35"/>
      <c r="Q517" s="35"/>
      <c r="R517" s="42" t="str">
        <f aca="true">IF($E517="","",IF($N517="Cancelada","Cancelada",IF(OR($M517&lt;&gt;"",$N517="Concluída"),IF(OR($L517="",$M517="",$M517&lt;=$L517),"Concluída","Concluída com atraso"),IF($L517="","Na carteira",IF($L517&lt;TODAY(),"VENCIDA",IF($N517="Em execução","Em execução",IF($L517=TODAY(),"Hoje","Programada")))))))</f>
        <v/>
      </c>
      <c r="S517" s="34" t="str">
        <f aca="false">IF($E517="","",IF(ISNUMBER(SEARCH("(externo)",$G517&amp;$H517&amp;$I517)),"Terceirizada","Interna"))</f>
        <v/>
      </c>
      <c r="T517" s="40" t="str">
        <f aca="false">IF($L517="","",IF($O517="",$L517,$O517))</f>
        <v/>
      </c>
      <c r="U517" s="34" t="str">
        <f aca="false">IF($E517="","",IF(OR($M517="",$L517=""),0,IF($M517&lt;=$L517,1,0)))</f>
        <v/>
      </c>
      <c r="V517" s="34" t="str">
        <f aca="false">IF($E517="","",IF(OR($M517="",$T517=""),0,IF($M517&lt;=$T517,1,0)))</f>
        <v/>
      </c>
      <c r="W517" s="42" t="str">
        <f aca="false">IF(OR($M517="",$L517=""),"",MAX(0,$M517-$L517))</f>
        <v/>
      </c>
      <c r="X517" s="34" t="str">
        <f aca="false">IF($E517="","",IF(AND($O517&lt;&gt;"",$L517&lt;&gt;"",$O517&lt;&gt;$L517),1,0))</f>
        <v/>
      </c>
      <c r="Y517" s="34" t="str">
        <f aca="false">IF($E517="","",IF($N517="Cancelada",0,IF(OR($M517&lt;&gt;"",$N517="Concluída"),1,0)))</f>
        <v/>
      </c>
    </row>
    <row r="518" customFormat="false" ht="15" hidden="false" customHeight="true" outlineLevel="0" collapsed="false">
      <c r="A518" s="34" t="str">
        <f aca="false">IF($E518="","",COUNTA($E$5:$E518))</f>
        <v/>
      </c>
      <c r="B518" s="35"/>
      <c r="C518" s="35"/>
      <c r="D518" s="35"/>
      <c r="E518" s="35"/>
      <c r="F518" s="36"/>
      <c r="G518" s="37"/>
      <c r="H518" s="37"/>
      <c r="I518" s="37"/>
      <c r="J518" s="38"/>
      <c r="K518" s="39"/>
      <c r="L518" s="40" t="str">
        <f aca="false">IF(OR($J518="",$K518=""),"",$J518+MATCH($K518,Listas!$F$5:$F$11,0)-1)</f>
        <v/>
      </c>
      <c r="M518" s="41"/>
      <c r="N518" s="36"/>
      <c r="O518" s="41"/>
      <c r="P518" s="35"/>
      <c r="Q518" s="35"/>
      <c r="R518" s="42" t="str">
        <f aca="true">IF($E518="","",IF($N518="Cancelada","Cancelada",IF(OR($M518&lt;&gt;"",$N518="Concluída"),IF(OR($L518="",$M518="",$M518&lt;=$L518),"Concluída","Concluída com atraso"),IF($L518="","Na carteira",IF($L518&lt;TODAY(),"VENCIDA",IF($N518="Em execução","Em execução",IF($L518=TODAY(),"Hoje","Programada")))))))</f>
        <v/>
      </c>
      <c r="S518" s="34" t="str">
        <f aca="false">IF($E518="","",IF(ISNUMBER(SEARCH("(externo)",$G518&amp;$H518&amp;$I518)),"Terceirizada","Interna"))</f>
        <v/>
      </c>
      <c r="T518" s="40" t="str">
        <f aca="false">IF($L518="","",IF($O518="",$L518,$O518))</f>
        <v/>
      </c>
      <c r="U518" s="34" t="str">
        <f aca="false">IF($E518="","",IF(OR($M518="",$L518=""),0,IF($M518&lt;=$L518,1,0)))</f>
        <v/>
      </c>
      <c r="V518" s="34" t="str">
        <f aca="false">IF($E518="","",IF(OR($M518="",$T518=""),0,IF($M518&lt;=$T518,1,0)))</f>
        <v/>
      </c>
      <c r="W518" s="42" t="str">
        <f aca="false">IF(OR($M518="",$L518=""),"",MAX(0,$M518-$L518))</f>
        <v/>
      </c>
      <c r="X518" s="34" t="str">
        <f aca="false">IF($E518="","",IF(AND($O518&lt;&gt;"",$L518&lt;&gt;"",$O518&lt;&gt;$L518),1,0))</f>
        <v/>
      </c>
      <c r="Y518" s="34" t="str">
        <f aca="false">IF($E518="","",IF($N518="Cancelada",0,IF(OR($M518&lt;&gt;"",$N518="Concluída"),1,0)))</f>
        <v/>
      </c>
    </row>
    <row r="519" customFormat="false" ht="15" hidden="false" customHeight="true" outlineLevel="0" collapsed="false">
      <c r="A519" s="34" t="str">
        <f aca="false">IF($E519="","",COUNTA($E$5:$E519))</f>
        <v/>
      </c>
      <c r="B519" s="35"/>
      <c r="C519" s="35"/>
      <c r="D519" s="35"/>
      <c r="E519" s="35"/>
      <c r="F519" s="36"/>
      <c r="G519" s="37"/>
      <c r="H519" s="37"/>
      <c r="I519" s="37"/>
      <c r="J519" s="38"/>
      <c r="K519" s="39"/>
      <c r="L519" s="40" t="str">
        <f aca="false">IF(OR($J519="",$K519=""),"",$J519+MATCH($K519,Listas!$F$5:$F$11,0)-1)</f>
        <v/>
      </c>
      <c r="M519" s="41"/>
      <c r="N519" s="36"/>
      <c r="O519" s="41"/>
      <c r="P519" s="35"/>
      <c r="Q519" s="35"/>
      <c r="R519" s="42" t="str">
        <f aca="true">IF($E519="","",IF($N519="Cancelada","Cancelada",IF(OR($M519&lt;&gt;"",$N519="Concluída"),IF(OR($L519="",$M519="",$M519&lt;=$L519),"Concluída","Concluída com atraso"),IF($L519="","Na carteira",IF($L519&lt;TODAY(),"VENCIDA",IF($N519="Em execução","Em execução",IF($L519=TODAY(),"Hoje","Programada")))))))</f>
        <v/>
      </c>
      <c r="S519" s="34" t="str">
        <f aca="false">IF($E519="","",IF(ISNUMBER(SEARCH("(externo)",$G519&amp;$H519&amp;$I519)),"Terceirizada","Interna"))</f>
        <v/>
      </c>
      <c r="T519" s="40" t="str">
        <f aca="false">IF($L519="","",IF($O519="",$L519,$O519))</f>
        <v/>
      </c>
      <c r="U519" s="34" t="str">
        <f aca="false">IF($E519="","",IF(OR($M519="",$L519=""),0,IF($M519&lt;=$L519,1,0)))</f>
        <v/>
      </c>
      <c r="V519" s="34" t="str">
        <f aca="false">IF($E519="","",IF(OR($M519="",$T519=""),0,IF($M519&lt;=$T519,1,0)))</f>
        <v/>
      </c>
      <c r="W519" s="42" t="str">
        <f aca="false">IF(OR($M519="",$L519=""),"",MAX(0,$M519-$L519))</f>
        <v/>
      </c>
      <c r="X519" s="34" t="str">
        <f aca="false">IF($E519="","",IF(AND($O519&lt;&gt;"",$L519&lt;&gt;"",$O519&lt;&gt;$L519),1,0))</f>
        <v/>
      </c>
      <c r="Y519" s="34" t="str">
        <f aca="false">IF($E519="","",IF($N519="Cancelada",0,IF(OR($M519&lt;&gt;"",$N519="Concluída"),1,0)))</f>
        <v/>
      </c>
    </row>
    <row r="520" customFormat="false" ht="15" hidden="false" customHeight="true" outlineLevel="0" collapsed="false">
      <c r="A520" s="34" t="str">
        <f aca="false">IF($E520="","",COUNTA($E$5:$E520))</f>
        <v/>
      </c>
      <c r="B520" s="35"/>
      <c r="C520" s="35"/>
      <c r="D520" s="35"/>
      <c r="E520" s="35"/>
      <c r="F520" s="36"/>
      <c r="G520" s="37"/>
      <c r="H520" s="37"/>
      <c r="I520" s="37"/>
      <c r="J520" s="38"/>
      <c r="K520" s="39"/>
      <c r="L520" s="40" t="str">
        <f aca="false">IF(OR($J520="",$K520=""),"",$J520+MATCH($K520,Listas!$F$5:$F$11,0)-1)</f>
        <v/>
      </c>
      <c r="M520" s="41"/>
      <c r="N520" s="36"/>
      <c r="O520" s="41"/>
      <c r="P520" s="35"/>
      <c r="Q520" s="35"/>
      <c r="R520" s="42" t="str">
        <f aca="true">IF($E520="","",IF($N520="Cancelada","Cancelada",IF(OR($M520&lt;&gt;"",$N520="Concluída"),IF(OR($L520="",$M520="",$M520&lt;=$L520),"Concluída","Concluída com atraso"),IF($L520="","Na carteira",IF($L520&lt;TODAY(),"VENCIDA",IF($N520="Em execução","Em execução",IF($L520=TODAY(),"Hoje","Programada")))))))</f>
        <v/>
      </c>
      <c r="S520" s="34" t="str">
        <f aca="false">IF($E520="","",IF(ISNUMBER(SEARCH("(externo)",$G520&amp;$H520&amp;$I520)),"Terceirizada","Interna"))</f>
        <v/>
      </c>
      <c r="T520" s="40" t="str">
        <f aca="false">IF($L520="","",IF($O520="",$L520,$O520))</f>
        <v/>
      </c>
      <c r="U520" s="34" t="str">
        <f aca="false">IF($E520="","",IF(OR($M520="",$L520=""),0,IF($M520&lt;=$L520,1,0)))</f>
        <v/>
      </c>
      <c r="V520" s="34" t="str">
        <f aca="false">IF($E520="","",IF(OR($M520="",$T520=""),0,IF($M520&lt;=$T520,1,0)))</f>
        <v/>
      </c>
      <c r="W520" s="42" t="str">
        <f aca="false">IF(OR($M520="",$L520=""),"",MAX(0,$M520-$L520))</f>
        <v/>
      </c>
      <c r="X520" s="34" t="str">
        <f aca="false">IF($E520="","",IF(AND($O520&lt;&gt;"",$L520&lt;&gt;"",$O520&lt;&gt;$L520),1,0))</f>
        <v/>
      </c>
      <c r="Y520" s="34" t="str">
        <f aca="false">IF($E520="","",IF($N520="Cancelada",0,IF(OR($M520&lt;&gt;"",$N520="Concluída"),1,0)))</f>
        <v/>
      </c>
    </row>
    <row r="521" customFormat="false" ht="15" hidden="false" customHeight="true" outlineLevel="0" collapsed="false">
      <c r="A521" s="34" t="str">
        <f aca="false">IF($E521="","",COUNTA($E$5:$E521))</f>
        <v/>
      </c>
      <c r="B521" s="35"/>
      <c r="C521" s="35"/>
      <c r="D521" s="35"/>
      <c r="E521" s="35"/>
      <c r="F521" s="36"/>
      <c r="G521" s="37"/>
      <c r="H521" s="37"/>
      <c r="I521" s="37"/>
      <c r="J521" s="38"/>
      <c r="K521" s="39"/>
      <c r="L521" s="40" t="str">
        <f aca="false">IF(OR($J521="",$K521=""),"",$J521+MATCH($K521,Listas!$F$5:$F$11,0)-1)</f>
        <v/>
      </c>
      <c r="M521" s="41"/>
      <c r="N521" s="36"/>
      <c r="O521" s="41"/>
      <c r="P521" s="35"/>
      <c r="Q521" s="35"/>
      <c r="R521" s="42" t="str">
        <f aca="true">IF($E521="","",IF($N521="Cancelada","Cancelada",IF(OR($M521&lt;&gt;"",$N521="Concluída"),IF(OR($L521="",$M521="",$M521&lt;=$L521),"Concluída","Concluída com atraso"),IF($L521="","Na carteira",IF($L521&lt;TODAY(),"VENCIDA",IF($N521="Em execução","Em execução",IF($L521=TODAY(),"Hoje","Programada")))))))</f>
        <v/>
      </c>
      <c r="S521" s="34" t="str">
        <f aca="false">IF($E521="","",IF(ISNUMBER(SEARCH("(externo)",$G521&amp;$H521&amp;$I521)),"Terceirizada","Interna"))</f>
        <v/>
      </c>
      <c r="T521" s="40" t="str">
        <f aca="false">IF($L521="","",IF($O521="",$L521,$O521))</f>
        <v/>
      </c>
      <c r="U521" s="34" t="str">
        <f aca="false">IF($E521="","",IF(OR($M521="",$L521=""),0,IF($M521&lt;=$L521,1,0)))</f>
        <v/>
      </c>
      <c r="V521" s="34" t="str">
        <f aca="false">IF($E521="","",IF(OR($M521="",$T521=""),0,IF($M521&lt;=$T521,1,0)))</f>
        <v/>
      </c>
      <c r="W521" s="42" t="str">
        <f aca="false">IF(OR($M521="",$L521=""),"",MAX(0,$M521-$L521))</f>
        <v/>
      </c>
      <c r="X521" s="34" t="str">
        <f aca="false">IF($E521="","",IF(AND($O521&lt;&gt;"",$L521&lt;&gt;"",$O521&lt;&gt;$L521),1,0))</f>
        <v/>
      </c>
      <c r="Y521" s="34" t="str">
        <f aca="false">IF($E521="","",IF($N521="Cancelada",0,IF(OR($M521&lt;&gt;"",$N521="Concluída"),1,0)))</f>
        <v/>
      </c>
    </row>
    <row r="522" customFormat="false" ht="15" hidden="false" customHeight="true" outlineLevel="0" collapsed="false">
      <c r="A522" s="34" t="str">
        <f aca="false">IF($E522="","",COUNTA($E$5:$E522))</f>
        <v/>
      </c>
      <c r="B522" s="35"/>
      <c r="C522" s="35"/>
      <c r="D522" s="35"/>
      <c r="E522" s="35"/>
      <c r="F522" s="36"/>
      <c r="G522" s="37"/>
      <c r="H522" s="37"/>
      <c r="I522" s="37"/>
      <c r="J522" s="38"/>
      <c r="K522" s="39"/>
      <c r="L522" s="40" t="str">
        <f aca="false">IF(OR($J522="",$K522=""),"",$J522+MATCH($K522,Listas!$F$5:$F$11,0)-1)</f>
        <v/>
      </c>
      <c r="M522" s="41"/>
      <c r="N522" s="36"/>
      <c r="O522" s="41"/>
      <c r="P522" s="35"/>
      <c r="Q522" s="35"/>
      <c r="R522" s="42" t="str">
        <f aca="true">IF($E522="","",IF($N522="Cancelada","Cancelada",IF(OR($M522&lt;&gt;"",$N522="Concluída"),IF(OR($L522="",$M522="",$M522&lt;=$L522),"Concluída","Concluída com atraso"),IF($L522="","Na carteira",IF($L522&lt;TODAY(),"VENCIDA",IF($N522="Em execução","Em execução",IF($L522=TODAY(),"Hoje","Programada")))))))</f>
        <v/>
      </c>
      <c r="S522" s="34" t="str">
        <f aca="false">IF($E522="","",IF(ISNUMBER(SEARCH("(externo)",$G522&amp;$H522&amp;$I522)),"Terceirizada","Interna"))</f>
        <v/>
      </c>
      <c r="T522" s="40" t="str">
        <f aca="false">IF($L522="","",IF($O522="",$L522,$O522))</f>
        <v/>
      </c>
      <c r="U522" s="34" t="str">
        <f aca="false">IF($E522="","",IF(OR($M522="",$L522=""),0,IF($M522&lt;=$L522,1,0)))</f>
        <v/>
      </c>
      <c r="V522" s="34" t="str">
        <f aca="false">IF($E522="","",IF(OR($M522="",$T522=""),0,IF($M522&lt;=$T522,1,0)))</f>
        <v/>
      </c>
      <c r="W522" s="42" t="str">
        <f aca="false">IF(OR($M522="",$L522=""),"",MAX(0,$M522-$L522))</f>
        <v/>
      </c>
      <c r="X522" s="34" t="str">
        <f aca="false">IF($E522="","",IF(AND($O522&lt;&gt;"",$L522&lt;&gt;"",$O522&lt;&gt;$L522),1,0))</f>
        <v/>
      </c>
      <c r="Y522" s="34" t="str">
        <f aca="false">IF($E522="","",IF($N522="Cancelada",0,IF(OR($M522&lt;&gt;"",$N522="Concluída"),1,0)))</f>
        <v/>
      </c>
    </row>
    <row r="523" customFormat="false" ht="15" hidden="false" customHeight="true" outlineLevel="0" collapsed="false">
      <c r="A523" s="34" t="str">
        <f aca="false">IF($E523="","",COUNTA($E$5:$E523))</f>
        <v/>
      </c>
      <c r="B523" s="35"/>
      <c r="C523" s="35"/>
      <c r="D523" s="35"/>
      <c r="E523" s="35"/>
      <c r="F523" s="36"/>
      <c r="G523" s="37"/>
      <c r="H523" s="37"/>
      <c r="I523" s="37"/>
      <c r="J523" s="38"/>
      <c r="K523" s="39"/>
      <c r="L523" s="40" t="str">
        <f aca="false">IF(OR($J523="",$K523=""),"",$J523+MATCH($K523,Listas!$F$5:$F$11,0)-1)</f>
        <v/>
      </c>
      <c r="M523" s="41"/>
      <c r="N523" s="36"/>
      <c r="O523" s="41"/>
      <c r="P523" s="35"/>
      <c r="Q523" s="35"/>
      <c r="R523" s="42" t="str">
        <f aca="true">IF($E523="","",IF($N523="Cancelada","Cancelada",IF(OR($M523&lt;&gt;"",$N523="Concluída"),IF(OR($L523="",$M523="",$M523&lt;=$L523),"Concluída","Concluída com atraso"),IF($L523="","Na carteira",IF($L523&lt;TODAY(),"VENCIDA",IF($N523="Em execução","Em execução",IF($L523=TODAY(),"Hoje","Programada")))))))</f>
        <v/>
      </c>
      <c r="S523" s="34" t="str">
        <f aca="false">IF($E523="","",IF(ISNUMBER(SEARCH("(externo)",$G523&amp;$H523&amp;$I523)),"Terceirizada","Interna"))</f>
        <v/>
      </c>
      <c r="T523" s="40" t="str">
        <f aca="false">IF($L523="","",IF($O523="",$L523,$O523))</f>
        <v/>
      </c>
      <c r="U523" s="34" t="str">
        <f aca="false">IF($E523="","",IF(OR($M523="",$L523=""),0,IF($M523&lt;=$L523,1,0)))</f>
        <v/>
      </c>
      <c r="V523" s="34" t="str">
        <f aca="false">IF($E523="","",IF(OR($M523="",$T523=""),0,IF($M523&lt;=$T523,1,0)))</f>
        <v/>
      </c>
      <c r="W523" s="42" t="str">
        <f aca="false">IF(OR($M523="",$L523=""),"",MAX(0,$M523-$L523))</f>
        <v/>
      </c>
      <c r="X523" s="34" t="str">
        <f aca="false">IF($E523="","",IF(AND($O523&lt;&gt;"",$L523&lt;&gt;"",$O523&lt;&gt;$L523),1,0))</f>
        <v/>
      </c>
      <c r="Y523" s="34" t="str">
        <f aca="false">IF($E523="","",IF($N523="Cancelada",0,IF(OR($M523&lt;&gt;"",$N523="Concluída"),1,0)))</f>
        <v/>
      </c>
    </row>
    <row r="524" customFormat="false" ht="15" hidden="false" customHeight="true" outlineLevel="0" collapsed="false">
      <c r="A524" s="34" t="str">
        <f aca="false">IF($E524="","",COUNTA($E$5:$E524))</f>
        <v/>
      </c>
      <c r="B524" s="35"/>
      <c r="C524" s="35"/>
      <c r="D524" s="35"/>
      <c r="E524" s="35"/>
      <c r="F524" s="36"/>
      <c r="G524" s="37"/>
      <c r="H524" s="37"/>
      <c r="I524" s="37"/>
      <c r="J524" s="38"/>
      <c r="K524" s="39"/>
      <c r="L524" s="40" t="str">
        <f aca="false">IF(OR($J524="",$K524=""),"",$J524+MATCH($K524,Listas!$F$5:$F$11,0)-1)</f>
        <v/>
      </c>
      <c r="M524" s="41"/>
      <c r="N524" s="36"/>
      <c r="O524" s="41"/>
      <c r="P524" s="35"/>
      <c r="Q524" s="35"/>
      <c r="R524" s="42" t="str">
        <f aca="true">IF($E524="","",IF($N524="Cancelada","Cancelada",IF(OR($M524&lt;&gt;"",$N524="Concluída"),IF(OR($L524="",$M524="",$M524&lt;=$L524),"Concluída","Concluída com atraso"),IF($L524="","Na carteira",IF($L524&lt;TODAY(),"VENCIDA",IF($N524="Em execução","Em execução",IF($L524=TODAY(),"Hoje","Programada")))))))</f>
        <v/>
      </c>
      <c r="S524" s="34" t="str">
        <f aca="false">IF($E524="","",IF(ISNUMBER(SEARCH("(externo)",$G524&amp;$H524&amp;$I524)),"Terceirizada","Interna"))</f>
        <v/>
      </c>
      <c r="T524" s="40" t="str">
        <f aca="false">IF($L524="","",IF($O524="",$L524,$O524))</f>
        <v/>
      </c>
      <c r="U524" s="34" t="str">
        <f aca="false">IF($E524="","",IF(OR($M524="",$L524=""),0,IF($M524&lt;=$L524,1,0)))</f>
        <v/>
      </c>
      <c r="V524" s="34" t="str">
        <f aca="false">IF($E524="","",IF(OR($M524="",$T524=""),0,IF($M524&lt;=$T524,1,0)))</f>
        <v/>
      </c>
      <c r="W524" s="42" t="str">
        <f aca="false">IF(OR($M524="",$L524=""),"",MAX(0,$M524-$L524))</f>
        <v/>
      </c>
      <c r="X524" s="34" t="str">
        <f aca="false">IF($E524="","",IF(AND($O524&lt;&gt;"",$L524&lt;&gt;"",$O524&lt;&gt;$L524),1,0))</f>
        <v/>
      </c>
      <c r="Y524" s="34" t="str">
        <f aca="false">IF($E524="","",IF($N524="Cancelada",0,IF(OR($M524&lt;&gt;"",$N524="Concluída"),1,0)))</f>
        <v/>
      </c>
    </row>
    <row r="525" customFormat="false" ht="15" hidden="false" customHeight="true" outlineLevel="0" collapsed="false">
      <c r="A525" s="34" t="str">
        <f aca="false">IF($E525="","",COUNTA($E$5:$E525))</f>
        <v/>
      </c>
      <c r="B525" s="35"/>
      <c r="C525" s="35"/>
      <c r="D525" s="35"/>
      <c r="E525" s="35"/>
      <c r="F525" s="36"/>
      <c r="G525" s="37"/>
      <c r="H525" s="37"/>
      <c r="I525" s="37"/>
      <c r="J525" s="38"/>
      <c r="K525" s="39"/>
      <c r="L525" s="40" t="str">
        <f aca="false">IF(OR($J525="",$K525=""),"",$J525+MATCH($K525,Listas!$F$5:$F$11,0)-1)</f>
        <v/>
      </c>
      <c r="M525" s="41"/>
      <c r="N525" s="36"/>
      <c r="O525" s="41"/>
      <c r="P525" s="35"/>
      <c r="Q525" s="35"/>
      <c r="R525" s="42" t="str">
        <f aca="true">IF($E525="","",IF($N525="Cancelada","Cancelada",IF(OR($M525&lt;&gt;"",$N525="Concluída"),IF(OR($L525="",$M525="",$M525&lt;=$L525),"Concluída","Concluída com atraso"),IF($L525="","Na carteira",IF($L525&lt;TODAY(),"VENCIDA",IF($N525="Em execução","Em execução",IF($L525=TODAY(),"Hoje","Programada")))))))</f>
        <v/>
      </c>
      <c r="S525" s="34" t="str">
        <f aca="false">IF($E525="","",IF(ISNUMBER(SEARCH("(externo)",$G525&amp;$H525&amp;$I525)),"Terceirizada","Interna"))</f>
        <v/>
      </c>
      <c r="T525" s="40" t="str">
        <f aca="false">IF($L525="","",IF($O525="",$L525,$O525))</f>
        <v/>
      </c>
      <c r="U525" s="34" t="str">
        <f aca="false">IF($E525="","",IF(OR($M525="",$L525=""),0,IF($M525&lt;=$L525,1,0)))</f>
        <v/>
      </c>
      <c r="V525" s="34" t="str">
        <f aca="false">IF($E525="","",IF(OR($M525="",$T525=""),0,IF($M525&lt;=$T525,1,0)))</f>
        <v/>
      </c>
      <c r="W525" s="42" t="str">
        <f aca="false">IF(OR($M525="",$L525=""),"",MAX(0,$M525-$L525))</f>
        <v/>
      </c>
      <c r="X525" s="34" t="str">
        <f aca="false">IF($E525="","",IF(AND($O525&lt;&gt;"",$L525&lt;&gt;"",$O525&lt;&gt;$L525),1,0))</f>
        <v/>
      </c>
      <c r="Y525" s="34" t="str">
        <f aca="false">IF($E525="","",IF($N525="Cancelada",0,IF(OR($M525&lt;&gt;"",$N525="Concluída"),1,0)))</f>
        <v/>
      </c>
    </row>
    <row r="526" customFormat="false" ht="15" hidden="false" customHeight="true" outlineLevel="0" collapsed="false">
      <c r="A526" s="34" t="str">
        <f aca="false">IF($E526="","",COUNTA($E$5:$E526))</f>
        <v/>
      </c>
      <c r="B526" s="35"/>
      <c r="C526" s="35"/>
      <c r="D526" s="35"/>
      <c r="E526" s="35"/>
      <c r="F526" s="36"/>
      <c r="G526" s="37"/>
      <c r="H526" s="37"/>
      <c r="I526" s="37"/>
      <c r="J526" s="38"/>
      <c r="K526" s="39"/>
      <c r="L526" s="40" t="str">
        <f aca="false">IF(OR($J526="",$K526=""),"",$J526+MATCH($K526,Listas!$F$5:$F$11,0)-1)</f>
        <v/>
      </c>
      <c r="M526" s="41"/>
      <c r="N526" s="36"/>
      <c r="O526" s="41"/>
      <c r="P526" s="35"/>
      <c r="Q526" s="35"/>
      <c r="R526" s="42" t="str">
        <f aca="true">IF($E526="","",IF($N526="Cancelada","Cancelada",IF(OR($M526&lt;&gt;"",$N526="Concluída"),IF(OR($L526="",$M526="",$M526&lt;=$L526),"Concluída","Concluída com atraso"),IF($L526="","Na carteira",IF($L526&lt;TODAY(),"VENCIDA",IF($N526="Em execução","Em execução",IF($L526=TODAY(),"Hoje","Programada")))))))</f>
        <v/>
      </c>
      <c r="S526" s="34" t="str">
        <f aca="false">IF($E526="","",IF(ISNUMBER(SEARCH("(externo)",$G526&amp;$H526&amp;$I526)),"Terceirizada","Interna"))</f>
        <v/>
      </c>
      <c r="T526" s="40" t="str">
        <f aca="false">IF($L526="","",IF($O526="",$L526,$O526))</f>
        <v/>
      </c>
      <c r="U526" s="34" t="str">
        <f aca="false">IF($E526="","",IF(OR($M526="",$L526=""),0,IF($M526&lt;=$L526,1,0)))</f>
        <v/>
      </c>
      <c r="V526" s="34" t="str">
        <f aca="false">IF($E526="","",IF(OR($M526="",$T526=""),0,IF($M526&lt;=$T526,1,0)))</f>
        <v/>
      </c>
      <c r="W526" s="42" t="str">
        <f aca="false">IF(OR($M526="",$L526=""),"",MAX(0,$M526-$L526))</f>
        <v/>
      </c>
      <c r="X526" s="34" t="str">
        <f aca="false">IF($E526="","",IF(AND($O526&lt;&gt;"",$L526&lt;&gt;"",$O526&lt;&gt;$L526),1,0))</f>
        <v/>
      </c>
      <c r="Y526" s="34" t="str">
        <f aca="false">IF($E526="","",IF($N526="Cancelada",0,IF(OR($M526&lt;&gt;"",$N526="Concluída"),1,0)))</f>
        <v/>
      </c>
    </row>
    <row r="527" customFormat="false" ht="15" hidden="false" customHeight="true" outlineLevel="0" collapsed="false">
      <c r="A527" s="34" t="str">
        <f aca="false">IF($E527="","",COUNTA($E$5:$E527))</f>
        <v/>
      </c>
      <c r="B527" s="35"/>
      <c r="C527" s="35"/>
      <c r="D527" s="35"/>
      <c r="E527" s="35"/>
      <c r="F527" s="36"/>
      <c r="G527" s="37"/>
      <c r="H527" s="37"/>
      <c r="I527" s="37"/>
      <c r="J527" s="38"/>
      <c r="K527" s="39"/>
      <c r="L527" s="40" t="str">
        <f aca="false">IF(OR($J527="",$K527=""),"",$J527+MATCH($K527,Listas!$F$5:$F$11,0)-1)</f>
        <v/>
      </c>
      <c r="M527" s="41"/>
      <c r="N527" s="36"/>
      <c r="O527" s="41"/>
      <c r="P527" s="35"/>
      <c r="Q527" s="35"/>
      <c r="R527" s="42" t="str">
        <f aca="true">IF($E527="","",IF($N527="Cancelada","Cancelada",IF(OR($M527&lt;&gt;"",$N527="Concluída"),IF(OR($L527="",$M527="",$M527&lt;=$L527),"Concluída","Concluída com atraso"),IF($L527="","Na carteira",IF($L527&lt;TODAY(),"VENCIDA",IF($N527="Em execução","Em execução",IF($L527=TODAY(),"Hoje","Programada")))))))</f>
        <v/>
      </c>
      <c r="S527" s="34" t="str">
        <f aca="false">IF($E527="","",IF(ISNUMBER(SEARCH("(externo)",$G527&amp;$H527&amp;$I527)),"Terceirizada","Interna"))</f>
        <v/>
      </c>
      <c r="T527" s="40" t="str">
        <f aca="false">IF($L527="","",IF($O527="",$L527,$O527))</f>
        <v/>
      </c>
      <c r="U527" s="34" t="str">
        <f aca="false">IF($E527="","",IF(OR($M527="",$L527=""),0,IF($M527&lt;=$L527,1,0)))</f>
        <v/>
      </c>
      <c r="V527" s="34" t="str">
        <f aca="false">IF($E527="","",IF(OR($M527="",$T527=""),0,IF($M527&lt;=$T527,1,0)))</f>
        <v/>
      </c>
      <c r="W527" s="42" t="str">
        <f aca="false">IF(OR($M527="",$L527=""),"",MAX(0,$M527-$L527))</f>
        <v/>
      </c>
      <c r="X527" s="34" t="str">
        <f aca="false">IF($E527="","",IF(AND($O527&lt;&gt;"",$L527&lt;&gt;"",$O527&lt;&gt;$L527),1,0))</f>
        <v/>
      </c>
      <c r="Y527" s="34" t="str">
        <f aca="false">IF($E527="","",IF($N527="Cancelada",0,IF(OR($M527&lt;&gt;"",$N527="Concluída"),1,0)))</f>
        <v/>
      </c>
    </row>
    <row r="528" customFormat="false" ht="15" hidden="false" customHeight="true" outlineLevel="0" collapsed="false">
      <c r="A528" s="34" t="str">
        <f aca="false">IF($E528="","",COUNTA($E$5:$E528))</f>
        <v/>
      </c>
      <c r="B528" s="35"/>
      <c r="C528" s="35"/>
      <c r="D528" s="35"/>
      <c r="E528" s="35"/>
      <c r="F528" s="36"/>
      <c r="G528" s="37"/>
      <c r="H528" s="37"/>
      <c r="I528" s="37"/>
      <c r="J528" s="38"/>
      <c r="K528" s="39"/>
      <c r="L528" s="40" t="str">
        <f aca="false">IF(OR($J528="",$K528=""),"",$J528+MATCH($K528,Listas!$F$5:$F$11,0)-1)</f>
        <v/>
      </c>
      <c r="M528" s="41"/>
      <c r="N528" s="36"/>
      <c r="O528" s="41"/>
      <c r="P528" s="35"/>
      <c r="Q528" s="35"/>
      <c r="R528" s="42" t="str">
        <f aca="true">IF($E528="","",IF($N528="Cancelada","Cancelada",IF(OR($M528&lt;&gt;"",$N528="Concluída"),IF(OR($L528="",$M528="",$M528&lt;=$L528),"Concluída","Concluída com atraso"),IF($L528="","Na carteira",IF($L528&lt;TODAY(),"VENCIDA",IF($N528="Em execução","Em execução",IF($L528=TODAY(),"Hoje","Programada")))))))</f>
        <v/>
      </c>
      <c r="S528" s="34" t="str">
        <f aca="false">IF($E528="","",IF(ISNUMBER(SEARCH("(externo)",$G528&amp;$H528&amp;$I528)),"Terceirizada","Interna"))</f>
        <v/>
      </c>
      <c r="T528" s="40" t="str">
        <f aca="false">IF($L528="","",IF($O528="",$L528,$O528))</f>
        <v/>
      </c>
      <c r="U528" s="34" t="str">
        <f aca="false">IF($E528="","",IF(OR($M528="",$L528=""),0,IF($M528&lt;=$L528,1,0)))</f>
        <v/>
      </c>
      <c r="V528" s="34" t="str">
        <f aca="false">IF($E528="","",IF(OR($M528="",$T528=""),0,IF($M528&lt;=$T528,1,0)))</f>
        <v/>
      </c>
      <c r="W528" s="42" t="str">
        <f aca="false">IF(OR($M528="",$L528=""),"",MAX(0,$M528-$L528))</f>
        <v/>
      </c>
      <c r="X528" s="34" t="str">
        <f aca="false">IF($E528="","",IF(AND($O528&lt;&gt;"",$L528&lt;&gt;"",$O528&lt;&gt;$L528),1,0))</f>
        <v/>
      </c>
      <c r="Y528" s="34" t="str">
        <f aca="false">IF($E528="","",IF($N528="Cancelada",0,IF(OR($M528&lt;&gt;"",$N528="Concluída"),1,0)))</f>
        <v/>
      </c>
    </row>
    <row r="529" customFormat="false" ht="15" hidden="false" customHeight="true" outlineLevel="0" collapsed="false">
      <c r="A529" s="34" t="str">
        <f aca="false">IF($E529="","",COUNTA($E$5:$E529))</f>
        <v/>
      </c>
      <c r="B529" s="35"/>
      <c r="C529" s="35"/>
      <c r="D529" s="35"/>
      <c r="E529" s="35"/>
      <c r="F529" s="36"/>
      <c r="G529" s="37"/>
      <c r="H529" s="37"/>
      <c r="I529" s="37"/>
      <c r="J529" s="38"/>
      <c r="K529" s="39"/>
      <c r="L529" s="40" t="str">
        <f aca="false">IF(OR($J529="",$K529=""),"",$J529+MATCH($K529,Listas!$F$5:$F$11,0)-1)</f>
        <v/>
      </c>
      <c r="M529" s="41"/>
      <c r="N529" s="36"/>
      <c r="O529" s="41"/>
      <c r="P529" s="35"/>
      <c r="Q529" s="35"/>
      <c r="R529" s="42" t="str">
        <f aca="true">IF($E529="","",IF($N529="Cancelada","Cancelada",IF(OR($M529&lt;&gt;"",$N529="Concluída"),IF(OR($L529="",$M529="",$M529&lt;=$L529),"Concluída","Concluída com atraso"),IF($L529="","Na carteira",IF($L529&lt;TODAY(),"VENCIDA",IF($N529="Em execução","Em execução",IF($L529=TODAY(),"Hoje","Programada")))))))</f>
        <v/>
      </c>
      <c r="S529" s="34" t="str">
        <f aca="false">IF($E529="","",IF(ISNUMBER(SEARCH("(externo)",$G529&amp;$H529&amp;$I529)),"Terceirizada","Interna"))</f>
        <v/>
      </c>
      <c r="T529" s="40" t="str">
        <f aca="false">IF($L529="","",IF($O529="",$L529,$O529))</f>
        <v/>
      </c>
      <c r="U529" s="34" t="str">
        <f aca="false">IF($E529="","",IF(OR($M529="",$L529=""),0,IF($M529&lt;=$L529,1,0)))</f>
        <v/>
      </c>
      <c r="V529" s="34" t="str">
        <f aca="false">IF($E529="","",IF(OR($M529="",$T529=""),0,IF($M529&lt;=$T529,1,0)))</f>
        <v/>
      </c>
      <c r="W529" s="42" t="str">
        <f aca="false">IF(OR($M529="",$L529=""),"",MAX(0,$M529-$L529))</f>
        <v/>
      </c>
      <c r="X529" s="34" t="str">
        <f aca="false">IF($E529="","",IF(AND($O529&lt;&gt;"",$L529&lt;&gt;"",$O529&lt;&gt;$L529),1,0))</f>
        <v/>
      </c>
      <c r="Y529" s="34" t="str">
        <f aca="false">IF($E529="","",IF($N529="Cancelada",0,IF(OR($M529&lt;&gt;"",$N529="Concluída"),1,0)))</f>
        <v/>
      </c>
    </row>
    <row r="530" customFormat="false" ht="15" hidden="false" customHeight="true" outlineLevel="0" collapsed="false">
      <c r="A530" s="34" t="str">
        <f aca="false">IF($E530="","",COUNTA($E$5:$E530))</f>
        <v/>
      </c>
      <c r="B530" s="35"/>
      <c r="C530" s="35"/>
      <c r="D530" s="35"/>
      <c r="E530" s="35"/>
      <c r="F530" s="36"/>
      <c r="G530" s="37"/>
      <c r="H530" s="37"/>
      <c r="I530" s="37"/>
      <c r="J530" s="38"/>
      <c r="K530" s="39"/>
      <c r="L530" s="40" t="str">
        <f aca="false">IF(OR($J530="",$K530=""),"",$J530+MATCH($K530,Listas!$F$5:$F$11,0)-1)</f>
        <v/>
      </c>
      <c r="M530" s="41"/>
      <c r="N530" s="36"/>
      <c r="O530" s="41"/>
      <c r="P530" s="35"/>
      <c r="Q530" s="35"/>
      <c r="R530" s="42" t="str">
        <f aca="true">IF($E530="","",IF($N530="Cancelada","Cancelada",IF(OR($M530&lt;&gt;"",$N530="Concluída"),IF(OR($L530="",$M530="",$M530&lt;=$L530),"Concluída","Concluída com atraso"),IF($L530="","Na carteira",IF($L530&lt;TODAY(),"VENCIDA",IF($N530="Em execução","Em execução",IF($L530=TODAY(),"Hoje","Programada")))))))</f>
        <v/>
      </c>
      <c r="S530" s="34" t="str">
        <f aca="false">IF($E530="","",IF(ISNUMBER(SEARCH("(externo)",$G530&amp;$H530&amp;$I530)),"Terceirizada","Interna"))</f>
        <v/>
      </c>
      <c r="T530" s="40" t="str">
        <f aca="false">IF($L530="","",IF($O530="",$L530,$O530))</f>
        <v/>
      </c>
      <c r="U530" s="34" t="str">
        <f aca="false">IF($E530="","",IF(OR($M530="",$L530=""),0,IF($M530&lt;=$L530,1,0)))</f>
        <v/>
      </c>
      <c r="V530" s="34" t="str">
        <f aca="false">IF($E530="","",IF(OR($M530="",$T530=""),0,IF($M530&lt;=$T530,1,0)))</f>
        <v/>
      </c>
      <c r="W530" s="42" t="str">
        <f aca="false">IF(OR($M530="",$L530=""),"",MAX(0,$M530-$L530))</f>
        <v/>
      </c>
      <c r="X530" s="34" t="str">
        <f aca="false">IF($E530="","",IF(AND($O530&lt;&gt;"",$L530&lt;&gt;"",$O530&lt;&gt;$L530),1,0))</f>
        <v/>
      </c>
      <c r="Y530" s="34" t="str">
        <f aca="false">IF($E530="","",IF($N530="Cancelada",0,IF(OR($M530&lt;&gt;"",$N530="Concluída"),1,0)))</f>
        <v/>
      </c>
    </row>
    <row r="531" customFormat="false" ht="15" hidden="false" customHeight="true" outlineLevel="0" collapsed="false">
      <c r="A531" s="34" t="str">
        <f aca="false">IF($E531="","",COUNTA($E$5:$E531))</f>
        <v/>
      </c>
      <c r="B531" s="35"/>
      <c r="C531" s="35"/>
      <c r="D531" s="35"/>
      <c r="E531" s="35"/>
      <c r="F531" s="36"/>
      <c r="G531" s="37"/>
      <c r="H531" s="37"/>
      <c r="I531" s="37"/>
      <c r="J531" s="38"/>
      <c r="K531" s="39"/>
      <c r="L531" s="40" t="str">
        <f aca="false">IF(OR($J531="",$K531=""),"",$J531+MATCH($K531,Listas!$F$5:$F$11,0)-1)</f>
        <v/>
      </c>
      <c r="M531" s="41"/>
      <c r="N531" s="36"/>
      <c r="O531" s="41"/>
      <c r="P531" s="35"/>
      <c r="Q531" s="35"/>
      <c r="R531" s="42" t="str">
        <f aca="true">IF($E531="","",IF($N531="Cancelada","Cancelada",IF(OR($M531&lt;&gt;"",$N531="Concluída"),IF(OR($L531="",$M531="",$M531&lt;=$L531),"Concluída","Concluída com atraso"),IF($L531="","Na carteira",IF($L531&lt;TODAY(),"VENCIDA",IF($N531="Em execução","Em execução",IF($L531=TODAY(),"Hoje","Programada")))))))</f>
        <v/>
      </c>
      <c r="S531" s="34" t="str">
        <f aca="false">IF($E531="","",IF(ISNUMBER(SEARCH("(externo)",$G531&amp;$H531&amp;$I531)),"Terceirizada","Interna"))</f>
        <v/>
      </c>
      <c r="T531" s="40" t="str">
        <f aca="false">IF($L531="","",IF($O531="",$L531,$O531))</f>
        <v/>
      </c>
      <c r="U531" s="34" t="str">
        <f aca="false">IF($E531="","",IF(OR($M531="",$L531=""),0,IF($M531&lt;=$L531,1,0)))</f>
        <v/>
      </c>
      <c r="V531" s="34" t="str">
        <f aca="false">IF($E531="","",IF(OR($M531="",$T531=""),0,IF($M531&lt;=$T531,1,0)))</f>
        <v/>
      </c>
      <c r="W531" s="42" t="str">
        <f aca="false">IF(OR($M531="",$L531=""),"",MAX(0,$M531-$L531))</f>
        <v/>
      </c>
      <c r="X531" s="34" t="str">
        <f aca="false">IF($E531="","",IF(AND($O531&lt;&gt;"",$L531&lt;&gt;"",$O531&lt;&gt;$L531),1,0))</f>
        <v/>
      </c>
      <c r="Y531" s="34" t="str">
        <f aca="false">IF($E531="","",IF($N531="Cancelada",0,IF(OR($M531&lt;&gt;"",$N531="Concluída"),1,0)))</f>
        <v/>
      </c>
    </row>
    <row r="532" customFormat="false" ht="15" hidden="false" customHeight="true" outlineLevel="0" collapsed="false">
      <c r="A532" s="34" t="str">
        <f aca="false">IF($E532="","",COUNTA($E$5:$E532))</f>
        <v/>
      </c>
      <c r="B532" s="35"/>
      <c r="C532" s="35"/>
      <c r="D532" s="35"/>
      <c r="E532" s="35"/>
      <c r="F532" s="36"/>
      <c r="G532" s="37"/>
      <c r="H532" s="37"/>
      <c r="I532" s="37"/>
      <c r="J532" s="38"/>
      <c r="K532" s="39"/>
      <c r="L532" s="40" t="str">
        <f aca="false">IF(OR($J532="",$K532=""),"",$J532+MATCH($K532,Listas!$F$5:$F$11,0)-1)</f>
        <v/>
      </c>
      <c r="M532" s="41"/>
      <c r="N532" s="36"/>
      <c r="O532" s="41"/>
      <c r="P532" s="35"/>
      <c r="Q532" s="35"/>
      <c r="R532" s="42" t="str">
        <f aca="true">IF($E532="","",IF($N532="Cancelada","Cancelada",IF(OR($M532&lt;&gt;"",$N532="Concluída"),IF(OR($L532="",$M532="",$M532&lt;=$L532),"Concluída","Concluída com atraso"),IF($L532="","Na carteira",IF($L532&lt;TODAY(),"VENCIDA",IF($N532="Em execução","Em execução",IF($L532=TODAY(),"Hoje","Programada")))))))</f>
        <v/>
      </c>
      <c r="S532" s="34" t="str">
        <f aca="false">IF($E532="","",IF(ISNUMBER(SEARCH("(externo)",$G532&amp;$H532&amp;$I532)),"Terceirizada","Interna"))</f>
        <v/>
      </c>
      <c r="T532" s="40" t="str">
        <f aca="false">IF($L532="","",IF($O532="",$L532,$O532))</f>
        <v/>
      </c>
      <c r="U532" s="34" t="str">
        <f aca="false">IF($E532="","",IF(OR($M532="",$L532=""),0,IF($M532&lt;=$L532,1,0)))</f>
        <v/>
      </c>
      <c r="V532" s="34" t="str">
        <f aca="false">IF($E532="","",IF(OR($M532="",$T532=""),0,IF($M532&lt;=$T532,1,0)))</f>
        <v/>
      </c>
      <c r="W532" s="42" t="str">
        <f aca="false">IF(OR($M532="",$L532=""),"",MAX(0,$M532-$L532))</f>
        <v/>
      </c>
      <c r="X532" s="34" t="str">
        <f aca="false">IF($E532="","",IF(AND($O532&lt;&gt;"",$L532&lt;&gt;"",$O532&lt;&gt;$L532),1,0))</f>
        <v/>
      </c>
      <c r="Y532" s="34" t="str">
        <f aca="false">IF($E532="","",IF($N532="Cancelada",0,IF(OR($M532&lt;&gt;"",$N532="Concluída"),1,0)))</f>
        <v/>
      </c>
    </row>
    <row r="533" customFormat="false" ht="15" hidden="false" customHeight="true" outlineLevel="0" collapsed="false">
      <c r="A533" s="34" t="str">
        <f aca="false">IF($E533="","",COUNTA($E$5:$E533))</f>
        <v/>
      </c>
      <c r="B533" s="35"/>
      <c r="C533" s="35"/>
      <c r="D533" s="35"/>
      <c r="E533" s="35"/>
      <c r="F533" s="36"/>
      <c r="G533" s="37"/>
      <c r="H533" s="37"/>
      <c r="I533" s="37"/>
      <c r="J533" s="38"/>
      <c r="K533" s="39"/>
      <c r="L533" s="40" t="str">
        <f aca="false">IF(OR($J533="",$K533=""),"",$J533+MATCH($K533,Listas!$F$5:$F$11,0)-1)</f>
        <v/>
      </c>
      <c r="M533" s="41"/>
      <c r="N533" s="36"/>
      <c r="O533" s="41"/>
      <c r="P533" s="35"/>
      <c r="Q533" s="35"/>
      <c r="R533" s="42" t="str">
        <f aca="true">IF($E533="","",IF($N533="Cancelada","Cancelada",IF(OR($M533&lt;&gt;"",$N533="Concluída"),IF(OR($L533="",$M533="",$M533&lt;=$L533),"Concluída","Concluída com atraso"),IF($L533="","Na carteira",IF($L533&lt;TODAY(),"VENCIDA",IF($N533="Em execução","Em execução",IF($L533=TODAY(),"Hoje","Programada")))))))</f>
        <v/>
      </c>
      <c r="S533" s="34" t="str">
        <f aca="false">IF($E533="","",IF(ISNUMBER(SEARCH("(externo)",$G533&amp;$H533&amp;$I533)),"Terceirizada","Interna"))</f>
        <v/>
      </c>
      <c r="T533" s="40" t="str">
        <f aca="false">IF($L533="","",IF($O533="",$L533,$O533))</f>
        <v/>
      </c>
      <c r="U533" s="34" t="str">
        <f aca="false">IF($E533="","",IF(OR($M533="",$L533=""),0,IF($M533&lt;=$L533,1,0)))</f>
        <v/>
      </c>
      <c r="V533" s="34" t="str">
        <f aca="false">IF($E533="","",IF(OR($M533="",$T533=""),0,IF($M533&lt;=$T533,1,0)))</f>
        <v/>
      </c>
      <c r="W533" s="42" t="str">
        <f aca="false">IF(OR($M533="",$L533=""),"",MAX(0,$M533-$L533))</f>
        <v/>
      </c>
      <c r="X533" s="34" t="str">
        <f aca="false">IF($E533="","",IF(AND($O533&lt;&gt;"",$L533&lt;&gt;"",$O533&lt;&gt;$L533),1,0))</f>
        <v/>
      </c>
      <c r="Y533" s="34" t="str">
        <f aca="false">IF($E533="","",IF($N533="Cancelada",0,IF(OR($M533&lt;&gt;"",$N533="Concluída"),1,0)))</f>
        <v/>
      </c>
    </row>
    <row r="534" customFormat="false" ht="15" hidden="false" customHeight="true" outlineLevel="0" collapsed="false">
      <c r="A534" s="34" t="str">
        <f aca="false">IF($E534="","",COUNTA($E$5:$E534))</f>
        <v/>
      </c>
      <c r="B534" s="35"/>
      <c r="C534" s="35"/>
      <c r="D534" s="35"/>
      <c r="E534" s="35"/>
      <c r="F534" s="36"/>
      <c r="G534" s="37"/>
      <c r="H534" s="37"/>
      <c r="I534" s="37"/>
      <c r="J534" s="38"/>
      <c r="K534" s="39"/>
      <c r="L534" s="40" t="str">
        <f aca="false">IF(OR($J534="",$K534=""),"",$J534+MATCH($K534,Listas!$F$5:$F$11,0)-1)</f>
        <v/>
      </c>
      <c r="M534" s="41"/>
      <c r="N534" s="36"/>
      <c r="O534" s="41"/>
      <c r="P534" s="35"/>
      <c r="Q534" s="35"/>
      <c r="R534" s="42" t="str">
        <f aca="true">IF($E534="","",IF($N534="Cancelada","Cancelada",IF(OR($M534&lt;&gt;"",$N534="Concluída"),IF(OR($L534="",$M534="",$M534&lt;=$L534),"Concluída","Concluída com atraso"),IF($L534="","Na carteira",IF($L534&lt;TODAY(),"VENCIDA",IF($N534="Em execução","Em execução",IF($L534=TODAY(),"Hoje","Programada")))))))</f>
        <v/>
      </c>
      <c r="S534" s="34" t="str">
        <f aca="false">IF($E534="","",IF(ISNUMBER(SEARCH("(externo)",$G534&amp;$H534&amp;$I534)),"Terceirizada","Interna"))</f>
        <v/>
      </c>
      <c r="T534" s="40" t="str">
        <f aca="false">IF($L534="","",IF($O534="",$L534,$O534))</f>
        <v/>
      </c>
      <c r="U534" s="34" t="str">
        <f aca="false">IF($E534="","",IF(OR($M534="",$L534=""),0,IF($M534&lt;=$L534,1,0)))</f>
        <v/>
      </c>
      <c r="V534" s="34" t="str">
        <f aca="false">IF($E534="","",IF(OR($M534="",$T534=""),0,IF($M534&lt;=$T534,1,0)))</f>
        <v/>
      </c>
      <c r="W534" s="42" t="str">
        <f aca="false">IF(OR($M534="",$L534=""),"",MAX(0,$M534-$L534))</f>
        <v/>
      </c>
      <c r="X534" s="34" t="str">
        <f aca="false">IF($E534="","",IF(AND($O534&lt;&gt;"",$L534&lt;&gt;"",$O534&lt;&gt;$L534),1,0))</f>
        <v/>
      </c>
      <c r="Y534" s="34" t="str">
        <f aca="false">IF($E534="","",IF($N534="Cancelada",0,IF(OR($M534&lt;&gt;"",$N534="Concluída"),1,0)))</f>
        <v/>
      </c>
    </row>
    <row r="535" customFormat="false" ht="15" hidden="false" customHeight="true" outlineLevel="0" collapsed="false">
      <c r="A535" s="34" t="str">
        <f aca="false">IF($E535="","",COUNTA($E$5:$E535))</f>
        <v/>
      </c>
      <c r="B535" s="35"/>
      <c r="C535" s="35"/>
      <c r="D535" s="35"/>
      <c r="E535" s="35"/>
      <c r="F535" s="36"/>
      <c r="G535" s="37"/>
      <c r="H535" s="37"/>
      <c r="I535" s="37"/>
      <c r="J535" s="38"/>
      <c r="K535" s="39"/>
      <c r="L535" s="40" t="str">
        <f aca="false">IF(OR($J535="",$K535=""),"",$J535+MATCH($K535,Listas!$F$5:$F$11,0)-1)</f>
        <v/>
      </c>
      <c r="M535" s="41"/>
      <c r="N535" s="36"/>
      <c r="O535" s="41"/>
      <c r="P535" s="35"/>
      <c r="Q535" s="35"/>
      <c r="R535" s="42" t="str">
        <f aca="true">IF($E535="","",IF($N535="Cancelada","Cancelada",IF(OR($M535&lt;&gt;"",$N535="Concluída"),IF(OR($L535="",$M535="",$M535&lt;=$L535),"Concluída","Concluída com atraso"),IF($L535="","Na carteira",IF($L535&lt;TODAY(),"VENCIDA",IF($N535="Em execução","Em execução",IF($L535=TODAY(),"Hoje","Programada")))))))</f>
        <v/>
      </c>
      <c r="S535" s="34" t="str">
        <f aca="false">IF($E535="","",IF(ISNUMBER(SEARCH("(externo)",$G535&amp;$H535&amp;$I535)),"Terceirizada","Interna"))</f>
        <v/>
      </c>
      <c r="T535" s="40" t="str">
        <f aca="false">IF($L535="","",IF($O535="",$L535,$O535))</f>
        <v/>
      </c>
      <c r="U535" s="34" t="str">
        <f aca="false">IF($E535="","",IF(OR($M535="",$L535=""),0,IF($M535&lt;=$L535,1,0)))</f>
        <v/>
      </c>
      <c r="V535" s="34" t="str">
        <f aca="false">IF($E535="","",IF(OR($M535="",$T535=""),0,IF($M535&lt;=$T535,1,0)))</f>
        <v/>
      </c>
      <c r="W535" s="42" t="str">
        <f aca="false">IF(OR($M535="",$L535=""),"",MAX(0,$M535-$L535))</f>
        <v/>
      </c>
      <c r="X535" s="34" t="str">
        <f aca="false">IF($E535="","",IF(AND($O535&lt;&gt;"",$L535&lt;&gt;"",$O535&lt;&gt;$L535),1,0))</f>
        <v/>
      </c>
      <c r="Y535" s="34" t="str">
        <f aca="false">IF($E535="","",IF($N535="Cancelada",0,IF(OR($M535&lt;&gt;"",$N535="Concluída"),1,0)))</f>
        <v/>
      </c>
    </row>
    <row r="536" customFormat="false" ht="15" hidden="false" customHeight="true" outlineLevel="0" collapsed="false">
      <c r="A536" s="34" t="str">
        <f aca="false">IF($E536="","",COUNTA($E$5:$E536))</f>
        <v/>
      </c>
      <c r="B536" s="35"/>
      <c r="C536" s="35"/>
      <c r="D536" s="35"/>
      <c r="E536" s="35"/>
      <c r="F536" s="36"/>
      <c r="G536" s="37"/>
      <c r="H536" s="37"/>
      <c r="I536" s="37"/>
      <c r="J536" s="38"/>
      <c r="K536" s="39"/>
      <c r="L536" s="40" t="str">
        <f aca="false">IF(OR($J536="",$K536=""),"",$J536+MATCH($K536,Listas!$F$5:$F$11,0)-1)</f>
        <v/>
      </c>
      <c r="M536" s="41"/>
      <c r="N536" s="36"/>
      <c r="O536" s="41"/>
      <c r="P536" s="35"/>
      <c r="Q536" s="35"/>
      <c r="R536" s="42" t="str">
        <f aca="true">IF($E536="","",IF($N536="Cancelada","Cancelada",IF(OR($M536&lt;&gt;"",$N536="Concluída"),IF(OR($L536="",$M536="",$M536&lt;=$L536),"Concluída","Concluída com atraso"),IF($L536="","Na carteira",IF($L536&lt;TODAY(),"VENCIDA",IF($N536="Em execução","Em execução",IF($L536=TODAY(),"Hoje","Programada")))))))</f>
        <v/>
      </c>
      <c r="S536" s="34" t="str">
        <f aca="false">IF($E536="","",IF(ISNUMBER(SEARCH("(externo)",$G536&amp;$H536&amp;$I536)),"Terceirizada","Interna"))</f>
        <v/>
      </c>
      <c r="T536" s="40" t="str">
        <f aca="false">IF($L536="","",IF($O536="",$L536,$O536))</f>
        <v/>
      </c>
      <c r="U536" s="34" t="str">
        <f aca="false">IF($E536="","",IF(OR($M536="",$L536=""),0,IF($M536&lt;=$L536,1,0)))</f>
        <v/>
      </c>
      <c r="V536" s="34" t="str">
        <f aca="false">IF($E536="","",IF(OR($M536="",$T536=""),0,IF($M536&lt;=$T536,1,0)))</f>
        <v/>
      </c>
      <c r="W536" s="42" t="str">
        <f aca="false">IF(OR($M536="",$L536=""),"",MAX(0,$M536-$L536))</f>
        <v/>
      </c>
      <c r="X536" s="34" t="str">
        <f aca="false">IF($E536="","",IF(AND($O536&lt;&gt;"",$L536&lt;&gt;"",$O536&lt;&gt;$L536),1,0))</f>
        <v/>
      </c>
      <c r="Y536" s="34" t="str">
        <f aca="false">IF($E536="","",IF($N536="Cancelada",0,IF(OR($M536&lt;&gt;"",$N536="Concluída"),1,0)))</f>
        <v/>
      </c>
    </row>
    <row r="537" customFormat="false" ht="15" hidden="false" customHeight="true" outlineLevel="0" collapsed="false">
      <c r="A537" s="34" t="str">
        <f aca="false">IF($E537="","",COUNTA($E$5:$E537))</f>
        <v/>
      </c>
      <c r="B537" s="35"/>
      <c r="C537" s="35"/>
      <c r="D537" s="35"/>
      <c r="E537" s="35"/>
      <c r="F537" s="36"/>
      <c r="G537" s="37"/>
      <c r="H537" s="37"/>
      <c r="I537" s="37"/>
      <c r="J537" s="38"/>
      <c r="K537" s="39"/>
      <c r="L537" s="40" t="str">
        <f aca="false">IF(OR($J537="",$K537=""),"",$J537+MATCH($K537,Listas!$F$5:$F$11,0)-1)</f>
        <v/>
      </c>
      <c r="M537" s="41"/>
      <c r="N537" s="36"/>
      <c r="O537" s="41"/>
      <c r="P537" s="35"/>
      <c r="Q537" s="35"/>
      <c r="R537" s="42" t="str">
        <f aca="true">IF($E537="","",IF($N537="Cancelada","Cancelada",IF(OR($M537&lt;&gt;"",$N537="Concluída"),IF(OR($L537="",$M537="",$M537&lt;=$L537),"Concluída","Concluída com atraso"),IF($L537="","Na carteira",IF($L537&lt;TODAY(),"VENCIDA",IF($N537="Em execução","Em execução",IF($L537=TODAY(),"Hoje","Programada")))))))</f>
        <v/>
      </c>
      <c r="S537" s="34" t="str">
        <f aca="false">IF($E537="","",IF(ISNUMBER(SEARCH("(externo)",$G537&amp;$H537&amp;$I537)),"Terceirizada","Interna"))</f>
        <v/>
      </c>
      <c r="T537" s="40" t="str">
        <f aca="false">IF($L537="","",IF($O537="",$L537,$O537))</f>
        <v/>
      </c>
      <c r="U537" s="34" t="str">
        <f aca="false">IF($E537="","",IF(OR($M537="",$L537=""),0,IF($M537&lt;=$L537,1,0)))</f>
        <v/>
      </c>
      <c r="V537" s="34" t="str">
        <f aca="false">IF($E537="","",IF(OR($M537="",$T537=""),0,IF($M537&lt;=$T537,1,0)))</f>
        <v/>
      </c>
      <c r="W537" s="42" t="str">
        <f aca="false">IF(OR($M537="",$L537=""),"",MAX(0,$M537-$L537))</f>
        <v/>
      </c>
      <c r="X537" s="34" t="str">
        <f aca="false">IF($E537="","",IF(AND($O537&lt;&gt;"",$L537&lt;&gt;"",$O537&lt;&gt;$L537),1,0))</f>
        <v/>
      </c>
      <c r="Y537" s="34" t="str">
        <f aca="false">IF($E537="","",IF($N537="Cancelada",0,IF(OR($M537&lt;&gt;"",$N537="Concluída"),1,0)))</f>
        <v/>
      </c>
    </row>
    <row r="538" customFormat="false" ht="15" hidden="false" customHeight="true" outlineLevel="0" collapsed="false">
      <c r="A538" s="34" t="str">
        <f aca="false">IF($E538="","",COUNTA($E$5:$E538))</f>
        <v/>
      </c>
      <c r="B538" s="35"/>
      <c r="C538" s="35"/>
      <c r="D538" s="35"/>
      <c r="E538" s="35"/>
      <c r="F538" s="36"/>
      <c r="G538" s="37"/>
      <c r="H538" s="37"/>
      <c r="I538" s="37"/>
      <c r="J538" s="38"/>
      <c r="K538" s="39"/>
      <c r="L538" s="40" t="str">
        <f aca="false">IF(OR($J538="",$K538=""),"",$J538+MATCH($K538,Listas!$F$5:$F$11,0)-1)</f>
        <v/>
      </c>
      <c r="M538" s="41"/>
      <c r="N538" s="36"/>
      <c r="O538" s="41"/>
      <c r="P538" s="35"/>
      <c r="Q538" s="35"/>
      <c r="R538" s="42" t="str">
        <f aca="true">IF($E538="","",IF($N538="Cancelada","Cancelada",IF(OR($M538&lt;&gt;"",$N538="Concluída"),IF(OR($L538="",$M538="",$M538&lt;=$L538),"Concluída","Concluída com atraso"),IF($L538="","Na carteira",IF($L538&lt;TODAY(),"VENCIDA",IF($N538="Em execução","Em execução",IF($L538=TODAY(),"Hoje","Programada")))))))</f>
        <v/>
      </c>
      <c r="S538" s="34" t="str">
        <f aca="false">IF($E538="","",IF(ISNUMBER(SEARCH("(externo)",$G538&amp;$H538&amp;$I538)),"Terceirizada","Interna"))</f>
        <v/>
      </c>
      <c r="T538" s="40" t="str">
        <f aca="false">IF($L538="","",IF($O538="",$L538,$O538))</f>
        <v/>
      </c>
      <c r="U538" s="34" t="str">
        <f aca="false">IF($E538="","",IF(OR($M538="",$L538=""),0,IF($M538&lt;=$L538,1,0)))</f>
        <v/>
      </c>
      <c r="V538" s="34" t="str">
        <f aca="false">IF($E538="","",IF(OR($M538="",$T538=""),0,IF($M538&lt;=$T538,1,0)))</f>
        <v/>
      </c>
      <c r="W538" s="42" t="str">
        <f aca="false">IF(OR($M538="",$L538=""),"",MAX(0,$M538-$L538))</f>
        <v/>
      </c>
      <c r="X538" s="34" t="str">
        <f aca="false">IF($E538="","",IF(AND($O538&lt;&gt;"",$L538&lt;&gt;"",$O538&lt;&gt;$L538),1,0))</f>
        <v/>
      </c>
      <c r="Y538" s="34" t="str">
        <f aca="false">IF($E538="","",IF($N538="Cancelada",0,IF(OR($M538&lt;&gt;"",$N538="Concluída"),1,0)))</f>
        <v/>
      </c>
    </row>
    <row r="539" customFormat="false" ht="15" hidden="false" customHeight="true" outlineLevel="0" collapsed="false">
      <c r="A539" s="34" t="str">
        <f aca="false">IF($E539="","",COUNTA($E$5:$E539))</f>
        <v/>
      </c>
      <c r="B539" s="35"/>
      <c r="C539" s="35"/>
      <c r="D539" s="35"/>
      <c r="E539" s="35"/>
      <c r="F539" s="36"/>
      <c r="G539" s="37"/>
      <c r="H539" s="37"/>
      <c r="I539" s="37"/>
      <c r="J539" s="38"/>
      <c r="K539" s="39"/>
      <c r="L539" s="40" t="str">
        <f aca="false">IF(OR($J539="",$K539=""),"",$J539+MATCH($K539,Listas!$F$5:$F$11,0)-1)</f>
        <v/>
      </c>
      <c r="M539" s="41"/>
      <c r="N539" s="36"/>
      <c r="O539" s="41"/>
      <c r="P539" s="35"/>
      <c r="Q539" s="35"/>
      <c r="R539" s="42" t="str">
        <f aca="true">IF($E539="","",IF($N539="Cancelada","Cancelada",IF(OR($M539&lt;&gt;"",$N539="Concluída"),IF(OR($L539="",$M539="",$M539&lt;=$L539),"Concluída","Concluída com atraso"),IF($L539="","Na carteira",IF($L539&lt;TODAY(),"VENCIDA",IF($N539="Em execução","Em execução",IF($L539=TODAY(),"Hoje","Programada")))))))</f>
        <v/>
      </c>
      <c r="S539" s="34" t="str">
        <f aca="false">IF($E539="","",IF(ISNUMBER(SEARCH("(externo)",$G539&amp;$H539&amp;$I539)),"Terceirizada","Interna"))</f>
        <v/>
      </c>
      <c r="T539" s="40" t="str">
        <f aca="false">IF($L539="","",IF($O539="",$L539,$O539))</f>
        <v/>
      </c>
      <c r="U539" s="34" t="str">
        <f aca="false">IF($E539="","",IF(OR($M539="",$L539=""),0,IF($M539&lt;=$L539,1,0)))</f>
        <v/>
      </c>
      <c r="V539" s="34" t="str">
        <f aca="false">IF($E539="","",IF(OR($M539="",$T539=""),0,IF($M539&lt;=$T539,1,0)))</f>
        <v/>
      </c>
      <c r="W539" s="42" t="str">
        <f aca="false">IF(OR($M539="",$L539=""),"",MAX(0,$M539-$L539))</f>
        <v/>
      </c>
      <c r="X539" s="34" t="str">
        <f aca="false">IF($E539="","",IF(AND($O539&lt;&gt;"",$L539&lt;&gt;"",$O539&lt;&gt;$L539),1,0))</f>
        <v/>
      </c>
      <c r="Y539" s="34" t="str">
        <f aca="false">IF($E539="","",IF($N539="Cancelada",0,IF(OR($M539&lt;&gt;"",$N539="Concluída"),1,0)))</f>
        <v/>
      </c>
    </row>
    <row r="540" customFormat="false" ht="15" hidden="false" customHeight="true" outlineLevel="0" collapsed="false">
      <c r="A540" s="34" t="str">
        <f aca="false">IF($E540="","",COUNTA($E$5:$E540))</f>
        <v/>
      </c>
      <c r="B540" s="35"/>
      <c r="C540" s="35"/>
      <c r="D540" s="35"/>
      <c r="E540" s="35"/>
      <c r="F540" s="36"/>
      <c r="G540" s="37"/>
      <c r="H540" s="37"/>
      <c r="I540" s="37"/>
      <c r="J540" s="38"/>
      <c r="K540" s="39"/>
      <c r="L540" s="40" t="str">
        <f aca="false">IF(OR($J540="",$K540=""),"",$J540+MATCH($K540,Listas!$F$5:$F$11,0)-1)</f>
        <v/>
      </c>
      <c r="M540" s="41"/>
      <c r="N540" s="36"/>
      <c r="O540" s="41"/>
      <c r="P540" s="35"/>
      <c r="Q540" s="35"/>
      <c r="R540" s="42" t="str">
        <f aca="true">IF($E540="","",IF($N540="Cancelada","Cancelada",IF(OR($M540&lt;&gt;"",$N540="Concluída"),IF(OR($L540="",$M540="",$M540&lt;=$L540),"Concluída","Concluída com atraso"),IF($L540="","Na carteira",IF($L540&lt;TODAY(),"VENCIDA",IF($N540="Em execução","Em execução",IF($L540=TODAY(),"Hoje","Programada")))))))</f>
        <v/>
      </c>
      <c r="S540" s="34" t="str">
        <f aca="false">IF($E540="","",IF(ISNUMBER(SEARCH("(externo)",$G540&amp;$H540&amp;$I540)),"Terceirizada","Interna"))</f>
        <v/>
      </c>
      <c r="T540" s="40" t="str">
        <f aca="false">IF($L540="","",IF($O540="",$L540,$O540))</f>
        <v/>
      </c>
      <c r="U540" s="34" t="str">
        <f aca="false">IF($E540="","",IF(OR($M540="",$L540=""),0,IF($M540&lt;=$L540,1,0)))</f>
        <v/>
      </c>
      <c r="V540" s="34" t="str">
        <f aca="false">IF($E540="","",IF(OR($M540="",$T540=""),0,IF($M540&lt;=$T540,1,0)))</f>
        <v/>
      </c>
      <c r="W540" s="42" t="str">
        <f aca="false">IF(OR($M540="",$L540=""),"",MAX(0,$M540-$L540))</f>
        <v/>
      </c>
      <c r="X540" s="34" t="str">
        <f aca="false">IF($E540="","",IF(AND($O540&lt;&gt;"",$L540&lt;&gt;"",$O540&lt;&gt;$L540),1,0))</f>
        <v/>
      </c>
      <c r="Y540" s="34" t="str">
        <f aca="false">IF($E540="","",IF($N540="Cancelada",0,IF(OR($M540&lt;&gt;"",$N540="Concluída"),1,0)))</f>
        <v/>
      </c>
    </row>
    <row r="541" customFormat="false" ht="15" hidden="false" customHeight="true" outlineLevel="0" collapsed="false">
      <c r="A541" s="34" t="str">
        <f aca="false">IF($E541="","",COUNTA($E$5:$E541))</f>
        <v/>
      </c>
      <c r="B541" s="35"/>
      <c r="C541" s="35"/>
      <c r="D541" s="35"/>
      <c r="E541" s="35"/>
      <c r="F541" s="36"/>
      <c r="G541" s="37"/>
      <c r="H541" s="37"/>
      <c r="I541" s="37"/>
      <c r="J541" s="38"/>
      <c r="K541" s="39"/>
      <c r="L541" s="40" t="str">
        <f aca="false">IF(OR($J541="",$K541=""),"",$J541+MATCH($K541,Listas!$F$5:$F$11,0)-1)</f>
        <v/>
      </c>
      <c r="M541" s="41"/>
      <c r="N541" s="36"/>
      <c r="O541" s="41"/>
      <c r="P541" s="35"/>
      <c r="Q541" s="35"/>
      <c r="R541" s="42" t="str">
        <f aca="true">IF($E541="","",IF($N541="Cancelada","Cancelada",IF(OR($M541&lt;&gt;"",$N541="Concluída"),IF(OR($L541="",$M541="",$M541&lt;=$L541),"Concluída","Concluída com atraso"),IF($L541="","Na carteira",IF($L541&lt;TODAY(),"VENCIDA",IF($N541="Em execução","Em execução",IF($L541=TODAY(),"Hoje","Programada")))))))</f>
        <v/>
      </c>
      <c r="S541" s="34" t="str">
        <f aca="false">IF($E541="","",IF(ISNUMBER(SEARCH("(externo)",$G541&amp;$H541&amp;$I541)),"Terceirizada","Interna"))</f>
        <v/>
      </c>
      <c r="T541" s="40" t="str">
        <f aca="false">IF($L541="","",IF($O541="",$L541,$O541))</f>
        <v/>
      </c>
      <c r="U541" s="34" t="str">
        <f aca="false">IF($E541="","",IF(OR($M541="",$L541=""),0,IF($M541&lt;=$L541,1,0)))</f>
        <v/>
      </c>
      <c r="V541" s="34" t="str">
        <f aca="false">IF($E541="","",IF(OR($M541="",$T541=""),0,IF($M541&lt;=$T541,1,0)))</f>
        <v/>
      </c>
      <c r="W541" s="42" t="str">
        <f aca="false">IF(OR($M541="",$L541=""),"",MAX(0,$M541-$L541))</f>
        <v/>
      </c>
      <c r="X541" s="34" t="str">
        <f aca="false">IF($E541="","",IF(AND($O541&lt;&gt;"",$L541&lt;&gt;"",$O541&lt;&gt;$L541),1,0))</f>
        <v/>
      </c>
      <c r="Y541" s="34" t="str">
        <f aca="false">IF($E541="","",IF($N541="Cancelada",0,IF(OR($M541&lt;&gt;"",$N541="Concluída"),1,0)))</f>
        <v/>
      </c>
    </row>
    <row r="542" customFormat="false" ht="15" hidden="false" customHeight="true" outlineLevel="0" collapsed="false">
      <c r="A542" s="34" t="str">
        <f aca="false">IF($E542="","",COUNTA($E$5:$E542))</f>
        <v/>
      </c>
      <c r="B542" s="35"/>
      <c r="C542" s="35"/>
      <c r="D542" s="35"/>
      <c r="E542" s="35"/>
      <c r="F542" s="36"/>
      <c r="G542" s="37"/>
      <c r="H542" s="37"/>
      <c r="I542" s="37"/>
      <c r="J542" s="38"/>
      <c r="K542" s="39"/>
      <c r="L542" s="40" t="str">
        <f aca="false">IF(OR($J542="",$K542=""),"",$J542+MATCH($K542,Listas!$F$5:$F$11,0)-1)</f>
        <v/>
      </c>
      <c r="M542" s="41"/>
      <c r="N542" s="36"/>
      <c r="O542" s="41"/>
      <c r="P542" s="35"/>
      <c r="Q542" s="35"/>
      <c r="R542" s="42" t="str">
        <f aca="true">IF($E542="","",IF($N542="Cancelada","Cancelada",IF(OR($M542&lt;&gt;"",$N542="Concluída"),IF(OR($L542="",$M542="",$M542&lt;=$L542),"Concluída","Concluída com atraso"),IF($L542="","Na carteira",IF($L542&lt;TODAY(),"VENCIDA",IF($N542="Em execução","Em execução",IF($L542=TODAY(),"Hoje","Programada")))))))</f>
        <v/>
      </c>
      <c r="S542" s="34" t="str">
        <f aca="false">IF($E542="","",IF(ISNUMBER(SEARCH("(externo)",$G542&amp;$H542&amp;$I542)),"Terceirizada","Interna"))</f>
        <v/>
      </c>
      <c r="T542" s="40" t="str">
        <f aca="false">IF($L542="","",IF($O542="",$L542,$O542))</f>
        <v/>
      </c>
      <c r="U542" s="34" t="str">
        <f aca="false">IF($E542="","",IF(OR($M542="",$L542=""),0,IF($M542&lt;=$L542,1,0)))</f>
        <v/>
      </c>
      <c r="V542" s="34" t="str">
        <f aca="false">IF($E542="","",IF(OR($M542="",$T542=""),0,IF($M542&lt;=$T542,1,0)))</f>
        <v/>
      </c>
      <c r="W542" s="42" t="str">
        <f aca="false">IF(OR($M542="",$L542=""),"",MAX(0,$M542-$L542))</f>
        <v/>
      </c>
      <c r="X542" s="34" t="str">
        <f aca="false">IF($E542="","",IF(AND($O542&lt;&gt;"",$L542&lt;&gt;"",$O542&lt;&gt;$L542),1,0))</f>
        <v/>
      </c>
      <c r="Y542" s="34" t="str">
        <f aca="false">IF($E542="","",IF($N542="Cancelada",0,IF(OR($M542&lt;&gt;"",$N542="Concluída"),1,0)))</f>
        <v/>
      </c>
    </row>
    <row r="543" customFormat="false" ht="15" hidden="false" customHeight="true" outlineLevel="0" collapsed="false">
      <c r="A543" s="34" t="str">
        <f aca="false">IF($E543="","",COUNTA($E$5:$E543))</f>
        <v/>
      </c>
      <c r="B543" s="35"/>
      <c r="C543" s="35"/>
      <c r="D543" s="35"/>
      <c r="E543" s="35"/>
      <c r="F543" s="36"/>
      <c r="G543" s="37"/>
      <c r="H543" s="37"/>
      <c r="I543" s="37"/>
      <c r="J543" s="38"/>
      <c r="K543" s="39"/>
      <c r="L543" s="40" t="str">
        <f aca="false">IF(OR($J543="",$K543=""),"",$J543+MATCH($K543,Listas!$F$5:$F$11,0)-1)</f>
        <v/>
      </c>
      <c r="M543" s="41"/>
      <c r="N543" s="36"/>
      <c r="O543" s="41"/>
      <c r="P543" s="35"/>
      <c r="Q543" s="35"/>
      <c r="R543" s="42" t="str">
        <f aca="true">IF($E543="","",IF($N543="Cancelada","Cancelada",IF(OR($M543&lt;&gt;"",$N543="Concluída"),IF(OR($L543="",$M543="",$M543&lt;=$L543),"Concluída","Concluída com atraso"),IF($L543="","Na carteira",IF($L543&lt;TODAY(),"VENCIDA",IF($N543="Em execução","Em execução",IF($L543=TODAY(),"Hoje","Programada")))))))</f>
        <v/>
      </c>
      <c r="S543" s="34" t="str">
        <f aca="false">IF($E543="","",IF(ISNUMBER(SEARCH("(externo)",$G543&amp;$H543&amp;$I543)),"Terceirizada","Interna"))</f>
        <v/>
      </c>
      <c r="T543" s="40" t="str">
        <f aca="false">IF($L543="","",IF($O543="",$L543,$O543))</f>
        <v/>
      </c>
      <c r="U543" s="34" t="str">
        <f aca="false">IF($E543="","",IF(OR($M543="",$L543=""),0,IF($M543&lt;=$L543,1,0)))</f>
        <v/>
      </c>
      <c r="V543" s="34" t="str">
        <f aca="false">IF($E543="","",IF(OR($M543="",$T543=""),0,IF($M543&lt;=$T543,1,0)))</f>
        <v/>
      </c>
      <c r="W543" s="42" t="str">
        <f aca="false">IF(OR($M543="",$L543=""),"",MAX(0,$M543-$L543))</f>
        <v/>
      </c>
      <c r="X543" s="34" t="str">
        <f aca="false">IF($E543="","",IF(AND($O543&lt;&gt;"",$L543&lt;&gt;"",$O543&lt;&gt;$L543),1,0))</f>
        <v/>
      </c>
      <c r="Y543" s="34" t="str">
        <f aca="false">IF($E543="","",IF($N543="Cancelada",0,IF(OR($M543&lt;&gt;"",$N543="Concluída"),1,0)))</f>
        <v/>
      </c>
    </row>
    <row r="544" customFormat="false" ht="15" hidden="false" customHeight="true" outlineLevel="0" collapsed="false">
      <c r="A544" s="34" t="str">
        <f aca="false">IF($E544="","",COUNTA($E$5:$E544))</f>
        <v/>
      </c>
      <c r="B544" s="35"/>
      <c r="C544" s="35"/>
      <c r="D544" s="35"/>
      <c r="E544" s="35"/>
      <c r="F544" s="36"/>
      <c r="G544" s="37"/>
      <c r="H544" s="37"/>
      <c r="I544" s="37"/>
      <c r="J544" s="38"/>
      <c r="K544" s="39"/>
      <c r="L544" s="40" t="str">
        <f aca="false">IF(OR($J544="",$K544=""),"",$J544+MATCH($K544,Listas!$F$5:$F$11,0)-1)</f>
        <v/>
      </c>
      <c r="M544" s="41"/>
      <c r="N544" s="36"/>
      <c r="O544" s="41"/>
      <c r="P544" s="35"/>
      <c r="Q544" s="35"/>
      <c r="R544" s="42" t="str">
        <f aca="true">IF($E544="","",IF($N544="Cancelada","Cancelada",IF(OR($M544&lt;&gt;"",$N544="Concluída"),IF(OR($L544="",$M544="",$M544&lt;=$L544),"Concluída","Concluída com atraso"),IF($L544="","Na carteira",IF($L544&lt;TODAY(),"VENCIDA",IF($N544="Em execução","Em execução",IF($L544=TODAY(),"Hoje","Programada")))))))</f>
        <v/>
      </c>
      <c r="S544" s="34" t="str">
        <f aca="false">IF($E544="","",IF(ISNUMBER(SEARCH("(externo)",$G544&amp;$H544&amp;$I544)),"Terceirizada","Interna"))</f>
        <v/>
      </c>
      <c r="T544" s="40" t="str">
        <f aca="false">IF($L544="","",IF($O544="",$L544,$O544))</f>
        <v/>
      </c>
      <c r="U544" s="34" t="str">
        <f aca="false">IF($E544="","",IF(OR($M544="",$L544=""),0,IF($M544&lt;=$L544,1,0)))</f>
        <v/>
      </c>
      <c r="V544" s="34" t="str">
        <f aca="false">IF($E544="","",IF(OR($M544="",$T544=""),0,IF($M544&lt;=$T544,1,0)))</f>
        <v/>
      </c>
      <c r="W544" s="42" t="str">
        <f aca="false">IF(OR($M544="",$L544=""),"",MAX(0,$M544-$L544))</f>
        <v/>
      </c>
      <c r="X544" s="34" t="str">
        <f aca="false">IF($E544="","",IF(AND($O544&lt;&gt;"",$L544&lt;&gt;"",$O544&lt;&gt;$L544),1,0))</f>
        <v/>
      </c>
      <c r="Y544" s="34" t="str">
        <f aca="false">IF($E544="","",IF($N544="Cancelada",0,IF(OR($M544&lt;&gt;"",$N544="Concluída"),1,0)))</f>
        <v/>
      </c>
    </row>
    <row r="545" customFormat="false" ht="15" hidden="false" customHeight="true" outlineLevel="0" collapsed="false">
      <c r="A545" s="34" t="str">
        <f aca="false">IF($E545="","",COUNTA($E$5:$E545))</f>
        <v/>
      </c>
      <c r="B545" s="35"/>
      <c r="C545" s="35"/>
      <c r="D545" s="35"/>
      <c r="E545" s="35"/>
      <c r="F545" s="36"/>
      <c r="G545" s="37"/>
      <c r="H545" s="37"/>
      <c r="I545" s="37"/>
      <c r="J545" s="38"/>
      <c r="K545" s="39"/>
      <c r="L545" s="40" t="str">
        <f aca="false">IF(OR($J545="",$K545=""),"",$J545+MATCH($K545,Listas!$F$5:$F$11,0)-1)</f>
        <v/>
      </c>
      <c r="M545" s="41"/>
      <c r="N545" s="36"/>
      <c r="O545" s="41"/>
      <c r="P545" s="35"/>
      <c r="Q545" s="35"/>
      <c r="R545" s="42" t="str">
        <f aca="true">IF($E545="","",IF($N545="Cancelada","Cancelada",IF(OR($M545&lt;&gt;"",$N545="Concluída"),IF(OR($L545="",$M545="",$M545&lt;=$L545),"Concluída","Concluída com atraso"),IF($L545="","Na carteira",IF($L545&lt;TODAY(),"VENCIDA",IF($N545="Em execução","Em execução",IF($L545=TODAY(),"Hoje","Programada")))))))</f>
        <v/>
      </c>
      <c r="S545" s="34" t="str">
        <f aca="false">IF($E545="","",IF(ISNUMBER(SEARCH("(externo)",$G545&amp;$H545&amp;$I545)),"Terceirizada","Interna"))</f>
        <v/>
      </c>
      <c r="T545" s="40" t="str">
        <f aca="false">IF($L545="","",IF($O545="",$L545,$O545))</f>
        <v/>
      </c>
      <c r="U545" s="34" t="str">
        <f aca="false">IF($E545="","",IF(OR($M545="",$L545=""),0,IF($M545&lt;=$L545,1,0)))</f>
        <v/>
      </c>
      <c r="V545" s="34" t="str">
        <f aca="false">IF($E545="","",IF(OR($M545="",$T545=""),0,IF($M545&lt;=$T545,1,0)))</f>
        <v/>
      </c>
      <c r="W545" s="42" t="str">
        <f aca="false">IF(OR($M545="",$L545=""),"",MAX(0,$M545-$L545))</f>
        <v/>
      </c>
      <c r="X545" s="34" t="str">
        <f aca="false">IF($E545="","",IF(AND($O545&lt;&gt;"",$L545&lt;&gt;"",$O545&lt;&gt;$L545),1,0))</f>
        <v/>
      </c>
      <c r="Y545" s="34" t="str">
        <f aca="false">IF($E545="","",IF($N545="Cancelada",0,IF(OR($M545&lt;&gt;"",$N545="Concluída"),1,0)))</f>
        <v/>
      </c>
    </row>
    <row r="546" customFormat="false" ht="15" hidden="false" customHeight="true" outlineLevel="0" collapsed="false">
      <c r="A546" s="34" t="str">
        <f aca="false">IF($E546="","",COUNTA($E$5:$E546))</f>
        <v/>
      </c>
      <c r="B546" s="35"/>
      <c r="C546" s="35"/>
      <c r="D546" s="35"/>
      <c r="E546" s="35"/>
      <c r="F546" s="36"/>
      <c r="G546" s="37"/>
      <c r="H546" s="37"/>
      <c r="I546" s="37"/>
      <c r="J546" s="38"/>
      <c r="K546" s="39"/>
      <c r="L546" s="40" t="str">
        <f aca="false">IF(OR($J546="",$K546=""),"",$J546+MATCH($K546,Listas!$F$5:$F$11,0)-1)</f>
        <v/>
      </c>
      <c r="M546" s="41"/>
      <c r="N546" s="36"/>
      <c r="O546" s="41"/>
      <c r="P546" s="35"/>
      <c r="Q546" s="35"/>
      <c r="R546" s="42" t="str">
        <f aca="true">IF($E546="","",IF($N546="Cancelada","Cancelada",IF(OR($M546&lt;&gt;"",$N546="Concluída"),IF(OR($L546="",$M546="",$M546&lt;=$L546),"Concluída","Concluída com atraso"),IF($L546="","Na carteira",IF($L546&lt;TODAY(),"VENCIDA",IF($N546="Em execução","Em execução",IF($L546=TODAY(),"Hoje","Programada")))))))</f>
        <v/>
      </c>
      <c r="S546" s="34" t="str">
        <f aca="false">IF($E546="","",IF(ISNUMBER(SEARCH("(externo)",$G546&amp;$H546&amp;$I546)),"Terceirizada","Interna"))</f>
        <v/>
      </c>
      <c r="T546" s="40" t="str">
        <f aca="false">IF($L546="","",IF($O546="",$L546,$O546))</f>
        <v/>
      </c>
      <c r="U546" s="34" t="str">
        <f aca="false">IF($E546="","",IF(OR($M546="",$L546=""),0,IF($M546&lt;=$L546,1,0)))</f>
        <v/>
      </c>
      <c r="V546" s="34" t="str">
        <f aca="false">IF($E546="","",IF(OR($M546="",$T546=""),0,IF($M546&lt;=$T546,1,0)))</f>
        <v/>
      </c>
      <c r="W546" s="42" t="str">
        <f aca="false">IF(OR($M546="",$L546=""),"",MAX(0,$M546-$L546))</f>
        <v/>
      </c>
      <c r="X546" s="34" t="str">
        <f aca="false">IF($E546="","",IF(AND($O546&lt;&gt;"",$L546&lt;&gt;"",$O546&lt;&gt;$L546),1,0))</f>
        <v/>
      </c>
      <c r="Y546" s="34" t="str">
        <f aca="false">IF($E546="","",IF($N546="Cancelada",0,IF(OR($M546&lt;&gt;"",$N546="Concluída"),1,0)))</f>
        <v/>
      </c>
    </row>
    <row r="547" customFormat="false" ht="15" hidden="false" customHeight="true" outlineLevel="0" collapsed="false">
      <c r="A547" s="34" t="str">
        <f aca="false">IF($E547="","",COUNTA($E$5:$E547))</f>
        <v/>
      </c>
      <c r="B547" s="35"/>
      <c r="C547" s="35"/>
      <c r="D547" s="35"/>
      <c r="E547" s="35"/>
      <c r="F547" s="36"/>
      <c r="G547" s="37"/>
      <c r="H547" s="37"/>
      <c r="I547" s="37"/>
      <c r="J547" s="38"/>
      <c r="K547" s="39"/>
      <c r="L547" s="40" t="str">
        <f aca="false">IF(OR($J547="",$K547=""),"",$J547+MATCH($K547,Listas!$F$5:$F$11,0)-1)</f>
        <v/>
      </c>
      <c r="M547" s="41"/>
      <c r="N547" s="36"/>
      <c r="O547" s="41"/>
      <c r="P547" s="35"/>
      <c r="Q547" s="35"/>
      <c r="R547" s="42" t="str">
        <f aca="true">IF($E547="","",IF($N547="Cancelada","Cancelada",IF(OR($M547&lt;&gt;"",$N547="Concluída"),IF(OR($L547="",$M547="",$M547&lt;=$L547),"Concluída","Concluída com atraso"),IF($L547="","Na carteira",IF($L547&lt;TODAY(),"VENCIDA",IF($N547="Em execução","Em execução",IF($L547=TODAY(),"Hoje","Programada")))))))</f>
        <v/>
      </c>
      <c r="S547" s="34" t="str">
        <f aca="false">IF($E547="","",IF(ISNUMBER(SEARCH("(externo)",$G547&amp;$H547&amp;$I547)),"Terceirizada","Interna"))</f>
        <v/>
      </c>
      <c r="T547" s="40" t="str">
        <f aca="false">IF($L547="","",IF($O547="",$L547,$O547))</f>
        <v/>
      </c>
      <c r="U547" s="34" t="str">
        <f aca="false">IF($E547="","",IF(OR($M547="",$L547=""),0,IF($M547&lt;=$L547,1,0)))</f>
        <v/>
      </c>
      <c r="V547" s="34" t="str">
        <f aca="false">IF($E547="","",IF(OR($M547="",$T547=""),0,IF($M547&lt;=$T547,1,0)))</f>
        <v/>
      </c>
      <c r="W547" s="42" t="str">
        <f aca="false">IF(OR($M547="",$L547=""),"",MAX(0,$M547-$L547))</f>
        <v/>
      </c>
      <c r="X547" s="34" t="str">
        <f aca="false">IF($E547="","",IF(AND($O547&lt;&gt;"",$L547&lt;&gt;"",$O547&lt;&gt;$L547),1,0))</f>
        <v/>
      </c>
      <c r="Y547" s="34" t="str">
        <f aca="false">IF($E547="","",IF($N547="Cancelada",0,IF(OR($M547&lt;&gt;"",$N547="Concluída"),1,0)))</f>
        <v/>
      </c>
    </row>
    <row r="548" customFormat="false" ht="15" hidden="false" customHeight="true" outlineLevel="0" collapsed="false">
      <c r="A548" s="34" t="str">
        <f aca="false">IF($E548="","",COUNTA($E$5:$E548))</f>
        <v/>
      </c>
      <c r="B548" s="35"/>
      <c r="C548" s="35"/>
      <c r="D548" s="35"/>
      <c r="E548" s="35"/>
      <c r="F548" s="36"/>
      <c r="G548" s="37"/>
      <c r="H548" s="37"/>
      <c r="I548" s="37"/>
      <c r="J548" s="38"/>
      <c r="K548" s="39"/>
      <c r="L548" s="40" t="str">
        <f aca="false">IF(OR($J548="",$K548=""),"",$J548+MATCH($K548,Listas!$F$5:$F$11,0)-1)</f>
        <v/>
      </c>
      <c r="M548" s="41"/>
      <c r="N548" s="36"/>
      <c r="O548" s="41"/>
      <c r="P548" s="35"/>
      <c r="Q548" s="35"/>
      <c r="R548" s="42" t="str">
        <f aca="true">IF($E548="","",IF($N548="Cancelada","Cancelada",IF(OR($M548&lt;&gt;"",$N548="Concluída"),IF(OR($L548="",$M548="",$M548&lt;=$L548),"Concluída","Concluída com atraso"),IF($L548="","Na carteira",IF($L548&lt;TODAY(),"VENCIDA",IF($N548="Em execução","Em execução",IF($L548=TODAY(),"Hoje","Programada")))))))</f>
        <v/>
      </c>
      <c r="S548" s="34" t="str">
        <f aca="false">IF($E548="","",IF(ISNUMBER(SEARCH("(externo)",$G548&amp;$H548&amp;$I548)),"Terceirizada","Interna"))</f>
        <v/>
      </c>
      <c r="T548" s="40" t="str">
        <f aca="false">IF($L548="","",IF($O548="",$L548,$O548))</f>
        <v/>
      </c>
      <c r="U548" s="34" t="str">
        <f aca="false">IF($E548="","",IF(OR($M548="",$L548=""),0,IF($M548&lt;=$L548,1,0)))</f>
        <v/>
      </c>
      <c r="V548" s="34" t="str">
        <f aca="false">IF($E548="","",IF(OR($M548="",$T548=""),0,IF($M548&lt;=$T548,1,0)))</f>
        <v/>
      </c>
      <c r="W548" s="42" t="str">
        <f aca="false">IF(OR($M548="",$L548=""),"",MAX(0,$M548-$L548))</f>
        <v/>
      </c>
      <c r="X548" s="34" t="str">
        <f aca="false">IF($E548="","",IF(AND($O548&lt;&gt;"",$L548&lt;&gt;"",$O548&lt;&gt;$L548),1,0))</f>
        <v/>
      </c>
      <c r="Y548" s="34" t="str">
        <f aca="false">IF($E548="","",IF($N548="Cancelada",0,IF(OR($M548&lt;&gt;"",$N548="Concluída"),1,0)))</f>
        <v/>
      </c>
    </row>
    <row r="549" customFormat="false" ht="15" hidden="false" customHeight="true" outlineLevel="0" collapsed="false">
      <c r="A549" s="34" t="str">
        <f aca="false">IF($E549="","",COUNTA($E$5:$E549))</f>
        <v/>
      </c>
      <c r="B549" s="35"/>
      <c r="C549" s="35"/>
      <c r="D549" s="35"/>
      <c r="E549" s="35"/>
      <c r="F549" s="36"/>
      <c r="G549" s="37"/>
      <c r="H549" s="37"/>
      <c r="I549" s="37"/>
      <c r="J549" s="38"/>
      <c r="K549" s="39"/>
      <c r="L549" s="40" t="str">
        <f aca="false">IF(OR($J549="",$K549=""),"",$J549+MATCH($K549,Listas!$F$5:$F$11,0)-1)</f>
        <v/>
      </c>
      <c r="M549" s="41"/>
      <c r="N549" s="36"/>
      <c r="O549" s="41"/>
      <c r="P549" s="35"/>
      <c r="Q549" s="35"/>
      <c r="R549" s="42" t="str">
        <f aca="true">IF($E549="","",IF($N549="Cancelada","Cancelada",IF(OR($M549&lt;&gt;"",$N549="Concluída"),IF(OR($L549="",$M549="",$M549&lt;=$L549),"Concluída","Concluída com atraso"),IF($L549="","Na carteira",IF($L549&lt;TODAY(),"VENCIDA",IF($N549="Em execução","Em execução",IF($L549=TODAY(),"Hoje","Programada")))))))</f>
        <v/>
      </c>
      <c r="S549" s="34" t="str">
        <f aca="false">IF($E549="","",IF(ISNUMBER(SEARCH("(externo)",$G549&amp;$H549&amp;$I549)),"Terceirizada","Interna"))</f>
        <v/>
      </c>
      <c r="T549" s="40" t="str">
        <f aca="false">IF($L549="","",IF($O549="",$L549,$O549))</f>
        <v/>
      </c>
      <c r="U549" s="34" t="str">
        <f aca="false">IF($E549="","",IF(OR($M549="",$L549=""),0,IF($M549&lt;=$L549,1,0)))</f>
        <v/>
      </c>
      <c r="V549" s="34" t="str">
        <f aca="false">IF($E549="","",IF(OR($M549="",$T549=""),0,IF($M549&lt;=$T549,1,0)))</f>
        <v/>
      </c>
      <c r="W549" s="42" t="str">
        <f aca="false">IF(OR($M549="",$L549=""),"",MAX(0,$M549-$L549))</f>
        <v/>
      </c>
      <c r="X549" s="34" t="str">
        <f aca="false">IF($E549="","",IF(AND($O549&lt;&gt;"",$L549&lt;&gt;"",$O549&lt;&gt;$L549),1,0))</f>
        <v/>
      </c>
      <c r="Y549" s="34" t="str">
        <f aca="false">IF($E549="","",IF($N549="Cancelada",0,IF(OR($M549&lt;&gt;"",$N549="Concluída"),1,0)))</f>
        <v/>
      </c>
    </row>
    <row r="550" customFormat="false" ht="15" hidden="false" customHeight="true" outlineLevel="0" collapsed="false">
      <c r="A550" s="34" t="str">
        <f aca="false">IF($E550="","",COUNTA($E$5:$E550))</f>
        <v/>
      </c>
      <c r="B550" s="35"/>
      <c r="C550" s="35"/>
      <c r="D550" s="35"/>
      <c r="E550" s="35"/>
      <c r="F550" s="36"/>
      <c r="G550" s="37"/>
      <c r="H550" s="37"/>
      <c r="I550" s="37"/>
      <c r="J550" s="38"/>
      <c r="K550" s="39"/>
      <c r="L550" s="40" t="str">
        <f aca="false">IF(OR($J550="",$K550=""),"",$J550+MATCH($K550,Listas!$F$5:$F$11,0)-1)</f>
        <v/>
      </c>
      <c r="M550" s="41"/>
      <c r="N550" s="36"/>
      <c r="O550" s="41"/>
      <c r="P550" s="35"/>
      <c r="Q550" s="35"/>
      <c r="R550" s="42" t="str">
        <f aca="true">IF($E550="","",IF($N550="Cancelada","Cancelada",IF(OR($M550&lt;&gt;"",$N550="Concluída"),IF(OR($L550="",$M550="",$M550&lt;=$L550),"Concluída","Concluída com atraso"),IF($L550="","Na carteira",IF($L550&lt;TODAY(),"VENCIDA",IF($N550="Em execução","Em execução",IF($L550=TODAY(),"Hoje","Programada")))))))</f>
        <v/>
      </c>
      <c r="S550" s="34" t="str">
        <f aca="false">IF($E550="","",IF(ISNUMBER(SEARCH("(externo)",$G550&amp;$H550&amp;$I550)),"Terceirizada","Interna"))</f>
        <v/>
      </c>
      <c r="T550" s="40" t="str">
        <f aca="false">IF($L550="","",IF($O550="",$L550,$O550))</f>
        <v/>
      </c>
      <c r="U550" s="34" t="str">
        <f aca="false">IF($E550="","",IF(OR($M550="",$L550=""),0,IF($M550&lt;=$L550,1,0)))</f>
        <v/>
      </c>
      <c r="V550" s="34" t="str">
        <f aca="false">IF($E550="","",IF(OR($M550="",$T550=""),0,IF($M550&lt;=$T550,1,0)))</f>
        <v/>
      </c>
      <c r="W550" s="42" t="str">
        <f aca="false">IF(OR($M550="",$L550=""),"",MAX(0,$M550-$L550))</f>
        <v/>
      </c>
      <c r="X550" s="34" t="str">
        <f aca="false">IF($E550="","",IF(AND($O550&lt;&gt;"",$L550&lt;&gt;"",$O550&lt;&gt;$L550),1,0))</f>
        <v/>
      </c>
      <c r="Y550" s="34" t="str">
        <f aca="false">IF($E550="","",IF($N550="Cancelada",0,IF(OR($M550&lt;&gt;"",$N550="Concluída"),1,0)))</f>
        <v/>
      </c>
    </row>
    <row r="551" customFormat="false" ht="15" hidden="false" customHeight="true" outlineLevel="0" collapsed="false">
      <c r="A551" s="34" t="str">
        <f aca="false">IF($E551="","",COUNTA($E$5:$E551))</f>
        <v/>
      </c>
      <c r="B551" s="35"/>
      <c r="C551" s="35"/>
      <c r="D551" s="35"/>
      <c r="E551" s="35"/>
      <c r="F551" s="36"/>
      <c r="G551" s="37"/>
      <c r="H551" s="37"/>
      <c r="I551" s="37"/>
      <c r="J551" s="38"/>
      <c r="K551" s="39"/>
      <c r="L551" s="40" t="str">
        <f aca="false">IF(OR($J551="",$K551=""),"",$J551+MATCH($K551,Listas!$F$5:$F$11,0)-1)</f>
        <v/>
      </c>
      <c r="M551" s="41"/>
      <c r="N551" s="36"/>
      <c r="O551" s="41"/>
      <c r="P551" s="35"/>
      <c r="Q551" s="35"/>
      <c r="R551" s="42" t="str">
        <f aca="true">IF($E551="","",IF($N551="Cancelada","Cancelada",IF(OR($M551&lt;&gt;"",$N551="Concluída"),IF(OR($L551="",$M551="",$M551&lt;=$L551),"Concluída","Concluída com atraso"),IF($L551="","Na carteira",IF($L551&lt;TODAY(),"VENCIDA",IF($N551="Em execução","Em execução",IF($L551=TODAY(),"Hoje","Programada")))))))</f>
        <v/>
      </c>
      <c r="S551" s="34" t="str">
        <f aca="false">IF($E551="","",IF(ISNUMBER(SEARCH("(externo)",$G551&amp;$H551&amp;$I551)),"Terceirizada","Interna"))</f>
        <v/>
      </c>
      <c r="T551" s="40" t="str">
        <f aca="false">IF($L551="","",IF($O551="",$L551,$O551))</f>
        <v/>
      </c>
      <c r="U551" s="34" t="str">
        <f aca="false">IF($E551="","",IF(OR($M551="",$L551=""),0,IF($M551&lt;=$L551,1,0)))</f>
        <v/>
      </c>
      <c r="V551" s="34" t="str">
        <f aca="false">IF($E551="","",IF(OR($M551="",$T551=""),0,IF($M551&lt;=$T551,1,0)))</f>
        <v/>
      </c>
      <c r="W551" s="42" t="str">
        <f aca="false">IF(OR($M551="",$L551=""),"",MAX(0,$M551-$L551))</f>
        <v/>
      </c>
      <c r="X551" s="34" t="str">
        <f aca="false">IF($E551="","",IF(AND($O551&lt;&gt;"",$L551&lt;&gt;"",$O551&lt;&gt;$L551),1,0))</f>
        <v/>
      </c>
      <c r="Y551" s="34" t="str">
        <f aca="false">IF($E551="","",IF($N551="Cancelada",0,IF(OR($M551&lt;&gt;"",$N551="Concluída"),1,0)))</f>
        <v/>
      </c>
    </row>
    <row r="552" customFormat="false" ht="15" hidden="false" customHeight="true" outlineLevel="0" collapsed="false">
      <c r="A552" s="34" t="str">
        <f aca="false">IF($E552="","",COUNTA($E$5:$E552))</f>
        <v/>
      </c>
      <c r="B552" s="35"/>
      <c r="C552" s="35"/>
      <c r="D552" s="35"/>
      <c r="E552" s="35"/>
      <c r="F552" s="36"/>
      <c r="G552" s="37"/>
      <c r="H552" s="37"/>
      <c r="I552" s="37"/>
      <c r="J552" s="38"/>
      <c r="K552" s="39"/>
      <c r="L552" s="40" t="str">
        <f aca="false">IF(OR($J552="",$K552=""),"",$J552+MATCH($K552,Listas!$F$5:$F$11,0)-1)</f>
        <v/>
      </c>
      <c r="M552" s="41"/>
      <c r="N552" s="36"/>
      <c r="O552" s="41"/>
      <c r="P552" s="35"/>
      <c r="Q552" s="35"/>
      <c r="R552" s="42" t="str">
        <f aca="true">IF($E552="","",IF($N552="Cancelada","Cancelada",IF(OR($M552&lt;&gt;"",$N552="Concluída"),IF(OR($L552="",$M552="",$M552&lt;=$L552),"Concluída","Concluída com atraso"),IF($L552="","Na carteira",IF($L552&lt;TODAY(),"VENCIDA",IF($N552="Em execução","Em execução",IF($L552=TODAY(),"Hoje","Programada")))))))</f>
        <v/>
      </c>
      <c r="S552" s="34" t="str">
        <f aca="false">IF($E552="","",IF(ISNUMBER(SEARCH("(externo)",$G552&amp;$H552&amp;$I552)),"Terceirizada","Interna"))</f>
        <v/>
      </c>
      <c r="T552" s="40" t="str">
        <f aca="false">IF($L552="","",IF($O552="",$L552,$O552))</f>
        <v/>
      </c>
      <c r="U552" s="34" t="str">
        <f aca="false">IF($E552="","",IF(OR($M552="",$L552=""),0,IF($M552&lt;=$L552,1,0)))</f>
        <v/>
      </c>
      <c r="V552" s="34" t="str">
        <f aca="false">IF($E552="","",IF(OR($M552="",$T552=""),0,IF($M552&lt;=$T552,1,0)))</f>
        <v/>
      </c>
      <c r="W552" s="42" t="str">
        <f aca="false">IF(OR($M552="",$L552=""),"",MAX(0,$M552-$L552))</f>
        <v/>
      </c>
      <c r="X552" s="34" t="str">
        <f aca="false">IF($E552="","",IF(AND($O552&lt;&gt;"",$L552&lt;&gt;"",$O552&lt;&gt;$L552),1,0))</f>
        <v/>
      </c>
      <c r="Y552" s="34" t="str">
        <f aca="false">IF($E552="","",IF($N552="Cancelada",0,IF(OR($M552&lt;&gt;"",$N552="Concluída"),1,0)))</f>
        <v/>
      </c>
    </row>
    <row r="553" customFormat="false" ht="15" hidden="false" customHeight="true" outlineLevel="0" collapsed="false">
      <c r="A553" s="34" t="str">
        <f aca="false">IF($E553="","",COUNTA($E$5:$E553))</f>
        <v/>
      </c>
      <c r="B553" s="35"/>
      <c r="C553" s="35"/>
      <c r="D553" s="35"/>
      <c r="E553" s="35"/>
      <c r="F553" s="36"/>
      <c r="G553" s="37"/>
      <c r="H553" s="37"/>
      <c r="I553" s="37"/>
      <c r="J553" s="38"/>
      <c r="K553" s="39"/>
      <c r="L553" s="40" t="str">
        <f aca="false">IF(OR($J553="",$K553=""),"",$J553+MATCH($K553,Listas!$F$5:$F$11,0)-1)</f>
        <v/>
      </c>
      <c r="M553" s="41"/>
      <c r="N553" s="36"/>
      <c r="O553" s="41"/>
      <c r="P553" s="35"/>
      <c r="Q553" s="35"/>
      <c r="R553" s="42" t="str">
        <f aca="true">IF($E553="","",IF($N553="Cancelada","Cancelada",IF(OR($M553&lt;&gt;"",$N553="Concluída"),IF(OR($L553="",$M553="",$M553&lt;=$L553),"Concluída","Concluída com atraso"),IF($L553="","Na carteira",IF($L553&lt;TODAY(),"VENCIDA",IF($N553="Em execução","Em execução",IF($L553=TODAY(),"Hoje","Programada")))))))</f>
        <v/>
      </c>
      <c r="S553" s="34" t="str">
        <f aca="false">IF($E553="","",IF(ISNUMBER(SEARCH("(externo)",$G553&amp;$H553&amp;$I553)),"Terceirizada","Interna"))</f>
        <v/>
      </c>
      <c r="T553" s="40" t="str">
        <f aca="false">IF($L553="","",IF($O553="",$L553,$O553))</f>
        <v/>
      </c>
      <c r="U553" s="34" t="str">
        <f aca="false">IF($E553="","",IF(OR($M553="",$L553=""),0,IF($M553&lt;=$L553,1,0)))</f>
        <v/>
      </c>
      <c r="V553" s="34" t="str">
        <f aca="false">IF($E553="","",IF(OR($M553="",$T553=""),0,IF($M553&lt;=$T553,1,0)))</f>
        <v/>
      </c>
      <c r="W553" s="42" t="str">
        <f aca="false">IF(OR($M553="",$L553=""),"",MAX(0,$M553-$L553))</f>
        <v/>
      </c>
      <c r="X553" s="34" t="str">
        <f aca="false">IF($E553="","",IF(AND($O553&lt;&gt;"",$L553&lt;&gt;"",$O553&lt;&gt;$L553),1,0))</f>
        <v/>
      </c>
      <c r="Y553" s="34" t="str">
        <f aca="false">IF($E553="","",IF($N553="Cancelada",0,IF(OR($M553&lt;&gt;"",$N553="Concluída"),1,0)))</f>
        <v/>
      </c>
    </row>
    <row r="554" customFormat="false" ht="15" hidden="false" customHeight="true" outlineLevel="0" collapsed="false">
      <c r="A554" s="34" t="str">
        <f aca="false">IF($E554="","",COUNTA($E$5:$E554))</f>
        <v/>
      </c>
      <c r="B554" s="35"/>
      <c r="C554" s="35"/>
      <c r="D554" s="35"/>
      <c r="E554" s="35"/>
      <c r="F554" s="36"/>
      <c r="G554" s="37"/>
      <c r="H554" s="37"/>
      <c r="I554" s="37"/>
      <c r="J554" s="38"/>
      <c r="K554" s="39"/>
      <c r="L554" s="40" t="str">
        <f aca="false">IF(OR($J554="",$K554=""),"",$J554+MATCH($K554,Listas!$F$5:$F$11,0)-1)</f>
        <v/>
      </c>
      <c r="M554" s="41"/>
      <c r="N554" s="36"/>
      <c r="O554" s="41"/>
      <c r="P554" s="35"/>
      <c r="Q554" s="35"/>
      <c r="R554" s="42" t="str">
        <f aca="true">IF($E554="","",IF($N554="Cancelada","Cancelada",IF(OR($M554&lt;&gt;"",$N554="Concluída"),IF(OR($L554="",$M554="",$M554&lt;=$L554),"Concluída","Concluída com atraso"),IF($L554="","Na carteira",IF($L554&lt;TODAY(),"VENCIDA",IF($N554="Em execução","Em execução",IF($L554=TODAY(),"Hoje","Programada")))))))</f>
        <v/>
      </c>
      <c r="S554" s="34" t="str">
        <f aca="false">IF($E554="","",IF(ISNUMBER(SEARCH("(externo)",$G554&amp;$H554&amp;$I554)),"Terceirizada","Interna"))</f>
        <v/>
      </c>
      <c r="T554" s="40" t="str">
        <f aca="false">IF($L554="","",IF($O554="",$L554,$O554))</f>
        <v/>
      </c>
      <c r="U554" s="34" t="str">
        <f aca="false">IF($E554="","",IF(OR($M554="",$L554=""),0,IF($M554&lt;=$L554,1,0)))</f>
        <v/>
      </c>
      <c r="V554" s="34" t="str">
        <f aca="false">IF($E554="","",IF(OR($M554="",$T554=""),0,IF($M554&lt;=$T554,1,0)))</f>
        <v/>
      </c>
      <c r="W554" s="42" t="str">
        <f aca="false">IF(OR($M554="",$L554=""),"",MAX(0,$M554-$L554))</f>
        <v/>
      </c>
      <c r="X554" s="34" t="str">
        <f aca="false">IF($E554="","",IF(AND($O554&lt;&gt;"",$L554&lt;&gt;"",$O554&lt;&gt;$L554),1,0))</f>
        <v/>
      </c>
      <c r="Y554" s="34" t="str">
        <f aca="false">IF($E554="","",IF($N554="Cancelada",0,IF(OR($M554&lt;&gt;"",$N554="Concluída"),1,0)))</f>
        <v/>
      </c>
    </row>
    <row r="555" customFormat="false" ht="15" hidden="false" customHeight="true" outlineLevel="0" collapsed="false">
      <c r="A555" s="34" t="str">
        <f aca="false">IF($E555="","",COUNTA($E$5:$E555))</f>
        <v/>
      </c>
      <c r="B555" s="35"/>
      <c r="C555" s="35"/>
      <c r="D555" s="35"/>
      <c r="E555" s="35"/>
      <c r="F555" s="36"/>
      <c r="G555" s="37"/>
      <c r="H555" s="37"/>
      <c r="I555" s="37"/>
      <c r="J555" s="38"/>
      <c r="K555" s="39"/>
      <c r="L555" s="40" t="str">
        <f aca="false">IF(OR($J555="",$K555=""),"",$J555+MATCH($K555,Listas!$F$5:$F$11,0)-1)</f>
        <v/>
      </c>
      <c r="M555" s="41"/>
      <c r="N555" s="36"/>
      <c r="O555" s="41"/>
      <c r="P555" s="35"/>
      <c r="Q555" s="35"/>
      <c r="R555" s="42" t="str">
        <f aca="true">IF($E555="","",IF($N555="Cancelada","Cancelada",IF(OR($M555&lt;&gt;"",$N555="Concluída"),IF(OR($L555="",$M555="",$M555&lt;=$L555),"Concluída","Concluída com atraso"),IF($L555="","Na carteira",IF($L555&lt;TODAY(),"VENCIDA",IF($N555="Em execução","Em execução",IF($L555=TODAY(),"Hoje","Programada")))))))</f>
        <v/>
      </c>
      <c r="S555" s="34" t="str">
        <f aca="false">IF($E555="","",IF(ISNUMBER(SEARCH("(externo)",$G555&amp;$H555&amp;$I555)),"Terceirizada","Interna"))</f>
        <v/>
      </c>
      <c r="T555" s="40" t="str">
        <f aca="false">IF($L555="","",IF($O555="",$L555,$O555))</f>
        <v/>
      </c>
      <c r="U555" s="34" t="str">
        <f aca="false">IF($E555="","",IF(OR($M555="",$L555=""),0,IF($M555&lt;=$L555,1,0)))</f>
        <v/>
      </c>
      <c r="V555" s="34" t="str">
        <f aca="false">IF($E555="","",IF(OR($M555="",$T555=""),0,IF($M555&lt;=$T555,1,0)))</f>
        <v/>
      </c>
      <c r="W555" s="42" t="str">
        <f aca="false">IF(OR($M555="",$L555=""),"",MAX(0,$M555-$L555))</f>
        <v/>
      </c>
      <c r="X555" s="34" t="str">
        <f aca="false">IF($E555="","",IF(AND($O555&lt;&gt;"",$L555&lt;&gt;"",$O555&lt;&gt;$L555),1,0))</f>
        <v/>
      </c>
      <c r="Y555" s="34" t="str">
        <f aca="false">IF($E555="","",IF($N555="Cancelada",0,IF(OR($M555&lt;&gt;"",$N555="Concluída"),1,0)))</f>
        <v/>
      </c>
    </row>
    <row r="556" customFormat="false" ht="15" hidden="false" customHeight="true" outlineLevel="0" collapsed="false">
      <c r="A556" s="34" t="str">
        <f aca="false">IF($E556="","",COUNTA($E$5:$E556))</f>
        <v/>
      </c>
      <c r="B556" s="35"/>
      <c r="C556" s="35"/>
      <c r="D556" s="35"/>
      <c r="E556" s="35"/>
      <c r="F556" s="36"/>
      <c r="G556" s="37"/>
      <c r="H556" s="37"/>
      <c r="I556" s="37"/>
      <c r="J556" s="38"/>
      <c r="K556" s="39"/>
      <c r="L556" s="40" t="str">
        <f aca="false">IF(OR($J556="",$K556=""),"",$J556+MATCH($K556,Listas!$F$5:$F$11,0)-1)</f>
        <v/>
      </c>
      <c r="M556" s="41"/>
      <c r="N556" s="36"/>
      <c r="O556" s="41"/>
      <c r="P556" s="35"/>
      <c r="Q556" s="35"/>
      <c r="R556" s="42" t="str">
        <f aca="true">IF($E556="","",IF($N556="Cancelada","Cancelada",IF(OR($M556&lt;&gt;"",$N556="Concluída"),IF(OR($L556="",$M556="",$M556&lt;=$L556),"Concluída","Concluída com atraso"),IF($L556="","Na carteira",IF($L556&lt;TODAY(),"VENCIDA",IF($N556="Em execução","Em execução",IF($L556=TODAY(),"Hoje","Programada")))))))</f>
        <v/>
      </c>
      <c r="S556" s="34" t="str">
        <f aca="false">IF($E556="","",IF(ISNUMBER(SEARCH("(externo)",$G556&amp;$H556&amp;$I556)),"Terceirizada","Interna"))</f>
        <v/>
      </c>
      <c r="T556" s="40" t="str">
        <f aca="false">IF($L556="","",IF($O556="",$L556,$O556))</f>
        <v/>
      </c>
      <c r="U556" s="34" t="str">
        <f aca="false">IF($E556="","",IF(OR($M556="",$L556=""),0,IF($M556&lt;=$L556,1,0)))</f>
        <v/>
      </c>
      <c r="V556" s="34" t="str">
        <f aca="false">IF($E556="","",IF(OR($M556="",$T556=""),0,IF($M556&lt;=$T556,1,0)))</f>
        <v/>
      </c>
      <c r="W556" s="42" t="str">
        <f aca="false">IF(OR($M556="",$L556=""),"",MAX(0,$M556-$L556))</f>
        <v/>
      </c>
      <c r="X556" s="34" t="str">
        <f aca="false">IF($E556="","",IF(AND($O556&lt;&gt;"",$L556&lt;&gt;"",$O556&lt;&gt;$L556),1,0))</f>
        <v/>
      </c>
      <c r="Y556" s="34" t="str">
        <f aca="false">IF($E556="","",IF($N556="Cancelada",0,IF(OR($M556&lt;&gt;"",$N556="Concluída"),1,0)))</f>
        <v/>
      </c>
    </row>
    <row r="557" customFormat="false" ht="15" hidden="false" customHeight="true" outlineLevel="0" collapsed="false">
      <c r="A557" s="34" t="str">
        <f aca="false">IF($E557="","",COUNTA($E$5:$E557))</f>
        <v/>
      </c>
      <c r="B557" s="35"/>
      <c r="C557" s="35"/>
      <c r="D557" s="35"/>
      <c r="E557" s="35"/>
      <c r="F557" s="36"/>
      <c r="G557" s="37"/>
      <c r="H557" s="37"/>
      <c r="I557" s="37"/>
      <c r="J557" s="38"/>
      <c r="K557" s="39"/>
      <c r="L557" s="40" t="str">
        <f aca="false">IF(OR($J557="",$K557=""),"",$J557+MATCH($K557,Listas!$F$5:$F$11,0)-1)</f>
        <v/>
      </c>
      <c r="M557" s="41"/>
      <c r="N557" s="36"/>
      <c r="O557" s="41"/>
      <c r="P557" s="35"/>
      <c r="Q557" s="35"/>
      <c r="R557" s="42" t="str">
        <f aca="true">IF($E557="","",IF($N557="Cancelada","Cancelada",IF(OR($M557&lt;&gt;"",$N557="Concluída"),IF(OR($L557="",$M557="",$M557&lt;=$L557),"Concluída","Concluída com atraso"),IF($L557="","Na carteira",IF($L557&lt;TODAY(),"VENCIDA",IF($N557="Em execução","Em execução",IF($L557=TODAY(),"Hoje","Programada")))))))</f>
        <v/>
      </c>
      <c r="S557" s="34" t="str">
        <f aca="false">IF($E557="","",IF(ISNUMBER(SEARCH("(externo)",$G557&amp;$H557&amp;$I557)),"Terceirizada","Interna"))</f>
        <v/>
      </c>
      <c r="T557" s="40" t="str">
        <f aca="false">IF($L557="","",IF($O557="",$L557,$O557))</f>
        <v/>
      </c>
      <c r="U557" s="34" t="str">
        <f aca="false">IF($E557="","",IF(OR($M557="",$L557=""),0,IF($M557&lt;=$L557,1,0)))</f>
        <v/>
      </c>
      <c r="V557" s="34" t="str">
        <f aca="false">IF($E557="","",IF(OR($M557="",$T557=""),0,IF($M557&lt;=$T557,1,0)))</f>
        <v/>
      </c>
      <c r="W557" s="42" t="str">
        <f aca="false">IF(OR($M557="",$L557=""),"",MAX(0,$M557-$L557))</f>
        <v/>
      </c>
      <c r="X557" s="34" t="str">
        <f aca="false">IF($E557="","",IF(AND($O557&lt;&gt;"",$L557&lt;&gt;"",$O557&lt;&gt;$L557),1,0))</f>
        <v/>
      </c>
      <c r="Y557" s="34" t="str">
        <f aca="false">IF($E557="","",IF($N557="Cancelada",0,IF(OR($M557&lt;&gt;"",$N557="Concluída"),1,0)))</f>
        <v/>
      </c>
    </row>
    <row r="558" customFormat="false" ht="15" hidden="false" customHeight="true" outlineLevel="0" collapsed="false">
      <c r="A558" s="34" t="str">
        <f aca="false">IF($E558="","",COUNTA($E$5:$E558))</f>
        <v/>
      </c>
      <c r="B558" s="35"/>
      <c r="C558" s="35"/>
      <c r="D558" s="35"/>
      <c r="E558" s="35"/>
      <c r="F558" s="36"/>
      <c r="G558" s="37"/>
      <c r="H558" s="37"/>
      <c r="I558" s="37"/>
      <c r="J558" s="38"/>
      <c r="K558" s="39"/>
      <c r="L558" s="40" t="str">
        <f aca="false">IF(OR($J558="",$K558=""),"",$J558+MATCH($K558,Listas!$F$5:$F$11,0)-1)</f>
        <v/>
      </c>
      <c r="M558" s="41"/>
      <c r="N558" s="36"/>
      <c r="O558" s="41"/>
      <c r="P558" s="35"/>
      <c r="Q558" s="35"/>
      <c r="R558" s="42" t="str">
        <f aca="true">IF($E558="","",IF($N558="Cancelada","Cancelada",IF(OR($M558&lt;&gt;"",$N558="Concluída"),IF(OR($L558="",$M558="",$M558&lt;=$L558),"Concluída","Concluída com atraso"),IF($L558="","Na carteira",IF($L558&lt;TODAY(),"VENCIDA",IF($N558="Em execução","Em execução",IF($L558=TODAY(),"Hoje","Programada")))))))</f>
        <v/>
      </c>
      <c r="S558" s="34" t="str">
        <f aca="false">IF($E558="","",IF(ISNUMBER(SEARCH("(externo)",$G558&amp;$H558&amp;$I558)),"Terceirizada","Interna"))</f>
        <v/>
      </c>
      <c r="T558" s="40" t="str">
        <f aca="false">IF($L558="","",IF($O558="",$L558,$O558))</f>
        <v/>
      </c>
      <c r="U558" s="34" t="str">
        <f aca="false">IF($E558="","",IF(OR($M558="",$L558=""),0,IF($M558&lt;=$L558,1,0)))</f>
        <v/>
      </c>
      <c r="V558" s="34" t="str">
        <f aca="false">IF($E558="","",IF(OR($M558="",$T558=""),0,IF($M558&lt;=$T558,1,0)))</f>
        <v/>
      </c>
      <c r="W558" s="42" t="str">
        <f aca="false">IF(OR($M558="",$L558=""),"",MAX(0,$M558-$L558))</f>
        <v/>
      </c>
      <c r="X558" s="34" t="str">
        <f aca="false">IF($E558="","",IF(AND($O558&lt;&gt;"",$L558&lt;&gt;"",$O558&lt;&gt;$L558),1,0))</f>
        <v/>
      </c>
      <c r="Y558" s="34" t="str">
        <f aca="false">IF($E558="","",IF($N558="Cancelada",0,IF(OR($M558&lt;&gt;"",$N558="Concluída"),1,0)))</f>
        <v/>
      </c>
    </row>
    <row r="559" customFormat="false" ht="15" hidden="false" customHeight="true" outlineLevel="0" collapsed="false">
      <c r="A559" s="34" t="str">
        <f aca="false">IF($E559="","",COUNTA($E$5:$E559))</f>
        <v/>
      </c>
      <c r="B559" s="35"/>
      <c r="C559" s="35"/>
      <c r="D559" s="35"/>
      <c r="E559" s="35"/>
      <c r="F559" s="36"/>
      <c r="G559" s="37"/>
      <c r="H559" s="37"/>
      <c r="I559" s="37"/>
      <c r="J559" s="38"/>
      <c r="K559" s="39"/>
      <c r="L559" s="40" t="str">
        <f aca="false">IF(OR($J559="",$K559=""),"",$J559+MATCH($K559,Listas!$F$5:$F$11,0)-1)</f>
        <v/>
      </c>
      <c r="M559" s="41"/>
      <c r="N559" s="36"/>
      <c r="O559" s="41"/>
      <c r="P559" s="35"/>
      <c r="Q559" s="35"/>
      <c r="R559" s="42" t="str">
        <f aca="true">IF($E559="","",IF($N559="Cancelada","Cancelada",IF(OR($M559&lt;&gt;"",$N559="Concluída"),IF(OR($L559="",$M559="",$M559&lt;=$L559),"Concluída","Concluída com atraso"),IF($L559="","Na carteira",IF($L559&lt;TODAY(),"VENCIDA",IF($N559="Em execução","Em execução",IF($L559=TODAY(),"Hoje","Programada")))))))</f>
        <v/>
      </c>
      <c r="S559" s="34" t="str">
        <f aca="false">IF($E559="","",IF(ISNUMBER(SEARCH("(externo)",$G559&amp;$H559&amp;$I559)),"Terceirizada","Interna"))</f>
        <v/>
      </c>
      <c r="T559" s="40" t="str">
        <f aca="false">IF($L559="","",IF($O559="",$L559,$O559))</f>
        <v/>
      </c>
      <c r="U559" s="34" t="str">
        <f aca="false">IF($E559="","",IF(OR($M559="",$L559=""),0,IF($M559&lt;=$L559,1,0)))</f>
        <v/>
      </c>
      <c r="V559" s="34" t="str">
        <f aca="false">IF($E559="","",IF(OR($M559="",$T559=""),0,IF($M559&lt;=$T559,1,0)))</f>
        <v/>
      </c>
      <c r="W559" s="42" t="str">
        <f aca="false">IF(OR($M559="",$L559=""),"",MAX(0,$M559-$L559))</f>
        <v/>
      </c>
      <c r="X559" s="34" t="str">
        <f aca="false">IF($E559="","",IF(AND($O559&lt;&gt;"",$L559&lt;&gt;"",$O559&lt;&gt;$L559),1,0))</f>
        <v/>
      </c>
      <c r="Y559" s="34" t="str">
        <f aca="false">IF($E559="","",IF($N559="Cancelada",0,IF(OR($M559&lt;&gt;"",$N559="Concluída"),1,0)))</f>
        <v/>
      </c>
    </row>
    <row r="560" customFormat="false" ht="15" hidden="false" customHeight="true" outlineLevel="0" collapsed="false">
      <c r="A560" s="34" t="str">
        <f aca="false">IF($E560="","",COUNTA($E$5:$E560))</f>
        <v/>
      </c>
      <c r="B560" s="35"/>
      <c r="C560" s="35"/>
      <c r="D560" s="35"/>
      <c r="E560" s="35"/>
      <c r="F560" s="36"/>
      <c r="G560" s="37"/>
      <c r="H560" s="37"/>
      <c r="I560" s="37"/>
      <c r="J560" s="38"/>
      <c r="K560" s="39"/>
      <c r="L560" s="40" t="str">
        <f aca="false">IF(OR($J560="",$K560=""),"",$J560+MATCH($K560,Listas!$F$5:$F$11,0)-1)</f>
        <v/>
      </c>
      <c r="M560" s="41"/>
      <c r="N560" s="36"/>
      <c r="O560" s="41"/>
      <c r="P560" s="35"/>
      <c r="Q560" s="35"/>
      <c r="R560" s="42" t="str">
        <f aca="true">IF($E560="","",IF($N560="Cancelada","Cancelada",IF(OR($M560&lt;&gt;"",$N560="Concluída"),IF(OR($L560="",$M560="",$M560&lt;=$L560),"Concluída","Concluída com atraso"),IF($L560="","Na carteira",IF($L560&lt;TODAY(),"VENCIDA",IF($N560="Em execução","Em execução",IF($L560=TODAY(),"Hoje","Programada")))))))</f>
        <v/>
      </c>
      <c r="S560" s="34" t="str">
        <f aca="false">IF($E560="","",IF(ISNUMBER(SEARCH("(externo)",$G560&amp;$H560&amp;$I560)),"Terceirizada","Interna"))</f>
        <v/>
      </c>
      <c r="T560" s="40" t="str">
        <f aca="false">IF($L560="","",IF($O560="",$L560,$O560))</f>
        <v/>
      </c>
      <c r="U560" s="34" t="str">
        <f aca="false">IF($E560="","",IF(OR($M560="",$L560=""),0,IF($M560&lt;=$L560,1,0)))</f>
        <v/>
      </c>
      <c r="V560" s="34" t="str">
        <f aca="false">IF($E560="","",IF(OR($M560="",$T560=""),0,IF($M560&lt;=$T560,1,0)))</f>
        <v/>
      </c>
      <c r="W560" s="42" t="str">
        <f aca="false">IF(OR($M560="",$L560=""),"",MAX(0,$M560-$L560))</f>
        <v/>
      </c>
      <c r="X560" s="34" t="str">
        <f aca="false">IF($E560="","",IF(AND($O560&lt;&gt;"",$L560&lt;&gt;"",$O560&lt;&gt;$L560),1,0))</f>
        <v/>
      </c>
      <c r="Y560" s="34" t="str">
        <f aca="false">IF($E560="","",IF($N560="Cancelada",0,IF(OR($M560&lt;&gt;"",$N560="Concluída"),1,0)))</f>
        <v/>
      </c>
    </row>
    <row r="561" customFormat="false" ht="15" hidden="false" customHeight="true" outlineLevel="0" collapsed="false">
      <c r="A561" s="34" t="str">
        <f aca="false">IF($E561="","",COUNTA($E$5:$E561))</f>
        <v/>
      </c>
      <c r="B561" s="35"/>
      <c r="C561" s="35"/>
      <c r="D561" s="35"/>
      <c r="E561" s="35"/>
      <c r="F561" s="36"/>
      <c r="G561" s="37"/>
      <c r="H561" s="37"/>
      <c r="I561" s="37"/>
      <c r="J561" s="38"/>
      <c r="K561" s="39"/>
      <c r="L561" s="40" t="str">
        <f aca="false">IF(OR($J561="",$K561=""),"",$J561+MATCH($K561,Listas!$F$5:$F$11,0)-1)</f>
        <v/>
      </c>
      <c r="M561" s="41"/>
      <c r="N561" s="36"/>
      <c r="O561" s="41"/>
      <c r="P561" s="35"/>
      <c r="Q561" s="35"/>
      <c r="R561" s="42" t="str">
        <f aca="true">IF($E561="","",IF($N561="Cancelada","Cancelada",IF(OR($M561&lt;&gt;"",$N561="Concluída"),IF(OR($L561="",$M561="",$M561&lt;=$L561),"Concluída","Concluída com atraso"),IF($L561="","Na carteira",IF($L561&lt;TODAY(),"VENCIDA",IF($N561="Em execução","Em execução",IF($L561=TODAY(),"Hoje","Programada")))))))</f>
        <v/>
      </c>
      <c r="S561" s="34" t="str">
        <f aca="false">IF($E561="","",IF(ISNUMBER(SEARCH("(externo)",$G561&amp;$H561&amp;$I561)),"Terceirizada","Interna"))</f>
        <v/>
      </c>
      <c r="T561" s="40" t="str">
        <f aca="false">IF($L561="","",IF($O561="",$L561,$O561))</f>
        <v/>
      </c>
      <c r="U561" s="34" t="str">
        <f aca="false">IF($E561="","",IF(OR($M561="",$L561=""),0,IF($M561&lt;=$L561,1,0)))</f>
        <v/>
      </c>
      <c r="V561" s="34" t="str">
        <f aca="false">IF($E561="","",IF(OR($M561="",$T561=""),0,IF($M561&lt;=$T561,1,0)))</f>
        <v/>
      </c>
      <c r="W561" s="42" t="str">
        <f aca="false">IF(OR($M561="",$L561=""),"",MAX(0,$M561-$L561))</f>
        <v/>
      </c>
      <c r="X561" s="34" t="str">
        <f aca="false">IF($E561="","",IF(AND($O561&lt;&gt;"",$L561&lt;&gt;"",$O561&lt;&gt;$L561),1,0))</f>
        <v/>
      </c>
      <c r="Y561" s="34" t="str">
        <f aca="false">IF($E561="","",IF($N561="Cancelada",0,IF(OR($M561&lt;&gt;"",$N561="Concluída"),1,0)))</f>
        <v/>
      </c>
    </row>
    <row r="562" customFormat="false" ht="15" hidden="false" customHeight="true" outlineLevel="0" collapsed="false">
      <c r="A562" s="34" t="str">
        <f aca="false">IF($E562="","",COUNTA($E$5:$E562))</f>
        <v/>
      </c>
      <c r="B562" s="35"/>
      <c r="C562" s="35"/>
      <c r="D562" s="35"/>
      <c r="E562" s="35"/>
      <c r="F562" s="36"/>
      <c r="G562" s="37"/>
      <c r="H562" s="37"/>
      <c r="I562" s="37"/>
      <c r="J562" s="38"/>
      <c r="K562" s="39"/>
      <c r="L562" s="40" t="str">
        <f aca="false">IF(OR($J562="",$K562=""),"",$J562+MATCH($K562,Listas!$F$5:$F$11,0)-1)</f>
        <v/>
      </c>
      <c r="M562" s="41"/>
      <c r="N562" s="36"/>
      <c r="O562" s="41"/>
      <c r="P562" s="35"/>
      <c r="Q562" s="35"/>
      <c r="R562" s="42" t="str">
        <f aca="true">IF($E562="","",IF($N562="Cancelada","Cancelada",IF(OR($M562&lt;&gt;"",$N562="Concluída"),IF(OR($L562="",$M562="",$M562&lt;=$L562),"Concluída","Concluída com atraso"),IF($L562="","Na carteira",IF($L562&lt;TODAY(),"VENCIDA",IF($N562="Em execução","Em execução",IF($L562=TODAY(),"Hoje","Programada")))))))</f>
        <v/>
      </c>
      <c r="S562" s="34" t="str">
        <f aca="false">IF($E562="","",IF(ISNUMBER(SEARCH("(externo)",$G562&amp;$H562&amp;$I562)),"Terceirizada","Interna"))</f>
        <v/>
      </c>
      <c r="T562" s="40" t="str">
        <f aca="false">IF($L562="","",IF($O562="",$L562,$O562))</f>
        <v/>
      </c>
      <c r="U562" s="34" t="str">
        <f aca="false">IF($E562="","",IF(OR($M562="",$L562=""),0,IF($M562&lt;=$L562,1,0)))</f>
        <v/>
      </c>
      <c r="V562" s="34" t="str">
        <f aca="false">IF($E562="","",IF(OR($M562="",$T562=""),0,IF($M562&lt;=$T562,1,0)))</f>
        <v/>
      </c>
      <c r="W562" s="42" t="str">
        <f aca="false">IF(OR($M562="",$L562=""),"",MAX(0,$M562-$L562))</f>
        <v/>
      </c>
      <c r="X562" s="34" t="str">
        <f aca="false">IF($E562="","",IF(AND($O562&lt;&gt;"",$L562&lt;&gt;"",$O562&lt;&gt;$L562),1,0))</f>
        <v/>
      </c>
      <c r="Y562" s="34" t="str">
        <f aca="false">IF($E562="","",IF($N562="Cancelada",0,IF(OR($M562&lt;&gt;"",$N562="Concluída"),1,0)))</f>
        <v/>
      </c>
    </row>
    <row r="563" customFormat="false" ht="15" hidden="false" customHeight="true" outlineLevel="0" collapsed="false">
      <c r="A563" s="34" t="str">
        <f aca="false">IF($E563="","",COUNTA($E$5:$E563))</f>
        <v/>
      </c>
      <c r="B563" s="35"/>
      <c r="C563" s="35"/>
      <c r="D563" s="35"/>
      <c r="E563" s="35"/>
      <c r="F563" s="36"/>
      <c r="G563" s="37"/>
      <c r="H563" s="37"/>
      <c r="I563" s="37"/>
      <c r="J563" s="38"/>
      <c r="K563" s="39"/>
      <c r="L563" s="40" t="str">
        <f aca="false">IF(OR($J563="",$K563=""),"",$J563+MATCH($K563,Listas!$F$5:$F$11,0)-1)</f>
        <v/>
      </c>
      <c r="M563" s="41"/>
      <c r="N563" s="36"/>
      <c r="O563" s="41"/>
      <c r="P563" s="35"/>
      <c r="Q563" s="35"/>
      <c r="R563" s="42" t="str">
        <f aca="true">IF($E563="","",IF($N563="Cancelada","Cancelada",IF(OR($M563&lt;&gt;"",$N563="Concluída"),IF(OR($L563="",$M563="",$M563&lt;=$L563),"Concluída","Concluída com atraso"),IF($L563="","Na carteira",IF($L563&lt;TODAY(),"VENCIDA",IF($N563="Em execução","Em execução",IF($L563=TODAY(),"Hoje","Programada")))))))</f>
        <v/>
      </c>
      <c r="S563" s="34" t="str">
        <f aca="false">IF($E563="","",IF(ISNUMBER(SEARCH("(externo)",$G563&amp;$H563&amp;$I563)),"Terceirizada","Interna"))</f>
        <v/>
      </c>
      <c r="T563" s="40" t="str">
        <f aca="false">IF($L563="","",IF($O563="",$L563,$O563))</f>
        <v/>
      </c>
      <c r="U563" s="34" t="str">
        <f aca="false">IF($E563="","",IF(OR($M563="",$L563=""),0,IF($M563&lt;=$L563,1,0)))</f>
        <v/>
      </c>
      <c r="V563" s="34" t="str">
        <f aca="false">IF($E563="","",IF(OR($M563="",$T563=""),0,IF($M563&lt;=$T563,1,0)))</f>
        <v/>
      </c>
      <c r="W563" s="42" t="str">
        <f aca="false">IF(OR($M563="",$L563=""),"",MAX(0,$M563-$L563))</f>
        <v/>
      </c>
      <c r="X563" s="34" t="str">
        <f aca="false">IF($E563="","",IF(AND($O563&lt;&gt;"",$L563&lt;&gt;"",$O563&lt;&gt;$L563),1,0))</f>
        <v/>
      </c>
      <c r="Y563" s="34" t="str">
        <f aca="false">IF($E563="","",IF($N563="Cancelada",0,IF(OR($M563&lt;&gt;"",$N563="Concluída"),1,0)))</f>
        <v/>
      </c>
    </row>
    <row r="564" customFormat="false" ht="15" hidden="false" customHeight="true" outlineLevel="0" collapsed="false">
      <c r="A564" s="34" t="str">
        <f aca="false">IF($E564="","",COUNTA($E$5:$E564))</f>
        <v/>
      </c>
      <c r="B564" s="35"/>
      <c r="C564" s="35"/>
      <c r="D564" s="35"/>
      <c r="E564" s="35"/>
      <c r="F564" s="36"/>
      <c r="G564" s="37"/>
      <c r="H564" s="37"/>
      <c r="I564" s="37"/>
      <c r="J564" s="38"/>
      <c r="K564" s="39"/>
      <c r="L564" s="40" t="str">
        <f aca="false">IF(OR($J564="",$K564=""),"",$J564+MATCH($K564,Listas!$F$5:$F$11,0)-1)</f>
        <v/>
      </c>
      <c r="M564" s="41"/>
      <c r="N564" s="36"/>
      <c r="O564" s="41"/>
      <c r="P564" s="35"/>
      <c r="Q564" s="35"/>
      <c r="R564" s="42" t="str">
        <f aca="true">IF($E564="","",IF($N564="Cancelada","Cancelada",IF(OR($M564&lt;&gt;"",$N564="Concluída"),IF(OR($L564="",$M564="",$M564&lt;=$L564),"Concluída","Concluída com atraso"),IF($L564="","Na carteira",IF($L564&lt;TODAY(),"VENCIDA",IF($N564="Em execução","Em execução",IF($L564=TODAY(),"Hoje","Programada")))))))</f>
        <v/>
      </c>
      <c r="S564" s="34" t="str">
        <f aca="false">IF($E564="","",IF(ISNUMBER(SEARCH("(externo)",$G564&amp;$H564&amp;$I564)),"Terceirizada","Interna"))</f>
        <v/>
      </c>
      <c r="T564" s="40" t="str">
        <f aca="false">IF($L564="","",IF($O564="",$L564,$O564))</f>
        <v/>
      </c>
      <c r="U564" s="34" t="str">
        <f aca="false">IF($E564="","",IF(OR($M564="",$L564=""),0,IF($M564&lt;=$L564,1,0)))</f>
        <v/>
      </c>
      <c r="V564" s="34" t="str">
        <f aca="false">IF($E564="","",IF(OR($M564="",$T564=""),0,IF($M564&lt;=$T564,1,0)))</f>
        <v/>
      </c>
      <c r="W564" s="42" t="str">
        <f aca="false">IF(OR($M564="",$L564=""),"",MAX(0,$M564-$L564))</f>
        <v/>
      </c>
      <c r="X564" s="34" t="str">
        <f aca="false">IF($E564="","",IF(AND($O564&lt;&gt;"",$L564&lt;&gt;"",$O564&lt;&gt;$L564),1,0))</f>
        <v/>
      </c>
      <c r="Y564" s="34" t="str">
        <f aca="false">IF($E564="","",IF($N564="Cancelada",0,IF(OR($M564&lt;&gt;"",$N564="Concluída"),1,0)))</f>
        <v/>
      </c>
    </row>
    <row r="565" customFormat="false" ht="15" hidden="false" customHeight="true" outlineLevel="0" collapsed="false">
      <c r="A565" s="34" t="str">
        <f aca="false">IF($E565="","",COUNTA($E$5:$E565))</f>
        <v/>
      </c>
      <c r="B565" s="35"/>
      <c r="C565" s="35"/>
      <c r="D565" s="35"/>
      <c r="E565" s="35"/>
      <c r="F565" s="36"/>
      <c r="G565" s="37"/>
      <c r="H565" s="37"/>
      <c r="I565" s="37"/>
      <c r="J565" s="38"/>
      <c r="K565" s="39"/>
      <c r="L565" s="40" t="str">
        <f aca="false">IF(OR($J565="",$K565=""),"",$J565+MATCH($K565,Listas!$F$5:$F$11,0)-1)</f>
        <v/>
      </c>
      <c r="M565" s="41"/>
      <c r="N565" s="36"/>
      <c r="O565" s="41"/>
      <c r="P565" s="35"/>
      <c r="Q565" s="35"/>
      <c r="R565" s="42" t="str">
        <f aca="true">IF($E565="","",IF($N565="Cancelada","Cancelada",IF(OR($M565&lt;&gt;"",$N565="Concluída"),IF(OR($L565="",$M565="",$M565&lt;=$L565),"Concluída","Concluída com atraso"),IF($L565="","Na carteira",IF($L565&lt;TODAY(),"VENCIDA",IF($N565="Em execução","Em execução",IF($L565=TODAY(),"Hoje","Programada")))))))</f>
        <v/>
      </c>
      <c r="S565" s="34" t="str">
        <f aca="false">IF($E565="","",IF(ISNUMBER(SEARCH("(externo)",$G565&amp;$H565&amp;$I565)),"Terceirizada","Interna"))</f>
        <v/>
      </c>
      <c r="T565" s="40" t="str">
        <f aca="false">IF($L565="","",IF($O565="",$L565,$O565))</f>
        <v/>
      </c>
      <c r="U565" s="34" t="str">
        <f aca="false">IF($E565="","",IF(OR($M565="",$L565=""),0,IF($M565&lt;=$L565,1,0)))</f>
        <v/>
      </c>
      <c r="V565" s="34" t="str">
        <f aca="false">IF($E565="","",IF(OR($M565="",$T565=""),0,IF($M565&lt;=$T565,1,0)))</f>
        <v/>
      </c>
      <c r="W565" s="42" t="str">
        <f aca="false">IF(OR($M565="",$L565=""),"",MAX(0,$M565-$L565))</f>
        <v/>
      </c>
      <c r="X565" s="34" t="str">
        <f aca="false">IF($E565="","",IF(AND($O565&lt;&gt;"",$L565&lt;&gt;"",$O565&lt;&gt;$L565),1,0))</f>
        <v/>
      </c>
      <c r="Y565" s="34" t="str">
        <f aca="false">IF($E565="","",IF($N565="Cancelada",0,IF(OR($M565&lt;&gt;"",$N565="Concluída"),1,0)))</f>
        <v/>
      </c>
    </row>
    <row r="566" customFormat="false" ht="15" hidden="false" customHeight="true" outlineLevel="0" collapsed="false">
      <c r="A566" s="34" t="str">
        <f aca="false">IF($E566="","",COUNTA($E$5:$E566))</f>
        <v/>
      </c>
      <c r="B566" s="35"/>
      <c r="C566" s="35"/>
      <c r="D566" s="35"/>
      <c r="E566" s="35"/>
      <c r="F566" s="36"/>
      <c r="G566" s="37"/>
      <c r="H566" s="37"/>
      <c r="I566" s="37"/>
      <c r="J566" s="38"/>
      <c r="K566" s="39"/>
      <c r="L566" s="40" t="str">
        <f aca="false">IF(OR($J566="",$K566=""),"",$J566+MATCH($K566,Listas!$F$5:$F$11,0)-1)</f>
        <v/>
      </c>
      <c r="M566" s="41"/>
      <c r="N566" s="36"/>
      <c r="O566" s="41"/>
      <c r="P566" s="35"/>
      <c r="Q566" s="35"/>
      <c r="R566" s="42" t="str">
        <f aca="true">IF($E566="","",IF($N566="Cancelada","Cancelada",IF(OR($M566&lt;&gt;"",$N566="Concluída"),IF(OR($L566="",$M566="",$M566&lt;=$L566),"Concluída","Concluída com atraso"),IF($L566="","Na carteira",IF($L566&lt;TODAY(),"VENCIDA",IF($N566="Em execução","Em execução",IF($L566=TODAY(),"Hoje","Programada")))))))</f>
        <v/>
      </c>
      <c r="S566" s="34" t="str">
        <f aca="false">IF($E566="","",IF(ISNUMBER(SEARCH("(externo)",$G566&amp;$H566&amp;$I566)),"Terceirizada","Interna"))</f>
        <v/>
      </c>
      <c r="T566" s="40" t="str">
        <f aca="false">IF($L566="","",IF($O566="",$L566,$O566))</f>
        <v/>
      </c>
      <c r="U566" s="34" t="str">
        <f aca="false">IF($E566="","",IF(OR($M566="",$L566=""),0,IF($M566&lt;=$L566,1,0)))</f>
        <v/>
      </c>
      <c r="V566" s="34" t="str">
        <f aca="false">IF($E566="","",IF(OR($M566="",$T566=""),0,IF($M566&lt;=$T566,1,0)))</f>
        <v/>
      </c>
      <c r="W566" s="42" t="str">
        <f aca="false">IF(OR($M566="",$L566=""),"",MAX(0,$M566-$L566))</f>
        <v/>
      </c>
      <c r="X566" s="34" t="str">
        <f aca="false">IF($E566="","",IF(AND($O566&lt;&gt;"",$L566&lt;&gt;"",$O566&lt;&gt;$L566),1,0))</f>
        <v/>
      </c>
      <c r="Y566" s="34" t="str">
        <f aca="false">IF($E566="","",IF($N566="Cancelada",0,IF(OR($M566&lt;&gt;"",$N566="Concluída"),1,0)))</f>
        <v/>
      </c>
    </row>
    <row r="567" customFormat="false" ht="15" hidden="false" customHeight="true" outlineLevel="0" collapsed="false">
      <c r="A567" s="34" t="str">
        <f aca="false">IF($E567="","",COUNTA($E$5:$E567))</f>
        <v/>
      </c>
      <c r="B567" s="35"/>
      <c r="C567" s="35"/>
      <c r="D567" s="35"/>
      <c r="E567" s="35"/>
      <c r="F567" s="36"/>
      <c r="G567" s="37"/>
      <c r="H567" s="37"/>
      <c r="I567" s="37"/>
      <c r="J567" s="38"/>
      <c r="K567" s="39"/>
      <c r="L567" s="40" t="str">
        <f aca="false">IF(OR($J567="",$K567=""),"",$J567+MATCH($K567,Listas!$F$5:$F$11,0)-1)</f>
        <v/>
      </c>
      <c r="M567" s="41"/>
      <c r="N567" s="36"/>
      <c r="O567" s="41"/>
      <c r="P567" s="35"/>
      <c r="Q567" s="35"/>
      <c r="R567" s="42" t="str">
        <f aca="true">IF($E567="","",IF($N567="Cancelada","Cancelada",IF(OR($M567&lt;&gt;"",$N567="Concluída"),IF(OR($L567="",$M567="",$M567&lt;=$L567),"Concluída","Concluída com atraso"),IF($L567="","Na carteira",IF($L567&lt;TODAY(),"VENCIDA",IF($N567="Em execução","Em execução",IF($L567=TODAY(),"Hoje","Programada")))))))</f>
        <v/>
      </c>
      <c r="S567" s="34" t="str">
        <f aca="false">IF($E567="","",IF(ISNUMBER(SEARCH("(externo)",$G567&amp;$H567&amp;$I567)),"Terceirizada","Interna"))</f>
        <v/>
      </c>
      <c r="T567" s="40" t="str">
        <f aca="false">IF($L567="","",IF($O567="",$L567,$O567))</f>
        <v/>
      </c>
      <c r="U567" s="34" t="str">
        <f aca="false">IF($E567="","",IF(OR($M567="",$L567=""),0,IF($M567&lt;=$L567,1,0)))</f>
        <v/>
      </c>
      <c r="V567" s="34" t="str">
        <f aca="false">IF($E567="","",IF(OR($M567="",$T567=""),0,IF($M567&lt;=$T567,1,0)))</f>
        <v/>
      </c>
      <c r="W567" s="42" t="str">
        <f aca="false">IF(OR($M567="",$L567=""),"",MAX(0,$M567-$L567))</f>
        <v/>
      </c>
      <c r="X567" s="34" t="str">
        <f aca="false">IF($E567="","",IF(AND($O567&lt;&gt;"",$L567&lt;&gt;"",$O567&lt;&gt;$L567),1,0))</f>
        <v/>
      </c>
      <c r="Y567" s="34" t="str">
        <f aca="false">IF($E567="","",IF($N567="Cancelada",0,IF(OR($M567&lt;&gt;"",$N567="Concluída"),1,0)))</f>
        <v/>
      </c>
    </row>
    <row r="568" customFormat="false" ht="15" hidden="false" customHeight="true" outlineLevel="0" collapsed="false">
      <c r="A568" s="34" t="str">
        <f aca="false">IF($E568="","",COUNTA($E$5:$E568))</f>
        <v/>
      </c>
      <c r="B568" s="35"/>
      <c r="C568" s="35"/>
      <c r="D568" s="35"/>
      <c r="E568" s="35"/>
      <c r="F568" s="36"/>
      <c r="G568" s="37"/>
      <c r="H568" s="37"/>
      <c r="I568" s="37"/>
      <c r="J568" s="38"/>
      <c r="K568" s="39"/>
      <c r="L568" s="40" t="str">
        <f aca="false">IF(OR($J568="",$K568=""),"",$J568+MATCH($K568,Listas!$F$5:$F$11,0)-1)</f>
        <v/>
      </c>
      <c r="M568" s="41"/>
      <c r="N568" s="36"/>
      <c r="O568" s="41"/>
      <c r="P568" s="35"/>
      <c r="Q568" s="35"/>
      <c r="R568" s="42" t="str">
        <f aca="true">IF($E568="","",IF($N568="Cancelada","Cancelada",IF(OR($M568&lt;&gt;"",$N568="Concluída"),IF(OR($L568="",$M568="",$M568&lt;=$L568),"Concluída","Concluída com atraso"),IF($L568="","Na carteira",IF($L568&lt;TODAY(),"VENCIDA",IF($N568="Em execução","Em execução",IF($L568=TODAY(),"Hoje","Programada")))))))</f>
        <v/>
      </c>
      <c r="S568" s="34" t="str">
        <f aca="false">IF($E568="","",IF(ISNUMBER(SEARCH("(externo)",$G568&amp;$H568&amp;$I568)),"Terceirizada","Interna"))</f>
        <v/>
      </c>
      <c r="T568" s="40" t="str">
        <f aca="false">IF($L568="","",IF($O568="",$L568,$O568))</f>
        <v/>
      </c>
      <c r="U568" s="34" t="str">
        <f aca="false">IF($E568="","",IF(OR($M568="",$L568=""),0,IF($M568&lt;=$L568,1,0)))</f>
        <v/>
      </c>
      <c r="V568" s="34" t="str">
        <f aca="false">IF($E568="","",IF(OR($M568="",$T568=""),0,IF($M568&lt;=$T568,1,0)))</f>
        <v/>
      </c>
      <c r="W568" s="42" t="str">
        <f aca="false">IF(OR($M568="",$L568=""),"",MAX(0,$M568-$L568))</f>
        <v/>
      </c>
      <c r="X568" s="34" t="str">
        <f aca="false">IF($E568="","",IF(AND($O568&lt;&gt;"",$L568&lt;&gt;"",$O568&lt;&gt;$L568),1,0))</f>
        <v/>
      </c>
      <c r="Y568" s="34" t="str">
        <f aca="false">IF($E568="","",IF($N568="Cancelada",0,IF(OR($M568&lt;&gt;"",$N568="Concluída"),1,0)))</f>
        <v/>
      </c>
    </row>
    <row r="569" customFormat="false" ht="15" hidden="false" customHeight="true" outlineLevel="0" collapsed="false">
      <c r="A569" s="34" t="str">
        <f aca="false">IF($E569="","",COUNTA($E$5:$E569))</f>
        <v/>
      </c>
      <c r="B569" s="35"/>
      <c r="C569" s="35"/>
      <c r="D569" s="35"/>
      <c r="E569" s="35"/>
      <c r="F569" s="36"/>
      <c r="G569" s="37"/>
      <c r="H569" s="37"/>
      <c r="I569" s="37"/>
      <c r="J569" s="38"/>
      <c r="K569" s="39"/>
      <c r="L569" s="40" t="str">
        <f aca="false">IF(OR($J569="",$K569=""),"",$J569+MATCH($K569,Listas!$F$5:$F$11,0)-1)</f>
        <v/>
      </c>
      <c r="M569" s="41"/>
      <c r="N569" s="36"/>
      <c r="O569" s="41"/>
      <c r="P569" s="35"/>
      <c r="Q569" s="35"/>
      <c r="R569" s="42" t="str">
        <f aca="true">IF($E569="","",IF($N569="Cancelada","Cancelada",IF(OR($M569&lt;&gt;"",$N569="Concluída"),IF(OR($L569="",$M569="",$M569&lt;=$L569),"Concluída","Concluída com atraso"),IF($L569="","Na carteira",IF($L569&lt;TODAY(),"VENCIDA",IF($N569="Em execução","Em execução",IF($L569=TODAY(),"Hoje","Programada")))))))</f>
        <v/>
      </c>
      <c r="S569" s="34" t="str">
        <f aca="false">IF($E569="","",IF(ISNUMBER(SEARCH("(externo)",$G569&amp;$H569&amp;$I569)),"Terceirizada","Interna"))</f>
        <v/>
      </c>
      <c r="T569" s="40" t="str">
        <f aca="false">IF($L569="","",IF($O569="",$L569,$O569))</f>
        <v/>
      </c>
      <c r="U569" s="34" t="str">
        <f aca="false">IF($E569="","",IF(OR($M569="",$L569=""),0,IF($M569&lt;=$L569,1,0)))</f>
        <v/>
      </c>
      <c r="V569" s="34" t="str">
        <f aca="false">IF($E569="","",IF(OR($M569="",$T569=""),0,IF($M569&lt;=$T569,1,0)))</f>
        <v/>
      </c>
      <c r="W569" s="42" t="str">
        <f aca="false">IF(OR($M569="",$L569=""),"",MAX(0,$M569-$L569))</f>
        <v/>
      </c>
      <c r="X569" s="34" t="str">
        <f aca="false">IF($E569="","",IF(AND($O569&lt;&gt;"",$L569&lt;&gt;"",$O569&lt;&gt;$L569),1,0))</f>
        <v/>
      </c>
      <c r="Y569" s="34" t="str">
        <f aca="false">IF($E569="","",IF($N569="Cancelada",0,IF(OR($M569&lt;&gt;"",$N569="Concluída"),1,0)))</f>
        <v/>
      </c>
    </row>
    <row r="570" customFormat="false" ht="15" hidden="false" customHeight="true" outlineLevel="0" collapsed="false">
      <c r="A570" s="34" t="str">
        <f aca="false">IF($E570="","",COUNTA($E$5:$E570))</f>
        <v/>
      </c>
      <c r="B570" s="35"/>
      <c r="C570" s="35"/>
      <c r="D570" s="35"/>
      <c r="E570" s="35"/>
      <c r="F570" s="36"/>
      <c r="G570" s="37"/>
      <c r="H570" s="37"/>
      <c r="I570" s="37"/>
      <c r="J570" s="38"/>
      <c r="K570" s="39"/>
      <c r="L570" s="40" t="str">
        <f aca="false">IF(OR($J570="",$K570=""),"",$J570+MATCH($K570,Listas!$F$5:$F$11,0)-1)</f>
        <v/>
      </c>
      <c r="M570" s="41"/>
      <c r="N570" s="36"/>
      <c r="O570" s="41"/>
      <c r="P570" s="35"/>
      <c r="Q570" s="35"/>
      <c r="R570" s="42" t="str">
        <f aca="true">IF($E570="","",IF($N570="Cancelada","Cancelada",IF(OR($M570&lt;&gt;"",$N570="Concluída"),IF(OR($L570="",$M570="",$M570&lt;=$L570),"Concluída","Concluída com atraso"),IF($L570="","Na carteira",IF($L570&lt;TODAY(),"VENCIDA",IF($N570="Em execução","Em execução",IF($L570=TODAY(),"Hoje","Programada")))))))</f>
        <v/>
      </c>
      <c r="S570" s="34" t="str">
        <f aca="false">IF($E570="","",IF(ISNUMBER(SEARCH("(externo)",$G570&amp;$H570&amp;$I570)),"Terceirizada","Interna"))</f>
        <v/>
      </c>
      <c r="T570" s="40" t="str">
        <f aca="false">IF($L570="","",IF($O570="",$L570,$O570))</f>
        <v/>
      </c>
      <c r="U570" s="34" t="str">
        <f aca="false">IF($E570="","",IF(OR($M570="",$L570=""),0,IF($M570&lt;=$L570,1,0)))</f>
        <v/>
      </c>
      <c r="V570" s="34" t="str">
        <f aca="false">IF($E570="","",IF(OR($M570="",$T570=""),0,IF($M570&lt;=$T570,1,0)))</f>
        <v/>
      </c>
      <c r="W570" s="42" t="str">
        <f aca="false">IF(OR($M570="",$L570=""),"",MAX(0,$M570-$L570))</f>
        <v/>
      </c>
      <c r="X570" s="34" t="str">
        <f aca="false">IF($E570="","",IF(AND($O570&lt;&gt;"",$L570&lt;&gt;"",$O570&lt;&gt;$L570),1,0))</f>
        <v/>
      </c>
      <c r="Y570" s="34" t="str">
        <f aca="false">IF($E570="","",IF($N570="Cancelada",0,IF(OR($M570&lt;&gt;"",$N570="Concluída"),1,0)))</f>
        <v/>
      </c>
    </row>
    <row r="571" customFormat="false" ht="15" hidden="false" customHeight="true" outlineLevel="0" collapsed="false">
      <c r="A571" s="34" t="str">
        <f aca="false">IF($E571="","",COUNTA($E$5:$E571))</f>
        <v/>
      </c>
      <c r="B571" s="35"/>
      <c r="C571" s="35"/>
      <c r="D571" s="35"/>
      <c r="E571" s="35"/>
      <c r="F571" s="36"/>
      <c r="G571" s="37"/>
      <c r="H571" s="37"/>
      <c r="I571" s="37"/>
      <c r="J571" s="38"/>
      <c r="K571" s="39"/>
      <c r="L571" s="40" t="str">
        <f aca="false">IF(OR($J571="",$K571=""),"",$J571+MATCH($K571,Listas!$F$5:$F$11,0)-1)</f>
        <v/>
      </c>
      <c r="M571" s="41"/>
      <c r="N571" s="36"/>
      <c r="O571" s="41"/>
      <c r="P571" s="35"/>
      <c r="Q571" s="35"/>
      <c r="R571" s="42" t="str">
        <f aca="true">IF($E571="","",IF($N571="Cancelada","Cancelada",IF(OR($M571&lt;&gt;"",$N571="Concluída"),IF(OR($L571="",$M571="",$M571&lt;=$L571),"Concluída","Concluída com atraso"),IF($L571="","Na carteira",IF($L571&lt;TODAY(),"VENCIDA",IF($N571="Em execução","Em execução",IF($L571=TODAY(),"Hoje","Programada")))))))</f>
        <v/>
      </c>
      <c r="S571" s="34" t="str">
        <f aca="false">IF($E571="","",IF(ISNUMBER(SEARCH("(externo)",$G571&amp;$H571&amp;$I571)),"Terceirizada","Interna"))</f>
        <v/>
      </c>
      <c r="T571" s="40" t="str">
        <f aca="false">IF($L571="","",IF($O571="",$L571,$O571))</f>
        <v/>
      </c>
      <c r="U571" s="34" t="str">
        <f aca="false">IF($E571="","",IF(OR($M571="",$L571=""),0,IF($M571&lt;=$L571,1,0)))</f>
        <v/>
      </c>
      <c r="V571" s="34" t="str">
        <f aca="false">IF($E571="","",IF(OR($M571="",$T571=""),0,IF($M571&lt;=$T571,1,0)))</f>
        <v/>
      </c>
      <c r="W571" s="42" t="str">
        <f aca="false">IF(OR($M571="",$L571=""),"",MAX(0,$M571-$L571))</f>
        <v/>
      </c>
      <c r="X571" s="34" t="str">
        <f aca="false">IF($E571="","",IF(AND($O571&lt;&gt;"",$L571&lt;&gt;"",$O571&lt;&gt;$L571),1,0))</f>
        <v/>
      </c>
      <c r="Y571" s="34" t="str">
        <f aca="false">IF($E571="","",IF($N571="Cancelada",0,IF(OR($M571&lt;&gt;"",$N571="Concluída"),1,0)))</f>
        <v/>
      </c>
    </row>
    <row r="572" customFormat="false" ht="15" hidden="false" customHeight="true" outlineLevel="0" collapsed="false">
      <c r="A572" s="34" t="str">
        <f aca="false">IF($E572="","",COUNTA($E$5:$E572))</f>
        <v/>
      </c>
      <c r="B572" s="35"/>
      <c r="C572" s="35"/>
      <c r="D572" s="35"/>
      <c r="E572" s="35"/>
      <c r="F572" s="36"/>
      <c r="G572" s="37"/>
      <c r="H572" s="37"/>
      <c r="I572" s="37"/>
      <c r="J572" s="38"/>
      <c r="K572" s="39"/>
      <c r="L572" s="40" t="str">
        <f aca="false">IF(OR($J572="",$K572=""),"",$J572+MATCH($K572,Listas!$F$5:$F$11,0)-1)</f>
        <v/>
      </c>
      <c r="M572" s="41"/>
      <c r="N572" s="36"/>
      <c r="O572" s="41"/>
      <c r="P572" s="35"/>
      <c r="Q572" s="35"/>
      <c r="R572" s="42" t="str">
        <f aca="true">IF($E572="","",IF($N572="Cancelada","Cancelada",IF(OR($M572&lt;&gt;"",$N572="Concluída"),IF(OR($L572="",$M572="",$M572&lt;=$L572),"Concluída","Concluída com atraso"),IF($L572="","Na carteira",IF($L572&lt;TODAY(),"VENCIDA",IF($N572="Em execução","Em execução",IF($L572=TODAY(),"Hoje","Programada")))))))</f>
        <v/>
      </c>
      <c r="S572" s="34" t="str">
        <f aca="false">IF($E572="","",IF(ISNUMBER(SEARCH("(externo)",$G572&amp;$H572&amp;$I572)),"Terceirizada","Interna"))</f>
        <v/>
      </c>
      <c r="T572" s="40" t="str">
        <f aca="false">IF($L572="","",IF($O572="",$L572,$O572))</f>
        <v/>
      </c>
      <c r="U572" s="34" t="str">
        <f aca="false">IF($E572="","",IF(OR($M572="",$L572=""),0,IF($M572&lt;=$L572,1,0)))</f>
        <v/>
      </c>
      <c r="V572" s="34" t="str">
        <f aca="false">IF($E572="","",IF(OR($M572="",$T572=""),0,IF($M572&lt;=$T572,1,0)))</f>
        <v/>
      </c>
      <c r="W572" s="42" t="str">
        <f aca="false">IF(OR($M572="",$L572=""),"",MAX(0,$M572-$L572))</f>
        <v/>
      </c>
      <c r="X572" s="34" t="str">
        <f aca="false">IF($E572="","",IF(AND($O572&lt;&gt;"",$L572&lt;&gt;"",$O572&lt;&gt;$L572),1,0))</f>
        <v/>
      </c>
      <c r="Y572" s="34" t="str">
        <f aca="false">IF($E572="","",IF($N572="Cancelada",0,IF(OR($M572&lt;&gt;"",$N572="Concluída"),1,0)))</f>
        <v/>
      </c>
    </row>
    <row r="573" customFormat="false" ht="15" hidden="false" customHeight="true" outlineLevel="0" collapsed="false">
      <c r="A573" s="34" t="str">
        <f aca="false">IF($E573="","",COUNTA($E$5:$E573))</f>
        <v/>
      </c>
      <c r="B573" s="35"/>
      <c r="C573" s="35"/>
      <c r="D573" s="35"/>
      <c r="E573" s="35"/>
      <c r="F573" s="36"/>
      <c r="G573" s="37"/>
      <c r="H573" s="37"/>
      <c r="I573" s="37"/>
      <c r="J573" s="38"/>
      <c r="K573" s="39"/>
      <c r="L573" s="40" t="str">
        <f aca="false">IF(OR($J573="",$K573=""),"",$J573+MATCH($K573,Listas!$F$5:$F$11,0)-1)</f>
        <v/>
      </c>
      <c r="M573" s="41"/>
      <c r="N573" s="36"/>
      <c r="O573" s="41"/>
      <c r="P573" s="35"/>
      <c r="Q573" s="35"/>
      <c r="R573" s="42" t="str">
        <f aca="true">IF($E573="","",IF($N573="Cancelada","Cancelada",IF(OR($M573&lt;&gt;"",$N573="Concluída"),IF(OR($L573="",$M573="",$M573&lt;=$L573),"Concluída","Concluída com atraso"),IF($L573="","Na carteira",IF($L573&lt;TODAY(),"VENCIDA",IF($N573="Em execução","Em execução",IF($L573=TODAY(),"Hoje","Programada")))))))</f>
        <v/>
      </c>
      <c r="S573" s="34" t="str">
        <f aca="false">IF($E573="","",IF(ISNUMBER(SEARCH("(externo)",$G573&amp;$H573&amp;$I573)),"Terceirizada","Interna"))</f>
        <v/>
      </c>
      <c r="T573" s="40" t="str">
        <f aca="false">IF($L573="","",IF($O573="",$L573,$O573))</f>
        <v/>
      </c>
      <c r="U573" s="34" t="str">
        <f aca="false">IF($E573="","",IF(OR($M573="",$L573=""),0,IF($M573&lt;=$L573,1,0)))</f>
        <v/>
      </c>
      <c r="V573" s="34" t="str">
        <f aca="false">IF($E573="","",IF(OR($M573="",$T573=""),0,IF($M573&lt;=$T573,1,0)))</f>
        <v/>
      </c>
      <c r="W573" s="42" t="str">
        <f aca="false">IF(OR($M573="",$L573=""),"",MAX(0,$M573-$L573))</f>
        <v/>
      </c>
      <c r="X573" s="34" t="str">
        <f aca="false">IF($E573="","",IF(AND($O573&lt;&gt;"",$L573&lt;&gt;"",$O573&lt;&gt;$L573),1,0))</f>
        <v/>
      </c>
      <c r="Y573" s="34" t="str">
        <f aca="false">IF($E573="","",IF($N573="Cancelada",0,IF(OR($M573&lt;&gt;"",$N573="Concluída"),1,0)))</f>
        <v/>
      </c>
    </row>
    <row r="574" customFormat="false" ht="15" hidden="false" customHeight="true" outlineLevel="0" collapsed="false">
      <c r="A574" s="34" t="str">
        <f aca="false">IF($E574="","",COUNTA($E$5:$E574))</f>
        <v/>
      </c>
      <c r="B574" s="35"/>
      <c r="C574" s="35"/>
      <c r="D574" s="35"/>
      <c r="E574" s="35"/>
      <c r="F574" s="36"/>
      <c r="G574" s="37"/>
      <c r="H574" s="37"/>
      <c r="I574" s="37"/>
      <c r="J574" s="38"/>
      <c r="K574" s="39"/>
      <c r="L574" s="40" t="str">
        <f aca="false">IF(OR($J574="",$K574=""),"",$J574+MATCH($K574,Listas!$F$5:$F$11,0)-1)</f>
        <v/>
      </c>
      <c r="M574" s="41"/>
      <c r="N574" s="36"/>
      <c r="O574" s="41"/>
      <c r="P574" s="35"/>
      <c r="Q574" s="35"/>
      <c r="R574" s="42" t="str">
        <f aca="true">IF($E574="","",IF($N574="Cancelada","Cancelada",IF(OR($M574&lt;&gt;"",$N574="Concluída"),IF(OR($L574="",$M574="",$M574&lt;=$L574),"Concluída","Concluída com atraso"),IF($L574="","Na carteira",IF($L574&lt;TODAY(),"VENCIDA",IF($N574="Em execução","Em execução",IF($L574=TODAY(),"Hoje","Programada")))))))</f>
        <v/>
      </c>
      <c r="S574" s="34" t="str">
        <f aca="false">IF($E574="","",IF(ISNUMBER(SEARCH("(externo)",$G574&amp;$H574&amp;$I574)),"Terceirizada","Interna"))</f>
        <v/>
      </c>
      <c r="T574" s="40" t="str">
        <f aca="false">IF($L574="","",IF($O574="",$L574,$O574))</f>
        <v/>
      </c>
      <c r="U574" s="34" t="str">
        <f aca="false">IF($E574="","",IF(OR($M574="",$L574=""),0,IF($M574&lt;=$L574,1,0)))</f>
        <v/>
      </c>
      <c r="V574" s="34" t="str">
        <f aca="false">IF($E574="","",IF(OR($M574="",$T574=""),0,IF($M574&lt;=$T574,1,0)))</f>
        <v/>
      </c>
      <c r="W574" s="42" t="str">
        <f aca="false">IF(OR($M574="",$L574=""),"",MAX(0,$M574-$L574))</f>
        <v/>
      </c>
      <c r="X574" s="34" t="str">
        <f aca="false">IF($E574="","",IF(AND($O574&lt;&gt;"",$L574&lt;&gt;"",$O574&lt;&gt;$L574),1,0))</f>
        <v/>
      </c>
      <c r="Y574" s="34" t="str">
        <f aca="false">IF($E574="","",IF($N574="Cancelada",0,IF(OR($M574&lt;&gt;"",$N574="Concluída"),1,0)))</f>
        <v/>
      </c>
    </row>
    <row r="575" customFormat="false" ht="15" hidden="false" customHeight="true" outlineLevel="0" collapsed="false">
      <c r="A575" s="34" t="str">
        <f aca="false">IF($E575="","",COUNTA($E$5:$E575))</f>
        <v/>
      </c>
      <c r="B575" s="35"/>
      <c r="C575" s="35"/>
      <c r="D575" s="35"/>
      <c r="E575" s="35"/>
      <c r="F575" s="36"/>
      <c r="G575" s="37"/>
      <c r="H575" s="37"/>
      <c r="I575" s="37"/>
      <c r="J575" s="38"/>
      <c r="K575" s="39"/>
      <c r="L575" s="40" t="str">
        <f aca="false">IF(OR($J575="",$K575=""),"",$J575+MATCH($K575,Listas!$F$5:$F$11,0)-1)</f>
        <v/>
      </c>
      <c r="M575" s="41"/>
      <c r="N575" s="36"/>
      <c r="O575" s="41"/>
      <c r="P575" s="35"/>
      <c r="Q575" s="35"/>
      <c r="R575" s="42" t="str">
        <f aca="true">IF($E575="","",IF($N575="Cancelada","Cancelada",IF(OR($M575&lt;&gt;"",$N575="Concluída"),IF(OR($L575="",$M575="",$M575&lt;=$L575),"Concluída","Concluída com atraso"),IF($L575="","Na carteira",IF($L575&lt;TODAY(),"VENCIDA",IF($N575="Em execução","Em execução",IF($L575=TODAY(),"Hoje","Programada")))))))</f>
        <v/>
      </c>
      <c r="S575" s="34" t="str">
        <f aca="false">IF($E575="","",IF(ISNUMBER(SEARCH("(externo)",$G575&amp;$H575&amp;$I575)),"Terceirizada","Interna"))</f>
        <v/>
      </c>
      <c r="T575" s="40" t="str">
        <f aca="false">IF($L575="","",IF($O575="",$L575,$O575))</f>
        <v/>
      </c>
      <c r="U575" s="34" t="str">
        <f aca="false">IF($E575="","",IF(OR($M575="",$L575=""),0,IF($M575&lt;=$L575,1,0)))</f>
        <v/>
      </c>
      <c r="V575" s="34" t="str">
        <f aca="false">IF($E575="","",IF(OR($M575="",$T575=""),0,IF($M575&lt;=$T575,1,0)))</f>
        <v/>
      </c>
      <c r="W575" s="42" t="str">
        <f aca="false">IF(OR($M575="",$L575=""),"",MAX(0,$M575-$L575))</f>
        <v/>
      </c>
      <c r="X575" s="34" t="str">
        <f aca="false">IF($E575="","",IF(AND($O575&lt;&gt;"",$L575&lt;&gt;"",$O575&lt;&gt;$L575),1,0))</f>
        <v/>
      </c>
      <c r="Y575" s="34" t="str">
        <f aca="false">IF($E575="","",IF($N575="Cancelada",0,IF(OR($M575&lt;&gt;"",$N575="Concluída"),1,0)))</f>
        <v/>
      </c>
    </row>
    <row r="576" customFormat="false" ht="15" hidden="false" customHeight="true" outlineLevel="0" collapsed="false">
      <c r="A576" s="34" t="str">
        <f aca="false">IF($E576="","",COUNTA($E$5:$E576))</f>
        <v/>
      </c>
      <c r="B576" s="35"/>
      <c r="C576" s="35"/>
      <c r="D576" s="35"/>
      <c r="E576" s="35"/>
      <c r="F576" s="36"/>
      <c r="G576" s="37"/>
      <c r="H576" s="37"/>
      <c r="I576" s="37"/>
      <c r="J576" s="38"/>
      <c r="K576" s="39"/>
      <c r="L576" s="40" t="str">
        <f aca="false">IF(OR($J576="",$K576=""),"",$J576+MATCH($K576,Listas!$F$5:$F$11,0)-1)</f>
        <v/>
      </c>
      <c r="M576" s="41"/>
      <c r="N576" s="36"/>
      <c r="O576" s="41"/>
      <c r="P576" s="35"/>
      <c r="Q576" s="35"/>
      <c r="R576" s="42" t="str">
        <f aca="true">IF($E576="","",IF($N576="Cancelada","Cancelada",IF(OR($M576&lt;&gt;"",$N576="Concluída"),IF(OR($L576="",$M576="",$M576&lt;=$L576),"Concluída","Concluída com atraso"),IF($L576="","Na carteira",IF($L576&lt;TODAY(),"VENCIDA",IF($N576="Em execução","Em execução",IF($L576=TODAY(),"Hoje","Programada")))))))</f>
        <v/>
      </c>
      <c r="S576" s="34" t="str">
        <f aca="false">IF($E576="","",IF(ISNUMBER(SEARCH("(externo)",$G576&amp;$H576&amp;$I576)),"Terceirizada","Interna"))</f>
        <v/>
      </c>
      <c r="T576" s="40" t="str">
        <f aca="false">IF($L576="","",IF($O576="",$L576,$O576))</f>
        <v/>
      </c>
      <c r="U576" s="34" t="str">
        <f aca="false">IF($E576="","",IF(OR($M576="",$L576=""),0,IF($M576&lt;=$L576,1,0)))</f>
        <v/>
      </c>
      <c r="V576" s="34" t="str">
        <f aca="false">IF($E576="","",IF(OR($M576="",$T576=""),0,IF($M576&lt;=$T576,1,0)))</f>
        <v/>
      </c>
      <c r="W576" s="42" t="str">
        <f aca="false">IF(OR($M576="",$L576=""),"",MAX(0,$M576-$L576))</f>
        <v/>
      </c>
      <c r="X576" s="34" t="str">
        <f aca="false">IF($E576="","",IF(AND($O576&lt;&gt;"",$L576&lt;&gt;"",$O576&lt;&gt;$L576),1,0))</f>
        <v/>
      </c>
      <c r="Y576" s="34" t="str">
        <f aca="false">IF($E576="","",IF($N576="Cancelada",0,IF(OR($M576&lt;&gt;"",$N576="Concluída"),1,0)))</f>
        <v/>
      </c>
    </row>
    <row r="577" customFormat="false" ht="15" hidden="false" customHeight="true" outlineLevel="0" collapsed="false">
      <c r="A577" s="34" t="str">
        <f aca="false">IF($E577="","",COUNTA($E$5:$E577))</f>
        <v/>
      </c>
      <c r="B577" s="35"/>
      <c r="C577" s="35"/>
      <c r="D577" s="35"/>
      <c r="E577" s="35"/>
      <c r="F577" s="36"/>
      <c r="G577" s="37"/>
      <c r="H577" s="37"/>
      <c r="I577" s="37"/>
      <c r="J577" s="38"/>
      <c r="K577" s="39"/>
      <c r="L577" s="40" t="str">
        <f aca="false">IF(OR($J577="",$K577=""),"",$J577+MATCH($K577,Listas!$F$5:$F$11,0)-1)</f>
        <v/>
      </c>
      <c r="M577" s="41"/>
      <c r="N577" s="36"/>
      <c r="O577" s="41"/>
      <c r="P577" s="35"/>
      <c r="Q577" s="35"/>
      <c r="R577" s="42" t="str">
        <f aca="true">IF($E577="","",IF($N577="Cancelada","Cancelada",IF(OR($M577&lt;&gt;"",$N577="Concluída"),IF(OR($L577="",$M577="",$M577&lt;=$L577),"Concluída","Concluída com atraso"),IF($L577="","Na carteira",IF($L577&lt;TODAY(),"VENCIDA",IF($N577="Em execução","Em execução",IF($L577=TODAY(),"Hoje","Programada")))))))</f>
        <v/>
      </c>
      <c r="S577" s="34" t="str">
        <f aca="false">IF($E577="","",IF(ISNUMBER(SEARCH("(externo)",$G577&amp;$H577&amp;$I577)),"Terceirizada","Interna"))</f>
        <v/>
      </c>
      <c r="T577" s="40" t="str">
        <f aca="false">IF($L577="","",IF($O577="",$L577,$O577))</f>
        <v/>
      </c>
      <c r="U577" s="34" t="str">
        <f aca="false">IF($E577="","",IF(OR($M577="",$L577=""),0,IF($M577&lt;=$L577,1,0)))</f>
        <v/>
      </c>
      <c r="V577" s="34" t="str">
        <f aca="false">IF($E577="","",IF(OR($M577="",$T577=""),0,IF($M577&lt;=$T577,1,0)))</f>
        <v/>
      </c>
      <c r="W577" s="42" t="str">
        <f aca="false">IF(OR($M577="",$L577=""),"",MAX(0,$M577-$L577))</f>
        <v/>
      </c>
      <c r="X577" s="34" t="str">
        <f aca="false">IF($E577="","",IF(AND($O577&lt;&gt;"",$L577&lt;&gt;"",$O577&lt;&gt;$L577),1,0))</f>
        <v/>
      </c>
      <c r="Y577" s="34" t="str">
        <f aca="false">IF($E577="","",IF($N577="Cancelada",0,IF(OR($M577&lt;&gt;"",$N577="Concluída"),1,0)))</f>
        <v/>
      </c>
    </row>
    <row r="578" customFormat="false" ht="15" hidden="false" customHeight="true" outlineLevel="0" collapsed="false">
      <c r="A578" s="34" t="str">
        <f aca="false">IF($E578="","",COUNTA($E$5:$E578))</f>
        <v/>
      </c>
      <c r="B578" s="35"/>
      <c r="C578" s="35"/>
      <c r="D578" s="35"/>
      <c r="E578" s="35"/>
      <c r="F578" s="36"/>
      <c r="G578" s="37"/>
      <c r="H578" s="37"/>
      <c r="I578" s="37"/>
      <c r="J578" s="38"/>
      <c r="K578" s="39"/>
      <c r="L578" s="40" t="str">
        <f aca="false">IF(OR($J578="",$K578=""),"",$J578+MATCH($K578,Listas!$F$5:$F$11,0)-1)</f>
        <v/>
      </c>
      <c r="M578" s="41"/>
      <c r="N578" s="36"/>
      <c r="O578" s="41"/>
      <c r="P578" s="35"/>
      <c r="Q578" s="35"/>
      <c r="R578" s="42" t="str">
        <f aca="true">IF($E578="","",IF($N578="Cancelada","Cancelada",IF(OR($M578&lt;&gt;"",$N578="Concluída"),IF(OR($L578="",$M578="",$M578&lt;=$L578),"Concluída","Concluída com atraso"),IF($L578="","Na carteira",IF($L578&lt;TODAY(),"VENCIDA",IF($N578="Em execução","Em execução",IF($L578=TODAY(),"Hoje","Programada")))))))</f>
        <v/>
      </c>
      <c r="S578" s="34" t="str">
        <f aca="false">IF($E578="","",IF(ISNUMBER(SEARCH("(externo)",$G578&amp;$H578&amp;$I578)),"Terceirizada","Interna"))</f>
        <v/>
      </c>
      <c r="T578" s="40" t="str">
        <f aca="false">IF($L578="","",IF($O578="",$L578,$O578))</f>
        <v/>
      </c>
      <c r="U578" s="34" t="str">
        <f aca="false">IF($E578="","",IF(OR($M578="",$L578=""),0,IF($M578&lt;=$L578,1,0)))</f>
        <v/>
      </c>
      <c r="V578" s="34" t="str">
        <f aca="false">IF($E578="","",IF(OR($M578="",$T578=""),0,IF($M578&lt;=$T578,1,0)))</f>
        <v/>
      </c>
      <c r="W578" s="42" t="str">
        <f aca="false">IF(OR($M578="",$L578=""),"",MAX(0,$M578-$L578))</f>
        <v/>
      </c>
      <c r="X578" s="34" t="str">
        <f aca="false">IF($E578="","",IF(AND($O578&lt;&gt;"",$L578&lt;&gt;"",$O578&lt;&gt;$L578),1,0))</f>
        <v/>
      </c>
      <c r="Y578" s="34" t="str">
        <f aca="false">IF($E578="","",IF($N578="Cancelada",0,IF(OR($M578&lt;&gt;"",$N578="Concluída"),1,0)))</f>
        <v/>
      </c>
    </row>
    <row r="579" customFormat="false" ht="15" hidden="false" customHeight="true" outlineLevel="0" collapsed="false">
      <c r="A579" s="34" t="str">
        <f aca="false">IF($E579="","",COUNTA($E$5:$E579))</f>
        <v/>
      </c>
      <c r="B579" s="35"/>
      <c r="C579" s="35"/>
      <c r="D579" s="35"/>
      <c r="E579" s="35"/>
      <c r="F579" s="36"/>
      <c r="G579" s="37"/>
      <c r="H579" s="37"/>
      <c r="I579" s="37"/>
      <c r="J579" s="38"/>
      <c r="K579" s="39"/>
      <c r="L579" s="40" t="str">
        <f aca="false">IF(OR($J579="",$K579=""),"",$J579+MATCH($K579,Listas!$F$5:$F$11,0)-1)</f>
        <v/>
      </c>
      <c r="M579" s="41"/>
      <c r="N579" s="36"/>
      <c r="O579" s="41"/>
      <c r="P579" s="35"/>
      <c r="Q579" s="35"/>
      <c r="R579" s="42" t="str">
        <f aca="true">IF($E579="","",IF($N579="Cancelada","Cancelada",IF(OR($M579&lt;&gt;"",$N579="Concluída"),IF(OR($L579="",$M579="",$M579&lt;=$L579),"Concluída","Concluída com atraso"),IF($L579="","Na carteira",IF($L579&lt;TODAY(),"VENCIDA",IF($N579="Em execução","Em execução",IF($L579=TODAY(),"Hoje","Programada")))))))</f>
        <v/>
      </c>
      <c r="S579" s="34" t="str">
        <f aca="false">IF($E579="","",IF(ISNUMBER(SEARCH("(externo)",$G579&amp;$H579&amp;$I579)),"Terceirizada","Interna"))</f>
        <v/>
      </c>
      <c r="T579" s="40" t="str">
        <f aca="false">IF($L579="","",IF($O579="",$L579,$O579))</f>
        <v/>
      </c>
      <c r="U579" s="34" t="str">
        <f aca="false">IF($E579="","",IF(OR($M579="",$L579=""),0,IF($M579&lt;=$L579,1,0)))</f>
        <v/>
      </c>
      <c r="V579" s="34" t="str">
        <f aca="false">IF($E579="","",IF(OR($M579="",$T579=""),0,IF($M579&lt;=$T579,1,0)))</f>
        <v/>
      </c>
      <c r="W579" s="42" t="str">
        <f aca="false">IF(OR($M579="",$L579=""),"",MAX(0,$M579-$L579))</f>
        <v/>
      </c>
      <c r="X579" s="34" t="str">
        <f aca="false">IF($E579="","",IF(AND($O579&lt;&gt;"",$L579&lt;&gt;"",$O579&lt;&gt;$L579),1,0))</f>
        <v/>
      </c>
      <c r="Y579" s="34" t="str">
        <f aca="false">IF($E579="","",IF($N579="Cancelada",0,IF(OR($M579&lt;&gt;"",$N579="Concluída"),1,0)))</f>
        <v/>
      </c>
    </row>
    <row r="580" customFormat="false" ht="15" hidden="false" customHeight="true" outlineLevel="0" collapsed="false">
      <c r="A580" s="34" t="str">
        <f aca="false">IF($E580="","",COUNTA($E$5:$E580))</f>
        <v/>
      </c>
      <c r="B580" s="35"/>
      <c r="C580" s="35"/>
      <c r="D580" s="35"/>
      <c r="E580" s="35"/>
      <c r="F580" s="36"/>
      <c r="G580" s="37"/>
      <c r="H580" s="37"/>
      <c r="I580" s="37"/>
      <c r="J580" s="38"/>
      <c r="K580" s="39"/>
      <c r="L580" s="40" t="str">
        <f aca="false">IF(OR($J580="",$K580=""),"",$J580+MATCH($K580,Listas!$F$5:$F$11,0)-1)</f>
        <v/>
      </c>
      <c r="M580" s="41"/>
      <c r="N580" s="36"/>
      <c r="O580" s="41"/>
      <c r="P580" s="35"/>
      <c r="Q580" s="35"/>
      <c r="R580" s="42" t="str">
        <f aca="true">IF($E580="","",IF($N580="Cancelada","Cancelada",IF(OR($M580&lt;&gt;"",$N580="Concluída"),IF(OR($L580="",$M580="",$M580&lt;=$L580),"Concluída","Concluída com atraso"),IF($L580="","Na carteira",IF($L580&lt;TODAY(),"VENCIDA",IF($N580="Em execução","Em execução",IF($L580=TODAY(),"Hoje","Programada")))))))</f>
        <v/>
      </c>
      <c r="S580" s="34" t="str">
        <f aca="false">IF($E580="","",IF(ISNUMBER(SEARCH("(externo)",$G580&amp;$H580&amp;$I580)),"Terceirizada","Interna"))</f>
        <v/>
      </c>
      <c r="T580" s="40" t="str">
        <f aca="false">IF($L580="","",IF($O580="",$L580,$O580))</f>
        <v/>
      </c>
      <c r="U580" s="34" t="str">
        <f aca="false">IF($E580="","",IF(OR($M580="",$L580=""),0,IF($M580&lt;=$L580,1,0)))</f>
        <v/>
      </c>
      <c r="V580" s="34" t="str">
        <f aca="false">IF($E580="","",IF(OR($M580="",$T580=""),0,IF($M580&lt;=$T580,1,0)))</f>
        <v/>
      </c>
      <c r="W580" s="42" t="str">
        <f aca="false">IF(OR($M580="",$L580=""),"",MAX(0,$M580-$L580))</f>
        <v/>
      </c>
      <c r="X580" s="34" t="str">
        <f aca="false">IF($E580="","",IF(AND($O580&lt;&gt;"",$L580&lt;&gt;"",$O580&lt;&gt;$L580),1,0))</f>
        <v/>
      </c>
      <c r="Y580" s="34" t="str">
        <f aca="false">IF($E580="","",IF($N580="Cancelada",0,IF(OR($M580&lt;&gt;"",$N580="Concluída"),1,0)))</f>
        <v/>
      </c>
    </row>
    <row r="581" customFormat="false" ht="15" hidden="false" customHeight="true" outlineLevel="0" collapsed="false">
      <c r="A581" s="34" t="str">
        <f aca="false">IF($E581="","",COUNTA($E$5:$E581))</f>
        <v/>
      </c>
      <c r="B581" s="35"/>
      <c r="C581" s="35"/>
      <c r="D581" s="35"/>
      <c r="E581" s="35"/>
      <c r="F581" s="36"/>
      <c r="G581" s="37"/>
      <c r="H581" s="37"/>
      <c r="I581" s="37"/>
      <c r="J581" s="38"/>
      <c r="K581" s="39"/>
      <c r="L581" s="40" t="str">
        <f aca="false">IF(OR($J581="",$K581=""),"",$J581+MATCH($K581,Listas!$F$5:$F$11,0)-1)</f>
        <v/>
      </c>
      <c r="M581" s="41"/>
      <c r="N581" s="36"/>
      <c r="O581" s="41"/>
      <c r="P581" s="35"/>
      <c r="Q581" s="35"/>
      <c r="R581" s="42" t="str">
        <f aca="true">IF($E581="","",IF($N581="Cancelada","Cancelada",IF(OR($M581&lt;&gt;"",$N581="Concluída"),IF(OR($L581="",$M581="",$M581&lt;=$L581),"Concluída","Concluída com atraso"),IF($L581="","Na carteira",IF($L581&lt;TODAY(),"VENCIDA",IF($N581="Em execução","Em execução",IF($L581=TODAY(),"Hoje","Programada")))))))</f>
        <v/>
      </c>
      <c r="S581" s="34" t="str">
        <f aca="false">IF($E581="","",IF(ISNUMBER(SEARCH("(externo)",$G581&amp;$H581&amp;$I581)),"Terceirizada","Interna"))</f>
        <v/>
      </c>
      <c r="T581" s="40" t="str">
        <f aca="false">IF($L581="","",IF($O581="",$L581,$O581))</f>
        <v/>
      </c>
      <c r="U581" s="34" t="str">
        <f aca="false">IF($E581="","",IF(OR($M581="",$L581=""),0,IF($M581&lt;=$L581,1,0)))</f>
        <v/>
      </c>
      <c r="V581" s="34" t="str">
        <f aca="false">IF($E581="","",IF(OR($M581="",$T581=""),0,IF($M581&lt;=$T581,1,0)))</f>
        <v/>
      </c>
      <c r="W581" s="42" t="str">
        <f aca="false">IF(OR($M581="",$L581=""),"",MAX(0,$M581-$L581))</f>
        <v/>
      </c>
      <c r="X581" s="34" t="str">
        <f aca="false">IF($E581="","",IF(AND($O581&lt;&gt;"",$L581&lt;&gt;"",$O581&lt;&gt;$L581),1,0))</f>
        <v/>
      </c>
      <c r="Y581" s="34" t="str">
        <f aca="false">IF($E581="","",IF($N581="Cancelada",0,IF(OR($M581&lt;&gt;"",$N581="Concluída"),1,0)))</f>
        <v/>
      </c>
    </row>
    <row r="582" customFormat="false" ht="15" hidden="false" customHeight="true" outlineLevel="0" collapsed="false">
      <c r="A582" s="34" t="str">
        <f aca="false">IF($E582="","",COUNTA($E$5:$E582))</f>
        <v/>
      </c>
      <c r="B582" s="35"/>
      <c r="C582" s="35"/>
      <c r="D582" s="35"/>
      <c r="E582" s="35"/>
      <c r="F582" s="36"/>
      <c r="G582" s="37"/>
      <c r="H582" s="37"/>
      <c r="I582" s="37"/>
      <c r="J582" s="38"/>
      <c r="K582" s="39"/>
      <c r="L582" s="40" t="str">
        <f aca="false">IF(OR($J582="",$K582=""),"",$J582+MATCH($K582,Listas!$F$5:$F$11,0)-1)</f>
        <v/>
      </c>
      <c r="M582" s="41"/>
      <c r="N582" s="36"/>
      <c r="O582" s="41"/>
      <c r="P582" s="35"/>
      <c r="Q582" s="35"/>
      <c r="R582" s="42" t="str">
        <f aca="true">IF($E582="","",IF($N582="Cancelada","Cancelada",IF(OR($M582&lt;&gt;"",$N582="Concluída"),IF(OR($L582="",$M582="",$M582&lt;=$L582),"Concluída","Concluída com atraso"),IF($L582="","Na carteira",IF($L582&lt;TODAY(),"VENCIDA",IF($N582="Em execução","Em execução",IF($L582=TODAY(),"Hoje","Programada")))))))</f>
        <v/>
      </c>
      <c r="S582" s="34" t="str">
        <f aca="false">IF($E582="","",IF(ISNUMBER(SEARCH("(externo)",$G582&amp;$H582&amp;$I582)),"Terceirizada","Interna"))</f>
        <v/>
      </c>
      <c r="T582" s="40" t="str">
        <f aca="false">IF($L582="","",IF($O582="",$L582,$O582))</f>
        <v/>
      </c>
      <c r="U582" s="34" t="str">
        <f aca="false">IF($E582="","",IF(OR($M582="",$L582=""),0,IF($M582&lt;=$L582,1,0)))</f>
        <v/>
      </c>
      <c r="V582" s="34" t="str">
        <f aca="false">IF($E582="","",IF(OR($M582="",$T582=""),0,IF($M582&lt;=$T582,1,0)))</f>
        <v/>
      </c>
      <c r="W582" s="42" t="str">
        <f aca="false">IF(OR($M582="",$L582=""),"",MAX(0,$M582-$L582))</f>
        <v/>
      </c>
      <c r="X582" s="34" t="str">
        <f aca="false">IF($E582="","",IF(AND($O582&lt;&gt;"",$L582&lt;&gt;"",$O582&lt;&gt;$L582),1,0))</f>
        <v/>
      </c>
      <c r="Y582" s="34" t="str">
        <f aca="false">IF($E582="","",IF($N582="Cancelada",0,IF(OR($M582&lt;&gt;"",$N582="Concluída"),1,0)))</f>
        <v/>
      </c>
    </row>
    <row r="583" customFormat="false" ht="15" hidden="false" customHeight="true" outlineLevel="0" collapsed="false">
      <c r="A583" s="34" t="str">
        <f aca="false">IF($E583="","",COUNTA($E$5:$E583))</f>
        <v/>
      </c>
      <c r="B583" s="35"/>
      <c r="C583" s="35"/>
      <c r="D583" s="35"/>
      <c r="E583" s="35"/>
      <c r="F583" s="36"/>
      <c r="G583" s="37"/>
      <c r="H583" s="37"/>
      <c r="I583" s="37"/>
      <c r="J583" s="38"/>
      <c r="K583" s="39"/>
      <c r="L583" s="40" t="str">
        <f aca="false">IF(OR($J583="",$K583=""),"",$J583+MATCH($K583,Listas!$F$5:$F$11,0)-1)</f>
        <v/>
      </c>
      <c r="M583" s="41"/>
      <c r="N583" s="36"/>
      <c r="O583" s="41"/>
      <c r="P583" s="35"/>
      <c r="Q583" s="35"/>
      <c r="R583" s="42" t="str">
        <f aca="true">IF($E583="","",IF($N583="Cancelada","Cancelada",IF(OR($M583&lt;&gt;"",$N583="Concluída"),IF(OR($L583="",$M583="",$M583&lt;=$L583),"Concluída","Concluída com atraso"),IF($L583="","Na carteira",IF($L583&lt;TODAY(),"VENCIDA",IF($N583="Em execução","Em execução",IF($L583=TODAY(),"Hoje","Programada")))))))</f>
        <v/>
      </c>
      <c r="S583" s="34" t="str">
        <f aca="false">IF($E583="","",IF(ISNUMBER(SEARCH("(externo)",$G583&amp;$H583&amp;$I583)),"Terceirizada","Interna"))</f>
        <v/>
      </c>
      <c r="T583" s="40" t="str">
        <f aca="false">IF($L583="","",IF($O583="",$L583,$O583))</f>
        <v/>
      </c>
      <c r="U583" s="34" t="str">
        <f aca="false">IF($E583="","",IF(OR($M583="",$L583=""),0,IF($M583&lt;=$L583,1,0)))</f>
        <v/>
      </c>
      <c r="V583" s="34" t="str">
        <f aca="false">IF($E583="","",IF(OR($M583="",$T583=""),0,IF($M583&lt;=$T583,1,0)))</f>
        <v/>
      </c>
      <c r="W583" s="42" t="str">
        <f aca="false">IF(OR($M583="",$L583=""),"",MAX(0,$M583-$L583))</f>
        <v/>
      </c>
      <c r="X583" s="34" t="str">
        <f aca="false">IF($E583="","",IF(AND($O583&lt;&gt;"",$L583&lt;&gt;"",$O583&lt;&gt;$L583),1,0))</f>
        <v/>
      </c>
      <c r="Y583" s="34" t="str">
        <f aca="false">IF($E583="","",IF($N583="Cancelada",0,IF(OR($M583&lt;&gt;"",$N583="Concluída"),1,0)))</f>
        <v/>
      </c>
    </row>
    <row r="584" customFormat="false" ht="15" hidden="false" customHeight="true" outlineLevel="0" collapsed="false">
      <c r="A584" s="34" t="str">
        <f aca="false">IF($E584="","",COUNTA($E$5:$E584))</f>
        <v/>
      </c>
      <c r="B584" s="35"/>
      <c r="C584" s="35"/>
      <c r="D584" s="35"/>
      <c r="E584" s="35"/>
      <c r="F584" s="36"/>
      <c r="G584" s="37"/>
      <c r="H584" s="37"/>
      <c r="I584" s="37"/>
      <c r="J584" s="38"/>
      <c r="K584" s="39"/>
      <c r="L584" s="40" t="str">
        <f aca="false">IF(OR($J584="",$K584=""),"",$J584+MATCH($K584,Listas!$F$5:$F$11,0)-1)</f>
        <v/>
      </c>
      <c r="M584" s="41"/>
      <c r="N584" s="36"/>
      <c r="O584" s="41"/>
      <c r="P584" s="35"/>
      <c r="Q584" s="35"/>
      <c r="R584" s="42" t="str">
        <f aca="true">IF($E584="","",IF($N584="Cancelada","Cancelada",IF(OR($M584&lt;&gt;"",$N584="Concluída"),IF(OR($L584="",$M584="",$M584&lt;=$L584),"Concluída","Concluída com atraso"),IF($L584="","Na carteira",IF($L584&lt;TODAY(),"VENCIDA",IF($N584="Em execução","Em execução",IF($L584=TODAY(),"Hoje","Programada")))))))</f>
        <v/>
      </c>
      <c r="S584" s="34" t="str">
        <f aca="false">IF($E584="","",IF(ISNUMBER(SEARCH("(externo)",$G584&amp;$H584&amp;$I584)),"Terceirizada","Interna"))</f>
        <v/>
      </c>
      <c r="T584" s="40" t="str">
        <f aca="false">IF($L584="","",IF($O584="",$L584,$O584))</f>
        <v/>
      </c>
      <c r="U584" s="34" t="str">
        <f aca="false">IF($E584="","",IF(OR($M584="",$L584=""),0,IF($M584&lt;=$L584,1,0)))</f>
        <v/>
      </c>
      <c r="V584" s="34" t="str">
        <f aca="false">IF($E584="","",IF(OR($M584="",$T584=""),0,IF($M584&lt;=$T584,1,0)))</f>
        <v/>
      </c>
      <c r="W584" s="42" t="str">
        <f aca="false">IF(OR($M584="",$L584=""),"",MAX(0,$M584-$L584))</f>
        <v/>
      </c>
      <c r="X584" s="34" t="str">
        <f aca="false">IF($E584="","",IF(AND($O584&lt;&gt;"",$L584&lt;&gt;"",$O584&lt;&gt;$L584),1,0))</f>
        <v/>
      </c>
      <c r="Y584" s="34" t="str">
        <f aca="false">IF($E584="","",IF($N584="Cancelada",0,IF(OR($M584&lt;&gt;"",$N584="Concluída"),1,0)))</f>
        <v/>
      </c>
    </row>
    <row r="585" customFormat="false" ht="15" hidden="false" customHeight="true" outlineLevel="0" collapsed="false">
      <c r="A585" s="34" t="str">
        <f aca="false">IF($E585="","",COUNTA($E$5:$E585))</f>
        <v/>
      </c>
      <c r="B585" s="35"/>
      <c r="C585" s="35"/>
      <c r="D585" s="35"/>
      <c r="E585" s="35"/>
      <c r="F585" s="36"/>
      <c r="G585" s="37"/>
      <c r="H585" s="37"/>
      <c r="I585" s="37"/>
      <c r="J585" s="38"/>
      <c r="K585" s="39"/>
      <c r="L585" s="40" t="str">
        <f aca="false">IF(OR($J585="",$K585=""),"",$J585+MATCH($K585,Listas!$F$5:$F$11,0)-1)</f>
        <v/>
      </c>
      <c r="M585" s="41"/>
      <c r="N585" s="36"/>
      <c r="O585" s="41"/>
      <c r="P585" s="35"/>
      <c r="Q585" s="35"/>
      <c r="R585" s="42" t="str">
        <f aca="true">IF($E585="","",IF($N585="Cancelada","Cancelada",IF(OR($M585&lt;&gt;"",$N585="Concluída"),IF(OR($L585="",$M585="",$M585&lt;=$L585),"Concluída","Concluída com atraso"),IF($L585="","Na carteira",IF($L585&lt;TODAY(),"VENCIDA",IF($N585="Em execução","Em execução",IF($L585=TODAY(),"Hoje","Programada")))))))</f>
        <v/>
      </c>
      <c r="S585" s="34" t="str">
        <f aca="false">IF($E585="","",IF(ISNUMBER(SEARCH("(externo)",$G585&amp;$H585&amp;$I585)),"Terceirizada","Interna"))</f>
        <v/>
      </c>
      <c r="T585" s="40" t="str">
        <f aca="false">IF($L585="","",IF($O585="",$L585,$O585))</f>
        <v/>
      </c>
      <c r="U585" s="34" t="str">
        <f aca="false">IF($E585="","",IF(OR($M585="",$L585=""),0,IF($M585&lt;=$L585,1,0)))</f>
        <v/>
      </c>
      <c r="V585" s="34" t="str">
        <f aca="false">IF($E585="","",IF(OR($M585="",$T585=""),0,IF($M585&lt;=$T585,1,0)))</f>
        <v/>
      </c>
      <c r="W585" s="42" t="str">
        <f aca="false">IF(OR($M585="",$L585=""),"",MAX(0,$M585-$L585))</f>
        <v/>
      </c>
      <c r="X585" s="34" t="str">
        <f aca="false">IF($E585="","",IF(AND($O585&lt;&gt;"",$L585&lt;&gt;"",$O585&lt;&gt;$L585),1,0))</f>
        <v/>
      </c>
      <c r="Y585" s="34" t="str">
        <f aca="false">IF($E585="","",IF($N585="Cancelada",0,IF(OR($M585&lt;&gt;"",$N585="Concluída"),1,0)))</f>
        <v/>
      </c>
    </row>
    <row r="586" customFormat="false" ht="15" hidden="false" customHeight="true" outlineLevel="0" collapsed="false">
      <c r="A586" s="34" t="str">
        <f aca="false">IF($E586="","",COUNTA($E$5:$E586))</f>
        <v/>
      </c>
      <c r="B586" s="35"/>
      <c r="C586" s="35"/>
      <c r="D586" s="35"/>
      <c r="E586" s="35"/>
      <c r="F586" s="36"/>
      <c r="G586" s="37"/>
      <c r="H586" s="37"/>
      <c r="I586" s="37"/>
      <c r="J586" s="38"/>
      <c r="K586" s="39"/>
      <c r="L586" s="40" t="str">
        <f aca="false">IF(OR($J586="",$K586=""),"",$J586+MATCH($K586,Listas!$F$5:$F$11,0)-1)</f>
        <v/>
      </c>
      <c r="M586" s="41"/>
      <c r="N586" s="36"/>
      <c r="O586" s="41"/>
      <c r="P586" s="35"/>
      <c r="Q586" s="35"/>
      <c r="R586" s="42" t="str">
        <f aca="true">IF($E586="","",IF($N586="Cancelada","Cancelada",IF(OR($M586&lt;&gt;"",$N586="Concluída"),IF(OR($L586="",$M586="",$M586&lt;=$L586),"Concluída","Concluída com atraso"),IF($L586="","Na carteira",IF($L586&lt;TODAY(),"VENCIDA",IF($N586="Em execução","Em execução",IF($L586=TODAY(),"Hoje","Programada")))))))</f>
        <v/>
      </c>
      <c r="S586" s="34" t="str">
        <f aca="false">IF($E586="","",IF(ISNUMBER(SEARCH("(externo)",$G586&amp;$H586&amp;$I586)),"Terceirizada","Interna"))</f>
        <v/>
      </c>
      <c r="T586" s="40" t="str">
        <f aca="false">IF($L586="","",IF($O586="",$L586,$O586))</f>
        <v/>
      </c>
      <c r="U586" s="34" t="str">
        <f aca="false">IF($E586="","",IF(OR($M586="",$L586=""),0,IF($M586&lt;=$L586,1,0)))</f>
        <v/>
      </c>
      <c r="V586" s="34" t="str">
        <f aca="false">IF($E586="","",IF(OR($M586="",$T586=""),0,IF($M586&lt;=$T586,1,0)))</f>
        <v/>
      </c>
      <c r="W586" s="42" t="str">
        <f aca="false">IF(OR($M586="",$L586=""),"",MAX(0,$M586-$L586))</f>
        <v/>
      </c>
      <c r="X586" s="34" t="str">
        <f aca="false">IF($E586="","",IF(AND($O586&lt;&gt;"",$L586&lt;&gt;"",$O586&lt;&gt;$L586),1,0))</f>
        <v/>
      </c>
      <c r="Y586" s="34" t="str">
        <f aca="false">IF($E586="","",IF($N586="Cancelada",0,IF(OR($M586&lt;&gt;"",$N586="Concluída"),1,0)))</f>
        <v/>
      </c>
    </row>
    <row r="587" customFormat="false" ht="15" hidden="false" customHeight="true" outlineLevel="0" collapsed="false">
      <c r="A587" s="34" t="str">
        <f aca="false">IF($E587="","",COUNTA($E$5:$E587))</f>
        <v/>
      </c>
      <c r="B587" s="35"/>
      <c r="C587" s="35"/>
      <c r="D587" s="35"/>
      <c r="E587" s="35"/>
      <c r="F587" s="36"/>
      <c r="G587" s="37"/>
      <c r="H587" s="37"/>
      <c r="I587" s="37"/>
      <c r="J587" s="38"/>
      <c r="K587" s="39"/>
      <c r="L587" s="40" t="str">
        <f aca="false">IF(OR($J587="",$K587=""),"",$J587+MATCH($K587,Listas!$F$5:$F$11,0)-1)</f>
        <v/>
      </c>
      <c r="M587" s="41"/>
      <c r="N587" s="36"/>
      <c r="O587" s="41"/>
      <c r="P587" s="35"/>
      <c r="Q587" s="35"/>
      <c r="R587" s="42" t="str">
        <f aca="true">IF($E587="","",IF($N587="Cancelada","Cancelada",IF(OR($M587&lt;&gt;"",$N587="Concluída"),IF(OR($L587="",$M587="",$M587&lt;=$L587),"Concluída","Concluída com atraso"),IF($L587="","Na carteira",IF($L587&lt;TODAY(),"VENCIDA",IF($N587="Em execução","Em execução",IF($L587=TODAY(),"Hoje","Programada")))))))</f>
        <v/>
      </c>
      <c r="S587" s="34" t="str">
        <f aca="false">IF($E587="","",IF(ISNUMBER(SEARCH("(externo)",$G587&amp;$H587&amp;$I587)),"Terceirizada","Interna"))</f>
        <v/>
      </c>
      <c r="T587" s="40" t="str">
        <f aca="false">IF($L587="","",IF($O587="",$L587,$O587))</f>
        <v/>
      </c>
      <c r="U587" s="34" t="str">
        <f aca="false">IF($E587="","",IF(OR($M587="",$L587=""),0,IF($M587&lt;=$L587,1,0)))</f>
        <v/>
      </c>
      <c r="V587" s="34" t="str">
        <f aca="false">IF($E587="","",IF(OR($M587="",$T587=""),0,IF($M587&lt;=$T587,1,0)))</f>
        <v/>
      </c>
      <c r="W587" s="42" t="str">
        <f aca="false">IF(OR($M587="",$L587=""),"",MAX(0,$M587-$L587))</f>
        <v/>
      </c>
      <c r="X587" s="34" t="str">
        <f aca="false">IF($E587="","",IF(AND($O587&lt;&gt;"",$L587&lt;&gt;"",$O587&lt;&gt;$L587),1,0))</f>
        <v/>
      </c>
      <c r="Y587" s="34" t="str">
        <f aca="false">IF($E587="","",IF($N587="Cancelada",0,IF(OR($M587&lt;&gt;"",$N587="Concluída"),1,0)))</f>
        <v/>
      </c>
    </row>
    <row r="588" customFormat="false" ht="15" hidden="false" customHeight="true" outlineLevel="0" collapsed="false">
      <c r="A588" s="34" t="str">
        <f aca="false">IF($E588="","",COUNTA($E$5:$E588))</f>
        <v/>
      </c>
      <c r="B588" s="35"/>
      <c r="C588" s="35"/>
      <c r="D588" s="35"/>
      <c r="E588" s="35"/>
      <c r="F588" s="36"/>
      <c r="G588" s="37"/>
      <c r="H588" s="37"/>
      <c r="I588" s="37"/>
      <c r="J588" s="38"/>
      <c r="K588" s="39"/>
      <c r="L588" s="40" t="str">
        <f aca="false">IF(OR($J588="",$K588=""),"",$J588+MATCH($K588,Listas!$F$5:$F$11,0)-1)</f>
        <v/>
      </c>
      <c r="M588" s="41"/>
      <c r="N588" s="36"/>
      <c r="O588" s="41"/>
      <c r="P588" s="35"/>
      <c r="Q588" s="35"/>
      <c r="R588" s="42" t="str">
        <f aca="true">IF($E588="","",IF($N588="Cancelada","Cancelada",IF(OR($M588&lt;&gt;"",$N588="Concluída"),IF(OR($L588="",$M588="",$M588&lt;=$L588),"Concluída","Concluída com atraso"),IF($L588="","Na carteira",IF($L588&lt;TODAY(),"VENCIDA",IF($N588="Em execução","Em execução",IF($L588=TODAY(),"Hoje","Programada")))))))</f>
        <v/>
      </c>
      <c r="S588" s="34" t="str">
        <f aca="false">IF($E588="","",IF(ISNUMBER(SEARCH("(externo)",$G588&amp;$H588&amp;$I588)),"Terceirizada","Interna"))</f>
        <v/>
      </c>
      <c r="T588" s="40" t="str">
        <f aca="false">IF($L588="","",IF($O588="",$L588,$O588))</f>
        <v/>
      </c>
      <c r="U588" s="34" t="str">
        <f aca="false">IF($E588="","",IF(OR($M588="",$L588=""),0,IF($M588&lt;=$L588,1,0)))</f>
        <v/>
      </c>
      <c r="V588" s="34" t="str">
        <f aca="false">IF($E588="","",IF(OR($M588="",$T588=""),0,IF($M588&lt;=$T588,1,0)))</f>
        <v/>
      </c>
      <c r="W588" s="42" t="str">
        <f aca="false">IF(OR($M588="",$L588=""),"",MAX(0,$M588-$L588))</f>
        <v/>
      </c>
      <c r="X588" s="34" t="str">
        <f aca="false">IF($E588="","",IF(AND($O588&lt;&gt;"",$L588&lt;&gt;"",$O588&lt;&gt;$L588),1,0))</f>
        <v/>
      </c>
      <c r="Y588" s="34" t="str">
        <f aca="false">IF($E588="","",IF($N588="Cancelada",0,IF(OR($M588&lt;&gt;"",$N588="Concluída"),1,0)))</f>
        <v/>
      </c>
    </row>
    <row r="589" customFormat="false" ht="15" hidden="false" customHeight="true" outlineLevel="0" collapsed="false">
      <c r="A589" s="34" t="str">
        <f aca="false">IF($E589="","",COUNTA($E$5:$E589))</f>
        <v/>
      </c>
      <c r="B589" s="35"/>
      <c r="C589" s="35"/>
      <c r="D589" s="35"/>
      <c r="E589" s="35"/>
      <c r="F589" s="36"/>
      <c r="G589" s="37"/>
      <c r="H589" s="37"/>
      <c r="I589" s="37"/>
      <c r="J589" s="38"/>
      <c r="K589" s="39"/>
      <c r="L589" s="40" t="str">
        <f aca="false">IF(OR($J589="",$K589=""),"",$J589+MATCH($K589,Listas!$F$5:$F$11,0)-1)</f>
        <v/>
      </c>
      <c r="M589" s="41"/>
      <c r="N589" s="36"/>
      <c r="O589" s="41"/>
      <c r="P589" s="35"/>
      <c r="Q589" s="35"/>
      <c r="R589" s="42" t="str">
        <f aca="true">IF($E589="","",IF($N589="Cancelada","Cancelada",IF(OR($M589&lt;&gt;"",$N589="Concluída"),IF(OR($L589="",$M589="",$M589&lt;=$L589),"Concluída","Concluída com atraso"),IF($L589="","Na carteira",IF($L589&lt;TODAY(),"VENCIDA",IF($N589="Em execução","Em execução",IF($L589=TODAY(),"Hoje","Programada")))))))</f>
        <v/>
      </c>
      <c r="S589" s="34" t="str">
        <f aca="false">IF($E589="","",IF(ISNUMBER(SEARCH("(externo)",$G589&amp;$H589&amp;$I589)),"Terceirizada","Interna"))</f>
        <v/>
      </c>
      <c r="T589" s="40" t="str">
        <f aca="false">IF($L589="","",IF($O589="",$L589,$O589))</f>
        <v/>
      </c>
      <c r="U589" s="34" t="str">
        <f aca="false">IF($E589="","",IF(OR($M589="",$L589=""),0,IF($M589&lt;=$L589,1,0)))</f>
        <v/>
      </c>
      <c r="V589" s="34" t="str">
        <f aca="false">IF($E589="","",IF(OR($M589="",$T589=""),0,IF($M589&lt;=$T589,1,0)))</f>
        <v/>
      </c>
      <c r="W589" s="42" t="str">
        <f aca="false">IF(OR($M589="",$L589=""),"",MAX(0,$M589-$L589))</f>
        <v/>
      </c>
      <c r="X589" s="34" t="str">
        <f aca="false">IF($E589="","",IF(AND($O589&lt;&gt;"",$L589&lt;&gt;"",$O589&lt;&gt;$L589),1,0))</f>
        <v/>
      </c>
      <c r="Y589" s="34" t="str">
        <f aca="false">IF($E589="","",IF($N589="Cancelada",0,IF(OR($M589&lt;&gt;"",$N589="Concluída"),1,0)))</f>
        <v/>
      </c>
    </row>
    <row r="590" customFormat="false" ht="15" hidden="false" customHeight="true" outlineLevel="0" collapsed="false">
      <c r="A590" s="34" t="str">
        <f aca="false">IF($E590="","",COUNTA($E$5:$E590))</f>
        <v/>
      </c>
      <c r="B590" s="35"/>
      <c r="C590" s="35"/>
      <c r="D590" s="35"/>
      <c r="E590" s="35"/>
      <c r="F590" s="36"/>
      <c r="G590" s="37"/>
      <c r="H590" s="37"/>
      <c r="I590" s="37"/>
      <c r="J590" s="38"/>
      <c r="K590" s="39"/>
      <c r="L590" s="40" t="str">
        <f aca="false">IF(OR($J590="",$K590=""),"",$J590+MATCH($K590,Listas!$F$5:$F$11,0)-1)</f>
        <v/>
      </c>
      <c r="M590" s="41"/>
      <c r="N590" s="36"/>
      <c r="O590" s="41"/>
      <c r="P590" s="35"/>
      <c r="Q590" s="35"/>
      <c r="R590" s="42" t="str">
        <f aca="true">IF($E590="","",IF($N590="Cancelada","Cancelada",IF(OR($M590&lt;&gt;"",$N590="Concluída"),IF(OR($L590="",$M590="",$M590&lt;=$L590),"Concluída","Concluída com atraso"),IF($L590="","Na carteira",IF($L590&lt;TODAY(),"VENCIDA",IF($N590="Em execução","Em execução",IF($L590=TODAY(),"Hoje","Programada")))))))</f>
        <v/>
      </c>
      <c r="S590" s="34" t="str">
        <f aca="false">IF($E590="","",IF(ISNUMBER(SEARCH("(externo)",$G590&amp;$H590&amp;$I590)),"Terceirizada","Interna"))</f>
        <v/>
      </c>
      <c r="T590" s="40" t="str">
        <f aca="false">IF($L590="","",IF($O590="",$L590,$O590))</f>
        <v/>
      </c>
      <c r="U590" s="34" t="str">
        <f aca="false">IF($E590="","",IF(OR($M590="",$L590=""),0,IF($M590&lt;=$L590,1,0)))</f>
        <v/>
      </c>
      <c r="V590" s="34" t="str">
        <f aca="false">IF($E590="","",IF(OR($M590="",$T590=""),0,IF($M590&lt;=$T590,1,0)))</f>
        <v/>
      </c>
      <c r="W590" s="42" t="str">
        <f aca="false">IF(OR($M590="",$L590=""),"",MAX(0,$M590-$L590))</f>
        <v/>
      </c>
      <c r="X590" s="34" t="str">
        <f aca="false">IF($E590="","",IF(AND($O590&lt;&gt;"",$L590&lt;&gt;"",$O590&lt;&gt;$L590),1,0))</f>
        <v/>
      </c>
      <c r="Y590" s="34" t="str">
        <f aca="false">IF($E590="","",IF($N590="Cancelada",0,IF(OR($M590&lt;&gt;"",$N590="Concluída"),1,0)))</f>
        <v/>
      </c>
    </row>
    <row r="591" customFormat="false" ht="15" hidden="false" customHeight="true" outlineLevel="0" collapsed="false">
      <c r="A591" s="34" t="str">
        <f aca="false">IF($E591="","",COUNTA($E$5:$E591))</f>
        <v/>
      </c>
      <c r="B591" s="35"/>
      <c r="C591" s="35"/>
      <c r="D591" s="35"/>
      <c r="E591" s="35"/>
      <c r="F591" s="36"/>
      <c r="G591" s="37"/>
      <c r="H591" s="37"/>
      <c r="I591" s="37"/>
      <c r="J591" s="38"/>
      <c r="K591" s="39"/>
      <c r="L591" s="40" t="str">
        <f aca="false">IF(OR($J591="",$K591=""),"",$J591+MATCH($K591,Listas!$F$5:$F$11,0)-1)</f>
        <v/>
      </c>
      <c r="M591" s="41"/>
      <c r="N591" s="36"/>
      <c r="O591" s="41"/>
      <c r="P591" s="35"/>
      <c r="Q591" s="35"/>
      <c r="R591" s="42" t="str">
        <f aca="true">IF($E591="","",IF($N591="Cancelada","Cancelada",IF(OR($M591&lt;&gt;"",$N591="Concluída"),IF(OR($L591="",$M591="",$M591&lt;=$L591),"Concluída","Concluída com atraso"),IF($L591="","Na carteira",IF($L591&lt;TODAY(),"VENCIDA",IF($N591="Em execução","Em execução",IF($L591=TODAY(),"Hoje","Programada")))))))</f>
        <v/>
      </c>
      <c r="S591" s="34" t="str">
        <f aca="false">IF($E591="","",IF(ISNUMBER(SEARCH("(externo)",$G591&amp;$H591&amp;$I591)),"Terceirizada","Interna"))</f>
        <v/>
      </c>
      <c r="T591" s="40" t="str">
        <f aca="false">IF($L591="","",IF($O591="",$L591,$O591))</f>
        <v/>
      </c>
      <c r="U591" s="34" t="str">
        <f aca="false">IF($E591="","",IF(OR($M591="",$L591=""),0,IF($M591&lt;=$L591,1,0)))</f>
        <v/>
      </c>
      <c r="V591" s="34" t="str">
        <f aca="false">IF($E591="","",IF(OR($M591="",$T591=""),0,IF($M591&lt;=$T591,1,0)))</f>
        <v/>
      </c>
      <c r="W591" s="42" t="str">
        <f aca="false">IF(OR($M591="",$L591=""),"",MAX(0,$M591-$L591))</f>
        <v/>
      </c>
      <c r="X591" s="34" t="str">
        <f aca="false">IF($E591="","",IF(AND($O591&lt;&gt;"",$L591&lt;&gt;"",$O591&lt;&gt;$L591),1,0))</f>
        <v/>
      </c>
      <c r="Y591" s="34" t="str">
        <f aca="false">IF($E591="","",IF($N591="Cancelada",0,IF(OR($M591&lt;&gt;"",$N591="Concluída"),1,0)))</f>
        <v/>
      </c>
    </row>
    <row r="592" customFormat="false" ht="15" hidden="false" customHeight="true" outlineLevel="0" collapsed="false">
      <c r="A592" s="34" t="str">
        <f aca="false">IF($E592="","",COUNTA($E$5:$E592))</f>
        <v/>
      </c>
      <c r="B592" s="35"/>
      <c r="C592" s="35"/>
      <c r="D592" s="35"/>
      <c r="E592" s="35"/>
      <c r="F592" s="36"/>
      <c r="G592" s="37"/>
      <c r="H592" s="37"/>
      <c r="I592" s="37"/>
      <c r="J592" s="38"/>
      <c r="K592" s="39"/>
      <c r="L592" s="40" t="str">
        <f aca="false">IF(OR($J592="",$K592=""),"",$J592+MATCH($K592,Listas!$F$5:$F$11,0)-1)</f>
        <v/>
      </c>
      <c r="M592" s="41"/>
      <c r="N592" s="36"/>
      <c r="O592" s="41"/>
      <c r="P592" s="35"/>
      <c r="Q592" s="35"/>
      <c r="R592" s="42" t="str">
        <f aca="true">IF($E592="","",IF($N592="Cancelada","Cancelada",IF(OR($M592&lt;&gt;"",$N592="Concluída"),IF(OR($L592="",$M592="",$M592&lt;=$L592),"Concluída","Concluída com atraso"),IF($L592="","Na carteira",IF($L592&lt;TODAY(),"VENCIDA",IF($N592="Em execução","Em execução",IF($L592=TODAY(),"Hoje","Programada")))))))</f>
        <v/>
      </c>
      <c r="S592" s="34" t="str">
        <f aca="false">IF($E592="","",IF(ISNUMBER(SEARCH("(externo)",$G592&amp;$H592&amp;$I592)),"Terceirizada","Interna"))</f>
        <v/>
      </c>
      <c r="T592" s="40" t="str">
        <f aca="false">IF($L592="","",IF($O592="",$L592,$O592))</f>
        <v/>
      </c>
      <c r="U592" s="34" t="str">
        <f aca="false">IF($E592="","",IF(OR($M592="",$L592=""),0,IF($M592&lt;=$L592,1,0)))</f>
        <v/>
      </c>
      <c r="V592" s="34" t="str">
        <f aca="false">IF($E592="","",IF(OR($M592="",$T592=""),0,IF($M592&lt;=$T592,1,0)))</f>
        <v/>
      </c>
      <c r="W592" s="42" t="str">
        <f aca="false">IF(OR($M592="",$L592=""),"",MAX(0,$M592-$L592))</f>
        <v/>
      </c>
      <c r="X592" s="34" t="str">
        <f aca="false">IF($E592="","",IF(AND($O592&lt;&gt;"",$L592&lt;&gt;"",$O592&lt;&gt;$L592),1,0))</f>
        <v/>
      </c>
      <c r="Y592" s="34" t="str">
        <f aca="false">IF($E592="","",IF($N592="Cancelada",0,IF(OR($M592&lt;&gt;"",$N592="Concluída"),1,0)))</f>
        <v/>
      </c>
    </row>
    <row r="593" customFormat="false" ht="15" hidden="false" customHeight="true" outlineLevel="0" collapsed="false">
      <c r="A593" s="34" t="str">
        <f aca="false">IF($E593="","",COUNTA($E$5:$E593))</f>
        <v/>
      </c>
      <c r="B593" s="35"/>
      <c r="C593" s="35"/>
      <c r="D593" s="35"/>
      <c r="E593" s="35"/>
      <c r="F593" s="36"/>
      <c r="G593" s="37"/>
      <c r="H593" s="37"/>
      <c r="I593" s="37"/>
      <c r="J593" s="38"/>
      <c r="K593" s="39"/>
      <c r="L593" s="40" t="str">
        <f aca="false">IF(OR($J593="",$K593=""),"",$J593+MATCH($K593,Listas!$F$5:$F$11,0)-1)</f>
        <v/>
      </c>
      <c r="M593" s="41"/>
      <c r="N593" s="36"/>
      <c r="O593" s="41"/>
      <c r="P593" s="35"/>
      <c r="Q593" s="35"/>
      <c r="R593" s="42" t="str">
        <f aca="true">IF($E593="","",IF($N593="Cancelada","Cancelada",IF(OR($M593&lt;&gt;"",$N593="Concluída"),IF(OR($L593="",$M593="",$M593&lt;=$L593),"Concluída","Concluída com atraso"),IF($L593="","Na carteira",IF($L593&lt;TODAY(),"VENCIDA",IF($N593="Em execução","Em execução",IF($L593=TODAY(),"Hoje","Programada")))))))</f>
        <v/>
      </c>
      <c r="S593" s="34" t="str">
        <f aca="false">IF($E593="","",IF(ISNUMBER(SEARCH("(externo)",$G593&amp;$H593&amp;$I593)),"Terceirizada","Interna"))</f>
        <v/>
      </c>
      <c r="T593" s="40" t="str">
        <f aca="false">IF($L593="","",IF($O593="",$L593,$O593))</f>
        <v/>
      </c>
      <c r="U593" s="34" t="str">
        <f aca="false">IF($E593="","",IF(OR($M593="",$L593=""),0,IF($M593&lt;=$L593,1,0)))</f>
        <v/>
      </c>
      <c r="V593" s="34" t="str">
        <f aca="false">IF($E593="","",IF(OR($M593="",$T593=""),0,IF($M593&lt;=$T593,1,0)))</f>
        <v/>
      </c>
      <c r="W593" s="42" t="str">
        <f aca="false">IF(OR($M593="",$L593=""),"",MAX(0,$M593-$L593))</f>
        <v/>
      </c>
      <c r="X593" s="34" t="str">
        <f aca="false">IF($E593="","",IF(AND($O593&lt;&gt;"",$L593&lt;&gt;"",$O593&lt;&gt;$L593),1,0))</f>
        <v/>
      </c>
      <c r="Y593" s="34" t="str">
        <f aca="false">IF($E593="","",IF($N593="Cancelada",0,IF(OR($M593&lt;&gt;"",$N593="Concluída"),1,0)))</f>
        <v/>
      </c>
    </row>
    <row r="594" customFormat="false" ht="15" hidden="false" customHeight="true" outlineLevel="0" collapsed="false">
      <c r="A594" s="34" t="str">
        <f aca="false">IF($E594="","",COUNTA($E$5:$E594))</f>
        <v/>
      </c>
      <c r="B594" s="35"/>
      <c r="C594" s="35"/>
      <c r="D594" s="35"/>
      <c r="E594" s="35"/>
      <c r="F594" s="36"/>
      <c r="G594" s="37"/>
      <c r="H594" s="37"/>
      <c r="I594" s="37"/>
      <c r="J594" s="38"/>
      <c r="K594" s="39"/>
      <c r="L594" s="40" t="str">
        <f aca="false">IF(OR($J594="",$K594=""),"",$J594+MATCH($K594,Listas!$F$5:$F$11,0)-1)</f>
        <v/>
      </c>
      <c r="M594" s="41"/>
      <c r="N594" s="36"/>
      <c r="O594" s="41"/>
      <c r="P594" s="35"/>
      <c r="Q594" s="35"/>
      <c r="R594" s="42" t="str">
        <f aca="true">IF($E594="","",IF($N594="Cancelada","Cancelada",IF(OR($M594&lt;&gt;"",$N594="Concluída"),IF(OR($L594="",$M594="",$M594&lt;=$L594),"Concluída","Concluída com atraso"),IF($L594="","Na carteira",IF($L594&lt;TODAY(),"VENCIDA",IF($N594="Em execução","Em execução",IF($L594=TODAY(),"Hoje","Programada")))))))</f>
        <v/>
      </c>
      <c r="S594" s="34" t="str">
        <f aca="false">IF($E594="","",IF(ISNUMBER(SEARCH("(externo)",$G594&amp;$H594&amp;$I594)),"Terceirizada","Interna"))</f>
        <v/>
      </c>
      <c r="T594" s="40" t="str">
        <f aca="false">IF($L594="","",IF($O594="",$L594,$O594))</f>
        <v/>
      </c>
      <c r="U594" s="34" t="str">
        <f aca="false">IF($E594="","",IF(OR($M594="",$L594=""),0,IF($M594&lt;=$L594,1,0)))</f>
        <v/>
      </c>
      <c r="V594" s="34" t="str">
        <f aca="false">IF($E594="","",IF(OR($M594="",$T594=""),0,IF($M594&lt;=$T594,1,0)))</f>
        <v/>
      </c>
      <c r="W594" s="42" t="str">
        <f aca="false">IF(OR($M594="",$L594=""),"",MAX(0,$M594-$L594))</f>
        <v/>
      </c>
      <c r="X594" s="34" t="str">
        <f aca="false">IF($E594="","",IF(AND($O594&lt;&gt;"",$L594&lt;&gt;"",$O594&lt;&gt;$L594),1,0))</f>
        <v/>
      </c>
      <c r="Y594" s="34" t="str">
        <f aca="false">IF($E594="","",IF($N594="Cancelada",0,IF(OR($M594&lt;&gt;"",$N594="Concluída"),1,0)))</f>
        <v/>
      </c>
    </row>
    <row r="595" customFormat="false" ht="15" hidden="false" customHeight="true" outlineLevel="0" collapsed="false">
      <c r="A595" s="34" t="str">
        <f aca="false">IF($E595="","",COUNTA($E$5:$E595))</f>
        <v/>
      </c>
      <c r="B595" s="35"/>
      <c r="C595" s="35"/>
      <c r="D595" s="35"/>
      <c r="E595" s="35"/>
      <c r="F595" s="36"/>
      <c r="G595" s="37"/>
      <c r="H595" s="37"/>
      <c r="I595" s="37"/>
      <c r="J595" s="38"/>
      <c r="K595" s="39"/>
      <c r="L595" s="40" t="str">
        <f aca="false">IF(OR($J595="",$K595=""),"",$J595+MATCH($K595,Listas!$F$5:$F$11,0)-1)</f>
        <v/>
      </c>
      <c r="M595" s="41"/>
      <c r="N595" s="36"/>
      <c r="O595" s="41"/>
      <c r="P595" s="35"/>
      <c r="Q595" s="35"/>
      <c r="R595" s="42" t="str">
        <f aca="true">IF($E595="","",IF($N595="Cancelada","Cancelada",IF(OR($M595&lt;&gt;"",$N595="Concluída"),IF(OR($L595="",$M595="",$M595&lt;=$L595),"Concluída","Concluída com atraso"),IF($L595="","Na carteira",IF($L595&lt;TODAY(),"VENCIDA",IF($N595="Em execução","Em execução",IF($L595=TODAY(),"Hoje","Programada")))))))</f>
        <v/>
      </c>
      <c r="S595" s="34" t="str">
        <f aca="false">IF($E595="","",IF(ISNUMBER(SEARCH("(externo)",$G595&amp;$H595&amp;$I595)),"Terceirizada","Interna"))</f>
        <v/>
      </c>
      <c r="T595" s="40" t="str">
        <f aca="false">IF($L595="","",IF($O595="",$L595,$O595))</f>
        <v/>
      </c>
      <c r="U595" s="34" t="str">
        <f aca="false">IF($E595="","",IF(OR($M595="",$L595=""),0,IF($M595&lt;=$L595,1,0)))</f>
        <v/>
      </c>
      <c r="V595" s="34" t="str">
        <f aca="false">IF($E595="","",IF(OR($M595="",$T595=""),0,IF($M595&lt;=$T595,1,0)))</f>
        <v/>
      </c>
      <c r="W595" s="42" t="str">
        <f aca="false">IF(OR($M595="",$L595=""),"",MAX(0,$M595-$L595))</f>
        <v/>
      </c>
      <c r="X595" s="34" t="str">
        <f aca="false">IF($E595="","",IF(AND($O595&lt;&gt;"",$L595&lt;&gt;"",$O595&lt;&gt;$L595),1,0))</f>
        <v/>
      </c>
      <c r="Y595" s="34" t="str">
        <f aca="false">IF($E595="","",IF($N595="Cancelada",0,IF(OR($M595&lt;&gt;"",$N595="Concluída"),1,0)))</f>
        <v/>
      </c>
    </row>
    <row r="596" customFormat="false" ht="15" hidden="false" customHeight="true" outlineLevel="0" collapsed="false">
      <c r="A596" s="34" t="str">
        <f aca="false">IF($E596="","",COUNTA($E$5:$E596))</f>
        <v/>
      </c>
      <c r="B596" s="35"/>
      <c r="C596" s="35"/>
      <c r="D596" s="35"/>
      <c r="E596" s="35"/>
      <c r="F596" s="36"/>
      <c r="G596" s="37"/>
      <c r="H596" s="37"/>
      <c r="I596" s="37"/>
      <c r="J596" s="38"/>
      <c r="K596" s="39"/>
      <c r="L596" s="40" t="str">
        <f aca="false">IF(OR($J596="",$K596=""),"",$J596+MATCH($K596,Listas!$F$5:$F$11,0)-1)</f>
        <v/>
      </c>
      <c r="M596" s="41"/>
      <c r="N596" s="36"/>
      <c r="O596" s="41"/>
      <c r="P596" s="35"/>
      <c r="Q596" s="35"/>
      <c r="R596" s="42" t="str">
        <f aca="true">IF($E596="","",IF($N596="Cancelada","Cancelada",IF(OR($M596&lt;&gt;"",$N596="Concluída"),IF(OR($L596="",$M596="",$M596&lt;=$L596),"Concluída","Concluída com atraso"),IF($L596="","Na carteira",IF($L596&lt;TODAY(),"VENCIDA",IF($N596="Em execução","Em execução",IF($L596=TODAY(),"Hoje","Programada")))))))</f>
        <v/>
      </c>
      <c r="S596" s="34" t="str">
        <f aca="false">IF($E596="","",IF(ISNUMBER(SEARCH("(externo)",$G596&amp;$H596&amp;$I596)),"Terceirizada","Interna"))</f>
        <v/>
      </c>
      <c r="T596" s="40" t="str">
        <f aca="false">IF($L596="","",IF($O596="",$L596,$O596))</f>
        <v/>
      </c>
      <c r="U596" s="34" t="str">
        <f aca="false">IF($E596="","",IF(OR($M596="",$L596=""),0,IF($M596&lt;=$L596,1,0)))</f>
        <v/>
      </c>
      <c r="V596" s="34" t="str">
        <f aca="false">IF($E596="","",IF(OR($M596="",$T596=""),0,IF($M596&lt;=$T596,1,0)))</f>
        <v/>
      </c>
      <c r="W596" s="42" t="str">
        <f aca="false">IF(OR($M596="",$L596=""),"",MAX(0,$M596-$L596))</f>
        <v/>
      </c>
      <c r="X596" s="34" t="str">
        <f aca="false">IF($E596="","",IF(AND($O596&lt;&gt;"",$L596&lt;&gt;"",$O596&lt;&gt;$L596),1,0))</f>
        <v/>
      </c>
      <c r="Y596" s="34" t="str">
        <f aca="false">IF($E596="","",IF($N596="Cancelada",0,IF(OR($M596&lt;&gt;"",$N596="Concluída"),1,0)))</f>
        <v/>
      </c>
    </row>
    <row r="597" customFormat="false" ht="15" hidden="false" customHeight="true" outlineLevel="0" collapsed="false">
      <c r="A597" s="34" t="str">
        <f aca="false">IF($E597="","",COUNTA($E$5:$E597))</f>
        <v/>
      </c>
      <c r="B597" s="35"/>
      <c r="C597" s="35"/>
      <c r="D597" s="35"/>
      <c r="E597" s="35"/>
      <c r="F597" s="36"/>
      <c r="G597" s="37"/>
      <c r="H597" s="37"/>
      <c r="I597" s="37"/>
      <c r="J597" s="38"/>
      <c r="K597" s="39"/>
      <c r="L597" s="40" t="str">
        <f aca="false">IF(OR($J597="",$K597=""),"",$J597+MATCH($K597,Listas!$F$5:$F$11,0)-1)</f>
        <v/>
      </c>
      <c r="M597" s="41"/>
      <c r="N597" s="36"/>
      <c r="O597" s="41"/>
      <c r="P597" s="35"/>
      <c r="Q597" s="35"/>
      <c r="R597" s="42" t="str">
        <f aca="true">IF($E597="","",IF($N597="Cancelada","Cancelada",IF(OR($M597&lt;&gt;"",$N597="Concluída"),IF(OR($L597="",$M597="",$M597&lt;=$L597),"Concluída","Concluída com atraso"),IF($L597="","Na carteira",IF($L597&lt;TODAY(),"VENCIDA",IF($N597="Em execução","Em execução",IF($L597=TODAY(),"Hoje","Programada")))))))</f>
        <v/>
      </c>
      <c r="S597" s="34" t="str">
        <f aca="false">IF($E597="","",IF(ISNUMBER(SEARCH("(externo)",$G597&amp;$H597&amp;$I597)),"Terceirizada","Interna"))</f>
        <v/>
      </c>
      <c r="T597" s="40" t="str">
        <f aca="false">IF($L597="","",IF($O597="",$L597,$O597))</f>
        <v/>
      </c>
      <c r="U597" s="34" t="str">
        <f aca="false">IF($E597="","",IF(OR($M597="",$L597=""),0,IF($M597&lt;=$L597,1,0)))</f>
        <v/>
      </c>
      <c r="V597" s="34" t="str">
        <f aca="false">IF($E597="","",IF(OR($M597="",$T597=""),0,IF($M597&lt;=$T597,1,0)))</f>
        <v/>
      </c>
      <c r="W597" s="42" t="str">
        <f aca="false">IF(OR($M597="",$L597=""),"",MAX(0,$M597-$L597))</f>
        <v/>
      </c>
      <c r="X597" s="34" t="str">
        <f aca="false">IF($E597="","",IF(AND($O597&lt;&gt;"",$L597&lt;&gt;"",$O597&lt;&gt;$L597),1,0))</f>
        <v/>
      </c>
      <c r="Y597" s="34" t="str">
        <f aca="false">IF($E597="","",IF($N597="Cancelada",0,IF(OR($M597&lt;&gt;"",$N597="Concluída"),1,0)))</f>
        <v/>
      </c>
    </row>
    <row r="598" customFormat="false" ht="15" hidden="false" customHeight="true" outlineLevel="0" collapsed="false">
      <c r="A598" s="34" t="str">
        <f aca="false">IF($E598="","",COUNTA($E$5:$E598))</f>
        <v/>
      </c>
      <c r="B598" s="35"/>
      <c r="C598" s="35"/>
      <c r="D598" s="35"/>
      <c r="E598" s="35"/>
      <c r="F598" s="36"/>
      <c r="G598" s="37"/>
      <c r="H598" s="37"/>
      <c r="I598" s="37"/>
      <c r="J598" s="38"/>
      <c r="K598" s="39"/>
      <c r="L598" s="40" t="str">
        <f aca="false">IF(OR($J598="",$K598=""),"",$J598+MATCH($K598,Listas!$F$5:$F$11,0)-1)</f>
        <v/>
      </c>
      <c r="M598" s="41"/>
      <c r="N598" s="36"/>
      <c r="O598" s="41"/>
      <c r="P598" s="35"/>
      <c r="Q598" s="35"/>
      <c r="R598" s="42" t="str">
        <f aca="true">IF($E598="","",IF($N598="Cancelada","Cancelada",IF(OR($M598&lt;&gt;"",$N598="Concluída"),IF(OR($L598="",$M598="",$M598&lt;=$L598),"Concluída","Concluída com atraso"),IF($L598="","Na carteira",IF($L598&lt;TODAY(),"VENCIDA",IF($N598="Em execução","Em execução",IF($L598=TODAY(),"Hoje","Programada")))))))</f>
        <v/>
      </c>
      <c r="S598" s="34" t="str">
        <f aca="false">IF($E598="","",IF(ISNUMBER(SEARCH("(externo)",$G598&amp;$H598&amp;$I598)),"Terceirizada","Interna"))</f>
        <v/>
      </c>
      <c r="T598" s="40" t="str">
        <f aca="false">IF($L598="","",IF($O598="",$L598,$O598))</f>
        <v/>
      </c>
      <c r="U598" s="34" t="str">
        <f aca="false">IF($E598="","",IF(OR($M598="",$L598=""),0,IF($M598&lt;=$L598,1,0)))</f>
        <v/>
      </c>
      <c r="V598" s="34" t="str">
        <f aca="false">IF($E598="","",IF(OR($M598="",$T598=""),0,IF($M598&lt;=$T598,1,0)))</f>
        <v/>
      </c>
      <c r="W598" s="42" t="str">
        <f aca="false">IF(OR($M598="",$L598=""),"",MAX(0,$M598-$L598))</f>
        <v/>
      </c>
      <c r="X598" s="34" t="str">
        <f aca="false">IF($E598="","",IF(AND($O598&lt;&gt;"",$L598&lt;&gt;"",$O598&lt;&gt;$L598),1,0))</f>
        <v/>
      </c>
      <c r="Y598" s="34" t="str">
        <f aca="false">IF($E598="","",IF($N598="Cancelada",0,IF(OR($M598&lt;&gt;"",$N598="Concluída"),1,0)))</f>
        <v/>
      </c>
    </row>
    <row r="599" customFormat="false" ht="15" hidden="false" customHeight="true" outlineLevel="0" collapsed="false">
      <c r="A599" s="34" t="str">
        <f aca="false">IF($E599="","",COUNTA($E$5:$E599))</f>
        <v/>
      </c>
      <c r="B599" s="35"/>
      <c r="C599" s="35"/>
      <c r="D599" s="35"/>
      <c r="E599" s="35"/>
      <c r="F599" s="36"/>
      <c r="G599" s="37"/>
      <c r="H599" s="37"/>
      <c r="I599" s="37"/>
      <c r="J599" s="38"/>
      <c r="K599" s="39"/>
      <c r="L599" s="40" t="str">
        <f aca="false">IF(OR($J599="",$K599=""),"",$J599+MATCH($K599,Listas!$F$5:$F$11,0)-1)</f>
        <v/>
      </c>
      <c r="M599" s="41"/>
      <c r="N599" s="36"/>
      <c r="O599" s="41"/>
      <c r="P599" s="35"/>
      <c r="Q599" s="35"/>
      <c r="R599" s="42" t="str">
        <f aca="true">IF($E599="","",IF($N599="Cancelada","Cancelada",IF(OR($M599&lt;&gt;"",$N599="Concluída"),IF(OR($L599="",$M599="",$M599&lt;=$L599),"Concluída","Concluída com atraso"),IF($L599="","Na carteira",IF($L599&lt;TODAY(),"VENCIDA",IF($N599="Em execução","Em execução",IF($L599=TODAY(),"Hoje","Programada")))))))</f>
        <v/>
      </c>
      <c r="S599" s="34" t="str">
        <f aca="false">IF($E599="","",IF(ISNUMBER(SEARCH("(externo)",$G599&amp;$H599&amp;$I599)),"Terceirizada","Interna"))</f>
        <v/>
      </c>
      <c r="T599" s="40" t="str">
        <f aca="false">IF($L599="","",IF($O599="",$L599,$O599))</f>
        <v/>
      </c>
      <c r="U599" s="34" t="str">
        <f aca="false">IF($E599="","",IF(OR($M599="",$L599=""),0,IF($M599&lt;=$L599,1,0)))</f>
        <v/>
      </c>
      <c r="V599" s="34" t="str">
        <f aca="false">IF($E599="","",IF(OR($M599="",$T599=""),0,IF($M599&lt;=$T599,1,0)))</f>
        <v/>
      </c>
      <c r="W599" s="42" t="str">
        <f aca="false">IF(OR($M599="",$L599=""),"",MAX(0,$M599-$L599))</f>
        <v/>
      </c>
      <c r="X599" s="34" t="str">
        <f aca="false">IF($E599="","",IF(AND($O599&lt;&gt;"",$L599&lt;&gt;"",$O599&lt;&gt;$L599),1,0))</f>
        <v/>
      </c>
      <c r="Y599" s="34" t="str">
        <f aca="false">IF($E599="","",IF($N599="Cancelada",0,IF(OR($M599&lt;&gt;"",$N599="Concluída"),1,0)))</f>
        <v/>
      </c>
    </row>
    <row r="600" customFormat="false" ht="15" hidden="false" customHeight="true" outlineLevel="0" collapsed="false">
      <c r="A600" s="34" t="str">
        <f aca="false">IF($E600="","",COUNTA($E$5:$E600))</f>
        <v/>
      </c>
      <c r="B600" s="35"/>
      <c r="C600" s="35"/>
      <c r="D600" s="35"/>
      <c r="E600" s="35"/>
      <c r="F600" s="36"/>
      <c r="G600" s="37"/>
      <c r="H600" s="37"/>
      <c r="I600" s="37"/>
      <c r="J600" s="38"/>
      <c r="K600" s="39"/>
      <c r="L600" s="40" t="str">
        <f aca="false">IF(OR($J600="",$K600=""),"",$J600+MATCH($K600,Listas!$F$5:$F$11,0)-1)</f>
        <v/>
      </c>
      <c r="M600" s="41"/>
      <c r="N600" s="36"/>
      <c r="O600" s="41"/>
      <c r="P600" s="35"/>
      <c r="Q600" s="35"/>
      <c r="R600" s="42" t="str">
        <f aca="true">IF($E600="","",IF($N600="Cancelada","Cancelada",IF(OR($M600&lt;&gt;"",$N600="Concluída"),IF(OR($L600="",$M600="",$M600&lt;=$L600),"Concluída","Concluída com atraso"),IF($L600="","Na carteira",IF($L600&lt;TODAY(),"VENCIDA",IF($N600="Em execução","Em execução",IF($L600=TODAY(),"Hoje","Programada")))))))</f>
        <v/>
      </c>
      <c r="S600" s="34" t="str">
        <f aca="false">IF($E600="","",IF(ISNUMBER(SEARCH("(externo)",$G600&amp;$H600&amp;$I600)),"Terceirizada","Interna"))</f>
        <v/>
      </c>
      <c r="T600" s="40" t="str">
        <f aca="false">IF($L600="","",IF($O600="",$L600,$O600))</f>
        <v/>
      </c>
      <c r="U600" s="34" t="str">
        <f aca="false">IF($E600="","",IF(OR($M600="",$L600=""),0,IF($M600&lt;=$L600,1,0)))</f>
        <v/>
      </c>
      <c r="V600" s="34" t="str">
        <f aca="false">IF($E600="","",IF(OR($M600="",$T600=""),0,IF($M600&lt;=$T600,1,0)))</f>
        <v/>
      </c>
      <c r="W600" s="42" t="str">
        <f aca="false">IF(OR($M600="",$L600=""),"",MAX(0,$M600-$L600))</f>
        <v/>
      </c>
      <c r="X600" s="34" t="str">
        <f aca="false">IF($E600="","",IF(AND($O600&lt;&gt;"",$L600&lt;&gt;"",$O600&lt;&gt;$L600),1,0))</f>
        <v/>
      </c>
      <c r="Y600" s="34" t="str">
        <f aca="false">IF($E600="","",IF($N600="Cancelada",0,IF(OR($M600&lt;&gt;"",$N600="Concluída"),1,0)))</f>
        <v/>
      </c>
    </row>
    <row r="601" customFormat="false" ht="15" hidden="false" customHeight="true" outlineLevel="0" collapsed="false">
      <c r="A601" s="34" t="str">
        <f aca="false">IF($E601="","",COUNTA($E$5:$E601))</f>
        <v/>
      </c>
      <c r="B601" s="35"/>
      <c r="C601" s="35"/>
      <c r="D601" s="35"/>
      <c r="E601" s="35"/>
      <c r="F601" s="36"/>
      <c r="G601" s="37"/>
      <c r="H601" s="37"/>
      <c r="I601" s="37"/>
      <c r="J601" s="38"/>
      <c r="K601" s="39"/>
      <c r="L601" s="40" t="str">
        <f aca="false">IF(OR($J601="",$K601=""),"",$J601+MATCH($K601,Listas!$F$5:$F$11,0)-1)</f>
        <v/>
      </c>
      <c r="M601" s="41"/>
      <c r="N601" s="36"/>
      <c r="O601" s="41"/>
      <c r="P601" s="35"/>
      <c r="Q601" s="35"/>
      <c r="R601" s="42" t="str">
        <f aca="true">IF($E601="","",IF($N601="Cancelada","Cancelada",IF(OR($M601&lt;&gt;"",$N601="Concluída"),IF(OR($L601="",$M601="",$M601&lt;=$L601),"Concluída","Concluída com atraso"),IF($L601="","Na carteira",IF($L601&lt;TODAY(),"VENCIDA",IF($N601="Em execução","Em execução",IF($L601=TODAY(),"Hoje","Programada")))))))</f>
        <v/>
      </c>
      <c r="S601" s="34" t="str">
        <f aca="false">IF($E601="","",IF(ISNUMBER(SEARCH("(externo)",$G601&amp;$H601&amp;$I601)),"Terceirizada","Interna"))</f>
        <v/>
      </c>
      <c r="T601" s="40" t="str">
        <f aca="false">IF($L601="","",IF($O601="",$L601,$O601))</f>
        <v/>
      </c>
      <c r="U601" s="34" t="str">
        <f aca="false">IF($E601="","",IF(OR($M601="",$L601=""),0,IF($M601&lt;=$L601,1,0)))</f>
        <v/>
      </c>
      <c r="V601" s="34" t="str">
        <f aca="false">IF($E601="","",IF(OR($M601="",$T601=""),0,IF($M601&lt;=$T601,1,0)))</f>
        <v/>
      </c>
      <c r="W601" s="42" t="str">
        <f aca="false">IF(OR($M601="",$L601=""),"",MAX(0,$M601-$L601))</f>
        <v/>
      </c>
      <c r="X601" s="34" t="str">
        <f aca="false">IF($E601="","",IF(AND($O601&lt;&gt;"",$L601&lt;&gt;"",$O601&lt;&gt;$L601),1,0))</f>
        <v/>
      </c>
      <c r="Y601" s="34" t="str">
        <f aca="false">IF($E601="","",IF($N601="Cancelada",0,IF(OR($M601&lt;&gt;"",$N601="Concluída"),1,0)))</f>
        <v/>
      </c>
    </row>
    <row r="602" customFormat="false" ht="15" hidden="false" customHeight="true" outlineLevel="0" collapsed="false">
      <c r="A602" s="34" t="str">
        <f aca="false">IF($E602="","",COUNTA($E$5:$E602))</f>
        <v/>
      </c>
      <c r="B602" s="35"/>
      <c r="C602" s="35"/>
      <c r="D602" s="35"/>
      <c r="E602" s="35"/>
      <c r="F602" s="36"/>
      <c r="G602" s="37"/>
      <c r="H602" s="37"/>
      <c r="I602" s="37"/>
      <c r="J602" s="38"/>
      <c r="K602" s="39"/>
      <c r="L602" s="40" t="str">
        <f aca="false">IF(OR($J602="",$K602=""),"",$J602+MATCH($K602,Listas!$F$5:$F$11,0)-1)</f>
        <v/>
      </c>
      <c r="M602" s="41"/>
      <c r="N602" s="36"/>
      <c r="O602" s="41"/>
      <c r="P602" s="35"/>
      <c r="Q602" s="35"/>
      <c r="R602" s="42" t="str">
        <f aca="true">IF($E602="","",IF($N602="Cancelada","Cancelada",IF(OR($M602&lt;&gt;"",$N602="Concluída"),IF(OR($L602="",$M602="",$M602&lt;=$L602),"Concluída","Concluída com atraso"),IF($L602="","Na carteira",IF($L602&lt;TODAY(),"VENCIDA",IF($N602="Em execução","Em execução",IF($L602=TODAY(),"Hoje","Programada")))))))</f>
        <v/>
      </c>
      <c r="S602" s="34" t="str">
        <f aca="false">IF($E602="","",IF(ISNUMBER(SEARCH("(externo)",$G602&amp;$H602&amp;$I602)),"Terceirizada","Interna"))</f>
        <v/>
      </c>
      <c r="T602" s="40" t="str">
        <f aca="false">IF($L602="","",IF($O602="",$L602,$O602))</f>
        <v/>
      </c>
      <c r="U602" s="34" t="str">
        <f aca="false">IF($E602="","",IF(OR($M602="",$L602=""),0,IF($M602&lt;=$L602,1,0)))</f>
        <v/>
      </c>
      <c r="V602" s="34" t="str">
        <f aca="false">IF($E602="","",IF(OR($M602="",$T602=""),0,IF($M602&lt;=$T602,1,0)))</f>
        <v/>
      </c>
      <c r="W602" s="42" t="str">
        <f aca="false">IF(OR($M602="",$L602=""),"",MAX(0,$M602-$L602))</f>
        <v/>
      </c>
      <c r="X602" s="34" t="str">
        <f aca="false">IF($E602="","",IF(AND($O602&lt;&gt;"",$L602&lt;&gt;"",$O602&lt;&gt;$L602),1,0))</f>
        <v/>
      </c>
      <c r="Y602" s="34" t="str">
        <f aca="false">IF($E602="","",IF($N602="Cancelada",0,IF(OR($M602&lt;&gt;"",$N602="Concluída"),1,0)))</f>
        <v/>
      </c>
    </row>
    <row r="603" customFormat="false" ht="15" hidden="false" customHeight="true" outlineLevel="0" collapsed="false">
      <c r="A603" s="34" t="str">
        <f aca="false">IF($E603="","",COUNTA($E$5:$E603))</f>
        <v/>
      </c>
      <c r="B603" s="35"/>
      <c r="C603" s="35"/>
      <c r="D603" s="35"/>
      <c r="E603" s="35"/>
      <c r="F603" s="36"/>
      <c r="G603" s="37"/>
      <c r="H603" s="37"/>
      <c r="I603" s="37"/>
      <c r="J603" s="38"/>
      <c r="K603" s="39"/>
      <c r="L603" s="40" t="str">
        <f aca="false">IF(OR($J603="",$K603=""),"",$J603+MATCH($K603,Listas!$F$5:$F$11,0)-1)</f>
        <v/>
      </c>
      <c r="M603" s="41"/>
      <c r="N603" s="36"/>
      <c r="O603" s="41"/>
      <c r="P603" s="35"/>
      <c r="Q603" s="35"/>
      <c r="R603" s="42" t="str">
        <f aca="true">IF($E603="","",IF($N603="Cancelada","Cancelada",IF(OR($M603&lt;&gt;"",$N603="Concluída"),IF(OR($L603="",$M603="",$M603&lt;=$L603),"Concluída","Concluída com atraso"),IF($L603="","Na carteira",IF($L603&lt;TODAY(),"VENCIDA",IF($N603="Em execução","Em execução",IF($L603=TODAY(),"Hoje","Programada")))))))</f>
        <v/>
      </c>
      <c r="S603" s="34" t="str">
        <f aca="false">IF($E603="","",IF(ISNUMBER(SEARCH("(externo)",$G603&amp;$H603&amp;$I603)),"Terceirizada","Interna"))</f>
        <v/>
      </c>
      <c r="T603" s="40" t="str">
        <f aca="false">IF($L603="","",IF($O603="",$L603,$O603))</f>
        <v/>
      </c>
      <c r="U603" s="34" t="str">
        <f aca="false">IF($E603="","",IF(OR($M603="",$L603=""),0,IF($M603&lt;=$L603,1,0)))</f>
        <v/>
      </c>
      <c r="V603" s="34" t="str">
        <f aca="false">IF($E603="","",IF(OR($M603="",$T603=""),0,IF($M603&lt;=$T603,1,0)))</f>
        <v/>
      </c>
      <c r="W603" s="42" t="str">
        <f aca="false">IF(OR($M603="",$L603=""),"",MAX(0,$M603-$L603))</f>
        <v/>
      </c>
      <c r="X603" s="34" t="str">
        <f aca="false">IF($E603="","",IF(AND($O603&lt;&gt;"",$L603&lt;&gt;"",$O603&lt;&gt;$L603),1,0))</f>
        <v/>
      </c>
      <c r="Y603" s="34" t="str">
        <f aca="false">IF($E603="","",IF($N603="Cancelada",0,IF(OR($M603&lt;&gt;"",$N603="Concluída"),1,0)))</f>
        <v/>
      </c>
    </row>
    <row r="604" customFormat="false" ht="15" hidden="false" customHeight="true" outlineLevel="0" collapsed="false">
      <c r="A604" s="34" t="str">
        <f aca="false">IF($E604="","",COUNTA($E$5:$E604))</f>
        <v/>
      </c>
      <c r="B604" s="35"/>
      <c r="C604" s="35"/>
      <c r="D604" s="35"/>
      <c r="E604" s="35"/>
      <c r="F604" s="36"/>
      <c r="G604" s="37"/>
      <c r="H604" s="37"/>
      <c r="I604" s="37"/>
      <c r="J604" s="38"/>
      <c r="K604" s="39"/>
      <c r="L604" s="40" t="str">
        <f aca="false">IF(OR($J604="",$K604=""),"",$J604+MATCH($K604,Listas!$F$5:$F$11,0)-1)</f>
        <v/>
      </c>
      <c r="M604" s="41"/>
      <c r="N604" s="36"/>
      <c r="O604" s="41"/>
      <c r="P604" s="35"/>
      <c r="Q604" s="35"/>
      <c r="R604" s="42" t="str">
        <f aca="true">IF($E604="","",IF($N604="Cancelada","Cancelada",IF(OR($M604&lt;&gt;"",$N604="Concluída"),IF(OR($L604="",$M604="",$M604&lt;=$L604),"Concluída","Concluída com atraso"),IF($L604="","Na carteira",IF($L604&lt;TODAY(),"VENCIDA",IF($N604="Em execução","Em execução",IF($L604=TODAY(),"Hoje","Programada")))))))</f>
        <v/>
      </c>
      <c r="S604" s="34" t="str">
        <f aca="false">IF($E604="","",IF(ISNUMBER(SEARCH("(externo)",$G604&amp;$H604&amp;$I604)),"Terceirizada","Interna"))</f>
        <v/>
      </c>
      <c r="T604" s="40" t="str">
        <f aca="false">IF($L604="","",IF($O604="",$L604,$O604))</f>
        <v/>
      </c>
      <c r="U604" s="34" t="str">
        <f aca="false">IF($E604="","",IF(OR($M604="",$L604=""),0,IF($M604&lt;=$L604,1,0)))</f>
        <v/>
      </c>
      <c r="V604" s="34" t="str">
        <f aca="false">IF($E604="","",IF(OR($M604="",$T604=""),0,IF($M604&lt;=$T604,1,0)))</f>
        <v/>
      </c>
      <c r="W604" s="42" t="str">
        <f aca="false">IF(OR($M604="",$L604=""),"",MAX(0,$M604-$L604))</f>
        <v/>
      </c>
      <c r="X604" s="34" t="str">
        <f aca="false">IF($E604="","",IF(AND($O604&lt;&gt;"",$L604&lt;&gt;"",$O604&lt;&gt;$L604),1,0))</f>
        <v/>
      </c>
      <c r="Y604" s="34" t="str">
        <f aca="false">IF($E604="","",IF($N604="Cancelada",0,IF(OR($M604&lt;&gt;"",$N604="Concluída"),1,0)))</f>
        <v/>
      </c>
    </row>
    <row r="605" customFormat="false" ht="15" hidden="false" customHeight="true" outlineLevel="0" collapsed="false">
      <c r="A605" s="34" t="str">
        <f aca="false">IF($E605="","",COUNTA($E$5:$E605))</f>
        <v/>
      </c>
      <c r="B605" s="35"/>
      <c r="C605" s="35"/>
      <c r="D605" s="35"/>
      <c r="E605" s="35"/>
      <c r="F605" s="36"/>
      <c r="G605" s="37"/>
      <c r="H605" s="37"/>
      <c r="I605" s="37"/>
      <c r="J605" s="38"/>
      <c r="K605" s="39"/>
      <c r="L605" s="40" t="str">
        <f aca="false">IF(OR($J605="",$K605=""),"",$J605+MATCH($K605,Listas!$F$5:$F$11,0)-1)</f>
        <v/>
      </c>
      <c r="M605" s="41"/>
      <c r="N605" s="36"/>
      <c r="O605" s="41"/>
      <c r="P605" s="35"/>
      <c r="Q605" s="35"/>
      <c r="R605" s="42" t="str">
        <f aca="true">IF($E605="","",IF($N605="Cancelada","Cancelada",IF(OR($M605&lt;&gt;"",$N605="Concluída"),IF(OR($L605="",$M605="",$M605&lt;=$L605),"Concluída","Concluída com atraso"),IF($L605="","Na carteira",IF($L605&lt;TODAY(),"VENCIDA",IF($N605="Em execução","Em execução",IF($L605=TODAY(),"Hoje","Programada")))))))</f>
        <v/>
      </c>
      <c r="S605" s="34" t="str">
        <f aca="false">IF($E605="","",IF(ISNUMBER(SEARCH("(externo)",$G605&amp;$H605&amp;$I605)),"Terceirizada","Interna"))</f>
        <v/>
      </c>
      <c r="T605" s="40" t="str">
        <f aca="false">IF($L605="","",IF($O605="",$L605,$O605))</f>
        <v/>
      </c>
      <c r="U605" s="34" t="str">
        <f aca="false">IF($E605="","",IF(OR($M605="",$L605=""),0,IF($M605&lt;=$L605,1,0)))</f>
        <v/>
      </c>
      <c r="V605" s="34" t="str">
        <f aca="false">IF($E605="","",IF(OR($M605="",$T605=""),0,IF($M605&lt;=$T605,1,0)))</f>
        <v/>
      </c>
      <c r="W605" s="42" t="str">
        <f aca="false">IF(OR($M605="",$L605=""),"",MAX(0,$M605-$L605))</f>
        <v/>
      </c>
      <c r="X605" s="34" t="str">
        <f aca="false">IF($E605="","",IF(AND($O605&lt;&gt;"",$L605&lt;&gt;"",$O605&lt;&gt;$L605),1,0))</f>
        <v/>
      </c>
      <c r="Y605" s="34" t="str">
        <f aca="false">IF($E605="","",IF($N605="Cancelada",0,IF(OR($M605&lt;&gt;"",$N605="Concluída"),1,0)))</f>
        <v/>
      </c>
    </row>
    <row r="606" customFormat="false" ht="15" hidden="false" customHeight="true" outlineLevel="0" collapsed="false">
      <c r="A606" s="34" t="str">
        <f aca="false">IF($E606="","",COUNTA($E$5:$E606))</f>
        <v/>
      </c>
      <c r="B606" s="35"/>
      <c r="C606" s="35"/>
      <c r="D606" s="35"/>
      <c r="E606" s="35"/>
      <c r="F606" s="36"/>
      <c r="G606" s="37"/>
      <c r="H606" s="37"/>
      <c r="I606" s="37"/>
      <c r="J606" s="38"/>
      <c r="K606" s="39"/>
      <c r="L606" s="40" t="str">
        <f aca="false">IF(OR($J606="",$K606=""),"",$J606+MATCH($K606,Listas!$F$5:$F$11,0)-1)</f>
        <v/>
      </c>
      <c r="M606" s="41"/>
      <c r="N606" s="36"/>
      <c r="O606" s="41"/>
      <c r="P606" s="35"/>
      <c r="Q606" s="35"/>
      <c r="R606" s="42" t="str">
        <f aca="true">IF($E606="","",IF($N606="Cancelada","Cancelada",IF(OR($M606&lt;&gt;"",$N606="Concluída"),IF(OR($L606="",$M606="",$M606&lt;=$L606),"Concluída","Concluída com atraso"),IF($L606="","Na carteira",IF($L606&lt;TODAY(),"VENCIDA",IF($N606="Em execução","Em execução",IF($L606=TODAY(),"Hoje","Programada")))))))</f>
        <v/>
      </c>
      <c r="S606" s="34" t="str">
        <f aca="false">IF($E606="","",IF(ISNUMBER(SEARCH("(externo)",$G606&amp;$H606&amp;$I606)),"Terceirizada","Interna"))</f>
        <v/>
      </c>
      <c r="T606" s="40" t="str">
        <f aca="false">IF($L606="","",IF($O606="",$L606,$O606))</f>
        <v/>
      </c>
      <c r="U606" s="34" t="str">
        <f aca="false">IF($E606="","",IF(OR($M606="",$L606=""),0,IF($M606&lt;=$L606,1,0)))</f>
        <v/>
      </c>
      <c r="V606" s="34" t="str">
        <f aca="false">IF($E606="","",IF(OR($M606="",$T606=""),0,IF($M606&lt;=$T606,1,0)))</f>
        <v/>
      </c>
      <c r="W606" s="42" t="str">
        <f aca="false">IF(OR($M606="",$L606=""),"",MAX(0,$M606-$L606))</f>
        <v/>
      </c>
      <c r="X606" s="34" t="str">
        <f aca="false">IF($E606="","",IF(AND($O606&lt;&gt;"",$L606&lt;&gt;"",$O606&lt;&gt;$L606),1,0))</f>
        <v/>
      </c>
      <c r="Y606" s="34" t="str">
        <f aca="false">IF($E606="","",IF($N606="Cancelada",0,IF(OR($M606&lt;&gt;"",$N606="Concluída"),1,0)))</f>
        <v/>
      </c>
    </row>
    <row r="607" customFormat="false" ht="15" hidden="false" customHeight="true" outlineLevel="0" collapsed="false">
      <c r="A607" s="34" t="str">
        <f aca="false">IF($E607="","",COUNTA($E$5:$E607))</f>
        <v/>
      </c>
      <c r="B607" s="35"/>
      <c r="C607" s="35"/>
      <c r="D607" s="35"/>
      <c r="E607" s="35"/>
      <c r="F607" s="36"/>
      <c r="G607" s="37"/>
      <c r="H607" s="37"/>
      <c r="I607" s="37"/>
      <c r="J607" s="38"/>
      <c r="K607" s="39"/>
      <c r="L607" s="40" t="str">
        <f aca="false">IF(OR($J607="",$K607=""),"",$J607+MATCH($K607,Listas!$F$5:$F$11,0)-1)</f>
        <v/>
      </c>
      <c r="M607" s="41"/>
      <c r="N607" s="36"/>
      <c r="O607" s="41"/>
      <c r="P607" s="35"/>
      <c r="Q607" s="35"/>
      <c r="R607" s="42" t="str">
        <f aca="true">IF($E607="","",IF($N607="Cancelada","Cancelada",IF(OR($M607&lt;&gt;"",$N607="Concluída"),IF(OR($L607="",$M607="",$M607&lt;=$L607),"Concluída","Concluída com atraso"),IF($L607="","Na carteira",IF($L607&lt;TODAY(),"VENCIDA",IF($N607="Em execução","Em execução",IF($L607=TODAY(),"Hoje","Programada")))))))</f>
        <v/>
      </c>
      <c r="S607" s="34" t="str">
        <f aca="false">IF($E607="","",IF(ISNUMBER(SEARCH("(externo)",$G607&amp;$H607&amp;$I607)),"Terceirizada","Interna"))</f>
        <v/>
      </c>
      <c r="T607" s="40" t="str">
        <f aca="false">IF($L607="","",IF($O607="",$L607,$O607))</f>
        <v/>
      </c>
      <c r="U607" s="34" t="str">
        <f aca="false">IF($E607="","",IF(OR($M607="",$L607=""),0,IF($M607&lt;=$L607,1,0)))</f>
        <v/>
      </c>
      <c r="V607" s="34" t="str">
        <f aca="false">IF($E607="","",IF(OR($M607="",$T607=""),0,IF($M607&lt;=$T607,1,0)))</f>
        <v/>
      </c>
      <c r="W607" s="42" t="str">
        <f aca="false">IF(OR($M607="",$L607=""),"",MAX(0,$M607-$L607))</f>
        <v/>
      </c>
      <c r="X607" s="34" t="str">
        <f aca="false">IF($E607="","",IF(AND($O607&lt;&gt;"",$L607&lt;&gt;"",$O607&lt;&gt;$L607),1,0))</f>
        <v/>
      </c>
      <c r="Y607" s="34" t="str">
        <f aca="false">IF($E607="","",IF($N607="Cancelada",0,IF(OR($M607&lt;&gt;"",$N607="Concluída"),1,0)))</f>
        <v/>
      </c>
    </row>
    <row r="608" customFormat="false" ht="15" hidden="false" customHeight="true" outlineLevel="0" collapsed="false">
      <c r="A608" s="34" t="str">
        <f aca="false">IF($E608="","",COUNTA($E$5:$E608))</f>
        <v/>
      </c>
      <c r="B608" s="35"/>
      <c r="C608" s="35"/>
      <c r="D608" s="35"/>
      <c r="E608" s="35"/>
      <c r="F608" s="36"/>
      <c r="G608" s="37"/>
      <c r="H608" s="37"/>
      <c r="I608" s="37"/>
      <c r="J608" s="38"/>
      <c r="K608" s="39"/>
      <c r="L608" s="40" t="str">
        <f aca="false">IF(OR($J608="",$K608=""),"",$J608+MATCH($K608,Listas!$F$5:$F$11,0)-1)</f>
        <v/>
      </c>
      <c r="M608" s="41"/>
      <c r="N608" s="36"/>
      <c r="O608" s="41"/>
      <c r="P608" s="35"/>
      <c r="Q608" s="35"/>
      <c r="R608" s="42" t="str">
        <f aca="true">IF($E608="","",IF($N608="Cancelada","Cancelada",IF(OR($M608&lt;&gt;"",$N608="Concluída"),IF(OR($L608="",$M608="",$M608&lt;=$L608),"Concluída","Concluída com atraso"),IF($L608="","Na carteira",IF($L608&lt;TODAY(),"VENCIDA",IF($N608="Em execução","Em execução",IF($L608=TODAY(),"Hoje","Programada")))))))</f>
        <v/>
      </c>
      <c r="S608" s="34" t="str">
        <f aca="false">IF($E608="","",IF(ISNUMBER(SEARCH("(externo)",$G608&amp;$H608&amp;$I608)),"Terceirizada","Interna"))</f>
        <v/>
      </c>
      <c r="T608" s="40" t="str">
        <f aca="false">IF($L608="","",IF($O608="",$L608,$O608))</f>
        <v/>
      </c>
      <c r="U608" s="34" t="str">
        <f aca="false">IF($E608="","",IF(OR($M608="",$L608=""),0,IF($M608&lt;=$L608,1,0)))</f>
        <v/>
      </c>
      <c r="V608" s="34" t="str">
        <f aca="false">IF($E608="","",IF(OR($M608="",$T608=""),0,IF($M608&lt;=$T608,1,0)))</f>
        <v/>
      </c>
      <c r="W608" s="42" t="str">
        <f aca="false">IF(OR($M608="",$L608=""),"",MAX(0,$M608-$L608))</f>
        <v/>
      </c>
      <c r="X608" s="34" t="str">
        <f aca="false">IF($E608="","",IF(AND($O608&lt;&gt;"",$L608&lt;&gt;"",$O608&lt;&gt;$L608),1,0))</f>
        <v/>
      </c>
      <c r="Y608" s="34" t="str">
        <f aca="false">IF($E608="","",IF($N608="Cancelada",0,IF(OR($M608&lt;&gt;"",$N608="Concluída"),1,0)))</f>
        <v/>
      </c>
    </row>
    <row r="609" customFormat="false" ht="15" hidden="false" customHeight="true" outlineLevel="0" collapsed="false">
      <c r="A609" s="34" t="str">
        <f aca="false">IF($E609="","",COUNTA($E$5:$E609))</f>
        <v/>
      </c>
      <c r="B609" s="35"/>
      <c r="C609" s="35"/>
      <c r="D609" s="35"/>
      <c r="E609" s="35"/>
      <c r="F609" s="36"/>
      <c r="G609" s="37"/>
      <c r="H609" s="37"/>
      <c r="I609" s="37"/>
      <c r="J609" s="38"/>
      <c r="K609" s="39"/>
      <c r="L609" s="40" t="str">
        <f aca="false">IF(OR($J609="",$K609=""),"",$J609+MATCH($K609,Listas!$F$5:$F$11,0)-1)</f>
        <v/>
      </c>
      <c r="M609" s="41"/>
      <c r="N609" s="36"/>
      <c r="O609" s="41"/>
      <c r="P609" s="35"/>
      <c r="Q609" s="35"/>
      <c r="R609" s="42" t="str">
        <f aca="true">IF($E609="","",IF($N609="Cancelada","Cancelada",IF(OR($M609&lt;&gt;"",$N609="Concluída"),IF(OR($L609="",$M609="",$M609&lt;=$L609),"Concluída","Concluída com atraso"),IF($L609="","Na carteira",IF($L609&lt;TODAY(),"VENCIDA",IF($N609="Em execução","Em execução",IF($L609=TODAY(),"Hoje","Programada")))))))</f>
        <v/>
      </c>
      <c r="S609" s="34" t="str">
        <f aca="false">IF($E609="","",IF(ISNUMBER(SEARCH("(externo)",$G609&amp;$H609&amp;$I609)),"Terceirizada","Interna"))</f>
        <v/>
      </c>
      <c r="T609" s="40" t="str">
        <f aca="false">IF($L609="","",IF($O609="",$L609,$O609))</f>
        <v/>
      </c>
      <c r="U609" s="34" t="str">
        <f aca="false">IF($E609="","",IF(OR($M609="",$L609=""),0,IF($M609&lt;=$L609,1,0)))</f>
        <v/>
      </c>
      <c r="V609" s="34" t="str">
        <f aca="false">IF($E609="","",IF(OR($M609="",$T609=""),0,IF($M609&lt;=$T609,1,0)))</f>
        <v/>
      </c>
      <c r="W609" s="42" t="str">
        <f aca="false">IF(OR($M609="",$L609=""),"",MAX(0,$M609-$L609))</f>
        <v/>
      </c>
      <c r="X609" s="34" t="str">
        <f aca="false">IF($E609="","",IF(AND($O609&lt;&gt;"",$L609&lt;&gt;"",$O609&lt;&gt;$L609),1,0))</f>
        <v/>
      </c>
      <c r="Y609" s="34" t="str">
        <f aca="false">IF($E609="","",IF($N609="Cancelada",0,IF(OR($M609&lt;&gt;"",$N609="Concluída"),1,0)))</f>
        <v/>
      </c>
    </row>
    <row r="610" customFormat="false" ht="15" hidden="false" customHeight="true" outlineLevel="0" collapsed="false">
      <c r="A610" s="34" t="str">
        <f aca="false">IF($E610="","",COUNTA($E$5:$E610))</f>
        <v/>
      </c>
      <c r="B610" s="35"/>
      <c r="C610" s="35"/>
      <c r="D610" s="35"/>
      <c r="E610" s="35"/>
      <c r="F610" s="36"/>
      <c r="G610" s="37"/>
      <c r="H610" s="37"/>
      <c r="I610" s="37"/>
      <c r="J610" s="38"/>
      <c r="K610" s="39"/>
      <c r="L610" s="40" t="str">
        <f aca="false">IF(OR($J610="",$K610=""),"",$J610+MATCH($K610,Listas!$F$5:$F$11,0)-1)</f>
        <v/>
      </c>
      <c r="M610" s="41"/>
      <c r="N610" s="36"/>
      <c r="O610" s="41"/>
      <c r="P610" s="35"/>
      <c r="Q610" s="35"/>
      <c r="R610" s="42" t="str">
        <f aca="true">IF($E610="","",IF($N610="Cancelada","Cancelada",IF(OR($M610&lt;&gt;"",$N610="Concluída"),IF(OR($L610="",$M610="",$M610&lt;=$L610),"Concluída","Concluída com atraso"),IF($L610="","Na carteira",IF($L610&lt;TODAY(),"VENCIDA",IF($N610="Em execução","Em execução",IF($L610=TODAY(),"Hoje","Programada")))))))</f>
        <v/>
      </c>
      <c r="S610" s="34" t="str">
        <f aca="false">IF($E610="","",IF(ISNUMBER(SEARCH("(externo)",$G610&amp;$H610&amp;$I610)),"Terceirizada","Interna"))</f>
        <v/>
      </c>
      <c r="T610" s="40" t="str">
        <f aca="false">IF($L610="","",IF($O610="",$L610,$O610))</f>
        <v/>
      </c>
      <c r="U610" s="34" t="str">
        <f aca="false">IF($E610="","",IF(OR($M610="",$L610=""),0,IF($M610&lt;=$L610,1,0)))</f>
        <v/>
      </c>
      <c r="V610" s="34" t="str">
        <f aca="false">IF($E610="","",IF(OR($M610="",$T610=""),0,IF($M610&lt;=$T610,1,0)))</f>
        <v/>
      </c>
      <c r="W610" s="42" t="str">
        <f aca="false">IF(OR($M610="",$L610=""),"",MAX(0,$M610-$L610))</f>
        <v/>
      </c>
      <c r="X610" s="34" t="str">
        <f aca="false">IF($E610="","",IF(AND($O610&lt;&gt;"",$L610&lt;&gt;"",$O610&lt;&gt;$L610),1,0))</f>
        <v/>
      </c>
      <c r="Y610" s="34" t="str">
        <f aca="false">IF($E610="","",IF($N610="Cancelada",0,IF(OR($M610&lt;&gt;"",$N610="Concluída"),1,0)))</f>
        <v/>
      </c>
    </row>
    <row r="611" customFormat="false" ht="15" hidden="false" customHeight="true" outlineLevel="0" collapsed="false">
      <c r="A611" s="34" t="str">
        <f aca="false">IF($E611="","",COUNTA($E$5:$E611))</f>
        <v/>
      </c>
      <c r="B611" s="35"/>
      <c r="C611" s="35"/>
      <c r="D611" s="35"/>
      <c r="E611" s="35"/>
      <c r="F611" s="36"/>
      <c r="G611" s="37"/>
      <c r="H611" s="37"/>
      <c r="I611" s="37"/>
      <c r="J611" s="38"/>
      <c r="K611" s="39"/>
      <c r="L611" s="40" t="str">
        <f aca="false">IF(OR($J611="",$K611=""),"",$J611+MATCH($K611,Listas!$F$5:$F$11,0)-1)</f>
        <v/>
      </c>
      <c r="M611" s="41"/>
      <c r="N611" s="36"/>
      <c r="O611" s="41"/>
      <c r="P611" s="35"/>
      <c r="Q611" s="35"/>
      <c r="R611" s="42" t="str">
        <f aca="true">IF($E611="","",IF($N611="Cancelada","Cancelada",IF(OR($M611&lt;&gt;"",$N611="Concluída"),IF(OR($L611="",$M611="",$M611&lt;=$L611),"Concluída","Concluída com atraso"),IF($L611="","Na carteira",IF($L611&lt;TODAY(),"VENCIDA",IF($N611="Em execução","Em execução",IF($L611=TODAY(),"Hoje","Programada")))))))</f>
        <v/>
      </c>
      <c r="S611" s="34" t="str">
        <f aca="false">IF($E611="","",IF(ISNUMBER(SEARCH("(externo)",$G611&amp;$H611&amp;$I611)),"Terceirizada","Interna"))</f>
        <v/>
      </c>
      <c r="T611" s="40" t="str">
        <f aca="false">IF($L611="","",IF($O611="",$L611,$O611))</f>
        <v/>
      </c>
      <c r="U611" s="34" t="str">
        <f aca="false">IF($E611="","",IF(OR($M611="",$L611=""),0,IF($M611&lt;=$L611,1,0)))</f>
        <v/>
      </c>
      <c r="V611" s="34" t="str">
        <f aca="false">IF($E611="","",IF(OR($M611="",$T611=""),0,IF($M611&lt;=$T611,1,0)))</f>
        <v/>
      </c>
      <c r="W611" s="42" t="str">
        <f aca="false">IF(OR($M611="",$L611=""),"",MAX(0,$M611-$L611))</f>
        <v/>
      </c>
      <c r="X611" s="34" t="str">
        <f aca="false">IF($E611="","",IF(AND($O611&lt;&gt;"",$L611&lt;&gt;"",$O611&lt;&gt;$L611),1,0))</f>
        <v/>
      </c>
      <c r="Y611" s="34" t="str">
        <f aca="false">IF($E611="","",IF($N611="Cancelada",0,IF(OR($M611&lt;&gt;"",$N611="Concluída"),1,0)))</f>
        <v/>
      </c>
    </row>
    <row r="612" customFormat="false" ht="15" hidden="false" customHeight="true" outlineLevel="0" collapsed="false">
      <c r="A612" s="34" t="str">
        <f aca="false">IF($E612="","",COUNTA($E$5:$E612))</f>
        <v/>
      </c>
      <c r="B612" s="35"/>
      <c r="C612" s="35"/>
      <c r="D612" s="35"/>
      <c r="E612" s="35"/>
      <c r="F612" s="36"/>
      <c r="G612" s="37"/>
      <c r="H612" s="37"/>
      <c r="I612" s="37"/>
      <c r="J612" s="38"/>
      <c r="K612" s="39"/>
      <c r="L612" s="40" t="str">
        <f aca="false">IF(OR($J612="",$K612=""),"",$J612+MATCH($K612,Listas!$F$5:$F$11,0)-1)</f>
        <v/>
      </c>
      <c r="M612" s="41"/>
      <c r="N612" s="36"/>
      <c r="O612" s="41"/>
      <c r="P612" s="35"/>
      <c r="Q612" s="35"/>
      <c r="R612" s="42" t="str">
        <f aca="true">IF($E612="","",IF($N612="Cancelada","Cancelada",IF(OR($M612&lt;&gt;"",$N612="Concluída"),IF(OR($L612="",$M612="",$M612&lt;=$L612),"Concluída","Concluída com atraso"),IF($L612="","Na carteira",IF($L612&lt;TODAY(),"VENCIDA",IF($N612="Em execução","Em execução",IF($L612=TODAY(),"Hoje","Programada")))))))</f>
        <v/>
      </c>
      <c r="S612" s="34" t="str">
        <f aca="false">IF($E612="","",IF(ISNUMBER(SEARCH("(externo)",$G612&amp;$H612&amp;$I612)),"Terceirizada","Interna"))</f>
        <v/>
      </c>
      <c r="T612" s="40" t="str">
        <f aca="false">IF($L612="","",IF($O612="",$L612,$O612))</f>
        <v/>
      </c>
      <c r="U612" s="34" t="str">
        <f aca="false">IF($E612="","",IF(OR($M612="",$L612=""),0,IF($M612&lt;=$L612,1,0)))</f>
        <v/>
      </c>
      <c r="V612" s="34" t="str">
        <f aca="false">IF($E612="","",IF(OR($M612="",$T612=""),0,IF($M612&lt;=$T612,1,0)))</f>
        <v/>
      </c>
      <c r="W612" s="42" t="str">
        <f aca="false">IF(OR($M612="",$L612=""),"",MAX(0,$M612-$L612))</f>
        <v/>
      </c>
      <c r="X612" s="34" t="str">
        <f aca="false">IF($E612="","",IF(AND($O612&lt;&gt;"",$L612&lt;&gt;"",$O612&lt;&gt;$L612),1,0))</f>
        <v/>
      </c>
      <c r="Y612" s="34" t="str">
        <f aca="false">IF($E612="","",IF($N612="Cancelada",0,IF(OR($M612&lt;&gt;"",$N612="Concluída"),1,0)))</f>
        <v/>
      </c>
    </row>
    <row r="613" customFormat="false" ht="15" hidden="false" customHeight="true" outlineLevel="0" collapsed="false">
      <c r="A613" s="34" t="str">
        <f aca="false">IF($E613="","",COUNTA($E$5:$E613))</f>
        <v/>
      </c>
      <c r="B613" s="35"/>
      <c r="C613" s="35"/>
      <c r="D613" s="35"/>
      <c r="E613" s="35"/>
      <c r="F613" s="36"/>
      <c r="G613" s="37"/>
      <c r="H613" s="37"/>
      <c r="I613" s="37"/>
      <c r="J613" s="38"/>
      <c r="K613" s="39"/>
      <c r="L613" s="40" t="str">
        <f aca="false">IF(OR($J613="",$K613=""),"",$J613+MATCH($K613,Listas!$F$5:$F$11,0)-1)</f>
        <v/>
      </c>
      <c r="M613" s="41"/>
      <c r="N613" s="36"/>
      <c r="O613" s="41"/>
      <c r="P613" s="35"/>
      <c r="Q613" s="35"/>
      <c r="R613" s="42" t="str">
        <f aca="true">IF($E613="","",IF($N613="Cancelada","Cancelada",IF(OR($M613&lt;&gt;"",$N613="Concluída"),IF(OR($L613="",$M613="",$M613&lt;=$L613),"Concluída","Concluída com atraso"),IF($L613="","Na carteira",IF($L613&lt;TODAY(),"VENCIDA",IF($N613="Em execução","Em execução",IF($L613=TODAY(),"Hoje","Programada")))))))</f>
        <v/>
      </c>
      <c r="S613" s="34" t="str">
        <f aca="false">IF($E613="","",IF(ISNUMBER(SEARCH("(externo)",$G613&amp;$H613&amp;$I613)),"Terceirizada","Interna"))</f>
        <v/>
      </c>
      <c r="T613" s="40" t="str">
        <f aca="false">IF($L613="","",IF($O613="",$L613,$O613))</f>
        <v/>
      </c>
      <c r="U613" s="34" t="str">
        <f aca="false">IF($E613="","",IF(OR($M613="",$L613=""),0,IF($M613&lt;=$L613,1,0)))</f>
        <v/>
      </c>
      <c r="V613" s="34" t="str">
        <f aca="false">IF($E613="","",IF(OR($M613="",$T613=""),0,IF($M613&lt;=$T613,1,0)))</f>
        <v/>
      </c>
      <c r="W613" s="42" t="str">
        <f aca="false">IF(OR($M613="",$L613=""),"",MAX(0,$M613-$L613))</f>
        <v/>
      </c>
      <c r="X613" s="34" t="str">
        <f aca="false">IF($E613="","",IF(AND($O613&lt;&gt;"",$L613&lt;&gt;"",$O613&lt;&gt;$L613),1,0))</f>
        <v/>
      </c>
      <c r="Y613" s="34" t="str">
        <f aca="false">IF($E613="","",IF($N613="Cancelada",0,IF(OR($M613&lt;&gt;"",$N613="Concluída"),1,0)))</f>
        <v/>
      </c>
    </row>
    <row r="614" customFormat="false" ht="15" hidden="false" customHeight="true" outlineLevel="0" collapsed="false">
      <c r="A614" s="34" t="str">
        <f aca="false">IF($E614="","",COUNTA($E$5:$E614))</f>
        <v/>
      </c>
      <c r="B614" s="35"/>
      <c r="C614" s="35"/>
      <c r="D614" s="35"/>
      <c r="E614" s="35"/>
      <c r="F614" s="36"/>
      <c r="G614" s="37"/>
      <c r="H614" s="37"/>
      <c r="I614" s="37"/>
      <c r="J614" s="38"/>
      <c r="K614" s="39"/>
      <c r="L614" s="40" t="str">
        <f aca="false">IF(OR($J614="",$K614=""),"",$J614+MATCH($K614,Listas!$F$5:$F$11,0)-1)</f>
        <v/>
      </c>
      <c r="M614" s="41"/>
      <c r="N614" s="36"/>
      <c r="O614" s="41"/>
      <c r="P614" s="35"/>
      <c r="Q614" s="35"/>
      <c r="R614" s="42" t="str">
        <f aca="true">IF($E614="","",IF($N614="Cancelada","Cancelada",IF(OR($M614&lt;&gt;"",$N614="Concluída"),IF(OR($L614="",$M614="",$M614&lt;=$L614),"Concluída","Concluída com atraso"),IF($L614="","Na carteira",IF($L614&lt;TODAY(),"VENCIDA",IF($N614="Em execução","Em execução",IF($L614=TODAY(),"Hoje","Programada")))))))</f>
        <v/>
      </c>
      <c r="S614" s="34" t="str">
        <f aca="false">IF($E614="","",IF(ISNUMBER(SEARCH("(externo)",$G614&amp;$H614&amp;$I614)),"Terceirizada","Interna"))</f>
        <v/>
      </c>
      <c r="T614" s="40" t="str">
        <f aca="false">IF($L614="","",IF($O614="",$L614,$O614))</f>
        <v/>
      </c>
      <c r="U614" s="34" t="str">
        <f aca="false">IF($E614="","",IF(OR($M614="",$L614=""),0,IF($M614&lt;=$L614,1,0)))</f>
        <v/>
      </c>
      <c r="V614" s="34" t="str">
        <f aca="false">IF($E614="","",IF(OR($M614="",$T614=""),0,IF($M614&lt;=$T614,1,0)))</f>
        <v/>
      </c>
      <c r="W614" s="42" t="str">
        <f aca="false">IF(OR($M614="",$L614=""),"",MAX(0,$M614-$L614))</f>
        <v/>
      </c>
      <c r="X614" s="34" t="str">
        <f aca="false">IF($E614="","",IF(AND($O614&lt;&gt;"",$L614&lt;&gt;"",$O614&lt;&gt;$L614),1,0))</f>
        <v/>
      </c>
      <c r="Y614" s="34" t="str">
        <f aca="false">IF($E614="","",IF($N614="Cancelada",0,IF(OR($M614&lt;&gt;"",$N614="Concluída"),1,0)))</f>
        <v/>
      </c>
    </row>
    <row r="615" customFormat="false" ht="15" hidden="false" customHeight="true" outlineLevel="0" collapsed="false">
      <c r="A615" s="34" t="str">
        <f aca="false">IF($E615="","",COUNTA($E$5:$E615))</f>
        <v/>
      </c>
      <c r="B615" s="35"/>
      <c r="C615" s="35"/>
      <c r="D615" s="35"/>
      <c r="E615" s="35"/>
      <c r="F615" s="36"/>
      <c r="G615" s="37"/>
      <c r="H615" s="37"/>
      <c r="I615" s="37"/>
      <c r="J615" s="38"/>
      <c r="K615" s="39"/>
      <c r="L615" s="40" t="str">
        <f aca="false">IF(OR($J615="",$K615=""),"",$J615+MATCH($K615,Listas!$F$5:$F$11,0)-1)</f>
        <v/>
      </c>
      <c r="M615" s="41"/>
      <c r="N615" s="36"/>
      <c r="O615" s="41"/>
      <c r="P615" s="35"/>
      <c r="Q615" s="35"/>
      <c r="R615" s="42" t="str">
        <f aca="true">IF($E615="","",IF($N615="Cancelada","Cancelada",IF(OR($M615&lt;&gt;"",$N615="Concluída"),IF(OR($L615="",$M615="",$M615&lt;=$L615),"Concluída","Concluída com atraso"),IF($L615="","Na carteira",IF($L615&lt;TODAY(),"VENCIDA",IF($N615="Em execução","Em execução",IF($L615=TODAY(),"Hoje","Programada")))))))</f>
        <v/>
      </c>
      <c r="S615" s="34" t="str">
        <f aca="false">IF($E615="","",IF(ISNUMBER(SEARCH("(externo)",$G615&amp;$H615&amp;$I615)),"Terceirizada","Interna"))</f>
        <v/>
      </c>
      <c r="T615" s="40" t="str">
        <f aca="false">IF($L615="","",IF($O615="",$L615,$O615))</f>
        <v/>
      </c>
      <c r="U615" s="34" t="str">
        <f aca="false">IF($E615="","",IF(OR($M615="",$L615=""),0,IF($M615&lt;=$L615,1,0)))</f>
        <v/>
      </c>
      <c r="V615" s="34" t="str">
        <f aca="false">IF($E615="","",IF(OR($M615="",$T615=""),0,IF($M615&lt;=$T615,1,0)))</f>
        <v/>
      </c>
      <c r="W615" s="42" t="str">
        <f aca="false">IF(OR($M615="",$L615=""),"",MAX(0,$M615-$L615))</f>
        <v/>
      </c>
      <c r="X615" s="34" t="str">
        <f aca="false">IF($E615="","",IF(AND($O615&lt;&gt;"",$L615&lt;&gt;"",$O615&lt;&gt;$L615),1,0))</f>
        <v/>
      </c>
      <c r="Y615" s="34" t="str">
        <f aca="false">IF($E615="","",IF($N615="Cancelada",0,IF(OR($M615&lt;&gt;"",$N615="Concluída"),1,0)))</f>
        <v/>
      </c>
    </row>
    <row r="616" customFormat="false" ht="15" hidden="false" customHeight="true" outlineLevel="0" collapsed="false">
      <c r="A616" s="34" t="str">
        <f aca="false">IF($E616="","",COUNTA($E$5:$E616))</f>
        <v/>
      </c>
      <c r="B616" s="35"/>
      <c r="C616" s="35"/>
      <c r="D616" s="35"/>
      <c r="E616" s="35"/>
      <c r="F616" s="36"/>
      <c r="G616" s="37"/>
      <c r="H616" s="37"/>
      <c r="I616" s="37"/>
      <c r="J616" s="38"/>
      <c r="K616" s="39"/>
      <c r="L616" s="40" t="str">
        <f aca="false">IF(OR($J616="",$K616=""),"",$J616+MATCH($K616,Listas!$F$5:$F$11,0)-1)</f>
        <v/>
      </c>
      <c r="M616" s="41"/>
      <c r="N616" s="36"/>
      <c r="O616" s="41"/>
      <c r="P616" s="35"/>
      <c r="Q616" s="35"/>
      <c r="R616" s="42" t="str">
        <f aca="true">IF($E616="","",IF($N616="Cancelada","Cancelada",IF(OR($M616&lt;&gt;"",$N616="Concluída"),IF(OR($L616="",$M616="",$M616&lt;=$L616),"Concluída","Concluída com atraso"),IF($L616="","Na carteira",IF($L616&lt;TODAY(),"VENCIDA",IF($N616="Em execução","Em execução",IF($L616=TODAY(),"Hoje","Programada")))))))</f>
        <v/>
      </c>
      <c r="S616" s="34" t="str">
        <f aca="false">IF($E616="","",IF(ISNUMBER(SEARCH("(externo)",$G616&amp;$H616&amp;$I616)),"Terceirizada","Interna"))</f>
        <v/>
      </c>
      <c r="T616" s="40" t="str">
        <f aca="false">IF($L616="","",IF($O616="",$L616,$O616))</f>
        <v/>
      </c>
      <c r="U616" s="34" t="str">
        <f aca="false">IF($E616="","",IF(OR($M616="",$L616=""),0,IF($M616&lt;=$L616,1,0)))</f>
        <v/>
      </c>
      <c r="V616" s="34" t="str">
        <f aca="false">IF($E616="","",IF(OR($M616="",$T616=""),0,IF($M616&lt;=$T616,1,0)))</f>
        <v/>
      </c>
      <c r="W616" s="42" t="str">
        <f aca="false">IF(OR($M616="",$L616=""),"",MAX(0,$M616-$L616))</f>
        <v/>
      </c>
      <c r="X616" s="34" t="str">
        <f aca="false">IF($E616="","",IF(AND($O616&lt;&gt;"",$L616&lt;&gt;"",$O616&lt;&gt;$L616),1,0))</f>
        <v/>
      </c>
      <c r="Y616" s="34" t="str">
        <f aca="false">IF($E616="","",IF($N616="Cancelada",0,IF(OR($M616&lt;&gt;"",$N616="Concluída"),1,0)))</f>
        <v/>
      </c>
    </row>
    <row r="617" customFormat="false" ht="15" hidden="false" customHeight="true" outlineLevel="0" collapsed="false">
      <c r="A617" s="34" t="str">
        <f aca="false">IF($E617="","",COUNTA($E$5:$E617))</f>
        <v/>
      </c>
      <c r="B617" s="35"/>
      <c r="C617" s="35"/>
      <c r="D617" s="35"/>
      <c r="E617" s="35"/>
      <c r="F617" s="36"/>
      <c r="G617" s="37"/>
      <c r="H617" s="37"/>
      <c r="I617" s="37"/>
      <c r="J617" s="38"/>
      <c r="K617" s="39"/>
      <c r="L617" s="40" t="str">
        <f aca="false">IF(OR($J617="",$K617=""),"",$J617+MATCH($K617,Listas!$F$5:$F$11,0)-1)</f>
        <v/>
      </c>
      <c r="M617" s="41"/>
      <c r="N617" s="36"/>
      <c r="O617" s="41"/>
      <c r="P617" s="35"/>
      <c r="Q617" s="35"/>
      <c r="R617" s="42" t="str">
        <f aca="true">IF($E617="","",IF($N617="Cancelada","Cancelada",IF(OR($M617&lt;&gt;"",$N617="Concluída"),IF(OR($L617="",$M617="",$M617&lt;=$L617),"Concluída","Concluída com atraso"),IF($L617="","Na carteira",IF($L617&lt;TODAY(),"VENCIDA",IF($N617="Em execução","Em execução",IF($L617=TODAY(),"Hoje","Programada")))))))</f>
        <v/>
      </c>
      <c r="S617" s="34" t="str">
        <f aca="false">IF($E617="","",IF(ISNUMBER(SEARCH("(externo)",$G617&amp;$H617&amp;$I617)),"Terceirizada","Interna"))</f>
        <v/>
      </c>
      <c r="T617" s="40" t="str">
        <f aca="false">IF($L617="","",IF($O617="",$L617,$O617))</f>
        <v/>
      </c>
      <c r="U617" s="34" t="str">
        <f aca="false">IF($E617="","",IF(OR($M617="",$L617=""),0,IF($M617&lt;=$L617,1,0)))</f>
        <v/>
      </c>
      <c r="V617" s="34" t="str">
        <f aca="false">IF($E617="","",IF(OR($M617="",$T617=""),0,IF($M617&lt;=$T617,1,0)))</f>
        <v/>
      </c>
      <c r="W617" s="42" t="str">
        <f aca="false">IF(OR($M617="",$L617=""),"",MAX(0,$M617-$L617))</f>
        <v/>
      </c>
      <c r="X617" s="34" t="str">
        <f aca="false">IF($E617="","",IF(AND($O617&lt;&gt;"",$L617&lt;&gt;"",$O617&lt;&gt;$L617),1,0))</f>
        <v/>
      </c>
      <c r="Y617" s="34" t="str">
        <f aca="false">IF($E617="","",IF($N617="Cancelada",0,IF(OR($M617&lt;&gt;"",$N617="Concluída"),1,0)))</f>
        <v/>
      </c>
    </row>
    <row r="618" customFormat="false" ht="15" hidden="false" customHeight="true" outlineLevel="0" collapsed="false">
      <c r="A618" s="34" t="str">
        <f aca="false">IF($E618="","",COUNTA($E$5:$E618))</f>
        <v/>
      </c>
      <c r="B618" s="35"/>
      <c r="C618" s="35"/>
      <c r="D618" s="35"/>
      <c r="E618" s="35"/>
      <c r="F618" s="36"/>
      <c r="G618" s="37"/>
      <c r="H618" s="37"/>
      <c r="I618" s="37"/>
      <c r="J618" s="38"/>
      <c r="K618" s="39"/>
      <c r="L618" s="40" t="str">
        <f aca="false">IF(OR($J618="",$K618=""),"",$J618+MATCH($K618,Listas!$F$5:$F$11,0)-1)</f>
        <v/>
      </c>
      <c r="M618" s="41"/>
      <c r="N618" s="36"/>
      <c r="O618" s="41"/>
      <c r="P618" s="35"/>
      <c r="Q618" s="35"/>
      <c r="R618" s="42" t="str">
        <f aca="true">IF($E618="","",IF($N618="Cancelada","Cancelada",IF(OR($M618&lt;&gt;"",$N618="Concluída"),IF(OR($L618="",$M618="",$M618&lt;=$L618),"Concluída","Concluída com atraso"),IF($L618="","Na carteira",IF($L618&lt;TODAY(),"VENCIDA",IF($N618="Em execução","Em execução",IF($L618=TODAY(),"Hoje","Programada")))))))</f>
        <v/>
      </c>
      <c r="S618" s="34" t="str">
        <f aca="false">IF($E618="","",IF(ISNUMBER(SEARCH("(externo)",$G618&amp;$H618&amp;$I618)),"Terceirizada","Interna"))</f>
        <v/>
      </c>
      <c r="T618" s="40" t="str">
        <f aca="false">IF($L618="","",IF($O618="",$L618,$O618))</f>
        <v/>
      </c>
      <c r="U618" s="34" t="str">
        <f aca="false">IF($E618="","",IF(OR($M618="",$L618=""),0,IF($M618&lt;=$L618,1,0)))</f>
        <v/>
      </c>
      <c r="V618" s="34" t="str">
        <f aca="false">IF($E618="","",IF(OR($M618="",$T618=""),0,IF($M618&lt;=$T618,1,0)))</f>
        <v/>
      </c>
      <c r="W618" s="42" t="str">
        <f aca="false">IF(OR($M618="",$L618=""),"",MAX(0,$M618-$L618))</f>
        <v/>
      </c>
      <c r="X618" s="34" t="str">
        <f aca="false">IF($E618="","",IF(AND($O618&lt;&gt;"",$L618&lt;&gt;"",$O618&lt;&gt;$L618),1,0))</f>
        <v/>
      </c>
      <c r="Y618" s="34" t="str">
        <f aca="false">IF($E618="","",IF($N618="Cancelada",0,IF(OR($M618&lt;&gt;"",$N618="Concluída"),1,0)))</f>
        <v/>
      </c>
    </row>
    <row r="619" customFormat="false" ht="15" hidden="false" customHeight="true" outlineLevel="0" collapsed="false">
      <c r="A619" s="34" t="str">
        <f aca="false">IF($E619="","",COUNTA($E$5:$E619))</f>
        <v/>
      </c>
      <c r="B619" s="35"/>
      <c r="C619" s="35"/>
      <c r="D619" s="35"/>
      <c r="E619" s="35"/>
      <c r="F619" s="36"/>
      <c r="G619" s="37"/>
      <c r="H619" s="37"/>
      <c r="I619" s="37"/>
      <c r="J619" s="38"/>
      <c r="K619" s="39"/>
      <c r="L619" s="40" t="str">
        <f aca="false">IF(OR($J619="",$K619=""),"",$J619+MATCH($K619,Listas!$F$5:$F$11,0)-1)</f>
        <v/>
      </c>
      <c r="M619" s="41"/>
      <c r="N619" s="36"/>
      <c r="O619" s="41"/>
      <c r="P619" s="35"/>
      <c r="Q619" s="35"/>
      <c r="R619" s="42" t="str">
        <f aca="true">IF($E619="","",IF($N619="Cancelada","Cancelada",IF(OR($M619&lt;&gt;"",$N619="Concluída"),IF(OR($L619="",$M619="",$M619&lt;=$L619),"Concluída","Concluída com atraso"),IF($L619="","Na carteira",IF($L619&lt;TODAY(),"VENCIDA",IF($N619="Em execução","Em execução",IF($L619=TODAY(),"Hoje","Programada")))))))</f>
        <v/>
      </c>
      <c r="S619" s="34" t="str">
        <f aca="false">IF($E619="","",IF(ISNUMBER(SEARCH("(externo)",$G619&amp;$H619&amp;$I619)),"Terceirizada","Interna"))</f>
        <v/>
      </c>
      <c r="T619" s="40" t="str">
        <f aca="false">IF($L619="","",IF($O619="",$L619,$O619))</f>
        <v/>
      </c>
      <c r="U619" s="34" t="str">
        <f aca="false">IF($E619="","",IF(OR($M619="",$L619=""),0,IF($M619&lt;=$L619,1,0)))</f>
        <v/>
      </c>
      <c r="V619" s="34" t="str">
        <f aca="false">IF($E619="","",IF(OR($M619="",$T619=""),0,IF($M619&lt;=$T619,1,0)))</f>
        <v/>
      </c>
      <c r="W619" s="42" t="str">
        <f aca="false">IF(OR($M619="",$L619=""),"",MAX(0,$M619-$L619))</f>
        <v/>
      </c>
      <c r="X619" s="34" t="str">
        <f aca="false">IF($E619="","",IF(AND($O619&lt;&gt;"",$L619&lt;&gt;"",$O619&lt;&gt;$L619),1,0))</f>
        <v/>
      </c>
      <c r="Y619" s="34" t="str">
        <f aca="false">IF($E619="","",IF($N619="Cancelada",0,IF(OR($M619&lt;&gt;"",$N619="Concluída"),1,0)))</f>
        <v/>
      </c>
    </row>
    <row r="620" customFormat="false" ht="15" hidden="false" customHeight="true" outlineLevel="0" collapsed="false">
      <c r="A620" s="34" t="str">
        <f aca="false">IF($E620="","",COUNTA($E$5:$E620))</f>
        <v/>
      </c>
      <c r="B620" s="35"/>
      <c r="C620" s="35"/>
      <c r="D620" s="35"/>
      <c r="E620" s="35"/>
      <c r="F620" s="36"/>
      <c r="G620" s="37"/>
      <c r="H620" s="37"/>
      <c r="I620" s="37"/>
      <c r="J620" s="38"/>
      <c r="K620" s="39"/>
      <c r="L620" s="40" t="str">
        <f aca="false">IF(OR($J620="",$K620=""),"",$J620+MATCH($K620,Listas!$F$5:$F$11,0)-1)</f>
        <v/>
      </c>
      <c r="M620" s="41"/>
      <c r="N620" s="36"/>
      <c r="O620" s="41"/>
      <c r="P620" s="35"/>
      <c r="Q620" s="35"/>
      <c r="R620" s="42" t="str">
        <f aca="true">IF($E620="","",IF($N620="Cancelada","Cancelada",IF(OR($M620&lt;&gt;"",$N620="Concluída"),IF(OR($L620="",$M620="",$M620&lt;=$L620),"Concluída","Concluída com atraso"),IF($L620="","Na carteira",IF($L620&lt;TODAY(),"VENCIDA",IF($N620="Em execução","Em execução",IF($L620=TODAY(),"Hoje","Programada")))))))</f>
        <v/>
      </c>
      <c r="S620" s="34" t="str">
        <f aca="false">IF($E620="","",IF(ISNUMBER(SEARCH("(externo)",$G620&amp;$H620&amp;$I620)),"Terceirizada","Interna"))</f>
        <v/>
      </c>
      <c r="T620" s="40" t="str">
        <f aca="false">IF($L620="","",IF($O620="",$L620,$O620))</f>
        <v/>
      </c>
      <c r="U620" s="34" t="str">
        <f aca="false">IF($E620="","",IF(OR($M620="",$L620=""),0,IF($M620&lt;=$L620,1,0)))</f>
        <v/>
      </c>
      <c r="V620" s="34" t="str">
        <f aca="false">IF($E620="","",IF(OR($M620="",$T620=""),0,IF($M620&lt;=$T620,1,0)))</f>
        <v/>
      </c>
      <c r="W620" s="42" t="str">
        <f aca="false">IF(OR($M620="",$L620=""),"",MAX(0,$M620-$L620))</f>
        <v/>
      </c>
      <c r="X620" s="34" t="str">
        <f aca="false">IF($E620="","",IF(AND($O620&lt;&gt;"",$L620&lt;&gt;"",$O620&lt;&gt;$L620),1,0))</f>
        <v/>
      </c>
      <c r="Y620" s="34" t="str">
        <f aca="false">IF($E620="","",IF($N620="Cancelada",0,IF(OR($M620&lt;&gt;"",$N620="Concluída"),1,0)))</f>
        <v/>
      </c>
    </row>
    <row r="621" customFormat="false" ht="15" hidden="false" customHeight="true" outlineLevel="0" collapsed="false">
      <c r="A621" s="34" t="str">
        <f aca="false">IF($E621="","",COUNTA($E$5:$E621))</f>
        <v/>
      </c>
      <c r="B621" s="35"/>
      <c r="C621" s="35"/>
      <c r="D621" s="35"/>
      <c r="E621" s="35"/>
      <c r="F621" s="36"/>
      <c r="G621" s="37"/>
      <c r="H621" s="37"/>
      <c r="I621" s="37"/>
      <c r="J621" s="38"/>
      <c r="K621" s="39"/>
      <c r="L621" s="40" t="str">
        <f aca="false">IF(OR($J621="",$K621=""),"",$J621+MATCH($K621,Listas!$F$5:$F$11,0)-1)</f>
        <v/>
      </c>
      <c r="M621" s="41"/>
      <c r="N621" s="36"/>
      <c r="O621" s="41"/>
      <c r="P621" s="35"/>
      <c r="Q621" s="35"/>
      <c r="R621" s="42" t="str">
        <f aca="true">IF($E621="","",IF($N621="Cancelada","Cancelada",IF(OR($M621&lt;&gt;"",$N621="Concluída"),IF(OR($L621="",$M621="",$M621&lt;=$L621),"Concluída","Concluída com atraso"),IF($L621="","Na carteira",IF($L621&lt;TODAY(),"VENCIDA",IF($N621="Em execução","Em execução",IF($L621=TODAY(),"Hoje","Programada")))))))</f>
        <v/>
      </c>
      <c r="S621" s="34" t="str">
        <f aca="false">IF($E621="","",IF(ISNUMBER(SEARCH("(externo)",$G621&amp;$H621&amp;$I621)),"Terceirizada","Interna"))</f>
        <v/>
      </c>
      <c r="T621" s="40" t="str">
        <f aca="false">IF($L621="","",IF($O621="",$L621,$O621))</f>
        <v/>
      </c>
      <c r="U621" s="34" t="str">
        <f aca="false">IF($E621="","",IF(OR($M621="",$L621=""),0,IF($M621&lt;=$L621,1,0)))</f>
        <v/>
      </c>
      <c r="V621" s="34" t="str">
        <f aca="false">IF($E621="","",IF(OR($M621="",$T621=""),0,IF($M621&lt;=$T621,1,0)))</f>
        <v/>
      </c>
      <c r="W621" s="42" t="str">
        <f aca="false">IF(OR($M621="",$L621=""),"",MAX(0,$M621-$L621))</f>
        <v/>
      </c>
      <c r="X621" s="34" t="str">
        <f aca="false">IF($E621="","",IF(AND($O621&lt;&gt;"",$L621&lt;&gt;"",$O621&lt;&gt;$L621),1,0))</f>
        <v/>
      </c>
      <c r="Y621" s="34" t="str">
        <f aca="false">IF($E621="","",IF($N621="Cancelada",0,IF(OR($M621&lt;&gt;"",$N621="Concluída"),1,0)))</f>
        <v/>
      </c>
    </row>
    <row r="622" customFormat="false" ht="15" hidden="false" customHeight="true" outlineLevel="0" collapsed="false">
      <c r="A622" s="34" t="str">
        <f aca="false">IF($E622="","",COUNTA($E$5:$E622))</f>
        <v/>
      </c>
      <c r="B622" s="35"/>
      <c r="C622" s="35"/>
      <c r="D622" s="35"/>
      <c r="E622" s="35"/>
      <c r="F622" s="36"/>
      <c r="G622" s="37"/>
      <c r="H622" s="37"/>
      <c r="I622" s="37"/>
      <c r="J622" s="38"/>
      <c r="K622" s="39"/>
      <c r="L622" s="40" t="str">
        <f aca="false">IF(OR($J622="",$K622=""),"",$J622+MATCH($K622,Listas!$F$5:$F$11,0)-1)</f>
        <v/>
      </c>
      <c r="M622" s="41"/>
      <c r="N622" s="36"/>
      <c r="O622" s="41"/>
      <c r="P622" s="35"/>
      <c r="Q622" s="35"/>
      <c r="R622" s="42" t="str">
        <f aca="true">IF($E622="","",IF($N622="Cancelada","Cancelada",IF(OR($M622&lt;&gt;"",$N622="Concluída"),IF(OR($L622="",$M622="",$M622&lt;=$L622),"Concluída","Concluída com atraso"),IF($L622="","Na carteira",IF($L622&lt;TODAY(),"VENCIDA",IF($N622="Em execução","Em execução",IF($L622=TODAY(),"Hoje","Programada")))))))</f>
        <v/>
      </c>
      <c r="S622" s="34" t="str">
        <f aca="false">IF($E622="","",IF(ISNUMBER(SEARCH("(externo)",$G622&amp;$H622&amp;$I622)),"Terceirizada","Interna"))</f>
        <v/>
      </c>
      <c r="T622" s="40" t="str">
        <f aca="false">IF($L622="","",IF($O622="",$L622,$O622))</f>
        <v/>
      </c>
      <c r="U622" s="34" t="str">
        <f aca="false">IF($E622="","",IF(OR($M622="",$L622=""),0,IF($M622&lt;=$L622,1,0)))</f>
        <v/>
      </c>
      <c r="V622" s="34" t="str">
        <f aca="false">IF($E622="","",IF(OR($M622="",$T622=""),0,IF($M622&lt;=$T622,1,0)))</f>
        <v/>
      </c>
      <c r="W622" s="42" t="str">
        <f aca="false">IF(OR($M622="",$L622=""),"",MAX(0,$M622-$L622))</f>
        <v/>
      </c>
      <c r="X622" s="34" t="str">
        <f aca="false">IF($E622="","",IF(AND($O622&lt;&gt;"",$L622&lt;&gt;"",$O622&lt;&gt;$L622),1,0))</f>
        <v/>
      </c>
      <c r="Y622" s="34" t="str">
        <f aca="false">IF($E622="","",IF($N622="Cancelada",0,IF(OR($M622&lt;&gt;"",$N622="Concluída"),1,0)))</f>
        <v/>
      </c>
    </row>
    <row r="623" customFormat="false" ht="15" hidden="false" customHeight="true" outlineLevel="0" collapsed="false">
      <c r="A623" s="34" t="str">
        <f aca="false">IF($E623="","",COUNTA($E$5:$E623))</f>
        <v/>
      </c>
      <c r="B623" s="35"/>
      <c r="C623" s="35"/>
      <c r="D623" s="35"/>
      <c r="E623" s="35"/>
      <c r="F623" s="36"/>
      <c r="G623" s="37"/>
      <c r="H623" s="37"/>
      <c r="I623" s="37"/>
      <c r="J623" s="38"/>
      <c r="K623" s="39"/>
      <c r="L623" s="40" t="str">
        <f aca="false">IF(OR($J623="",$K623=""),"",$J623+MATCH($K623,Listas!$F$5:$F$11,0)-1)</f>
        <v/>
      </c>
      <c r="M623" s="41"/>
      <c r="N623" s="36"/>
      <c r="O623" s="41"/>
      <c r="P623" s="35"/>
      <c r="Q623" s="35"/>
      <c r="R623" s="42" t="str">
        <f aca="true">IF($E623="","",IF($N623="Cancelada","Cancelada",IF(OR($M623&lt;&gt;"",$N623="Concluída"),IF(OR($L623="",$M623="",$M623&lt;=$L623),"Concluída","Concluída com atraso"),IF($L623="","Na carteira",IF($L623&lt;TODAY(),"VENCIDA",IF($N623="Em execução","Em execução",IF($L623=TODAY(),"Hoje","Programada")))))))</f>
        <v/>
      </c>
      <c r="S623" s="34" t="str">
        <f aca="false">IF($E623="","",IF(ISNUMBER(SEARCH("(externo)",$G623&amp;$H623&amp;$I623)),"Terceirizada","Interna"))</f>
        <v/>
      </c>
      <c r="T623" s="40" t="str">
        <f aca="false">IF($L623="","",IF($O623="",$L623,$O623))</f>
        <v/>
      </c>
      <c r="U623" s="34" t="str">
        <f aca="false">IF($E623="","",IF(OR($M623="",$L623=""),0,IF($M623&lt;=$L623,1,0)))</f>
        <v/>
      </c>
      <c r="V623" s="34" t="str">
        <f aca="false">IF($E623="","",IF(OR($M623="",$T623=""),0,IF($M623&lt;=$T623,1,0)))</f>
        <v/>
      </c>
      <c r="W623" s="42" t="str">
        <f aca="false">IF(OR($M623="",$L623=""),"",MAX(0,$M623-$L623))</f>
        <v/>
      </c>
      <c r="X623" s="34" t="str">
        <f aca="false">IF($E623="","",IF(AND($O623&lt;&gt;"",$L623&lt;&gt;"",$O623&lt;&gt;$L623),1,0))</f>
        <v/>
      </c>
      <c r="Y623" s="34" t="str">
        <f aca="false">IF($E623="","",IF($N623="Cancelada",0,IF(OR($M623&lt;&gt;"",$N623="Concluída"),1,0)))</f>
        <v/>
      </c>
    </row>
    <row r="624" customFormat="false" ht="15" hidden="false" customHeight="true" outlineLevel="0" collapsed="false">
      <c r="A624" s="34" t="str">
        <f aca="false">IF($E624="","",COUNTA($E$5:$E624))</f>
        <v/>
      </c>
      <c r="B624" s="35"/>
      <c r="C624" s="35"/>
      <c r="D624" s="35"/>
      <c r="E624" s="35"/>
      <c r="F624" s="36"/>
      <c r="G624" s="37"/>
      <c r="H624" s="37"/>
      <c r="I624" s="37"/>
      <c r="J624" s="38"/>
      <c r="K624" s="39"/>
      <c r="L624" s="40" t="str">
        <f aca="false">IF(OR($J624="",$K624=""),"",$J624+MATCH($K624,Listas!$F$5:$F$11,0)-1)</f>
        <v/>
      </c>
      <c r="M624" s="41"/>
      <c r="N624" s="36"/>
      <c r="O624" s="41"/>
      <c r="P624" s="35"/>
      <c r="Q624" s="35"/>
      <c r="R624" s="42" t="str">
        <f aca="true">IF($E624="","",IF($N624="Cancelada","Cancelada",IF(OR($M624&lt;&gt;"",$N624="Concluída"),IF(OR($L624="",$M624="",$M624&lt;=$L624),"Concluída","Concluída com atraso"),IF($L624="","Na carteira",IF($L624&lt;TODAY(),"VENCIDA",IF($N624="Em execução","Em execução",IF($L624=TODAY(),"Hoje","Programada")))))))</f>
        <v/>
      </c>
      <c r="S624" s="34" t="str">
        <f aca="false">IF($E624="","",IF(ISNUMBER(SEARCH("(externo)",$G624&amp;$H624&amp;$I624)),"Terceirizada","Interna"))</f>
        <v/>
      </c>
      <c r="T624" s="40" t="str">
        <f aca="false">IF($L624="","",IF($O624="",$L624,$O624))</f>
        <v/>
      </c>
      <c r="U624" s="34" t="str">
        <f aca="false">IF($E624="","",IF(OR($M624="",$L624=""),0,IF($M624&lt;=$L624,1,0)))</f>
        <v/>
      </c>
      <c r="V624" s="34" t="str">
        <f aca="false">IF($E624="","",IF(OR($M624="",$T624=""),0,IF($M624&lt;=$T624,1,0)))</f>
        <v/>
      </c>
      <c r="W624" s="42" t="str">
        <f aca="false">IF(OR($M624="",$L624=""),"",MAX(0,$M624-$L624))</f>
        <v/>
      </c>
      <c r="X624" s="34" t="str">
        <f aca="false">IF($E624="","",IF(AND($O624&lt;&gt;"",$L624&lt;&gt;"",$O624&lt;&gt;$L624),1,0))</f>
        <v/>
      </c>
      <c r="Y624" s="34" t="str">
        <f aca="false">IF($E624="","",IF($N624="Cancelada",0,IF(OR($M624&lt;&gt;"",$N624="Concluída"),1,0)))</f>
        <v/>
      </c>
    </row>
    <row r="625" customFormat="false" ht="15" hidden="false" customHeight="true" outlineLevel="0" collapsed="false">
      <c r="A625" s="34" t="str">
        <f aca="false">IF($E625="","",COUNTA($E$5:$E625))</f>
        <v/>
      </c>
      <c r="B625" s="35"/>
      <c r="C625" s="35"/>
      <c r="D625" s="35"/>
      <c r="E625" s="35"/>
      <c r="F625" s="36"/>
      <c r="G625" s="37"/>
      <c r="H625" s="37"/>
      <c r="I625" s="37"/>
      <c r="J625" s="38"/>
      <c r="K625" s="39"/>
      <c r="L625" s="40" t="str">
        <f aca="false">IF(OR($J625="",$K625=""),"",$J625+MATCH($K625,Listas!$F$5:$F$11,0)-1)</f>
        <v/>
      </c>
      <c r="M625" s="41"/>
      <c r="N625" s="36"/>
      <c r="O625" s="41"/>
      <c r="P625" s="35"/>
      <c r="Q625" s="35"/>
      <c r="R625" s="42" t="str">
        <f aca="true">IF($E625="","",IF($N625="Cancelada","Cancelada",IF(OR($M625&lt;&gt;"",$N625="Concluída"),IF(OR($L625="",$M625="",$M625&lt;=$L625),"Concluída","Concluída com atraso"),IF($L625="","Na carteira",IF($L625&lt;TODAY(),"VENCIDA",IF($N625="Em execução","Em execução",IF($L625=TODAY(),"Hoje","Programada")))))))</f>
        <v/>
      </c>
      <c r="S625" s="34" t="str">
        <f aca="false">IF($E625="","",IF(ISNUMBER(SEARCH("(externo)",$G625&amp;$H625&amp;$I625)),"Terceirizada","Interna"))</f>
        <v/>
      </c>
      <c r="T625" s="40" t="str">
        <f aca="false">IF($L625="","",IF($O625="",$L625,$O625))</f>
        <v/>
      </c>
      <c r="U625" s="34" t="str">
        <f aca="false">IF($E625="","",IF(OR($M625="",$L625=""),0,IF($M625&lt;=$L625,1,0)))</f>
        <v/>
      </c>
      <c r="V625" s="34" t="str">
        <f aca="false">IF($E625="","",IF(OR($M625="",$T625=""),0,IF($M625&lt;=$T625,1,0)))</f>
        <v/>
      </c>
      <c r="W625" s="42" t="str">
        <f aca="false">IF(OR($M625="",$L625=""),"",MAX(0,$M625-$L625))</f>
        <v/>
      </c>
      <c r="X625" s="34" t="str">
        <f aca="false">IF($E625="","",IF(AND($O625&lt;&gt;"",$L625&lt;&gt;"",$O625&lt;&gt;$L625),1,0))</f>
        <v/>
      </c>
      <c r="Y625" s="34" t="str">
        <f aca="false">IF($E625="","",IF($N625="Cancelada",0,IF(OR($M625&lt;&gt;"",$N625="Concluída"),1,0)))</f>
        <v/>
      </c>
    </row>
    <row r="626" customFormat="false" ht="15" hidden="false" customHeight="true" outlineLevel="0" collapsed="false">
      <c r="A626" s="34" t="str">
        <f aca="false">IF($E626="","",COUNTA($E$5:$E626))</f>
        <v/>
      </c>
      <c r="B626" s="35"/>
      <c r="C626" s="35"/>
      <c r="D626" s="35"/>
      <c r="E626" s="35"/>
      <c r="F626" s="36"/>
      <c r="G626" s="37"/>
      <c r="H626" s="37"/>
      <c r="I626" s="37"/>
      <c r="J626" s="38"/>
      <c r="K626" s="39"/>
      <c r="L626" s="40" t="str">
        <f aca="false">IF(OR($J626="",$K626=""),"",$J626+MATCH($K626,Listas!$F$5:$F$11,0)-1)</f>
        <v/>
      </c>
      <c r="M626" s="41"/>
      <c r="N626" s="36"/>
      <c r="O626" s="41"/>
      <c r="P626" s="35"/>
      <c r="Q626" s="35"/>
      <c r="R626" s="42" t="str">
        <f aca="true">IF($E626="","",IF($N626="Cancelada","Cancelada",IF(OR($M626&lt;&gt;"",$N626="Concluída"),IF(OR($L626="",$M626="",$M626&lt;=$L626),"Concluída","Concluída com atraso"),IF($L626="","Na carteira",IF($L626&lt;TODAY(),"VENCIDA",IF($N626="Em execução","Em execução",IF($L626=TODAY(),"Hoje","Programada")))))))</f>
        <v/>
      </c>
      <c r="S626" s="34" t="str">
        <f aca="false">IF($E626="","",IF(ISNUMBER(SEARCH("(externo)",$G626&amp;$H626&amp;$I626)),"Terceirizada","Interna"))</f>
        <v/>
      </c>
      <c r="T626" s="40" t="str">
        <f aca="false">IF($L626="","",IF($O626="",$L626,$O626))</f>
        <v/>
      </c>
      <c r="U626" s="34" t="str">
        <f aca="false">IF($E626="","",IF(OR($M626="",$L626=""),0,IF($M626&lt;=$L626,1,0)))</f>
        <v/>
      </c>
      <c r="V626" s="34" t="str">
        <f aca="false">IF($E626="","",IF(OR($M626="",$T626=""),0,IF($M626&lt;=$T626,1,0)))</f>
        <v/>
      </c>
      <c r="W626" s="42" t="str">
        <f aca="false">IF(OR($M626="",$L626=""),"",MAX(0,$M626-$L626))</f>
        <v/>
      </c>
      <c r="X626" s="34" t="str">
        <f aca="false">IF($E626="","",IF(AND($O626&lt;&gt;"",$L626&lt;&gt;"",$O626&lt;&gt;$L626),1,0))</f>
        <v/>
      </c>
      <c r="Y626" s="34" t="str">
        <f aca="false">IF($E626="","",IF($N626="Cancelada",0,IF(OR($M626&lt;&gt;"",$N626="Concluída"),1,0)))</f>
        <v/>
      </c>
    </row>
    <row r="627" customFormat="false" ht="15" hidden="false" customHeight="true" outlineLevel="0" collapsed="false">
      <c r="A627" s="34" t="str">
        <f aca="false">IF($E627="","",COUNTA($E$5:$E627))</f>
        <v/>
      </c>
      <c r="B627" s="35"/>
      <c r="C627" s="35"/>
      <c r="D627" s="35"/>
      <c r="E627" s="35"/>
      <c r="F627" s="36"/>
      <c r="G627" s="37"/>
      <c r="H627" s="37"/>
      <c r="I627" s="37"/>
      <c r="J627" s="38"/>
      <c r="K627" s="39"/>
      <c r="L627" s="40" t="str">
        <f aca="false">IF(OR($J627="",$K627=""),"",$J627+MATCH($K627,Listas!$F$5:$F$11,0)-1)</f>
        <v/>
      </c>
      <c r="M627" s="41"/>
      <c r="N627" s="36"/>
      <c r="O627" s="41"/>
      <c r="P627" s="35"/>
      <c r="Q627" s="35"/>
      <c r="R627" s="42" t="str">
        <f aca="true">IF($E627="","",IF($N627="Cancelada","Cancelada",IF(OR($M627&lt;&gt;"",$N627="Concluída"),IF(OR($L627="",$M627="",$M627&lt;=$L627),"Concluída","Concluída com atraso"),IF($L627="","Na carteira",IF($L627&lt;TODAY(),"VENCIDA",IF($N627="Em execução","Em execução",IF($L627=TODAY(),"Hoje","Programada")))))))</f>
        <v/>
      </c>
      <c r="S627" s="34" t="str">
        <f aca="false">IF($E627="","",IF(ISNUMBER(SEARCH("(externo)",$G627&amp;$H627&amp;$I627)),"Terceirizada","Interna"))</f>
        <v/>
      </c>
      <c r="T627" s="40" t="str">
        <f aca="false">IF($L627="","",IF($O627="",$L627,$O627))</f>
        <v/>
      </c>
      <c r="U627" s="34" t="str">
        <f aca="false">IF($E627="","",IF(OR($M627="",$L627=""),0,IF($M627&lt;=$L627,1,0)))</f>
        <v/>
      </c>
      <c r="V627" s="34" t="str">
        <f aca="false">IF($E627="","",IF(OR($M627="",$T627=""),0,IF($M627&lt;=$T627,1,0)))</f>
        <v/>
      </c>
      <c r="W627" s="42" t="str">
        <f aca="false">IF(OR($M627="",$L627=""),"",MAX(0,$M627-$L627))</f>
        <v/>
      </c>
      <c r="X627" s="34" t="str">
        <f aca="false">IF($E627="","",IF(AND($O627&lt;&gt;"",$L627&lt;&gt;"",$O627&lt;&gt;$L627),1,0))</f>
        <v/>
      </c>
      <c r="Y627" s="34" t="str">
        <f aca="false">IF($E627="","",IF($N627="Cancelada",0,IF(OR($M627&lt;&gt;"",$N627="Concluída"),1,0)))</f>
        <v/>
      </c>
    </row>
    <row r="628" customFormat="false" ht="15" hidden="false" customHeight="true" outlineLevel="0" collapsed="false">
      <c r="A628" s="34" t="str">
        <f aca="false">IF($E628="","",COUNTA($E$5:$E628))</f>
        <v/>
      </c>
      <c r="B628" s="35"/>
      <c r="C628" s="35"/>
      <c r="D628" s="35"/>
      <c r="E628" s="35"/>
      <c r="F628" s="36"/>
      <c r="G628" s="37"/>
      <c r="H628" s="37"/>
      <c r="I628" s="37"/>
      <c r="J628" s="38"/>
      <c r="K628" s="39"/>
      <c r="L628" s="40" t="str">
        <f aca="false">IF(OR($J628="",$K628=""),"",$J628+MATCH($K628,Listas!$F$5:$F$11,0)-1)</f>
        <v/>
      </c>
      <c r="M628" s="41"/>
      <c r="N628" s="36"/>
      <c r="O628" s="41"/>
      <c r="P628" s="35"/>
      <c r="Q628" s="35"/>
      <c r="R628" s="42" t="str">
        <f aca="true">IF($E628="","",IF($N628="Cancelada","Cancelada",IF(OR($M628&lt;&gt;"",$N628="Concluída"),IF(OR($L628="",$M628="",$M628&lt;=$L628),"Concluída","Concluída com atraso"),IF($L628="","Na carteira",IF($L628&lt;TODAY(),"VENCIDA",IF($N628="Em execução","Em execução",IF($L628=TODAY(),"Hoje","Programada")))))))</f>
        <v/>
      </c>
      <c r="S628" s="34" t="str">
        <f aca="false">IF($E628="","",IF(ISNUMBER(SEARCH("(externo)",$G628&amp;$H628&amp;$I628)),"Terceirizada","Interna"))</f>
        <v/>
      </c>
      <c r="T628" s="40" t="str">
        <f aca="false">IF($L628="","",IF($O628="",$L628,$O628))</f>
        <v/>
      </c>
      <c r="U628" s="34" t="str">
        <f aca="false">IF($E628="","",IF(OR($M628="",$L628=""),0,IF($M628&lt;=$L628,1,0)))</f>
        <v/>
      </c>
      <c r="V628" s="34" t="str">
        <f aca="false">IF($E628="","",IF(OR($M628="",$T628=""),0,IF($M628&lt;=$T628,1,0)))</f>
        <v/>
      </c>
      <c r="W628" s="42" t="str">
        <f aca="false">IF(OR($M628="",$L628=""),"",MAX(0,$M628-$L628))</f>
        <v/>
      </c>
      <c r="X628" s="34" t="str">
        <f aca="false">IF($E628="","",IF(AND($O628&lt;&gt;"",$L628&lt;&gt;"",$O628&lt;&gt;$L628),1,0))</f>
        <v/>
      </c>
      <c r="Y628" s="34" t="str">
        <f aca="false">IF($E628="","",IF($N628="Cancelada",0,IF(OR($M628&lt;&gt;"",$N628="Concluída"),1,0)))</f>
        <v/>
      </c>
    </row>
    <row r="629" customFormat="false" ht="15" hidden="false" customHeight="true" outlineLevel="0" collapsed="false">
      <c r="A629" s="34" t="str">
        <f aca="false">IF($E629="","",COUNTA($E$5:$E629))</f>
        <v/>
      </c>
      <c r="B629" s="35"/>
      <c r="C629" s="35"/>
      <c r="D629" s="35"/>
      <c r="E629" s="35"/>
      <c r="F629" s="36"/>
      <c r="G629" s="37"/>
      <c r="H629" s="37"/>
      <c r="I629" s="37"/>
      <c r="J629" s="38"/>
      <c r="K629" s="39"/>
      <c r="L629" s="40" t="str">
        <f aca="false">IF(OR($J629="",$K629=""),"",$J629+MATCH($K629,Listas!$F$5:$F$11,0)-1)</f>
        <v/>
      </c>
      <c r="M629" s="41"/>
      <c r="N629" s="36"/>
      <c r="O629" s="41"/>
      <c r="P629" s="35"/>
      <c r="Q629" s="35"/>
      <c r="R629" s="42" t="str">
        <f aca="true">IF($E629="","",IF($N629="Cancelada","Cancelada",IF(OR($M629&lt;&gt;"",$N629="Concluída"),IF(OR($L629="",$M629="",$M629&lt;=$L629),"Concluída","Concluída com atraso"),IF($L629="","Na carteira",IF($L629&lt;TODAY(),"VENCIDA",IF($N629="Em execução","Em execução",IF($L629=TODAY(),"Hoje","Programada")))))))</f>
        <v/>
      </c>
      <c r="S629" s="34" t="str">
        <f aca="false">IF($E629="","",IF(ISNUMBER(SEARCH("(externo)",$G629&amp;$H629&amp;$I629)),"Terceirizada","Interna"))</f>
        <v/>
      </c>
      <c r="T629" s="40" t="str">
        <f aca="false">IF($L629="","",IF($O629="",$L629,$O629))</f>
        <v/>
      </c>
      <c r="U629" s="34" t="str">
        <f aca="false">IF($E629="","",IF(OR($M629="",$L629=""),0,IF($M629&lt;=$L629,1,0)))</f>
        <v/>
      </c>
      <c r="V629" s="34" t="str">
        <f aca="false">IF($E629="","",IF(OR($M629="",$T629=""),0,IF($M629&lt;=$T629,1,0)))</f>
        <v/>
      </c>
      <c r="W629" s="42" t="str">
        <f aca="false">IF(OR($M629="",$L629=""),"",MAX(0,$M629-$L629))</f>
        <v/>
      </c>
      <c r="X629" s="34" t="str">
        <f aca="false">IF($E629="","",IF(AND($O629&lt;&gt;"",$L629&lt;&gt;"",$O629&lt;&gt;$L629),1,0))</f>
        <v/>
      </c>
      <c r="Y629" s="34" t="str">
        <f aca="false">IF($E629="","",IF($N629="Cancelada",0,IF(OR($M629&lt;&gt;"",$N629="Concluída"),1,0)))</f>
        <v/>
      </c>
    </row>
    <row r="630" customFormat="false" ht="15" hidden="false" customHeight="true" outlineLevel="0" collapsed="false">
      <c r="A630" s="34" t="str">
        <f aca="false">IF($E630="","",COUNTA($E$5:$E630))</f>
        <v/>
      </c>
      <c r="B630" s="35"/>
      <c r="C630" s="35"/>
      <c r="D630" s="35"/>
      <c r="E630" s="35"/>
      <c r="F630" s="36"/>
      <c r="G630" s="37"/>
      <c r="H630" s="37"/>
      <c r="I630" s="37"/>
      <c r="J630" s="38"/>
      <c r="K630" s="39"/>
      <c r="L630" s="40" t="str">
        <f aca="false">IF(OR($J630="",$K630=""),"",$J630+MATCH($K630,Listas!$F$5:$F$11,0)-1)</f>
        <v/>
      </c>
      <c r="M630" s="41"/>
      <c r="N630" s="36"/>
      <c r="O630" s="41"/>
      <c r="P630" s="35"/>
      <c r="Q630" s="35"/>
      <c r="R630" s="42" t="str">
        <f aca="true">IF($E630="","",IF($N630="Cancelada","Cancelada",IF(OR($M630&lt;&gt;"",$N630="Concluída"),IF(OR($L630="",$M630="",$M630&lt;=$L630),"Concluída","Concluída com atraso"),IF($L630="","Na carteira",IF($L630&lt;TODAY(),"VENCIDA",IF($N630="Em execução","Em execução",IF($L630=TODAY(),"Hoje","Programada")))))))</f>
        <v/>
      </c>
      <c r="S630" s="34" t="str">
        <f aca="false">IF($E630="","",IF(ISNUMBER(SEARCH("(externo)",$G630&amp;$H630&amp;$I630)),"Terceirizada","Interna"))</f>
        <v/>
      </c>
      <c r="T630" s="40" t="str">
        <f aca="false">IF($L630="","",IF($O630="",$L630,$O630))</f>
        <v/>
      </c>
      <c r="U630" s="34" t="str">
        <f aca="false">IF($E630="","",IF(OR($M630="",$L630=""),0,IF($M630&lt;=$L630,1,0)))</f>
        <v/>
      </c>
      <c r="V630" s="34" t="str">
        <f aca="false">IF($E630="","",IF(OR($M630="",$T630=""),0,IF($M630&lt;=$T630,1,0)))</f>
        <v/>
      </c>
      <c r="W630" s="42" t="str">
        <f aca="false">IF(OR($M630="",$L630=""),"",MAX(0,$M630-$L630))</f>
        <v/>
      </c>
      <c r="X630" s="34" t="str">
        <f aca="false">IF($E630="","",IF(AND($O630&lt;&gt;"",$L630&lt;&gt;"",$O630&lt;&gt;$L630),1,0))</f>
        <v/>
      </c>
      <c r="Y630" s="34" t="str">
        <f aca="false">IF($E630="","",IF($N630="Cancelada",0,IF(OR($M630&lt;&gt;"",$N630="Concluída"),1,0)))</f>
        <v/>
      </c>
    </row>
    <row r="631" customFormat="false" ht="15" hidden="false" customHeight="true" outlineLevel="0" collapsed="false">
      <c r="A631" s="34" t="str">
        <f aca="false">IF($E631="","",COUNTA($E$5:$E631))</f>
        <v/>
      </c>
      <c r="B631" s="35"/>
      <c r="C631" s="35"/>
      <c r="D631" s="35"/>
      <c r="E631" s="35"/>
      <c r="F631" s="36"/>
      <c r="G631" s="37"/>
      <c r="H631" s="37"/>
      <c r="I631" s="37"/>
      <c r="J631" s="38"/>
      <c r="K631" s="39"/>
      <c r="L631" s="40" t="str">
        <f aca="false">IF(OR($J631="",$K631=""),"",$J631+MATCH($K631,Listas!$F$5:$F$11,0)-1)</f>
        <v/>
      </c>
      <c r="M631" s="41"/>
      <c r="N631" s="36"/>
      <c r="O631" s="41"/>
      <c r="P631" s="35"/>
      <c r="Q631" s="35"/>
      <c r="R631" s="42" t="str">
        <f aca="true">IF($E631="","",IF($N631="Cancelada","Cancelada",IF(OR($M631&lt;&gt;"",$N631="Concluída"),IF(OR($L631="",$M631="",$M631&lt;=$L631),"Concluída","Concluída com atraso"),IF($L631="","Na carteira",IF($L631&lt;TODAY(),"VENCIDA",IF($N631="Em execução","Em execução",IF($L631=TODAY(),"Hoje","Programada")))))))</f>
        <v/>
      </c>
      <c r="S631" s="34" t="str">
        <f aca="false">IF($E631="","",IF(ISNUMBER(SEARCH("(externo)",$G631&amp;$H631&amp;$I631)),"Terceirizada","Interna"))</f>
        <v/>
      </c>
      <c r="T631" s="40" t="str">
        <f aca="false">IF($L631="","",IF($O631="",$L631,$O631))</f>
        <v/>
      </c>
      <c r="U631" s="34" t="str">
        <f aca="false">IF($E631="","",IF(OR($M631="",$L631=""),0,IF($M631&lt;=$L631,1,0)))</f>
        <v/>
      </c>
      <c r="V631" s="34" t="str">
        <f aca="false">IF($E631="","",IF(OR($M631="",$T631=""),0,IF($M631&lt;=$T631,1,0)))</f>
        <v/>
      </c>
      <c r="W631" s="42" t="str">
        <f aca="false">IF(OR($M631="",$L631=""),"",MAX(0,$M631-$L631))</f>
        <v/>
      </c>
      <c r="X631" s="34" t="str">
        <f aca="false">IF($E631="","",IF(AND($O631&lt;&gt;"",$L631&lt;&gt;"",$O631&lt;&gt;$L631),1,0))</f>
        <v/>
      </c>
      <c r="Y631" s="34" t="str">
        <f aca="false">IF($E631="","",IF($N631="Cancelada",0,IF(OR($M631&lt;&gt;"",$N631="Concluída"),1,0)))</f>
        <v/>
      </c>
    </row>
    <row r="632" customFormat="false" ht="15" hidden="false" customHeight="true" outlineLevel="0" collapsed="false">
      <c r="A632" s="34" t="str">
        <f aca="false">IF($E632="","",COUNTA($E$5:$E632))</f>
        <v/>
      </c>
      <c r="B632" s="35"/>
      <c r="C632" s="35"/>
      <c r="D632" s="35"/>
      <c r="E632" s="35"/>
      <c r="F632" s="36"/>
      <c r="G632" s="37"/>
      <c r="H632" s="37"/>
      <c r="I632" s="37"/>
      <c r="J632" s="38"/>
      <c r="K632" s="39"/>
      <c r="L632" s="40" t="str">
        <f aca="false">IF(OR($J632="",$K632=""),"",$J632+MATCH($K632,Listas!$F$5:$F$11,0)-1)</f>
        <v/>
      </c>
      <c r="M632" s="41"/>
      <c r="N632" s="36"/>
      <c r="O632" s="41"/>
      <c r="P632" s="35"/>
      <c r="Q632" s="35"/>
      <c r="R632" s="42" t="str">
        <f aca="true">IF($E632="","",IF($N632="Cancelada","Cancelada",IF(OR($M632&lt;&gt;"",$N632="Concluída"),IF(OR($L632="",$M632="",$M632&lt;=$L632),"Concluída","Concluída com atraso"),IF($L632="","Na carteira",IF($L632&lt;TODAY(),"VENCIDA",IF($N632="Em execução","Em execução",IF($L632=TODAY(),"Hoje","Programada")))))))</f>
        <v/>
      </c>
      <c r="S632" s="34" t="str">
        <f aca="false">IF($E632="","",IF(ISNUMBER(SEARCH("(externo)",$G632&amp;$H632&amp;$I632)),"Terceirizada","Interna"))</f>
        <v/>
      </c>
      <c r="T632" s="40" t="str">
        <f aca="false">IF($L632="","",IF($O632="",$L632,$O632))</f>
        <v/>
      </c>
      <c r="U632" s="34" t="str">
        <f aca="false">IF($E632="","",IF(OR($M632="",$L632=""),0,IF($M632&lt;=$L632,1,0)))</f>
        <v/>
      </c>
      <c r="V632" s="34" t="str">
        <f aca="false">IF($E632="","",IF(OR($M632="",$T632=""),0,IF($M632&lt;=$T632,1,0)))</f>
        <v/>
      </c>
      <c r="W632" s="42" t="str">
        <f aca="false">IF(OR($M632="",$L632=""),"",MAX(0,$M632-$L632))</f>
        <v/>
      </c>
      <c r="X632" s="34" t="str">
        <f aca="false">IF($E632="","",IF(AND($O632&lt;&gt;"",$L632&lt;&gt;"",$O632&lt;&gt;$L632),1,0))</f>
        <v/>
      </c>
      <c r="Y632" s="34" t="str">
        <f aca="false">IF($E632="","",IF($N632="Cancelada",0,IF(OR($M632&lt;&gt;"",$N632="Concluída"),1,0)))</f>
        <v/>
      </c>
    </row>
    <row r="633" customFormat="false" ht="15" hidden="false" customHeight="true" outlineLevel="0" collapsed="false">
      <c r="A633" s="34" t="str">
        <f aca="false">IF($E633="","",COUNTA($E$5:$E633))</f>
        <v/>
      </c>
      <c r="B633" s="35"/>
      <c r="C633" s="35"/>
      <c r="D633" s="35"/>
      <c r="E633" s="35"/>
      <c r="F633" s="36"/>
      <c r="G633" s="37"/>
      <c r="H633" s="37"/>
      <c r="I633" s="37"/>
      <c r="J633" s="38"/>
      <c r="K633" s="39"/>
      <c r="L633" s="40" t="str">
        <f aca="false">IF(OR($J633="",$K633=""),"",$J633+MATCH($K633,Listas!$F$5:$F$11,0)-1)</f>
        <v/>
      </c>
      <c r="M633" s="41"/>
      <c r="N633" s="36"/>
      <c r="O633" s="41"/>
      <c r="P633" s="35"/>
      <c r="Q633" s="35"/>
      <c r="R633" s="42" t="str">
        <f aca="true">IF($E633="","",IF($N633="Cancelada","Cancelada",IF(OR($M633&lt;&gt;"",$N633="Concluída"),IF(OR($L633="",$M633="",$M633&lt;=$L633),"Concluída","Concluída com atraso"),IF($L633="","Na carteira",IF($L633&lt;TODAY(),"VENCIDA",IF($N633="Em execução","Em execução",IF($L633=TODAY(),"Hoje","Programada")))))))</f>
        <v/>
      </c>
      <c r="S633" s="34" t="str">
        <f aca="false">IF($E633="","",IF(ISNUMBER(SEARCH("(externo)",$G633&amp;$H633&amp;$I633)),"Terceirizada","Interna"))</f>
        <v/>
      </c>
      <c r="T633" s="40" t="str">
        <f aca="false">IF($L633="","",IF($O633="",$L633,$O633))</f>
        <v/>
      </c>
      <c r="U633" s="34" t="str">
        <f aca="false">IF($E633="","",IF(OR($M633="",$L633=""),0,IF($M633&lt;=$L633,1,0)))</f>
        <v/>
      </c>
      <c r="V633" s="34" t="str">
        <f aca="false">IF($E633="","",IF(OR($M633="",$T633=""),0,IF($M633&lt;=$T633,1,0)))</f>
        <v/>
      </c>
      <c r="W633" s="42" t="str">
        <f aca="false">IF(OR($M633="",$L633=""),"",MAX(0,$M633-$L633))</f>
        <v/>
      </c>
      <c r="X633" s="34" t="str">
        <f aca="false">IF($E633="","",IF(AND($O633&lt;&gt;"",$L633&lt;&gt;"",$O633&lt;&gt;$L633),1,0))</f>
        <v/>
      </c>
      <c r="Y633" s="34" t="str">
        <f aca="false">IF($E633="","",IF($N633="Cancelada",0,IF(OR($M633&lt;&gt;"",$N633="Concluída"),1,0)))</f>
        <v/>
      </c>
    </row>
    <row r="634" customFormat="false" ht="15" hidden="false" customHeight="true" outlineLevel="0" collapsed="false">
      <c r="A634" s="34" t="str">
        <f aca="false">IF($E634="","",COUNTA($E$5:$E634))</f>
        <v/>
      </c>
      <c r="B634" s="35"/>
      <c r="C634" s="35"/>
      <c r="D634" s="35"/>
      <c r="E634" s="35"/>
      <c r="F634" s="36"/>
      <c r="G634" s="37"/>
      <c r="H634" s="37"/>
      <c r="I634" s="37"/>
      <c r="J634" s="38"/>
      <c r="K634" s="39"/>
      <c r="L634" s="40" t="str">
        <f aca="false">IF(OR($J634="",$K634=""),"",$J634+MATCH($K634,Listas!$F$5:$F$11,0)-1)</f>
        <v/>
      </c>
      <c r="M634" s="41"/>
      <c r="N634" s="36"/>
      <c r="O634" s="41"/>
      <c r="P634" s="35"/>
      <c r="Q634" s="35"/>
      <c r="R634" s="42" t="str">
        <f aca="true">IF($E634="","",IF($N634="Cancelada","Cancelada",IF(OR($M634&lt;&gt;"",$N634="Concluída"),IF(OR($L634="",$M634="",$M634&lt;=$L634),"Concluída","Concluída com atraso"),IF($L634="","Na carteira",IF($L634&lt;TODAY(),"VENCIDA",IF($N634="Em execução","Em execução",IF($L634=TODAY(),"Hoje","Programada")))))))</f>
        <v/>
      </c>
      <c r="S634" s="34" t="str">
        <f aca="false">IF($E634="","",IF(ISNUMBER(SEARCH("(externo)",$G634&amp;$H634&amp;$I634)),"Terceirizada","Interna"))</f>
        <v/>
      </c>
      <c r="T634" s="40" t="str">
        <f aca="false">IF($L634="","",IF($O634="",$L634,$O634))</f>
        <v/>
      </c>
      <c r="U634" s="34" t="str">
        <f aca="false">IF($E634="","",IF(OR($M634="",$L634=""),0,IF($M634&lt;=$L634,1,0)))</f>
        <v/>
      </c>
      <c r="V634" s="34" t="str">
        <f aca="false">IF($E634="","",IF(OR($M634="",$T634=""),0,IF($M634&lt;=$T634,1,0)))</f>
        <v/>
      </c>
      <c r="W634" s="42" t="str">
        <f aca="false">IF(OR($M634="",$L634=""),"",MAX(0,$M634-$L634))</f>
        <v/>
      </c>
      <c r="X634" s="34" t="str">
        <f aca="false">IF($E634="","",IF(AND($O634&lt;&gt;"",$L634&lt;&gt;"",$O634&lt;&gt;$L634),1,0))</f>
        <v/>
      </c>
      <c r="Y634" s="34" t="str">
        <f aca="false">IF($E634="","",IF($N634="Cancelada",0,IF(OR($M634&lt;&gt;"",$N634="Concluída"),1,0)))</f>
        <v/>
      </c>
    </row>
    <row r="635" customFormat="false" ht="15" hidden="false" customHeight="true" outlineLevel="0" collapsed="false">
      <c r="A635" s="34" t="str">
        <f aca="false">IF($E635="","",COUNTA($E$5:$E635))</f>
        <v/>
      </c>
      <c r="B635" s="35"/>
      <c r="C635" s="35"/>
      <c r="D635" s="35"/>
      <c r="E635" s="35"/>
      <c r="F635" s="36"/>
      <c r="G635" s="37"/>
      <c r="H635" s="37"/>
      <c r="I635" s="37"/>
      <c r="J635" s="38"/>
      <c r="K635" s="39"/>
      <c r="L635" s="40" t="str">
        <f aca="false">IF(OR($J635="",$K635=""),"",$J635+MATCH($K635,Listas!$F$5:$F$11,0)-1)</f>
        <v/>
      </c>
      <c r="M635" s="41"/>
      <c r="N635" s="36"/>
      <c r="O635" s="41"/>
      <c r="P635" s="35"/>
      <c r="Q635" s="35"/>
      <c r="R635" s="42" t="str">
        <f aca="true">IF($E635="","",IF($N635="Cancelada","Cancelada",IF(OR($M635&lt;&gt;"",$N635="Concluída"),IF(OR($L635="",$M635="",$M635&lt;=$L635),"Concluída","Concluída com atraso"),IF($L635="","Na carteira",IF($L635&lt;TODAY(),"VENCIDA",IF($N635="Em execução","Em execução",IF($L635=TODAY(),"Hoje","Programada")))))))</f>
        <v/>
      </c>
      <c r="S635" s="34" t="str">
        <f aca="false">IF($E635="","",IF(ISNUMBER(SEARCH("(externo)",$G635&amp;$H635&amp;$I635)),"Terceirizada","Interna"))</f>
        <v/>
      </c>
      <c r="T635" s="40" t="str">
        <f aca="false">IF($L635="","",IF($O635="",$L635,$O635))</f>
        <v/>
      </c>
      <c r="U635" s="34" t="str">
        <f aca="false">IF($E635="","",IF(OR($M635="",$L635=""),0,IF($M635&lt;=$L635,1,0)))</f>
        <v/>
      </c>
      <c r="V635" s="34" t="str">
        <f aca="false">IF($E635="","",IF(OR($M635="",$T635=""),0,IF($M635&lt;=$T635,1,0)))</f>
        <v/>
      </c>
      <c r="W635" s="42" t="str">
        <f aca="false">IF(OR($M635="",$L635=""),"",MAX(0,$M635-$L635))</f>
        <v/>
      </c>
      <c r="X635" s="34" t="str">
        <f aca="false">IF($E635="","",IF(AND($O635&lt;&gt;"",$L635&lt;&gt;"",$O635&lt;&gt;$L635),1,0))</f>
        <v/>
      </c>
      <c r="Y635" s="34" t="str">
        <f aca="false">IF($E635="","",IF($N635="Cancelada",0,IF(OR($M635&lt;&gt;"",$N635="Concluída"),1,0)))</f>
        <v/>
      </c>
    </row>
    <row r="636" customFormat="false" ht="15" hidden="false" customHeight="true" outlineLevel="0" collapsed="false">
      <c r="A636" s="34" t="str">
        <f aca="false">IF($E636="","",COUNTA($E$5:$E636))</f>
        <v/>
      </c>
      <c r="B636" s="35"/>
      <c r="C636" s="35"/>
      <c r="D636" s="35"/>
      <c r="E636" s="35"/>
      <c r="F636" s="36"/>
      <c r="G636" s="37"/>
      <c r="H636" s="37"/>
      <c r="I636" s="37"/>
      <c r="J636" s="38"/>
      <c r="K636" s="39"/>
      <c r="L636" s="40" t="str">
        <f aca="false">IF(OR($J636="",$K636=""),"",$J636+MATCH($K636,Listas!$F$5:$F$11,0)-1)</f>
        <v/>
      </c>
      <c r="M636" s="41"/>
      <c r="N636" s="36"/>
      <c r="O636" s="41"/>
      <c r="P636" s="35"/>
      <c r="Q636" s="35"/>
      <c r="R636" s="42" t="str">
        <f aca="true">IF($E636="","",IF($N636="Cancelada","Cancelada",IF(OR($M636&lt;&gt;"",$N636="Concluída"),IF(OR($L636="",$M636="",$M636&lt;=$L636),"Concluída","Concluída com atraso"),IF($L636="","Na carteira",IF($L636&lt;TODAY(),"VENCIDA",IF($N636="Em execução","Em execução",IF($L636=TODAY(),"Hoje","Programada")))))))</f>
        <v/>
      </c>
      <c r="S636" s="34" t="str">
        <f aca="false">IF($E636="","",IF(ISNUMBER(SEARCH("(externo)",$G636&amp;$H636&amp;$I636)),"Terceirizada","Interna"))</f>
        <v/>
      </c>
      <c r="T636" s="40" t="str">
        <f aca="false">IF($L636="","",IF($O636="",$L636,$O636))</f>
        <v/>
      </c>
      <c r="U636" s="34" t="str">
        <f aca="false">IF($E636="","",IF(OR($M636="",$L636=""),0,IF($M636&lt;=$L636,1,0)))</f>
        <v/>
      </c>
      <c r="V636" s="34" t="str">
        <f aca="false">IF($E636="","",IF(OR($M636="",$T636=""),0,IF($M636&lt;=$T636,1,0)))</f>
        <v/>
      </c>
      <c r="W636" s="42" t="str">
        <f aca="false">IF(OR($M636="",$L636=""),"",MAX(0,$M636-$L636))</f>
        <v/>
      </c>
      <c r="X636" s="34" t="str">
        <f aca="false">IF($E636="","",IF(AND($O636&lt;&gt;"",$L636&lt;&gt;"",$O636&lt;&gt;$L636),1,0))</f>
        <v/>
      </c>
      <c r="Y636" s="34" t="str">
        <f aca="false">IF($E636="","",IF($N636="Cancelada",0,IF(OR($M636&lt;&gt;"",$N636="Concluída"),1,0)))</f>
        <v/>
      </c>
    </row>
    <row r="637" customFormat="false" ht="15" hidden="false" customHeight="true" outlineLevel="0" collapsed="false">
      <c r="A637" s="34" t="str">
        <f aca="false">IF($E637="","",COUNTA($E$5:$E637))</f>
        <v/>
      </c>
      <c r="B637" s="35"/>
      <c r="C637" s="35"/>
      <c r="D637" s="35"/>
      <c r="E637" s="35"/>
      <c r="F637" s="36"/>
      <c r="G637" s="37"/>
      <c r="H637" s="37"/>
      <c r="I637" s="37"/>
      <c r="J637" s="38"/>
      <c r="K637" s="39"/>
      <c r="L637" s="40" t="str">
        <f aca="false">IF(OR($J637="",$K637=""),"",$J637+MATCH($K637,Listas!$F$5:$F$11,0)-1)</f>
        <v/>
      </c>
      <c r="M637" s="41"/>
      <c r="N637" s="36"/>
      <c r="O637" s="41"/>
      <c r="P637" s="35"/>
      <c r="Q637" s="35"/>
      <c r="R637" s="42" t="str">
        <f aca="true">IF($E637="","",IF($N637="Cancelada","Cancelada",IF(OR($M637&lt;&gt;"",$N637="Concluída"),IF(OR($L637="",$M637="",$M637&lt;=$L637),"Concluída","Concluída com atraso"),IF($L637="","Na carteira",IF($L637&lt;TODAY(),"VENCIDA",IF($N637="Em execução","Em execução",IF($L637=TODAY(),"Hoje","Programada")))))))</f>
        <v/>
      </c>
      <c r="S637" s="34" t="str">
        <f aca="false">IF($E637="","",IF(ISNUMBER(SEARCH("(externo)",$G637&amp;$H637&amp;$I637)),"Terceirizada","Interna"))</f>
        <v/>
      </c>
      <c r="T637" s="40" t="str">
        <f aca="false">IF($L637="","",IF($O637="",$L637,$O637))</f>
        <v/>
      </c>
      <c r="U637" s="34" t="str">
        <f aca="false">IF($E637="","",IF(OR($M637="",$L637=""),0,IF($M637&lt;=$L637,1,0)))</f>
        <v/>
      </c>
      <c r="V637" s="34" t="str">
        <f aca="false">IF($E637="","",IF(OR($M637="",$T637=""),0,IF($M637&lt;=$T637,1,0)))</f>
        <v/>
      </c>
      <c r="W637" s="42" t="str">
        <f aca="false">IF(OR($M637="",$L637=""),"",MAX(0,$M637-$L637))</f>
        <v/>
      </c>
      <c r="X637" s="34" t="str">
        <f aca="false">IF($E637="","",IF(AND($O637&lt;&gt;"",$L637&lt;&gt;"",$O637&lt;&gt;$L637),1,0))</f>
        <v/>
      </c>
      <c r="Y637" s="34" t="str">
        <f aca="false">IF($E637="","",IF($N637="Cancelada",0,IF(OR($M637&lt;&gt;"",$N637="Concluída"),1,0)))</f>
        <v/>
      </c>
    </row>
    <row r="638" customFormat="false" ht="15" hidden="false" customHeight="true" outlineLevel="0" collapsed="false">
      <c r="A638" s="34" t="str">
        <f aca="false">IF($E638="","",COUNTA($E$5:$E638))</f>
        <v/>
      </c>
      <c r="B638" s="35"/>
      <c r="C638" s="35"/>
      <c r="D638" s="35"/>
      <c r="E638" s="35"/>
      <c r="F638" s="36"/>
      <c r="G638" s="37"/>
      <c r="H638" s="37"/>
      <c r="I638" s="37"/>
      <c r="J638" s="38"/>
      <c r="K638" s="39"/>
      <c r="L638" s="40" t="str">
        <f aca="false">IF(OR($J638="",$K638=""),"",$J638+MATCH($K638,Listas!$F$5:$F$11,0)-1)</f>
        <v/>
      </c>
      <c r="M638" s="41"/>
      <c r="N638" s="36"/>
      <c r="O638" s="41"/>
      <c r="P638" s="35"/>
      <c r="Q638" s="35"/>
      <c r="R638" s="42" t="str">
        <f aca="true">IF($E638="","",IF($N638="Cancelada","Cancelada",IF(OR($M638&lt;&gt;"",$N638="Concluída"),IF(OR($L638="",$M638="",$M638&lt;=$L638),"Concluída","Concluída com atraso"),IF($L638="","Na carteira",IF($L638&lt;TODAY(),"VENCIDA",IF($N638="Em execução","Em execução",IF($L638=TODAY(),"Hoje","Programada")))))))</f>
        <v/>
      </c>
      <c r="S638" s="34" t="str">
        <f aca="false">IF($E638="","",IF(ISNUMBER(SEARCH("(externo)",$G638&amp;$H638&amp;$I638)),"Terceirizada","Interna"))</f>
        <v/>
      </c>
      <c r="T638" s="40" t="str">
        <f aca="false">IF($L638="","",IF($O638="",$L638,$O638))</f>
        <v/>
      </c>
      <c r="U638" s="34" t="str">
        <f aca="false">IF($E638="","",IF(OR($M638="",$L638=""),0,IF($M638&lt;=$L638,1,0)))</f>
        <v/>
      </c>
      <c r="V638" s="34" t="str">
        <f aca="false">IF($E638="","",IF(OR($M638="",$T638=""),0,IF($M638&lt;=$T638,1,0)))</f>
        <v/>
      </c>
      <c r="W638" s="42" t="str">
        <f aca="false">IF(OR($M638="",$L638=""),"",MAX(0,$M638-$L638))</f>
        <v/>
      </c>
      <c r="X638" s="34" t="str">
        <f aca="false">IF($E638="","",IF(AND($O638&lt;&gt;"",$L638&lt;&gt;"",$O638&lt;&gt;$L638),1,0))</f>
        <v/>
      </c>
      <c r="Y638" s="34" t="str">
        <f aca="false">IF($E638="","",IF($N638="Cancelada",0,IF(OR($M638&lt;&gt;"",$N638="Concluída"),1,0)))</f>
        <v/>
      </c>
    </row>
    <row r="639" customFormat="false" ht="15" hidden="false" customHeight="true" outlineLevel="0" collapsed="false">
      <c r="A639" s="34" t="str">
        <f aca="false">IF($E639="","",COUNTA($E$5:$E639))</f>
        <v/>
      </c>
      <c r="B639" s="35"/>
      <c r="C639" s="35"/>
      <c r="D639" s="35"/>
      <c r="E639" s="35"/>
      <c r="F639" s="36"/>
      <c r="G639" s="37"/>
      <c r="H639" s="37"/>
      <c r="I639" s="37"/>
      <c r="J639" s="38"/>
      <c r="K639" s="39"/>
      <c r="L639" s="40" t="str">
        <f aca="false">IF(OR($J639="",$K639=""),"",$J639+MATCH($K639,Listas!$F$5:$F$11,0)-1)</f>
        <v/>
      </c>
      <c r="M639" s="41"/>
      <c r="N639" s="36"/>
      <c r="O639" s="41"/>
      <c r="P639" s="35"/>
      <c r="Q639" s="35"/>
      <c r="R639" s="42" t="str">
        <f aca="true">IF($E639="","",IF($N639="Cancelada","Cancelada",IF(OR($M639&lt;&gt;"",$N639="Concluída"),IF(OR($L639="",$M639="",$M639&lt;=$L639),"Concluída","Concluída com atraso"),IF($L639="","Na carteira",IF($L639&lt;TODAY(),"VENCIDA",IF($N639="Em execução","Em execução",IF($L639=TODAY(),"Hoje","Programada")))))))</f>
        <v/>
      </c>
      <c r="S639" s="34" t="str">
        <f aca="false">IF($E639="","",IF(ISNUMBER(SEARCH("(externo)",$G639&amp;$H639&amp;$I639)),"Terceirizada","Interna"))</f>
        <v/>
      </c>
      <c r="T639" s="40" t="str">
        <f aca="false">IF($L639="","",IF($O639="",$L639,$O639))</f>
        <v/>
      </c>
      <c r="U639" s="34" t="str">
        <f aca="false">IF($E639="","",IF(OR($M639="",$L639=""),0,IF($M639&lt;=$L639,1,0)))</f>
        <v/>
      </c>
      <c r="V639" s="34" t="str">
        <f aca="false">IF($E639="","",IF(OR($M639="",$T639=""),0,IF($M639&lt;=$T639,1,0)))</f>
        <v/>
      </c>
      <c r="W639" s="42" t="str">
        <f aca="false">IF(OR($M639="",$L639=""),"",MAX(0,$M639-$L639))</f>
        <v/>
      </c>
      <c r="X639" s="34" t="str">
        <f aca="false">IF($E639="","",IF(AND($O639&lt;&gt;"",$L639&lt;&gt;"",$O639&lt;&gt;$L639),1,0))</f>
        <v/>
      </c>
      <c r="Y639" s="34" t="str">
        <f aca="false">IF($E639="","",IF($N639="Cancelada",0,IF(OR($M639&lt;&gt;"",$N639="Concluída"),1,0)))</f>
        <v/>
      </c>
    </row>
    <row r="640" customFormat="false" ht="15" hidden="false" customHeight="true" outlineLevel="0" collapsed="false">
      <c r="A640" s="34" t="str">
        <f aca="false">IF($E640="","",COUNTA($E$5:$E640))</f>
        <v/>
      </c>
      <c r="B640" s="35"/>
      <c r="C640" s="35"/>
      <c r="D640" s="35"/>
      <c r="E640" s="35"/>
      <c r="F640" s="36"/>
      <c r="G640" s="37"/>
      <c r="H640" s="37"/>
      <c r="I640" s="37"/>
      <c r="J640" s="38"/>
      <c r="K640" s="39"/>
      <c r="L640" s="40" t="str">
        <f aca="false">IF(OR($J640="",$K640=""),"",$J640+MATCH($K640,Listas!$F$5:$F$11,0)-1)</f>
        <v/>
      </c>
      <c r="M640" s="41"/>
      <c r="N640" s="36"/>
      <c r="O640" s="41"/>
      <c r="P640" s="35"/>
      <c r="Q640" s="35"/>
      <c r="R640" s="42" t="str">
        <f aca="true">IF($E640="","",IF($N640="Cancelada","Cancelada",IF(OR($M640&lt;&gt;"",$N640="Concluída"),IF(OR($L640="",$M640="",$M640&lt;=$L640),"Concluída","Concluída com atraso"),IF($L640="","Na carteira",IF($L640&lt;TODAY(),"VENCIDA",IF($N640="Em execução","Em execução",IF($L640=TODAY(),"Hoje","Programada")))))))</f>
        <v/>
      </c>
      <c r="S640" s="34" t="str">
        <f aca="false">IF($E640="","",IF(ISNUMBER(SEARCH("(externo)",$G640&amp;$H640&amp;$I640)),"Terceirizada","Interna"))</f>
        <v/>
      </c>
      <c r="T640" s="40" t="str">
        <f aca="false">IF($L640="","",IF($O640="",$L640,$O640))</f>
        <v/>
      </c>
      <c r="U640" s="34" t="str">
        <f aca="false">IF($E640="","",IF(OR($M640="",$L640=""),0,IF($M640&lt;=$L640,1,0)))</f>
        <v/>
      </c>
      <c r="V640" s="34" t="str">
        <f aca="false">IF($E640="","",IF(OR($M640="",$T640=""),0,IF($M640&lt;=$T640,1,0)))</f>
        <v/>
      </c>
      <c r="W640" s="42" t="str">
        <f aca="false">IF(OR($M640="",$L640=""),"",MAX(0,$M640-$L640))</f>
        <v/>
      </c>
      <c r="X640" s="34" t="str">
        <f aca="false">IF($E640="","",IF(AND($O640&lt;&gt;"",$L640&lt;&gt;"",$O640&lt;&gt;$L640),1,0))</f>
        <v/>
      </c>
      <c r="Y640" s="34" t="str">
        <f aca="false">IF($E640="","",IF($N640="Cancelada",0,IF(OR($M640&lt;&gt;"",$N640="Concluída"),1,0)))</f>
        <v/>
      </c>
    </row>
    <row r="641" customFormat="false" ht="15" hidden="false" customHeight="true" outlineLevel="0" collapsed="false">
      <c r="A641" s="34" t="str">
        <f aca="false">IF($E641="","",COUNTA($E$5:$E641))</f>
        <v/>
      </c>
      <c r="B641" s="35"/>
      <c r="C641" s="35"/>
      <c r="D641" s="35"/>
      <c r="E641" s="35"/>
      <c r="F641" s="36"/>
      <c r="G641" s="37"/>
      <c r="H641" s="37"/>
      <c r="I641" s="37"/>
      <c r="J641" s="38"/>
      <c r="K641" s="39"/>
      <c r="L641" s="40" t="str">
        <f aca="false">IF(OR($J641="",$K641=""),"",$J641+MATCH($K641,Listas!$F$5:$F$11,0)-1)</f>
        <v/>
      </c>
      <c r="M641" s="41"/>
      <c r="N641" s="36"/>
      <c r="O641" s="41"/>
      <c r="P641" s="35"/>
      <c r="Q641" s="35"/>
      <c r="R641" s="42" t="str">
        <f aca="true">IF($E641="","",IF($N641="Cancelada","Cancelada",IF(OR($M641&lt;&gt;"",$N641="Concluída"),IF(OR($L641="",$M641="",$M641&lt;=$L641),"Concluída","Concluída com atraso"),IF($L641="","Na carteira",IF($L641&lt;TODAY(),"VENCIDA",IF($N641="Em execução","Em execução",IF($L641=TODAY(),"Hoje","Programada")))))))</f>
        <v/>
      </c>
      <c r="S641" s="34" t="str">
        <f aca="false">IF($E641="","",IF(ISNUMBER(SEARCH("(externo)",$G641&amp;$H641&amp;$I641)),"Terceirizada","Interna"))</f>
        <v/>
      </c>
      <c r="T641" s="40" t="str">
        <f aca="false">IF($L641="","",IF($O641="",$L641,$O641))</f>
        <v/>
      </c>
      <c r="U641" s="34" t="str">
        <f aca="false">IF($E641="","",IF(OR($M641="",$L641=""),0,IF($M641&lt;=$L641,1,0)))</f>
        <v/>
      </c>
      <c r="V641" s="34" t="str">
        <f aca="false">IF($E641="","",IF(OR($M641="",$T641=""),0,IF($M641&lt;=$T641,1,0)))</f>
        <v/>
      </c>
      <c r="W641" s="42" t="str">
        <f aca="false">IF(OR($M641="",$L641=""),"",MAX(0,$M641-$L641))</f>
        <v/>
      </c>
      <c r="X641" s="34" t="str">
        <f aca="false">IF($E641="","",IF(AND($O641&lt;&gt;"",$L641&lt;&gt;"",$O641&lt;&gt;$L641),1,0))</f>
        <v/>
      </c>
      <c r="Y641" s="34" t="str">
        <f aca="false">IF($E641="","",IF($N641="Cancelada",0,IF(OR($M641&lt;&gt;"",$N641="Concluída"),1,0)))</f>
        <v/>
      </c>
    </row>
    <row r="642" customFormat="false" ht="15" hidden="false" customHeight="true" outlineLevel="0" collapsed="false">
      <c r="A642" s="34" t="str">
        <f aca="false">IF($E642="","",COUNTA($E$5:$E642))</f>
        <v/>
      </c>
      <c r="B642" s="35"/>
      <c r="C642" s="35"/>
      <c r="D642" s="35"/>
      <c r="E642" s="35"/>
      <c r="F642" s="36"/>
      <c r="G642" s="37"/>
      <c r="H642" s="37"/>
      <c r="I642" s="37"/>
      <c r="J642" s="38"/>
      <c r="K642" s="39"/>
      <c r="L642" s="40" t="str">
        <f aca="false">IF(OR($J642="",$K642=""),"",$J642+MATCH($K642,Listas!$F$5:$F$11,0)-1)</f>
        <v/>
      </c>
      <c r="M642" s="41"/>
      <c r="N642" s="36"/>
      <c r="O642" s="41"/>
      <c r="P642" s="35"/>
      <c r="Q642" s="35"/>
      <c r="R642" s="42" t="str">
        <f aca="true">IF($E642="","",IF($N642="Cancelada","Cancelada",IF(OR($M642&lt;&gt;"",$N642="Concluída"),IF(OR($L642="",$M642="",$M642&lt;=$L642),"Concluída","Concluída com atraso"),IF($L642="","Na carteira",IF($L642&lt;TODAY(),"VENCIDA",IF($N642="Em execução","Em execução",IF($L642=TODAY(),"Hoje","Programada")))))))</f>
        <v/>
      </c>
      <c r="S642" s="34" t="str">
        <f aca="false">IF($E642="","",IF(ISNUMBER(SEARCH("(externo)",$G642&amp;$H642&amp;$I642)),"Terceirizada","Interna"))</f>
        <v/>
      </c>
      <c r="T642" s="40" t="str">
        <f aca="false">IF($L642="","",IF($O642="",$L642,$O642))</f>
        <v/>
      </c>
      <c r="U642" s="34" t="str">
        <f aca="false">IF($E642="","",IF(OR($M642="",$L642=""),0,IF($M642&lt;=$L642,1,0)))</f>
        <v/>
      </c>
      <c r="V642" s="34" t="str">
        <f aca="false">IF($E642="","",IF(OR($M642="",$T642=""),0,IF($M642&lt;=$T642,1,0)))</f>
        <v/>
      </c>
      <c r="W642" s="42" t="str">
        <f aca="false">IF(OR($M642="",$L642=""),"",MAX(0,$M642-$L642))</f>
        <v/>
      </c>
      <c r="X642" s="34" t="str">
        <f aca="false">IF($E642="","",IF(AND($O642&lt;&gt;"",$L642&lt;&gt;"",$O642&lt;&gt;$L642),1,0))</f>
        <v/>
      </c>
      <c r="Y642" s="34" t="str">
        <f aca="false">IF($E642="","",IF($N642="Cancelada",0,IF(OR($M642&lt;&gt;"",$N642="Concluída"),1,0)))</f>
        <v/>
      </c>
    </row>
    <row r="643" customFormat="false" ht="15" hidden="false" customHeight="true" outlineLevel="0" collapsed="false">
      <c r="A643" s="34" t="str">
        <f aca="false">IF($E643="","",COUNTA($E$5:$E643))</f>
        <v/>
      </c>
      <c r="B643" s="35"/>
      <c r="C643" s="35"/>
      <c r="D643" s="35"/>
      <c r="E643" s="35"/>
      <c r="F643" s="36"/>
      <c r="G643" s="37"/>
      <c r="H643" s="37"/>
      <c r="I643" s="37"/>
      <c r="J643" s="38"/>
      <c r="K643" s="39"/>
      <c r="L643" s="40" t="str">
        <f aca="false">IF(OR($J643="",$K643=""),"",$J643+MATCH($K643,Listas!$F$5:$F$11,0)-1)</f>
        <v/>
      </c>
      <c r="M643" s="41"/>
      <c r="N643" s="36"/>
      <c r="O643" s="41"/>
      <c r="P643" s="35"/>
      <c r="Q643" s="35"/>
      <c r="R643" s="42" t="str">
        <f aca="true">IF($E643="","",IF($N643="Cancelada","Cancelada",IF(OR($M643&lt;&gt;"",$N643="Concluída"),IF(OR($L643="",$M643="",$M643&lt;=$L643),"Concluída","Concluída com atraso"),IF($L643="","Na carteira",IF($L643&lt;TODAY(),"VENCIDA",IF($N643="Em execução","Em execução",IF($L643=TODAY(),"Hoje","Programada")))))))</f>
        <v/>
      </c>
      <c r="S643" s="34" t="str">
        <f aca="false">IF($E643="","",IF(ISNUMBER(SEARCH("(externo)",$G643&amp;$H643&amp;$I643)),"Terceirizada","Interna"))</f>
        <v/>
      </c>
      <c r="T643" s="40" t="str">
        <f aca="false">IF($L643="","",IF($O643="",$L643,$O643))</f>
        <v/>
      </c>
      <c r="U643" s="34" t="str">
        <f aca="false">IF($E643="","",IF(OR($M643="",$L643=""),0,IF($M643&lt;=$L643,1,0)))</f>
        <v/>
      </c>
      <c r="V643" s="34" t="str">
        <f aca="false">IF($E643="","",IF(OR($M643="",$T643=""),0,IF($M643&lt;=$T643,1,0)))</f>
        <v/>
      </c>
      <c r="W643" s="42" t="str">
        <f aca="false">IF(OR($M643="",$L643=""),"",MAX(0,$M643-$L643))</f>
        <v/>
      </c>
      <c r="X643" s="34" t="str">
        <f aca="false">IF($E643="","",IF(AND($O643&lt;&gt;"",$L643&lt;&gt;"",$O643&lt;&gt;$L643),1,0))</f>
        <v/>
      </c>
      <c r="Y643" s="34" t="str">
        <f aca="false">IF($E643="","",IF($N643="Cancelada",0,IF(OR($M643&lt;&gt;"",$N643="Concluída"),1,0)))</f>
        <v/>
      </c>
    </row>
    <row r="644" customFormat="false" ht="15" hidden="false" customHeight="true" outlineLevel="0" collapsed="false">
      <c r="A644" s="34" t="str">
        <f aca="false">IF($E644="","",COUNTA($E$5:$E644))</f>
        <v/>
      </c>
      <c r="B644" s="35"/>
      <c r="C644" s="35"/>
      <c r="D644" s="35"/>
      <c r="E644" s="35"/>
      <c r="F644" s="36"/>
      <c r="G644" s="37"/>
      <c r="H644" s="37"/>
      <c r="I644" s="37"/>
      <c r="J644" s="38"/>
      <c r="K644" s="39"/>
      <c r="L644" s="40" t="str">
        <f aca="false">IF(OR($J644="",$K644=""),"",$J644+MATCH($K644,Listas!$F$5:$F$11,0)-1)</f>
        <v/>
      </c>
      <c r="M644" s="41"/>
      <c r="N644" s="36"/>
      <c r="O644" s="41"/>
      <c r="P644" s="35"/>
      <c r="Q644" s="35"/>
      <c r="R644" s="42" t="str">
        <f aca="true">IF($E644="","",IF($N644="Cancelada","Cancelada",IF(OR($M644&lt;&gt;"",$N644="Concluída"),IF(OR($L644="",$M644="",$M644&lt;=$L644),"Concluída","Concluída com atraso"),IF($L644="","Na carteira",IF($L644&lt;TODAY(),"VENCIDA",IF($N644="Em execução","Em execução",IF($L644=TODAY(),"Hoje","Programada")))))))</f>
        <v/>
      </c>
      <c r="S644" s="34" t="str">
        <f aca="false">IF($E644="","",IF(ISNUMBER(SEARCH("(externo)",$G644&amp;$H644&amp;$I644)),"Terceirizada","Interna"))</f>
        <v/>
      </c>
      <c r="T644" s="40" t="str">
        <f aca="false">IF($L644="","",IF($O644="",$L644,$O644))</f>
        <v/>
      </c>
      <c r="U644" s="34" t="str">
        <f aca="false">IF($E644="","",IF(OR($M644="",$L644=""),0,IF($M644&lt;=$L644,1,0)))</f>
        <v/>
      </c>
      <c r="V644" s="34" t="str">
        <f aca="false">IF($E644="","",IF(OR($M644="",$T644=""),0,IF($M644&lt;=$T644,1,0)))</f>
        <v/>
      </c>
      <c r="W644" s="42" t="str">
        <f aca="false">IF(OR($M644="",$L644=""),"",MAX(0,$M644-$L644))</f>
        <v/>
      </c>
      <c r="X644" s="34" t="str">
        <f aca="false">IF($E644="","",IF(AND($O644&lt;&gt;"",$L644&lt;&gt;"",$O644&lt;&gt;$L644),1,0))</f>
        <v/>
      </c>
      <c r="Y644" s="34" t="str">
        <f aca="false">IF($E644="","",IF($N644="Cancelada",0,IF(OR($M644&lt;&gt;"",$N644="Concluída"),1,0)))</f>
        <v/>
      </c>
    </row>
    <row r="645" customFormat="false" ht="15" hidden="false" customHeight="true" outlineLevel="0" collapsed="false">
      <c r="A645" s="34" t="str">
        <f aca="false">IF($E645="","",COUNTA($E$5:$E645))</f>
        <v/>
      </c>
      <c r="B645" s="35"/>
      <c r="C645" s="35"/>
      <c r="D645" s="35"/>
      <c r="E645" s="35"/>
      <c r="F645" s="36"/>
      <c r="G645" s="37"/>
      <c r="H645" s="37"/>
      <c r="I645" s="37"/>
      <c r="J645" s="38"/>
      <c r="K645" s="39"/>
      <c r="L645" s="40" t="str">
        <f aca="false">IF(OR($J645="",$K645=""),"",$J645+MATCH($K645,Listas!$F$5:$F$11,0)-1)</f>
        <v/>
      </c>
      <c r="M645" s="41"/>
      <c r="N645" s="36"/>
      <c r="O645" s="41"/>
      <c r="P645" s="35"/>
      <c r="Q645" s="35"/>
      <c r="R645" s="42" t="str">
        <f aca="true">IF($E645="","",IF($N645="Cancelada","Cancelada",IF(OR($M645&lt;&gt;"",$N645="Concluída"),IF(OR($L645="",$M645="",$M645&lt;=$L645),"Concluída","Concluída com atraso"),IF($L645="","Na carteira",IF($L645&lt;TODAY(),"VENCIDA",IF($N645="Em execução","Em execução",IF($L645=TODAY(),"Hoje","Programada")))))))</f>
        <v/>
      </c>
      <c r="S645" s="34" t="str">
        <f aca="false">IF($E645="","",IF(ISNUMBER(SEARCH("(externo)",$G645&amp;$H645&amp;$I645)),"Terceirizada","Interna"))</f>
        <v/>
      </c>
      <c r="T645" s="40" t="str">
        <f aca="false">IF($L645="","",IF($O645="",$L645,$O645))</f>
        <v/>
      </c>
      <c r="U645" s="34" t="str">
        <f aca="false">IF($E645="","",IF(OR($M645="",$L645=""),0,IF($M645&lt;=$L645,1,0)))</f>
        <v/>
      </c>
      <c r="V645" s="34" t="str">
        <f aca="false">IF($E645="","",IF(OR($M645="",$T645=""),0,IF($M645&lt;=$T645,1,0)))</f>
        <v/>
      </c>
      <c r="W645" s="42" t="str">
        <f aca="false">IF(OR($M645="",$L645=""),"",MAX(0,$M645-$L645))</f>
        <v/>
      </c>
      <c r="X645" s="34" t="str">
        <f aca="false">IF($E645="","",IF(AND($O645&lt;&gt;"",$L645&lt;&gt;"",$O645&lt;&gt;$L645),1,0))</f>
        <v/>
      </c>
      <c r="Y645" s="34" t="str">
        <f aca="false">IF($E645="","",IF($N645="Cancelada",0,IF(OR($M645&lt;&gt;"",$N645="Concluída"),1,0)))</f>
        <v/>
      </c>
    </row>
    <row r="646" customFormat="false" ht="15" hidden="false" customHeight="true" outlineLevel="0" collapsed="false">
      <c r="A646" s="34" t="str">
        <f aca="false">IF($E646="","",COUNTA($E$5:$E646))</f>
        <v/>
      </c>
      <c r="B646" s="35"/>
      <c r="C646" s="35"/>
      <c r="D646" s="35"/>
      <c r="E646" s="35"/>
      <c r="F646" s="36"/>
      <c r="G646" s="37"/>
      <c r="H646" s="37"/>
      <c r="I646" s="37"/>
      <c r="J646" s="38"/>
      <c r="K646" s="39"/>
      <c r="L646" s="40" t="str">
        <f aca="false">IF(OR($J646="",$K646=""),"",$J646+MATCH($K646,Listas!$F$5:$F$11,0)-1)</f>
        <v/>
      </c>
      <c r="M646" s="41"/>
      <c r="N646" s="36"/>
      <c r="O646" s="41"/>
      <c r="P646" s="35"/>
      <c r="Q646" s="35"/>
      <c r="R646" s="42" t="str">
        <f aca="true">IF($E646="","",IF($N646="Cancelada","Cancelada",IF(OR($M646&lt;&gt;"",$N646="Concluída"),IF(OR($L646="",$M646="",$M646&lt;=$L646),"Concluída","Concluída com atraso"),IF($L646="","Na carteira",IF($L646&lt;TODAY(),"VENCIDA",IF($N646="Em execução","Em execução",IF($L646=TODAY(),"Hoje","Programada")))))))</f>
        <v/>
      </c>
      <c r="S646" s="34" t="str">
        <f aca="false">IF($E646="","",IF(ISNUMBER(SEARCH("(externo)",$G646&amp;$H646&amp;$I646)),"Terceirizada","Interna"))</f>
        <v/>
      </c>
      <c r="T646" s="40" t="str">
        <f aca="false">IF($L646="","",IF($O646="",$L646,$O646))</f>
        <v/>
      </c>
      <c r="U646" s="34" t="str">
        <f aca="false">IF($E646="","",IF(OR($M646="",$L646=""),0,IF($M646&lt;=$L646,1,0)))</f>
        <v/>
      </c>
      <c r="V646" s="34" t="str">
        <f aca="false">IF($E646="","",IF(OR($M646="",$T646=""),0,IF($M646&lt;=$T646,1,0)))</f>
        <v/>
      </c>
      <c r="W646" s="42" t="str">
        <f aca="false">IF(OR($M646="",$L646=""),"",MAX(0,$M646-$L646))</f>
        <v/>
      </c>
      <c r="X646" s="34" t="str">
        <f aca="false">IF($E646="","",IF(AND($O646&lt;&gt;"",$L646&lt;&gt;"",$O646&lt;&gt;$L646),1,0))</f>
        <v/>
      </c>
      <c r="Y646" s="34" t="str">
        <f aca="false">IF($E646="","",IF($N646="Cancelada",0,IF(OR($M646&lt;&gt;"",$N646="Concluída"),1,0)))</f>
        <v/>
      </c>
    </row>
    <row r="647" customFormat="false" ht="15" hidden="false" customHeight="true" outlineLevel="0" collapsed="false">
      <c r="A647" s="34" t="str">
        <f aca="false">IF($E647="","",COUNTA($E$5:$E647))</f>
        <v/>
      </c>
      <c r="B647" s="35"/>
      <c r="C647" s="35"/>
      <c r="D647" s="35"/>
      <c r="E647" s="35"/>
      <c r="F647" s="36"/>
      <c r="G647" s="37"/>
      <c r="H647" s="37"/>
      <c r="I647" s="37"/>
      <c r="J647" s="38"/>
      <c r="K647" s="39"/>
      <c r="L647" s="40" t="str">
        <f aca="false">IF(OR($J647="",$K647=""),"",$J647+MATCH($K647,Listas!$F$5:$F$11,0)-1)</f>
        <v/>
      </c>
      <c r="M647" s="41"/>
      <c r="N647" s="36"/>
      <c r="O647" s="41"/>
      <c r="P647" s="35"/>
      <c r="Q647" s="35"/>
      <c r="R647" s="42" t="str">
        <f aca="true">IF($E647="","",IF($N647="Cancelada","Cancelada",IF(OR($M647&lt;&gt;"",$N647="Concluída"),IF(OR($L647="",$M647="",$M647&lt;=$L647),"Concluída","Concluída com atraso"),IF($L647="","Na carteira",IF($L647&lt;TODAY(),"VENCIDA",IF($N647="Em execução","Em execução",IF($L647=TODAY(),"Hoje","Programada")))))))</f>
        <v/>
      </c>
      <c r="S647" s="34" t="str">
        <f aca="false">IF($E647="","",IF(ISNUMBER(SEARCH("(externo)",$G647&amp;$H647&amp;$I647)),"Terceirizada","Interna"))</f>
        <v/>
      </c>
      <c r="T647" s="40" t="str">
        <f aca="false">IF($L647="","",IF($O647="",$L647,$O647))</f>
        <v/>
      </c>
      <c r="U647" s="34" t="str">
        <f aca="false">IF($E647="","",IF(OR($M647="",$L647=""),0,IF($M647&lt;=$L647,1,0)))</f>
        <v/>
      </c>
      <c r="V647" s="34" t="str">
        <f aca="false">IF($E647="","",IF(OR($M647="",$T647=""),0,IF($M647&lt;=$T647,1,0)))</f>
        <v/>
      </c>
      <c r="W647" s="42" t="str">
        <f aca="false">IF(OR($M647="",$L647=""),"",MAX(0,$M647-$L647))</f>
        <v/>
      </c>
      <c r="X647" s="34" t="str">
        <f aca="false">IF($E647="","",IF(AND($O647&lt;&gt;"",$L647&lt;&gt;"",$O647&lt;&gt;$L647),1,0))</f>
        <v/>
      </c>
      <c r="Y647" s="34" t="str">
        <f aca="false">IF($E647="","",IF($N647="Cancelada",0,IF(OR($M647&lt;&gt;"",$N647="Concluída"),1,0)))</f>
        <v/>
      </c>
    </row>
    <row r="648" customFormat="false" ht="15" hidden="false" customHeight="true" outlineLevel="0" collapsed="false">
      <c r="A648" s="34" t="str">
        <f aca="false">IF($E648="","",COUNTA($E$5:$E648))</f>
        <v/>
      </c>
      <c r="B648" s="35"/>
      <c r="C648" s="35"/>
      <c r="D648" s="35"/>
      <c r="E648" s="35"/>
      <c r="F648" s="36"/>
      <c r="G648" s="37"/>
      <c r="H648" s="37"/>
      <c r="I648" s="37"/>
      <c r="J648" s="38"/>
      <c r="K648" s="39"/>
      <c r="L648" s="40" t="str">
        <f aca="false">IF(OR($J648="",$K648=""),"",$J648+MATCH($K648,Listas!$F$5:$F$11,0)-1)</f>
        <v/>
      </c>
      <c r="M648" s="41"/>
      <c r="N648" s="36"/>
      <c r="O648" s="41"/>
      <c r="P648" s="35"/>
      <c r="Q648" s="35"/>
      <c r="R648" s="42" t="str">
        <f aca="true">IF($E648="","",IF($N648="Cancelada","Cancelada",IF(OR($M648&lt;&gt;"",$N648="Concluída"),IF(OR($L648="",$M648="",$M648&lt;=$L648),"Concluída","Concluída com atraso"),IF($L648="","Na carteira",IF($L648&lt;TODAY(),"VENCIDA",IF($N648="Em execução","Em execução",IF($L648=TODAY(),"Hoje","Programada")))))))</f>
        <v/>
      </c>
      <c r="S648" s="34" t="str">
        <f aca="false">IF($E648="","",IF(ISNUMBER(SEARCH("(externo)",$G648&amp;$H648&amp;$I648)),"Terceirizada","Interna"))</f>
        <v/>
      </c>
      <c r="T648" s="40" t="str">
        <f aca="false">IF($L648="","",IF($O648="",$L648,$O648))</f>
        <v/>
      </c>
      <c r="U648" s="34" t="str">
        <f aca="false">IF($E648="","",IF(OR($M648="",$L648=""),0,IF($M648&lt;=$L648,1,0)))</f>
        <v/>
      </c>
      <c r="V648" s="34" t="str">
        <f aca="false">IF($E648="","",IF(OR($M648="",$T648=""),0,IF($M648&lt;=$T648,1,0)))</f>
        <v/>
      </c>
      <c r="W648" s="42" t="str">
        <f aca="false">IF(OR($M648="",$L648=""),"",MAX(0,$M648-$L648))</f>
        <v/>
      </c>
      <c r="X648" s="34" t="str">
        <f aca="false">IF($E648="","",IF(AND($O648&lt;&gt;"",$L648&lt;&gt;"",$O648&lt;&gt;$L648),1,0))</f>
        <v/>
      </c>
      <c r="Y648" s="34" t="str">
        <f aca="false">IF($E648="","",IF($N648="Cancelada",0,IF(OR($M648&lt;&gt;"",$N648="Concluída"),1,0)))</f>
        <v/>
      </c>
    </row>
    <row r="649" customFormat="false" ht="15" hidden="false" customHeight="true" outlineLevel="0" collapsed="false">
      <c r="A649" s="34" t="str">
        <f aca="false">IF($E649="","",COUNTA($E$5:$E649))</f>
        <v/>
      </c>
      <c r="B649" s="35"/>
      <c r="C649" s="35"/>
      <c r="D649" s="35"/>
      <c r="E649" s="35"/>
      <c r="F649" s="36"/>
      <c r="G649" s="37"/>
      <c r="H649" s="37"/>
      <c r="I649" s="37"/>
      <c r="J649" s="38"/>
      <c r="K649" s="39"/>
      <c r="L649" s="40" t="str">
        <f aca="false">IF(OR($J649="",$K649=""),"",$J649+MATCH($K649,Listas!$F$5:$F$11,0)-1)</f>
        <v/>
      </c>
      <c r="M649" s="41"/>
      <c r="N649" s="36"/>
      <c r="O649" s="41"/>
      <c r="P649" s="35"/>
      <c r="Q649" s="35"/>
      <c r="R649" s="42" t="str">
        <f aca="true">IF($E649="","",IF($N649="Cancelada","Cancelada",IF(OR($M649&lt;&gt;"",$N649="Concluída"),IF(OR($L649="",$M649="",$M649&lt;=$L649),"Concluída","Concluída com atraso"),IF($L649="","Na carteira",IF($L649&lt;TODAY(),"VENCIDA",IF($N649="Em execução","Em execução",IF($L649=TODAY(),"Hoje","Programada")))))))</f>
        <v/>
      </c>
      <c r="S649" s="34" t="str">
        <f aca="false">IF($E649="","",IF(ISNUMBER(SEARCH("(externo)",$G649&amp;$H649&amp;$I649)),"Terceirizada","Interna"))</f>
        <v/>
      </c>
      <c r="T649" s="40" t="str">
        <f aca="false">IF($L649="","",IF($O649="",$L649,$O649))</f>
        <v/>
      </c>
      <c r="U649" s="34" t="str">
        <f aca="false">IF($E649="","",IF(OR($M649="",$L649=""),0,IF($M649&lt;=$L649,1,0)))</f>
        <v/>
      </c>
      <c r="V649" s="34" t="str">
        <f aca="false">IF($E649="","",IF(OR($M649="",$T649=""),0,IF($M649&lt;=$T649,1,0)))</f>
        <v/>
      </c>
      <c r="W649" s="42" t="str">
        <f aca="false">IF(OR($M649="",$L649=""),"",MAX(0,$M649-$L649))</f>
        <v/>
      </c>
      <c r="X649" s="34" t="str">
        <f aca="false">IF($E649="","",IF(AND($O649&lt;&gt;"",$L649&lt;&gt;"",$O649&lt;&gt;$L649),1,0))</f>
        <v/>
      </c>
      <c r="Y649" s="34" t="str">
        <f aca="false">IF($E649="","",IF($N649="Cancelada",0,IF(OR($M649&lt;&gt;"",$N649="Concluída"),1,0)))</f>
        <v/>
      </c>
    </row>
    <row r="650" customFormat="false" ht="15" hidden="false" customHeight="true" outlineLevel="0" collapsed="false">
      <c r="A650" s="34" t="str">
        <f aca="false">IF($E650="","",COUNTA($E$5:$E650))</f>
        <v/>
      </c>
      <c r="B650" s="35"/>
      <c r="C650" s="35"/>
      <c r="D650" s="35"/>
      <c r="E650" s="35"/>
      <c r="F650" s="36"/>
      <c r="G650" s="37"/>
      <c r="H650" s="37"/>
      <c r="I650" s="37"/>
      <c r="J650" s="38"/>
      <c r="K650" s="39"/>
      <c r="L650" s="40" t="str">
        <f aca="false">IF(OR($J650="",$K650=""),"",$J650+MATCH($K650,Listas!$F$5:$F$11,0)-1)</f>
        <v/>
      </c>
      <c r="M650" s="41"/>
      <c r="N650" s="36"/>
      <c r="O650" s="41"/>
      <c r="P650" s="35"/>
      <c r="Q650" s="35"/>
      <c r="R650" s="42" t="str">
        <f aca="true">IF($E650="","",IF($N650="Cancelada","Cancelada",IF(OR($M650&lt;&gt;"",$N650="Concluída"),IF(OR($L650="",$M650="",$M650&lt;=$L650),"Concluída","Concluída com atraso"),IF($L650="","Na carteira",IF($L650&lt;TODAY(),"VENCIDA",IF($N650="Em execução","Em execução",IF($L650=TODAY(),"Hoje","Programada")))))))</f>
        <v/>
      </c>
      <c r="S650" s="34" t="str">
        <f aca="false">IF($E650="","",IF(ISNUMBER(SEARCH("(externo)",$G650&amp;$H650&amp;$I650)),"Terceirizada","Interna"))</f>
        <v/>
      </c>
      <c r="T650" s="40" t="str">
        <f aca="false">IF($L650="","",IF($O650="",$L650,$O650))</f>
        <v/>
      </c>
      <c r="U650" s="34" t="str">
        <f aca="false">IF($E650="","",IF(OR($M650="",$L650=""),0,IF($M650&lt;=$L650,1,0)))</f>
        <v/>
      </c>
      <c r="V650" s="34" t="str">
        <f aca="false">IF($E650="","",IF(OR($M650="",$T650=""),0,IF($M650&lt;=$T650,1,0)))</f>
        <v/>
      </c>
      <c r="W650" s="42" t="str">
        <f aca="false">IF(OR($M650="",$L650=""),"",MAX(0,$M650-$L650))</f>
        <v/>
      </c>
      <c r="X650" s="34" t="str">
        <f aca="false">IF($E650="","",IF(AND($O650&lt;&gt;"",$L650&lt;&gt;"",$O650&lt;&gt;$L650),1,0))</f>
        <v/>
      </c>
      <c r="Y650" s="34" t="str">
        <f aca="false">IF($E650="","",IF($N650="Cancelada",0,IF(OR($M650&lt;&gt;"",$N650="Concluída"),1,0)))</f>
        <v/>
      </c>
    </row>
    <row r="651" customFormat="false" ht="15" hidden="false" customHeight="true" outlineLevel="0" collapsed="false">
      <c r="A651" s="34" t="str">
        <f aca="false">IF($E651="","",COUNTA($E$5:$E651))</f>
        <v/>
      </c>
      <c r="B651" s="35"/>
      <c r="C651" s="35"/>
      <c r="D651" s="35"/>
      <c r="E651" s="35"/>
      <c r="F651" s="36"/>
      <c r="G651" s="37"/>
      <c r="H651" s="37"/>
      <c r="I651" s="37"/>
      <c r="J651" s="38"/>
      <c r="K651" s="39"/>
      <c r="L651" s="40" t="str">
        <f aca="false">IF(OR($J651="",$K651=""),"",$J651+MATCH($K651,Listas!$F$5:$F$11,0)-1)</f>
        <v/>
      </c>
      <c r="M651" s="41"/>
      <c r="N651" s="36"/>
      <c r="O651" s="41"/>
      <c r="P651" s="35"/>
      <c r="Q651" s="35"/>
      <c r="R651" s="42" t="str">
        <f aca="true">IF($E651="","",IF($N651="Cancelada","Cancelada",IF(OR($M651&lt;&gt;"",$N651="Concluída"),IF(OR($L651="",$M651="",$M651&lt;=$L651),"Concluída","Concluída com atraso"),IF($L651="","Na carteira",IF($L651&lt;TODAY(),"VENCIDA",IF($N651="Em execução","Em execução",IF($L651=TODAY(),"Hoje","Programada")))))))</f>
        <v/>
      </c>
      <c r="S651" s="34" t="str">
        <f aca="false">IF($E651="","",IF(ISNUMBER(SEARCH("(externo)",$G651&amp;$H651&amp;$I651)),"Terceirizada","Interna"))</f>
        <v/>
      </c>
      <c r="T651" s="40" t="str">
        <f aca="false">IF($L651="","",IF($O651="",$L651,$O651))</f>
        <v/>
      </c>
      <c r="U651" s="34" t="str">
        <f aca="false">IF($E651="","",IF(OR($M651="",$L651=""),0,IF($M651&lt;=$L651,1,0)))</f>
        <v/>
      </c>
      <c r="V651" s="34" t="str">
        <f aca="false">IF($E651="","",IF(OR($M651="",$T651=""),0,IF($M651&lt;=$T651,1,0)))</f>
        <v/>
      </c>
      <c r="W651" s="42" t="str">
        <f aca="false">IF(OR($M651="",$L651=""),"",MAX(0,$M651-$L651))</f>
        <v/>
      </c>
      <c r="X651" s="34" t="str">
        <f aca="false">IF($E651="","",IF(AND($O651&lt;&gt;"",$L651&lt;&gt;"",$O651&lt;&gt;$L651),1,0))</f>
        <v/>
      </c>
      <c r="Y651" s="34" t="str">
        <f aca="false">IF($E651="","",IF($N651="Cancelada",0,IF(OR($M651&lt;&gt;"",$N651="Concluída"),1,0)))</f>
        <v/>
      </c>
    </row>
    <row r="652" customFormat="false" ht="15" hidden="false" customHeight="true" outlineLevel="0" collapsed="false">
      <c r="A652" s="34" t="str">
        <f aca="false">IF($E652="","",COUNTA($E$5:$E652))</f>
        <v/>
      </c>
      <c r="B652" s="35"/>
      <c r="C652" s="35"/>
      <c r="D652" s="35"/>
      <c r="E652" s="35"/>
      <c r="F652" s="36"/>
      <c r="G652" s="37"/>
      <c r="H652" s="37"/>
      <c r="I652" s="37"/>
      <c r="J652" s="38"/>
      <c r="K652" s="39"/>
      <c r="L652" s="40" t="str">
        <f aca="false">IF(OR($J652="",$K652=""),"",$J652+MATCH($K652,Listas!$F$5:$F$11,0)-1)</f>
        <v/>
      </c>
      <c r="M652" s="41"/>
      <c r="N652" s="36"/>
      <c r="O652" s="41"/>
      <c r="P652" s="35"/>
      <c r="Q652" s="35"/>
      <c r="R652" s="42" t="str">
        <f aca="true">IF($E652="","",IF($N652="Cancelada","Cancelada",IF(OR($M652&lt;&gt;"",$N652="Concluída"),IF(OR($L652="",$M652="",$M652&lt;=$L652),"Concluída","Concluída com atraso"),IF($L652="","Na carteira",IF($L652&lt;TODAY(),"VENCIDA",IF($N652="Em execução","Em execução",IF($L652=TODAY(),"Hoje","Programada")))))))</f>
        <v/>
      </c>
      <c r="S652" s="34" t="str">
        <f aca="false">IF($E652="","",IF(ISNUMBER(SEARCH("(externo)",$G652&amp;$H652&amp;$I652)),"Terceirizada","Interna"))</f>
        <v/>
      </c>
      <c r="T652" s="40" t="str">
        <f aca="false">IF($L652="","",IF($O652="",$L652,$O652))</f>
        <v/>
      </c>
      <c r="U652" s="34" t="str">
        <f aca="false">IF($E652="","",IF(OR($M652="",$L652=""),0,IF($M652&lt;=$L652,1,0)))</f>
        <v/>
      </c>
      <c r="V652" s="34" t="str">
        <f aca="false">IF($E652="","",IF(OR($M652="",$T652=""),0,IF($M652&lt;=$T652,1,0)))</f>
        <v/>
      </c>
      <c r="W652" s="42" t="str">
        <f aca="false">IF(OR($M652="",$L652=""),"",MAX(0,$M652-$L652))</f>
        <v/>
      </c>
      <c r="X652" s="34" t="str">
        <f aca="false">IF($E652="","",IF(AND($O652&lt;&gt;"",$L652&lt;&gt;"",$O652&lt;&gt;$L652),1,0))</f>
        <v/>
      </c>
      <c r="Y652" s="34" t="str">
        <f aca="false">IF($E652="","",IF($N652="Cancelada",0,IF(OR($M652&lt;&gt;"",$N652="Concluída"),1,0)))</f>
        <v/>
      </c>
    </row>
    <row r="653" customFormat="false" ht="15" hidden="false" customHeight="true" outlineLevel="0" collapsed="false">
      <c r="A653" s="34" t="str">
        <f aca="false">IF($E653="","",COUNTA($E$5:$E653))</f>
        <v/>
      </c>
      <c r="B653" s="35"/>
      <c r="C653" s="35"/>
      <c r="D653" s="35"/>
      <c r="E653" s="35"/>
      <c r="F653" s="36"/>
      <c r="G653" s="37"/>
      <c r="H653" s="37"/>
      <c r="I653" s="37"/>
      <c r="J653" s="38"/>
      <c r="K653" s="39"/>
      <c r="L653" s="40" t="str">
        <f aca="false">IF(OR($J653="",$K653=""),"",$J653+MATCH($K653,Listas!$F$5:$F$11,0)-1)</f>
        <v/>
      </c>
      <c r="M653" s="41"/>
      <c r="N653" s="36"/>
      <c r="O653" s="41"/>
      <c r="P653" s="35"/>
      <c r="Q653" s="35"/>
      <c r="R653" s="42" t="str">
        <f aca="true">IF($E653="","",IF($N653="Cancelada","Cancelada",IF(OR($M653&lt;&gt;"",$N653="Concluída"),IF(OR($L653="",$M653="",$M653&lt;=$L653),"Concluída","Concluída com atraso"),IF($L653="","Na carteira",IF($L653&lt;TODAY(),"VENCIDA",IF($N653="Em execução","Em execução",IF($L653=TODAY(),"Hoje","Programada")))))))</f>
        <v/>
      </c>
      <c r="S653" s="34" t="str">
        <f aca="false">IF($E653="","",IF(ISNUMBER(SEARCH("(externo)",$G653&amp;$H653&amp;$I653)),"Terceirizada","Interna"))</f>
        <v/>
      </c>
      <c r="T653" s="40" t="str">
        <f aca="false">IF($L653="","",IF($O653="",$L653,$O653))</f>
        <v/>
      </c>
      <c r="U653" s="34" t="str">
        <f aca="false">IF($E653="","",IF(OR($M653="",$L653=""),0,IF($M653&lt;=$L653,1,0)))</f>
        <v/>
      </c>
      <c r="V653" s="34" t="str">
        <f aca="false">IF($E653="","",IF(OR($M653="",$T653=""),0,IF($M653&lt;=$T653,1,0)))</f>
        <v/>
      </c>
      <c r="W653" s="42" t="str">
        <f aca="false">IF(OR($M653="",$L653=""),"",MAX(0,$M653-$L653))</f>
        <v/>
      </c>
      <c r="X653" s="34" t="str">
        <f aca="false">IF($E653="","",IF(AND($O653&lt;&gt;"",$L653&lt;&gt;"",$O653&lt;&gt;$L653),1,0))</f>
        <v/>
      </c>
      <c r="Y653" s="34" t="str">
        <f aca="false">IF($E653="","",IF($N653="Cancelada",0,IF(OR($M653&lt;&gt;"",$N653="Concluída"),1,0)))</f>
        <v/>
      </c>
    </row>
    <row r="654" customFormat="false" ht="15" hidden="false" customHeight="true" outlineLevel="0" collapsed="false">
      <c r="A654" s="34" t="str">
        <f aca="false">IF($E654="","",COUNTA($E$5:$E654))</f>
        <v/>
      </c>
      <c r="B654" s="35"/>
      <c r="C654" s="35"/>
      <c r="D654" s="35"/>
      <c r="E654" s="35"/>
      <c r="F654" s="36"/>
      <c r="G654" s="37"/>
      <c r="H654" s="37"/>
      <c r="I654" s="37"/>
      <c r="J654" s="38"/>
      <c r="K654" s="39"/>
      <c r="L654" s="40" t="str">
        <f aca="false">IF(OR($J654="",$K654=""),"",$J654+MATCH($K654,Listas!$F$5:$F$11,0)-1)</f>
        <v/>
      </c>
      <c r="M654" s="41"/>
      <c r="N654" s="36"/>
      <c r="O654" s="41"/>
      <c r="P654" s="35"/>
      <c r="Q654" s="35"/>
      <c r="R654" s="42" t="str">
        <f aca="true">IF($E654="","",IF($N654="Cancelada","Cancelada",IF(OR($M654&lt;&gt;"",$N654="Concluída"),IF(OR($L654="",$M654="",$M654&lt;=$L654),"Concluída","Concluída com atraso"),IF($L654="","Na carteira",IF($L654&lt;TODAY(),"VENCIDA",IF($N654="Em execução","Em execução",IF($L654=TODAY(),"Hoje","Programada")))))))</f>
        <v/>
      </c>
      <c r="S654" s="34" t="str">
        <f aca="false">IF($E654="","",IF(ISNUMBER(SEARCH("(externo)",$G654&amp;$H654&amp;$I654)),"Terceirizada","Interna"))</f>
        <v/>
      </c>
      <c r="T654" s="40" t="str">
        <f aca="false">IF($L654="","",IF($O654="",$L654,$O654))</f>
        <v/>
      </c>
      <c r="U654" s="34" t="str">
        <f aca="false">IF($E654="","",IF(OR($M654="",$L654=""),0,IF($M654&lt;=$L654,1,0)))</f>
        <v/>
      </c>
      <c r="V654" s="34" t="str">
        <f aca="false">IF($E654="","",IF(OR($M654="",$T654=""),0,IF($M654&lt;=$T654,1,0)))</f>
        <v/>
      </c>
      <c r="W654" s="42" t="str">
        <f aca="false">IF(OR($M654="",$L654=""),"",MAX(0,$M654-$L654))</f>
        <v/>
      </c>
      <c r="X654" s="34" t="str">
        <f aca="false">IF($E654="","",IF(AND($O654&lt;&gt;"",$L654&lt;&gt;"",$O654&lt;&gt;$L654),1,0))</f>
        <v/>
      </c>
      <c r="Y654" s="34" t="str">
        <f aca="false">IF($E654="","",IF($N654="Cancelada",0,IF(OR($M654&lt;&gt;"",$N654="Concluída"),1,0)))</f>
        <v/>
      </c>
    </row>
    <row r="655" customFormat="false" ht="15" hidden="false" customHeight="true" outlineLevel="0" collapsed="false">
      <c r="A655" s="34" t="str">
        <f aca="false">IF($E655="","",COUNTA($E$5:$E655))</f>
        <v/>
      </c>
      <c r="B655" s="35"/>
      <c r="C655" s="35"/>
      <c r="D655" s="35"/>
      <c r="E655" s="35"/>
      <c r="F655" s="36"/>
      <c r="G655" s="37"/>
      <c r="H655" s="37"/>
      <c r="I655" s="37"/>
      <c r="J655" s="38"/>
      <c r="K655" s="39"/>
      <c r="L655" s="40" t="str">
        <f aca="false">IF(OR($J655="",$K655=""),"",$J655+MATCH($K655,Listas!$F$5:$F$11,0)-1)</f>
        <v/>
      </c>
      <c r="M655" s="41"/>
      <c r="N655" s="36"/>
      <c r="O655" s="41"/>
      <c r="P655" s="35"/>
      <c r="Q655" s="35"/>
      <c r="R655" s="42" t="str">
        <f aca="true">IF($E655="","",IF($N655="Cancelada","Cancelada",IF(OR($M655&lt;&gt;"",$N655="Concluída"),IF(OR($L655="",$M655="",$M655&lt;=$L655),"Concluída","Concluída com atraso"),IF($L655="","Na carteira",IF($L655&lt;TODAY(),"VENCIDA",IF($N655="Em execução","Em execução",IF($L655=TODAY(),"Hoje","Programada")))))))</f>
        <v/>
      </c>
      <c r="S655" s="34" t="str">
        <f aca="false">IF($E655="","",IF(ISNUMBER(SEARCH("(externo)",$G655&amp;$H655&amp;$I655)),"Terceirizada","Interna"))</f>
        <v/>
      </c>
      <c r="T655" s="40" t="str">
        <f aca="false">IF($L655="","",IF($O655="",$L655,$O655))</f>
        <v/>
      </c>
      <c r="U655" s="34" t="str">
        <f aca="false">IF($E655="","",IF(OR($M655="",$L655=""),0,IF($M655&lt;=$L655,1,0)))</f>
        <v/>
      </c>
      <c r="V655" s="34" t="str">
        <f aca="false">IF($E655="","",IF(OR($M655="",$T655=""),0,IF($M655&lt;=$T655,1,0)))</f>
        <v/>
      </c>
      <c r="W655" s="42" t="str">
        <f aca="false">IF(OR($M655="",$L655=""),"",MAX(0,$M655-$L655))</f>
        <v/>
      </c>
      <c r="X655" s="34" t="str">
        <f aca="false">IF($E655="","",IF(AND($O655&lt;&gt;"",$L655&lt;&gt;"",$O655&lt;&gt;$L655),1,0))</f>
        <v/>
      </c>
      <c r="Y655" s="34" t="str">
        <f aca="false">IF($E655="","",IF($N655="Cancelada",0,IF(OR($M655&lt;&gt;"",$N655="Concluída"),1,0)))</f>
        <v/>
      </c>
    </row>
    <row r="656" customFormat="false" ht="15" hidden="false" customHeight="true" outlineLevel="0" collapsed="false">
      <c r="A656" s="34" t="str">
        <f aca="false">IF($E656="","",COUNTA($E$5:$E656))</f>
        <v/>
      </c>
      <c r="B656" s="35"/>
      <c r="C656" s="35"/>
      <c r="D656" s="35"/>
      <c r="E656" s="35"/>
      <c r="F656" s="36"/>
      <c r="G656" s="37"/>
      <c r="H656" s="37"/>
      <c r="I656" s="37"/>
      <c r="J656" s="38"/>
      <c r="K656" s="39"/>
      <c r="L656" s="40" t="str">
        <f aca="false">IF(OR($J656="",$K656=""),"",$J656+MATCH($K656,Listas!$F$5:$F$11,0)-1)</f>
        <v/>
      </c>
      <c r="M656" s="41"/>
      <c r="N656" s="36"/>
      <c r="O656" s="41"/>
      <c r="P656" s="35"/>
      <c r="Q656" s="35"/>
      <c r="R656" s="42" t="str">
        <f aca="true">IF($E656="","",IF($N656="Cancelada","Cancelada",IF(OR($M656&lt;&gt;"",$N656="Concluída"),IF(OR($L656="",$M656="",$M656&lt;=$L656),"Concluída","Concluída com atraso"),IF($L656="","Na carteira",IF($L656&lt;TODAY(),"VENCIDA",IF($N656="Em execução","Em execução",IF($L656=TODAY(),"Hoje","Programada")))))))</f>
        <v/>
      </c>
      <c r="S656" s="34" t="str">
        <f aca="false">IF($E656="","",IF(ISNUMBER(SEARCH("(externo)",$G656&amp;$H656&amp;$I656)),"Terceirizada","Interna"))</f>
        <v/>
      </c>
      <c r="T656" s="40" t="str">
        <f aca="false">IF($L656="","",IF($O656="",$L656,$O656))</f>
        <v/>
      </c>
      <c r="U656" s="34" t="str">
        <f aca="false">IF($E656="","",IF(OR($M656="",$L656=""),0,IF($M656&lt;=$L656,1,0)))</f>
        <v/>
      </c>
      <c r="V656" s="34" t="str">
        <f aca="false">IF($E656="","",IF(OR($M656="",$T656=""),0,IF($M656&lt;=$T656,1,0)))</f>
        <v/>
      </c>
      <c r="W656" s="42" t="str">
        <f aca="false">IF(OR($M656="",$L656=""),"",MAX(0,$M656-$L656))</f>
        <v/>
      </c>
      <c r="X656" s="34" t="str">
        <f aca="false">IF($E656="","",IF(AND($O656&lt;&gt;"",$L656&lt;&gt;"",$O656&lt;&gt;$L656),1,0))</f>
        <v/>
      </c>
      <c r="Y656" s="34" t="str">
        <f aca="false">IF($E656="","",IF($N656="Cancelada",0,IF(OR($M656&lt;&gt;"",$N656="Concluída"),1,0)))</f>
        <v/>
      </c>
    </row>
    <row r="657" customFormat="false" ht="15" hidden="false" customHeight="true" outlineLevel="0" collapsed="false">
      <c r="A657" s="34" t="str">
        <f aca="false">IF($E657="","",COUNTA($E$5:$E657))</f>
        <v/>
      </c>
      <c r="B657" s="35"/>
      <c r="C657" s="35"/>
      <c r="D657" s="35"/>
      <c r="E657" s="35"/>
      <c r="F657" s="36"/>
      <c r="G657" s="37"/>
      <c r="H657" s="37"/>
      <c r="I657" s="37"/>
      <c r="J657" s="38"/>
      <c r="K657" s="39"/>
      <c r="L657" s="40" t="str">
        <f aca="false">IF(OR($J657="",$K657=""),"",$J657+MATCH($K657,Listas!$F$5:$F$11,0)-1)</f>
        <v/>
      </c>
      <c r="M657" s="41"/>
      <c r="N657" s="36"/>
      <c r="O657" s="41"/>
      <c r="P657" s="35"/>
      <c r="Q657" s="35"/>
      <c r="R657" s="42" t="str">
        <f aca="true">IF($E657="","",IF($N657="Cancelada","Cancelada",IF(OR($M657&lt;&gt;"",$N657="Concluída"),IF(OR($L657="",$M657="",$M657&lt;=$L657),"Concluída","Concluída com atraso"),IF($L657="","Na carteira",IF($L657&lt;TODAY(),"VENCIDA",IF($N657="Em execução","Em execução",IF($L657=TODAY(),"Hoje","Programada")))))))</f>
        <v/>
      </c>
      <c r="S657" s="34" t="str">
        <f aca="false">IF($E657="","",IF(ISNUMBER(SEARCH("(externo)",$G657&amp;$H657&amp;$I657)),"Terceirizada","Interna"))</f>
        <v/>
      </c>
      <c r="T657" s="40" t="str">
        <f aca="false">IF($L657="","",IF($O657="",$L657,$O657))</f>
        <v/>
      </c>
      <c r="U657" s="34" t="str">
        <f aca="false">IF($E657="","",IF(OR($M657="",$L657=""),0,IF($M657&lt;=$L657,1,0)))</f>
        <v/>
      </c>
      <c r="V657" s="34" t="str">
        <f aca="false">IF($E657="","",IF(OR($M657="",$T657=""),0,IF($M657&lt;=$T657,1,0)))</f>
        <v/>
      </c>
      <c r="W657" s="42" t="str">
        <f aca="false">IF(OR($M657="",$L657=""),"",MAX(0,$M657-$L657))</f>
        <v/>
      </c>
      <c r="X657" s="34" t="str">
        <f aca="false">IF($E657="","",IF(AND($O657&lt;&gt;"",$L657&lt;&gt;"",$O657&lt;&gt;$L657),1,0))</f>
        <v/>
      </c>
      <c r="Y657" s="34" t="str">
        <f aca="false">IF($E657="","",IF($N657="Cancelada",0,IF(OR($M657&lt;&gt;"",$N657="Concluída"),1,0)))</f>
        <v/>
      </c>
    </row>
    <row r="658" customFormat="false" ht="15" hidden="false" customHeight="true" outlineLevel="0" collapsed="false">
      <c r="A658" s="34" t="str">
        <f aca="false">IF($E658="","",COUNTA($E$5:$E658))</f>
        <v/>
      </c>
      <c r="B658" s="35"/>
      <c r="C658" s="35"/>
      <c r="D658" s="35"/>
      <c r="E658" s="35"/>
      <c r="F658" s="36"/>
      <c r="G658" s="37"/>
      <c r="H658" s="37"/>
      <c r="I658" s="37"/>
      <c r="J658" s="38"/>
      <c r="K658" s="39"/>
      <c r="L658" s="40" t="str">
        <f aca="false">IF(OR($J658="",$K658=""),"",$J658+MATCH($K658,Listas!$F$5:$F$11,0)-1)</f>
        <v/>
      </c>
      <c r="M658" s="41"/>
      <c r="N658" s="36"/>
      <c r="O658" s="41"/>
      <c r="P658" s="35"/>
      <c r="Q658" s="35"/>
      <c r="R658" s="42" t="str">
        <f aca="true">IF($E658="","",IF($N658="Cancelada","Cancelada",IF(OR($M658&lt;&gt;"",$N658="Concluída"),IF(OR($L658="",$M658="",$M658&lt;=$L658),"Concluída","Concluída com atraso"),IF($L658="","Na carteira",IF($L658&lt;TODAY(),"VENCIDA",IF($N658="Em execução","Em execução",IF($L658=TODAY(),"Hoje","Programada")))))))</f>
        <v/>
      </c>
      <c r="S658" s="34" t="str">
        <f aca="false">IF($E658="","",IF(ISNUMBER(SEARCH("(externo)",$G658&amp;$H658&amp;$I658)),"Terceirizada","Interna"))</f>
        <v/>
      </c>
      <c r="T658" s="40" t="str">
        <f aca="false">IF($L658="","",IF($O658="",$L658,$O658))</f>
        <v/>
      </c>
      <c r="U658" s="34" t="str">
        <f aca="false">IF($E658="","",IF(OR($M658="",$L658=""),0,IF($M658&lt;=$L658,1,0)))</f>
        <v/>
      </c>
      <c r="V658" s="34" t="str">
        <f aca="false">IF($E658="","",IF(OR($M658="",$T658=""),0,IF($M658&lt;=$T658,1,0)))</f>
        <v/>
      </c>
      <c r="W658" s="42" t="str">
        <f aca="false">IF(OR($M658="",$L658=""),"",MAX(0,$M658-$L658))</f>
        <v/>
      </c>
      <c r="X658" s="34" t="str">
        <f aca="false">IF($E658="","",IF(AND($O658&lt;&gt;"",$L658&lt;&gt;"",$O658&lt;&gt;$L658),1,0))</f>
        <v/>
      </c>
      <c r="Y658" s="34" t="str">
        <f aca="false">IF($E658="","",IF($N658="Cancelada",0,IF(OR($M658&lt;&gt;"",$N658="Concluída"),1,0)))</f>
        <v/>
      </c>
    </row>
    <row r="659" customFormat="false" ht="15" hidden="false" customHeight="true" outlineLevel="0" collapsed="false">
      <c r="A659" s="34" t="str">
        <f aca="false">IF($E659="","",COUNTA($E$5:$E659))</f>
        <v/>
      </c>
      <c r="B659" s="35"/>
      <c r="C659" s="35"/>
      <c r="D659" s="35"/>
      <c r="E659" s="35"/>
      <c r="F659" s="36"/>
      <c r="G659" s="37"/>
      <c r="H659" s="37"/>
      <c r="I659" s="37"/>
      <c r="J659" s="38"/>
      <c r="K659" s="39"/>
      <c r="L659" s="40" t="str">
        <f aca="false">IF(OR($J659="",$K659=""),"",$J659+MATCH($K659,Listas!$F$5:$F$11,0)-1)</f>
        <v/>
      </c>
      <c r="M659" s="41"/>
      <c r="N659" s="36"/>
      <c r="O659" s="41"/>
      <c r="P659" s="35"/>
      <c r="Q659" s="35"/>
      <c r="R659" s="42" t="str">
        <f aca="true">IF($E659="","",IF($N659="Cancelada","Cancelada",IF(OR($M659&lt;&gt;"",$N659="Concluída"),IF(OR($L659="",$M659="",$M659&lt;=$L659),"Concluída","Concluída com atraso"),IF($L659="","Na carteira",IF($L659&lt;TODAY(),"VENCIDA",IF($N659="Em execução","Em execução",IF($L659=TODAY(),"Hoje","Programada")))))))</f>
        <v/>
      </c>
      <c r="S659" s="34" t="str">
        <f aca="false">IF($E659="","",IF(ISNUMBER(SEARCH("(externo)",$G659&amp;$H659&amp;$I659)),"Terceirizada","Interna"))</f>
        <v/>
      </c>
      <c r="T659" s="40" t="str">
        <f aca="false">IF($L659="","",IF($O659="",$L659,$O659))</f>
        <v/>
      </c>
      <c r="U659" s="34" t="str">
        <f aca="false">IF($E659="","",IF(OR($M659="",$L659=""),0,IF($M659&lt;=$L659,1,0)))</f>
        <v/>
      </c>
      <c r="V659" s="34" t="str">
        <f aca="false">IF($E659="","",IF(OR($M659="",$T659=""),0,IF($M659&lt;=$T659,1,0)))</f>
        <v/>
      </c>
      <c r="W659" s="42" t="str">
        <f aca="false">IF(OR($M659="",$L659=""),"",MAX(0,$M659-$L659))</f>
        <v/>
      </c>
      <c r="X659" s="34" t="str">
        <f aca="false">IF($E659="","",IF(AND($O659&lt;&gt;"",$L659&lt;&gt;"",$O659&lt;&gt;$L659),1,0))</f>
        <v/>
      </c>
      <c r="Y659" s="34" t="str">
        <f aca="false">IF($E659="","",IF($N659="Cancelada",0,IF(OR($M659&lt;&gt;"",$N659="Concluída"),1,0)))</f>
        <v/>
      </c>
    </row>
    <row r="660" customFormat="false" ht="15" hidden="false" customHeight="true" outlineLevel="0" collapsed="false">
      <c r="A660" s="34" t="str">
        <f aca="false">IF($E660="","",COUNTA($E$5:$E660))</f>
        <v/>
      </c>
      <c r="B660" s="35"/>
      <c r="C660" s="35"/>
      <c r="D660" s="35"/>
      <c r="E660" s="35"/>
      <c r="F660" s="36"/>
      <c r="G660" s="37"/>
      <c r="H660" s="37"/>
      <c r="I660" s="37"/>
      <c r="J660" s="38"/>
      <c r="K660" s="39"/>
      <c r="L660" s="40" t="str">
        <f aca="false">IF(OR($J660="",$K660=""),"",$J660+MATCH($K660,Listas!$F$5:$F$11,0)-1)</f>
        <v/>
      </c>
      <c r="M660" s="41"/>
      <c r="N660" s="36"/>
      <c r="O660" s="41"/>
      <c r="P660" s="35"/>
      <c r="Q660" s="35"/>
      <c r="R660" s="42" t="str">
        <f aca="true">IF($E660="","",IF($N660="Cancelada","Cancelada",IF(OR($M660&lt;&gt;"",$N660="Concluída"),IF(OR($L660="",$M660="",$M660&lt;=$L660),"Concluída","Concluída com atraso"),IF($L660="","Na carteira",IF($L660&lt;TODAY(),"VENCIDA",IF($N660="Em execução","Em execução",IF($L660=TODAY(),"Hoje","Programada")))))))</f>
        <v/>
      </c>
      <c r="S660" s="34" t="str">
        <f aca="false">IF($E660="","",IF(ISNUMBER(SEARCH("(externo)",$G660&amp;$H660&amp;$I660)),"Terceirizada","Interna"))</f>
        <v/>
      </c>
      <c r="T660" s="40" t="str">
        <f aca="false">IF($L660="","",IF($O660="",$L660,$O660))</f>
        <v/>
      </c>
      <c r="U660" s="34" t="str">
        <f aca="false">IF($E660="","",IF(OR($M660="",$L660=""),0,IF($M660&lt;=$L660,1,0)))</f>
        <v/>
      </c>
      <c r="V660" s="34" t="str">
        <f aca="false">IF($E660="","",IF(OR($M660="",$T660=""),0,IF($M660&lt;=$T660,1,0)))</f>
        <v/>
      </c>
      <c r="W660" s="42" t="str">
        <f aca="false">IF(OR($M660="",$L660=""),"",MAX(0,$M660-$L660))</f>
        <v/>
      </c>
      <c r="X660" s="34" t="str">
        <f aca="false">IF($E660="","",IF(AND($O660&lt;&gt;"",$L660&lt;&gt;"",$O660&lt;&gt;$L660),1,0))</f>
        <v/>
      </c>
      <c r="Y660" s="34" t="str">
        <f aca="false">IF($E660="","",IF($N660="Cancelada",0,IF(OR($M660&lt;&gt;"",$N660="Concluída"),1,0)))</f>
        <v/>
      </c>
    </row>
    <row r="661" customFormat="false" ht="15" hidden="false" customHeight="true" outlineLevel="0" collapsed="false">
      <c r="A661" s="34" t="str">
        <f aca="false">IF($E661="","",COUNTA($E$5:$E661))</f>
        <v/>
      </c>
      <c r="B661" s="35"/>
      <c r="C661" s="35"/>
      <c r="D661" s="35"/>
      <c r="E661" s="35"/>
      <c r="F661" s="36"/>
      <c r="G661" s="37"/>
      <c r="H661" s="37"/>
      <c r="I661" s="37"/>
      <c r="J661" s="38"/>
      <c r="K661" s="39"/>
      <c r="L661" s="40" t="str">
        <f aca="false">IF(OR($J661="",$K661=""),"",$J661+MATCH($K661,Listas!$F$5:$F$11,0)-1)</f>
        <v/>
      </c>
      <c r="M661" s="41"/>
      <c r="N661" s="36"/>
      <c r="O661" s="41"/>
      <c r="P661" s="35"/>
      <c r="Q661" s="35"/>
      <c r="R661" s="42" t="str">
        <f aca="true">IF($E661="","",IF($N661="Cancelada","Cancelada",IF(OR($M661&lt;&gt;"",$N661="Concluída"),IF(OR($L661="",$M661="",$M661&lt;=$L661),"Concluída","Concluída com atraso"),IF($L661="","Na carteira",IF($L661&lt;TODAY(),"VENCIDA",IF($N661="Em execução","Em execução",IF($L661=TODAY(),"Hoje","Programada")))))))</f>
        <v/>
      </c>
      <c r="S661" s="34" t="str">
        <f aca="false">IF($E661="","",IF(ISNUMBER(SEARCH("(externo)",$G661&amp;$H661&amp;$I661)),"Terceirizada","Interna"))</f>
        <v/>
      </c>
      <c r="T661" s="40" t="str">
        <f aca="false">IF($L661="","",IF($O661="",$L661,$O661))</f>
        <v/>
      </c>
      <c r="U661" s="34" t="str">
        <f aca="false">IF($E661="","",IF(OR($M661="",$L661=""),0,IF($M661&lt;=$L661,1,0)))</f>
        <v/>
      </c>
      <c r="V661" s="34" t="str">
        <f aca="false">IF($E661="","",IF(OR($M661="",$T661=""),0,IF($M661&lt;=$T661,1,0)))</f>
        <v/>
      </c>
      <c r="W661" s="42" t="str">
        <f aca="false">IF(OR($M661="",$L661=""),"",MAX(0,$M661-$L661))</f>
        <v/>
      </c>
      <c r="X661" s="34" t="str">
        <f aca="false">IF($E661="","",IF(AND($O661&lt;&gt;"",$L661&lt;&gt;"",$O661&lt;&gt;$L661),1,0))</f>
        <v/>
      </c>
      <c r="Y661" s="34" t="str">
        <f aca="false">IF($E661="","",IF($N661="Cancelada",0,IF(OR($M661&lt;&gt;"",$N661="Concluída"),1,0)))</f>
        <v/>
      </c>
    </row>
    <row r="662" customFormat="false" ht="15" hidden="false" customHeight="true" outlineLevel="0" collapsed="false">
      <c r="A662" s="34" t="str">
        <f aca="false">IF($E662="","",COUNTA($E$5:$E662))</f>
        <v/>
      </c>
      <c r="B662" s="35"/>
      <c r="C662" s="35"/>
      <c r="D662" s="35"/>
      <c r="E662" s="35"/>
      <c r="F662" s="36"/>
      <c r="G662" s="37"/>
      <c r="H662" s="37"/>
      <c r="I662" s="37"/>
      <c r="J662" s="38"/>
      <c r="K662" s="39"/>
      <c r="L662" s="40" t="str">
        <f aca="false">IF(OR($J662="",$K662=""),"",$J662+MATCH($K662,Listas!$F$5:$F$11,0)-1)</f>
        <v/>
      </c>
      <c r="M662" s="41"/>
      <c r="N662" s="36"/>
      <c r="O662" s="41"/>
      <c r="P662" s="35"/>
      <c r="Q662" s="35"/>
      <c r="R662" s="42" t="str">
        <f aca="true">IF($E662="","",IF($N662="Cancelada","Cancelada",IF(OR($M662&lt;&gt;"",$N662="Concluída"),IF(OR($L662="",$M662="",$M662&lt;=$L662),"Concluída","Concluída com atraso"),IF($L662="","Na carteira",IF($L662&lt;TODAY(),"VENCIDA",IF($N662="Em execução","Em execução",IF($L662=TODAY(),"Hoje","Programada")))))))</f>
        <v/>
      </c>
      <c r="S662" s="34" t="str">
        <f aca="false">IF($E662="","",IF(ISNUMBER(SEARCH("(externo)",$G662&amp;$H662&amp;$I662)),"Terceirizada","Interna"))</f>
        <v/>
      </c>
      <c r="T662" s="40" t="str">
        <f aca="false">IF($L662="","",IF($O662="",$L662,$O662))</f>
        <v/>
      </c>
      <c r="U662" s="34" t="str">
        <f aca="false">IF($E662="","",IF(OR($M662="",$L662=""),0,IF($M662&lt;=$L662,1,0)))</f>
        <v/>
      </c>
      <c r="V662" s="34" t="str">
        <f aca="false">IF($E662="","",IF(OR($M662="",$T662=""),0,IF($M662&lt;=$T662,1,0)))</f>
        <v/>
      </c>
      <c r="W662" s="42" t="str">
        <f aca="false">IF(OR($M662="",$L662=""),"",MAX(0,$M662-$L662))</f>
        <v/>
      </c>
      <c r="X662" s="34" t="str">
        <f aca="false">IF($E662="","",IF(AND($O662&lt;&gt;"",$L662&lt;&gt;"",$O662&lt;&gt;$L662),1,0))</f>
        <v/>
      </c>
      <c r="Y662" s="34" t="str">
        <f aca="false">IF($E662="","",IF($N662="Cancelada",0,IF(OR($M662&lt;&gt;"",$N662="Concluída"),1,0)))</f>
        <v/>
      </c>
    </row>
    <row r="663" customFormat="false" ht="15" hidden="false" customHeight="true" outlineLevel="0" collapsed="false">
      <c r="A663" s="34" t="str">
        <f aca="false">IF($E663="","",COUNTA($E$5:$E663))</f>
        <v/>
      </c>
      <c r="B663" s="35"/>
      <c r="C663" s="35"/>
      <c r="D663" s="35"/>
      <c r="E663" s="35"/>
      <c r="F663" s="36"/>
      <c r="G663" s="37"/>
      <c r="H663" s="37"/>
      <c r="I663" s="37"/>
      <c r="J663" s="38"/>
      <c r="K663" s="39"/>
      <c r="L663" s="40" t="str">
        <f aca="false">IF(OR($J663="",$K663=""),"",$J663+MATCH($K663,Listas!$F$5:$F$11,0)-1)</f>
        <v/>
      </c>
      <c r="M663" s="41"/>
      <c r="N663" s="36"/>
      <c r="O663" s="41"/>
      <c r="P663" s="35"/>
      <c r="Q663" s="35"/>
      <c r="R663" s="42" t="str">
        <f aca="true">IF($E663="","",IF($N663="Cancelada","Cancelada",IF(OR($M663&lt;&gt;"",$N663="Concluída"),IF(OR($L663="",$M663="",$M663&lt;=$L663),"Concluída","Concluída com atraso"),IF($L663="","Na carteira",IF($L663&lt;TODAY(),"VENCIDA",IF($N663="Em execução","Em execução",IF($L663=TODAY(),"Hoje","Programada")))))))</f>
        <v/>
      </c>
      <c r="S663" s="34" t="str">
        <f aca="false">IF($E663="","",IF(ISNUMBER(SEARCH("(externo)",$G663&amp;$H663&amp;$I663)),"Terceirizada","Interna"))</f>
        <v/>
      </c>
      <c r="T663" s="40" t="str">
        <f aca="false">IF($L663="","",IF($O663="",$L663,$O663))</f>
        <v/>
      </c>
      <c r="U663" s="34" t="str">
        <f aca="false">IF($E663="","",IF(OR($M663="",$L663=""),0,IF($M663&lt;=$L663,1,0)))</f>
        <v/>
      </c>
      <c r="V663" s="34" t="str">
        <f aca="false">IF($E663="","",IF(OR($M663="",$T663=""),0,IF($M663&lt;=$T663,1,0)))</f>
        <v/>
      </c>
      <c r="W663" s="42" t="str">
        <f aca="false">IF(OR($M663="",$L663=""),"",MAX(0,$M663-$L663))</f>
        <v/>
      </c>
      <c r="X663" s="34" t="str">
        <f aca="false">IF($E663="","",IF(AND($O663&lt;&gt;"",$L663&lt;&gt;"",$O663&lt;&gt;$L663),1,0))</f>
        <v/>
      </c>
      <c r="Y663" s="34" t="str">
        <f aca="false">IF($E663="","",IF($N663="Cancelada",0,IF(OR($M663&lt;&gt;"",$N663="Concluída"),1,0)))</f>
        <v/>
      </c>
    </row>
    <row r="664" customFormat="false" ht="15" hidden="false" customHeight="true" outlineLevel="0" collapsed="false">
      <c r="A664" s="34" t="str">
        <f aca="false">IF($E664="","",COUNTA($E$5:$E664))</f>
        <v/>
      </c>
      <c r="B664" s="35"/>
      <c r="C664" s="35"/>
      <c r="D664" s="35"/>
      <c r="E664" s="35"/>
      <c r="F664" s="36"/>
      <c r="G664" s="37"/>
      <c r="H664" s="37"/>
      <c r="I664" s="37"/>
      <c r="J664" s="38"/>
      <c r="K664" s="39"/>
      <c r="L664" s="40" t="str">
        <f aca="false">IF(OR($J664="",$K664=""),"",$J664+MATCH($K664,Listas!$F$5:$F$11,0)-1)</f>
        <v/>
      </c>
      <c r="M664" s="41"/>
      <c r="N664" s="36"/>
      <c r="O664" s="41"/>
      <c r="P664" s="35"/>
      <c r="Q664" s="35"/>
      <c r="R664" s="42" t="str">
        <f aca="true">IF($E664="","",IF($N664="Cancelada","Cancelada",IF(OR($M664&lt;&gt;"",$N664="Concluída"),IF(OR($L664="",$M664="",$M664&lt;=$L664),"Concluída","Concluída com atraso"),IF($L664="","Na carteira",IF($L664&lt;TODAY(),"VENCIDA",IF($N664="Em execução","Em execução",IF($L664=TODAY(),"Hoje","Programada")))))))</f>
        <v/>
      </c>
      <c r="S664" s="34" t="str">
        <f aca="false">IF($E664="","",IF(ISNUMBER(SEARCH("(externo)",$G664&amp;$H664&amp;$I664)),"Terceirizada","Interna"))</f>
        <v/>
      </c>
      <c r="T664" s="40" t="str">
        <f aca="false">IF($L664="","",IF($O664="",$L664,$O664))</f>
        <v/>
      </c>
      <c r="U664" s="34" t="str">
        <f aca="false">IF($E664="","",IF(OR($M664="",$L664=""),0,IF($M664&lt;=$L664,1,0)))</f>
        <v/>
      </c>
      <c r="V664" s="34" t="str">
        <f aca="false">IF($E664="","",IF(OR($M664="",$T664=""),0,IF($M664&lt;=$T664,1,0)))</f>
        <v/>
      </c>
      <c r="W664" s="42" t="str">
        <f aca="false">IF(OR($M664="",$L664=""),"",MAX(0,$M664-$L664))</f>
        <v/>
      </c>
      <c r="X664" s="34" t="str">
        <f aca="false">IF($E664="","",IF(AND($O664&lt;&gt;"",$L664&lt;&gt;"",$O664&lt;&gt;$L664),1,0))</f>
        <v/>
      </c>
      <c r="Y664" s="34" t="str">
        <f aca="false">IF($E664="","",IF($N664="Cancelada",0,IF(OR($M664&lt;&gt;"",$N664="Concluída"),1,0)))</f>
        <v/>
      </c>
    </row>
    <row r="665" customFormat="false" ht="15" hidden="false" customHeight="true" outlineLevel="0" collapsed="false">
      <c r="A665" s="34" t="str">
        <f aca="false">IF($E665="","",COUNTA($E$5:$E665))</f>
        <v/>
      </c>
      <c r="B665" s="35"/>
      <c r="C665" s="35"/>
      <c r="D665" s="35"/>
      <c r="E665" s="35"/>
      <c r="F665" s="36"/>
      <c r="G665" s="37"/>
      <c r="H665" s="37"/>
      <c r="I665" s="37"/>
      <c r="J665" s="38"/>
      <c r="K665" s="39"/>
      <c r="L665" s="40" t="str">
        <f aca="false">IF(OR($J665="",$K665=""),"",$J665+MATCH($K665,Listas!$F$5:$F$11,0)-1)</f>
        <v/>
      </c>
      <c r="M665" s="41"/>
      <c r="N665" s="36"/>
      <c r="O665" s="41"/>
      <c r="P665" s="35"/>
      <c r="Q665" s="35"/>
      <c r="R665" s="42" t="str">
        <f aca="true">IF($E665="","",IF($N665="Cancelada","Cancelada",IF(OR($M665&lt;&gt;"",$N665="Concluída"),IF(OR($L665="",$M665="",$M665&lt;=$L665),"Concluída","Concluída com atraso"),IF($L665="","Na carteira",IF($L665&lt;TODAY(),"VENCIDA",IF($N665="Em execução","Em execução",IF($L665=TODAY(),"Hoje","Programada")))))))</f>
        <v/>
      </c>
      <c r="S665" s="34" t="str">
        <f aca="false">IF($E665="","",IF(ISNUMBER(SEARCH("(externo)",$G665&amp;$H665&amp;$I665)),"Terceirizada","Interna"))</f>
        <v/>
      </c>
      <c r="T665" s="40" t="str">
        <f aca="false">IF($L665="","",IF($O665="",$L665,$O665))</f>
        <v/>
      </c>
      <c r="U665" s="34" t="str">
        <f aca="false">IF($E665="","",IF(OR($M665="",$L665=""),0,IF($M665&lt;=$L665,1,0)))</f>
        <v/>
      </c>
      <c r="V665" s="34" t="str">
        <f aca="false">IF($E665="","",IF(OR($M665="",$T665=""),0,IF($M665&lt;=$T665,1,0)))</f>
        <v/>
      </c>
      <c r="W665" s="42" t="str">
        <f aca="false">IF(OR($M665="",$L665=""),"",MAX(0,$M665-$L665))</f>
        <v/>
      </c>
      <c r="X665" s="34" t="str">
        <f aca="false">IF($E665="","",IF(AND($O665&lt;&gt;"",$L665&lt;&gt;"",$O665&lt;&gt;$L665),1,0))</f>
        <v/>
      </c>
      <c r="Y665" s="34" t="str">
        <f aca="false">IF($E665="","",IF($N665="Cancelada",0,IF(OR($M665&lt;&gt;"",$N665="Concluída"),1,0)))</f>
        <v/>
      </c>
    </row>
    <row r="666" customFormat="false" ht="15" hidden="false" customHeight="true" outlineLevel="0" collapsed="false">
      <c r="A666" s="34" t="str">
        <f aca="false">IF($E666="","",COUNTA($E$5:$E666))</f>
        <v/>
      </c>
      <c r="B666" s="35"/>
      <c r="C666" s="35"/>
      <c r="D666" s="35"/>
      <c r="E666" s="35"/>
      <c r="F666" s="36"/>
      <c r="G666" s="37"/>
      <c r="H666" s="37"/>
      <c r="I666" s="37"/>
      <c r="J666" s="38"/>
      <c r="K666" s="39"/>
      <c r="L666" s="40" t="str">
        <f aca="false">IF(OR($J666="",$K666=""),"",$J666+MATCH($K666,Listas!$F$5:$F$11,0)-1)</f>
        <v/>
      </c>
      <c r="M666" s="41"/>
      <c r="N666" s="36"/>
      <c r="O666" s="41"/>
      <c r="P666" s="35"/>
      <c r="Q666" s="35"/>
      <c r="R666" s="42" t="str">
        <f aca="true">IF($E666="","",IF($N666="Cancelada","Cancelada",IF(OR($M666&lt;&gt;"",$N666="Concluída"),IF(OR($L666="",$M666="",$M666&lt;=$L666),"Concluída","Concluída com atraso"),IF($L666="","Na carteira",IF($L666&lt;TODAY(),"VENCIDA",IF($N666="Em execução","Em execução",IF($L666=TODAY(),"Hoje","Programada")))))))</f>
        <v/>
      </c>
      <c r="S666" s="34" t="str">
        <f aca="false">IF($E666="","",IF(ISNUMBER(SEARCH("(externo)",$G666&amp;$H666&amp;$I666)),"Terceirizada","Interna"))</f>
        <v/>
      </c>
      <c r="T666" s="40" t="str">
        <f aca="false">IF($L666="","",IF($O666="",$L666,$O666))</f>
        <v/>
      </c>
      <c r="U666" s="34" t="str">
        <f aca="false">IF($E666="","",IF(OR($M666="",$L666=""),0,IF($M666&lt;=$L666,1,0)))</f>
        <v/>
      </c>
      <c r="V666" s="34" t="str">
        <f aca="false">IF($E666="","",IF(OR($M666="",$T666=""),0,IF($M666&lt;=$T666,1,0)))</f>
        <v/>
      </c>
      <c r="W666" s="42" t="str">
        <f aca="false">IF(OR($M666="",$L666=""),"",MAX(0,$M666-$L666))</f>
        <v/>
      </c>
      <c r="X666" s="34" t="str">
        <f aca="false">IF($E666="","",IF(AND($O666&lt;&gt;"",$L666&lt;&gt;"",$O666&lt;&gt;$L666),1,0))</f>
        <v/>
      </c>
      <c r="Y666" s="34" t="str">
        <f aca="false">IF($E666="","",IF($N666="Cancelada",0,IF(OR($M666&lt;&gt;"",$N666="Concluída"),1,0)))</f>
        <v/>
      </c>
    </row>
    <row r="667" customFormat="false" ht="15" hidden="false" customHeight="true" outlineLevel="0" collapsed="false">
      <c r="A667" s="34" t="str">
        <f aca="false">IF($E667="","",COUNTA($E$5:$E667))</f>
        <v/>
      </c>
      <c r="B667" s="35"/>
      <c r="C667" s="35"/>
      <c r="D667" s="35"/>
      <c r="E667" s="35"/>
      <c r="F667" s="36"/>
      <c r="G667" s="37"/>
      <c r="H667" s="37"/>
      <c r="I667" s="37"/>
      <c r="J667" s="38"/>
      <c r="K667" s="39"/>
      <c r="L667" s="40" t="str">
        <f aca="false">IF(OR($J667="",$K667=""),"",$J667+MATCH($K667,Listas!$F$5:$F$11,0)-1)</f>
        <v/>
      </c>
      <c r="M667" s="41"/>
      <c r="N667" s="36"/>
      <c r="O667" s="41"/>
      <c r="P667" s="35"/>
      <c r="Q667" s="35"/>
      <c r="R667" s="42" t="str">
        <f aca="true">IF($E667="","",IF($N667="Cancelada","Cancelada",IF(OR($M667&lt;&gt;"",$N667="Concluída"),IF(OR($L667="",$M667="",$M667&lt;=$L667),"Concluída","Concluída com atraso"),IF($L667="","Na carteira",IF($L667&lt;TODAY(),"VENCIDA",IF($N667="Em execução","Em execução",IF($L667=TODAY(),"Hoje","Programada")))))))</f>
        <v/>
      </c>
      <c r="S667" s="34" t="str">
        <f aca="false">IF($E667="","",IF(ISNUMBER(SEARCH("(externo)",$G667&amp;$H667&amp;$I667)),"Terceirizada","Interna"))</f>
        <v/>
      </c>
      <c r="T667" s="40" t="str">
        <f aca="false">IF($L667="","",IF($O667="",$L667,$O667))</f>
        <v/>
      </c>
      <c r="U667" s="34" t="str">
        <f aca="false">IF($E667="","",IF(OR($M667="",$L667=""),0,IF($M667&lt;=$L667,1,0)))</f>
        <v/>
      </c>
      <c r="V667" s="34" t="str">
        <f aca="false">IF($E667="","",IF(OR($M667="",$T667=""),0,IF($M667&lt;=$T667,1,0)))</f>
        <v/>
      </c>
      <c r="W667" s="42" t="str">
        <f aca="false">IF(OR($M667="",$L667=""),"",MAX(0,$M667-$L667))</f>
        <v/>
      </c>
      <c r="X667" s="34" t="str">
        <f aca="false">IF($E667="","",IF(AND($O667&lt;&gt;"",$L667&lt;&gt;"",$O667&lt;&gt;$L667),1,0))</f>
        <v/>
      </c>
      <c r="Y667" s="34" t="str">
        <f aca="false">IF($E667="","",IF($N667="Cancelada",0,IF(OR($M667&lt;&gt;"",$N667="Concluída"),1,0)))</f>
        <v/>
      </c>
    </row>
    <row r="668" customFormat="false" ht="15" hidden="false" customHeight="true" outlineLevel="0" collapsed="false">
      <c r="A668" s="34" t="str">
        <f aca="false">IF($E668="","",COUNTA($E$5:$E668))</f>
        <v/>
      </c>
      <c r="B668" s="35"/>
      <c r="C668" s="35"/>
      <c r="D668" s="35"/>
      <c r="E668" s="35"/>
      <c r="F668" s="36"/>
      <c r="G668" s="37"/>
      <c r="H668" s="37"/>
      <c r="I668" s="37"/>
      <c r="J668" s="38"/>
      <c r="K668" s="39"/>
      <c r="L668" s="40" t="str">
        <f aca="false">IF(OR($J668="",$K668=""),"",$J668+MATCH($K668,Listas!$F$5:$F$11,0)-1)</f>
        <v/>
      </c>
      <c r="M668" s="41"/>
      <c r="N668" s="36"/>
      <c r="O668" s="41"/>
      <c r="P668" s="35"/>
      <c r="Q668" s="35"/>
      <c r="R668" s="42" t="str">
        <f aca="true">IF($E668="","",IF($N668="Cancelada","Cancelada",IF(OR($M668&lt;&gt;"",$N668="Concluída"),IF(OR($L668="",$M668="",$M668&lt;=$L668),"Concluída","Concluída com atraso"),IF($L668="","Na carteira",IF($L668&lt;TODAY(),"VENCIDA",IF($N668="Em execução","Em execução",IF($L668=TODAY(),"Hoje","Programada")))))))</f>
        <v/>
      </c>
      <c r="S668" s="34" t="str">
        <f aca="false">IF($E668="","",IF(ISNUMBER(SEARCH("(externo)",$G668&amp;$H668&amp;$I668)),"Terceirizada","Interna"))</f>
        <v/>
      </c>
      <c r="T668" s="40" t="str">
        <f aca="false">IF($L668="","",IF($O668="",$L668,$O668))</f>
        <v/>
      </c>
      <c r="U668" s="34" t="str">
        <f aca="false">IF($E668="","",IF(OR($M668="",$L668=""),0,IF($M668&lt;=$L668,1,0)))</f>
        <v/>
      </c>
      <c r="V668" s="34" t="str">
        <f aca="false">IF($E668="","",IF(OR($M668="",$T668=""),0,IF($M668&lt;=$T668,1,0)))</f>
        <v/>
      </c>
      <c r="W668" s="42" t="str">
        <f aca="false">IF(OR($M668="",$L668=""),"",MAX(0,$M668-$L668))</f>
        <v/>
      </c>
      <c r="X668" s="34" t="str">
        <f aca="false">IF($E668="","",IF(AND($O668&lt;&gt;"",$L668&lt;&gt;"",$O668&lt;&gt;$L668),1,0))</f>
        <v/>
      </c>
      <c r="Y668" s="34" t="str">
        <f aca="false">IF($E668="","",IF($N668="Cancelada",0,IF(OR($M668&lt;&gt;"",$N668="Concluída"),1,0)))</f>
        <v/>
      </c>
    </row>
    <row r="669" customFormat="false" ht="15" hidden="false" customHeight="true" outlineLevel="0" collapsed="false">
      <c r="A669" s="34" t="str">
        <f aca="false">IF($E669="","",COUNTA($E$5:$E669))</f>
        <v/>
      </c>
      <c r="B669" s="35"/>
      <c r="C669" s="35"/>
      <c r="D669" s="35"/>
      <c r="E669" s="35"/>
      <c r="F669" s="36"/>
      <c r="G669" s="37"/>
      <c r="H669" s="37"/>
      <c r="I669" s="37"/>
      <c r="J669" s="38"/>
      <c r="K669" s="39"/>
      <c r="L669" s="40" t="str">
        <f aca="false">IF(OR($J669="",$K669=""),"",$J669+MATCH($K669,Listas!$F$5:$F$11,0)-1)</f>
        <v/>
      </c>
      <c r="M669" s="41"/>
      <c r="N669" s="36"/>
      <c r="O669" s="41"/>
      <c r="P669" s="35"/>
      <c r="Q669" s="35"/>
      <c r="R669" s="42" t="str">
        <f aca="true">IF($E669="","",IF($N669="Cancelada","Cancelada",IF(OR($M669&lt;&gt;"",$N669="Concluída"),IF(OR($L669="",$M669="",$M669&lt;=$L669),"Concluída","Concluída com atraso"),IF($L669="","Na carteira",IF($L669&lt;TODAY(),"VENCIDA",IF($N669="Em execução","Em execução",IF($L669=TODAY(),"Hoje","Programada")))))))</f>
        <v/>
      </c>
      <c r="S669" s="34" t="str">
        <f aca="false">IF($E669="","",IF(ISNUMBER(SEARCH("(externo)",$G669&amp;$H669&amp;$I669)),"Terceirizada","Interna"))</f>
        <v/>
      </c>
      <c r="T669" s="40" t="str">
        <f aca="false">IF($L669="","",IF($O669="",$L669,$O669))</f>
        <v/>
      </c>
      <c r="U669" s="34" t="str">
        <f aca="false">IF($E669="","",IF(OR($M669="",$L669=""),0,IF($M669&lt;=$L669,1,0)))</f>
        <v/>
      </c>
      <c r="V669" s="34" t="str">
        <f aca="false">IF($E669="","",IF(OR($M669="",$T669=""),0,IF($M669&lt;=$T669,1,0)))</f>
        <v/>
      </c>
      <c r="W669" s="42" t="str">
        <f aca="false">IF(OR($M669="",$L669=""),"",MAX(0,$M669-$L669))</f>
        <v/>
      </c>
      <c r="X669" s="34" t="str">
        <f aca="false">IF($E669="","",IF(AND($O669&lt;&gt;"",$L669&lt;&gt;"",$O669&lt;&gt;$L669),1,0))</f>
        <v/>
      </c>
      <c r="Y669" s="34" t="str">
        <f aca="false">IF($E669="","",IF($N669="Cancelada",0,IF(OR($M669&lt;&gt;"",$N669="Concluída"),1,0)))</f>
        <v/>
      </c>
    </row>
    <row r="670" customFormat="false" ht="15" hidden="false" customHeight="true" outlineLevel="0" collapsed="false">
      <c r="A670" s="34" t="str">
        <f aca="false">IF($E670="","",COUNTA($E$5:$E670))</f>
        <v/>
      </c>
      <c r="B670" s="35"/>
      <c r="C670" s="35"/>
      <c r="D670" s="35"/>
      <c r="E670" s="35"/>
      <c r="F670" s="36"/>
      <c r="G670" s="37"/>
      <c r="H670" s="37"/>
      <c r="I670" s="37"/>
      <c r="J670" s="38"/>
      <c r="K670" s="39"/>
      <c r="L670" s="40" t="str">
        <f aca="false">IF(OR($J670="",$K670=""),"",$J670+MATCH($K670,Listas!$F$5:$F$11,0)-1)</f>
        <v/>
      </c>
      <c r="M670" s="41"/>
      <c r="N670" s="36"/>
      <c r="O670" s="41"/>
      <c r="P670" s="35"/>
      <c r="Q670" s="35"/>
      <c r="R670" s="42" t="str">
        <f aca="true">IF($E670="","",IF($N670="Cancelada","Cancelada",IF(OR($M670&lt;&gt;"",$N670="Concluída"),IF(OR($L670="",$M670="",$M670&lt;=$L670),"Concluída","Concluída com atraso"),IF($L670="","Na carteira",IF($L670&lt;TODAY(),"VENCIDA",IF($N670="Em execução","Em execução",IF($L670=TODAY(),"Hoje","Programada")))))))</f>
        <v/>
      </c>
      <c r="S670" s="34" t="str">
        <f aca="false">IF($E670="","",IF(ISNUMBER(SEARCH("(externo)",$G670&amp;$H670&amp;$I670)),"Terceirizada","Interna"))</f>
        <v/>
      </c>
      <c r="T670" s="40" t="str">
        <f aca="false">IF($L670="","",IF($O670="",$L670,$O670))</f>
        <v/>
      </c>
      <c r="U670" s="34" t="str">
        <f aca="false">IF($E670="","",IF(OR($M670="",$L670=""),0,IF($M670&lt;=$L670,1,0)))</f>
        <v/>
      </c>
      <c r="V670" s="34" t="str">
        <f aca="false">IF($E670="","",IF(OR($M670="",$T670=""),0,IF($M670&lt;=$T670,1,0)))</f>
        <v/>
      </c>
      <c r="W670" s="42" t="str">
        <f aca="false">IF(OR($M670="",$L670=""),"",MAX(0,$M670-$L670))</f>
        <v/>
      </c>
      <c r="X670" s="34" t="str">
        <f aca="false">IF($E670="","",IF(AND($O670&lt;&gt;"",$L670&lt;&gt;"",$O670&lt;&gt;$L670),1,0))</f>
        <v/>
      </c>
      <c r="Y670" s="34" t="str">
        <f aca="false">IF($E670="","",IF($N670="Cancelada",0,IF(OR($M670&lt;&gt;"",$N670="Concluída"),1,0)))</f>
        <v/>
      </c>
    </row>
    <row r="671" customFormat="false" ht="15" hidden="false" customHeight="true" outlineLevel="0" collapsed="false">
      <c r="A671" s="34" t="str">
        <f aca="false">IF($E671="","",COUNTA($E$5:$E671))</f>
        <v/>
      </c>
      <c r="B671" s="35"/>
      <c r="C671" s="35"/>
      <c r="D671" s="35"/>
      <c r="E671" s="35"/>
      <c r="F671" s="36"/>
      <c r="G671" s="37"/>
      <c r="H671" s="37"/>
      <c r="I671" s="37"/>
      <c r="J671" s="38"/>
      <c r="K671" s="39"/>
      <c r="L671" s="40" t="str">
        <f aca="false">IF(OR($J671="",$K671=""),"",$J671+MATCH($K671,Listas!$F$5:$F$11,0)-1)</f>
        <v/>
      </c>
      <c r="M671" s="41"/>
      <c r="N671" s="36"/>
      <c r="O671" s="41"/>
      <c r="P671" s="35"/>
      <c r="Q671" s="35"/>
      <c r="R671" s="42" t="str">
        <f aca="true">IF($E671="","",IF($N671="Cancelada","Cancelada",IF(OR($M671&lt;&gt;"",$N671="Concluída"),IF(OR($L671="",$M671="",$M671&lt;=$L671),"Concluída","Concluída com atraso"),IF($L671="","Na carteira",IF($L671&lt;TODAY(),"VENCIDA",IF($N671="Em execução","Em execução",IF($L671=TODAY(),"Hoje","Programada")))))))</f>
        <v/>
      </c>
      <c r="S671" s="34" t="str">
        <f aca="false">IF($E671="","",IF(ISNUMBER(SEARCH("(externo)",$G671&amp;$H671&amp;$I671)),"Terceirizada","Interna"))</f>
        <v/>
      </c>
      <c r="T671" s="40" t="str">
        <f aca="false">IF($L671="","",IF($O671="",$L671,$O671))</f>
        <v/>
      </c>
      <c r="U671" s="34" t="str">
        <f aca="false">IF($E671="","",IF(OR($M671="",$L671=""),0,IF($M671&lt;=$L671,1,0)))</f>
        <v/>
      </c>
      <c r="V671" s="34" t="str">
        <f aca="false">IF($E671="","",IF(OR($M671="",$T671=""),0,IF($M671&lt;=$T671,1,0)))</f>
        <v/>
      </c>
      <c r="W671" s="42" t="str">
        <f aca="false">IF(OR($M671="",$L671=""),"",MAX(0,$M671-$L671))</f>
        <v/>
      </c>
      <c r="X671" s="34" t="str">
        <f aca="false">IF($E671="","",IF(AND($O671&lt;&gt;"",$L671&lt;&gt;"",$O671&lt;&gt;$L671),1,0))</f>
        <v/>
      </c>
      <c r="Y671" s="34" t="str">
        <f aca="false">IF($E671="","",IF($N671="Cancelada",0,IF(OR($M671&lt;&gt;"",$N671="Concluída"),1,0)))</f>
        <v/>
      </c>
    </row>
    <row r="672" customFormat="false" ht="15" hidden="false" customHeight="true" outlineLevel="0" collapsed="false">
      <c r="A672" s="34" t="str">
        <f aca="false">IF($E672="","",COUNTA($E$5:$E672))</f>
        <v/>
      </c>
      <c r="B672" s="35"/>
      <c r="C672" s="35"/>
      <c r="D672" s="35"/>
      <c r="E672" s="35"/>
      <c r="F672" s="36"/>
      <c r="G672" s="37"/>
      <c r="H672" s="37"/>
      <c r="I672" s="37"/>
      <c r="J672" s="38"/>
      <c r="K672" s="39"/>
      <c r="L672" s="40" t="str">
        <f aca="false">IF(OR($J672="",$K672=""),"",$J672+MATCH($K672,Listas!$F$5:$F$11,0)-1)</f>
        <v/>
      </c>
      <c r="M672" s="41"/>
      <c r="N672" s="36"/>
      <c r="O672" s="41"/>
      <c r="P672" s="35"/>
      <c r="Q672" s="35"/>
      <c r="R672" s="42" t="str">
        <f aca="true">IF($E672="","",IF($N672="Cancelada","Cancelada",IF(OR($M672&lt;&gt;"",$N672="Concluída"),IF(OR($L672="",$M672="",$M672&lt;=$L672),"Concluída","Concluída com atraso"),IF($L672="","Na carteira",IF($L672&lt;TODAY(),"VENCIDA",IF($N672="Em execução","Em execução",IF($L672=TODAY(),"Hoje","Programada")))))))</f>
        <v/>
      </c>
      <c r="S672" s="34" t="str">
        <f aca="false">IF($E672="","",IF(ISNUMBER(SEARCH("(externo)",$G672&amp;$H672&amp;$I672)),"Terceirizada","Interna"))</f>
        <v/>
      </c>
      <c r="T672" s="40" t="str">
        <f aca="false">IF($L672="","",IF($O672="",$L672,$O672))</f>
        <v/>
      </c>
      <c r="U672" s="34" t="str">
        <f aca="false">IF($E672="","",IF(OR($M672="",$L672=""),0,IF($M672&lt;=$L672,1,0)))</f>
        <v/>
      </c>
      <c r="V672" s="34" t="str">
        <f aca="false">IF($E672="","",IF(OR($M672="",$T672=""),0,IF($M672&lt;=$T672,1,0)))</f>
        <v/>
      </c>
      <c r="W672" s="42" t="str">
        <f aca="false">IF(OR($M672="",$L672=""),"",MAX(0,$M672-$L672))</f>
        <v/>
      </c>
      <c r="X672" s="34" t="str">
        <f aca="false">IF($E672="","",IF(AND($O672&lt;&gt;"",$L672&lt;&gt;"",$O672&lt;&gt;$L672),1,0))</f>
        <v/>
      </c>
      <c r="Y672" s="34" t="str">
        <f aca="false">IF($E672="","",IF($N672="Cancelada",0,IF(OR($M672&lt;&gt;"",$N672="Concluída"),1,0)))</f>
        <v/>
      </c>
    </row>
    <row r="673" customFormat="false" ht="15" hidden="false" customHeight="true" outlineLevel="0" collapsed="false">
      <c r="A673" s="34" t="str">
        <f aca="false">IF($E673="","",COUNTA($E$5:$E673))</f>
        <v/>
      </c>
      <c r="B673" s="35"/>
      <c r="C673" s="35"/>
      <c r="D673" s="35"/>
      <c r="E673" s="35"/>
      <c r="F673" s="36"/>
      <c r="G673" s="37"/>
      <c r="H673" s="37"/>
      <c r="I673" s="37"/>
      <c r="J673" s="38"/>
      <c r="K673" s="39"/>
      <c r="L673" s="40" t="str">
        <f aca="false">IF(OR($J673="",$K673=""),"",$J673+MATCH($K673,Listas!$F$5:$F$11,0)-1)</f>
        <v/>
      </c>
      <c r="M673" s="41"/>
      <c r="N673" s="36"/>
      <c r="O673" s="41"/>
      <c r="P673" s="35"/>
      <c r="Q673" s="35"/>
      <c r="R673" s="42" t="str">
        <f aca="true">IF($E673="","",IF($N673="Cancelada","Cancelada",IF(OR($M673&lt;&gt;"",$N673="Concluída"),IF(OR($L673="",$M673="",$M673&lt;=$L673),"Concluída","Concluída com atraso"),IF($L673="","Na carteira",IF($L673&lt;TODAY(),"VENCIDA",IF($N673="Em execução","Em execução",IF($L673=TODAY(),"Hoje","Programada")))))))</f>
        <v/>
      </c>
      <c r="S673" s="34" t="str">
        <f aca="false">IF($E673="","",IF(ISNUMBER(SEARCH("(externo)",$G673&amp;$H673&amp;$I673)),"Terceirizada","Interna"))</f>
        <v/>
      </c>
      <c r="T673" s="40" t="str">
        <f aca="false">IF($L673="","",IF($O673="",$L673,$O673))</f>
        <v/>
      </c>
      <c r="U673" s="34" t="str">
        <f aca="false">IF($E673="","",IF(OR($M673="",$L673=""),0,IF($M673&lt;=$L673,1,0)))</f>
        <v/>
      </c>
      <c r="V673" s="34" t="str">
        <f aca="false">IF($E673="","",IF(OR($M673="",$T673=""),0,IF($M673&lt;=$T673,1,0)))</f>
        <v/>
      </c>
      <c r="W673" s="42" t="str">
        <f aca="false">IF(OR($M673="",$L673=""),"",MAX(0,$M673-$L673))</f>
        <v/>
      </c>
      <c r="X673" s="34" t="str">
        <f aca="false">IF($E673="","",IF(AND($O673&lt;&gt;"",$L673&lt;&gt;"",$O673&lt;&gt;$L673),1,0))</f>
        <v/>
      </c>
      <c r="Y673" s="34" t="str">
        <f aca="false">IF($E673="","",IF($N673="Cancelada",0,IF(OR($M673&lt;&gt;"",$N673="Concluída"),1,0)))</f>
        <v/>
      </c>
    </row>
    <row r="674" customFormat="false" ht="15" hidden="false" customHeight="true" outlineLevel="0" collapsed="false">
      <c r="A674" s="34" t="str">
        <f aca="false">IF($E674="","",COUNTA($E$5:$E674))</f>
        <v/>
      </c>
      <c r="B674" s="35"/>
      <c r="C674" s="35"/>
      <c r="D674" s="35"/>
      <c r="E674" s="35"/>
      <c r="F674" s="36"/>
      <c r="G674" s="37"/>
      <c r="H674" s="37"/>
      <c r="I674" s="37"/>
      <c r="J674" s="38"/>
      <c r="K674" s="39"/>
      <c r="L674" s="40" t="str">
        <f aca="false">IF(OR($J674="",$K674=""),"",$J674+MATCH($K674,Listas!$F$5:$F$11,0)-1)</f>
        <v/>
      </c>
      <c r="M674" s="41"/>
      <c r="N674" s="36"/>
      <c r="O674" s="41"/>
      <c r="P674" s="35"/>
      <c r="Q674" s="35"/>
      <c r="R674" s="42" t="str">
        <f aca="true">IF($E674="","",IF($N674="Cancelada","Cancelada",IF(OR($M674&lt;&gt;"",$N674="Concluída"),IF(OR($L674="",$M674="",$M674&lt;=$L674),"Concluída","Concluída com atraso"),IF($L674="","Na carteira",IF($L674&lt;TODAY(),"VENCIDA",IF($N674="Em execução","Em execução",IF($L674=TODAY(),"Hoje","Programada")))))))</f>
        <v/>
      </c>
      <c r="S674" s="34" t="str">
        <f aca="false">IF($E674="","",IF(ISNUMBER(SEARCH("(externo)",$G674&amp;$H674&amp;$I674)),"Terceirizada","Interna"))</f>
        <v/>
      </c>
      <c r="T674" s="40" t="str">
        <f aca="false">IF($L674="","",IF($O674="",$L674,$O674))</f>
        <v/>
      </c>
      <c r="U674" s="34" t="str">
        <f aca="false">IF($E674="","",IF(OR($M674="",$L674=""),0,IF($M674&lt;=$L674,1,0)))</f>
        <v/>
      </c>
      <c r="V674" s="34" t="str">
        <f aca="false">IF($E674="","",IF(OR($M674="",$T674=""),0,IF($M674&lt;=$T674,1,0)))</f>
        <v/>
      </c>
      <c r="W674" s="42" t="str">
        <f aca="false">IF(OR($M674="",$L674=""),"",MAX(0,$M674-$L674))</f>
        <v/>
      </c>
      <c r="X674" s="34" t="str">
        <f aca="false">IF($E674="","",IF(AND($O674&lt;&gt;"",$L674&lt;&gt;"",$O674&lt;&gt;$L674),1,0))</f>
        <v/>
      </c>
      <c r="Y674" s="34" t="str">
        <f aca="false">IF($E674="","",IF($N674="Cancelada",0,IF(OR($M674&lt;&gt;"",$N674="Concluída"),1,0)))</f>
        <v/>
      </c>
    </row>
    <row r="675" customFormat="false" ht="15" hidden="false" customHeight="true" outlineLevel="0" collapsed="false">
      <c r="A675" s="34" t="str">
        <f aca="false">IF($E675="","",COUNTA($E$5:$E675))</f>
        <v/>
      </c>
      <c r="B675" s="35"/>
      <c r="C675" s="35"/>
      <c r="D675" s="35"/>
      <c r="E675" s="35"/>
      <c r="F675" s="36"/>
      <c r="G675" s="37"/>
      <c r="H675" s="37"/>
      <c r="I675" s="37"/>
      <c r="J675" s="38"/>
      <c r="K675" s="39"/>
      <c r="L675" s="40" t="str">
        <f aca="false">IF(OR($J675="",$K675=""),"",$J675+MATCH($K675,Listas!$F$5:$F$11,0)-1)</f>
        <v/>
      </c>
      <c r="M675" s="41"/>
      <c r="N675" s="36"/>
      <c r="O675" s="41"/>
      <c r="P675" s="35"/>
      <c r="Q675" s="35"/>
      <c r="R675" s="42" t="str">
        <f aca="true">IF($E675="","",IF($N675="Cancelada","Cancelada",IF(OR($M675&lt;&gt;"",$N675="Concluída"),IF(OR($L675="",$M675="",$M675&lt;=$L675),"Concluída","Concluída com atraso"),IF($L675="","Na carteira",IF($L675&lt;TODAY(),"VENCIDA",IF($N675="Em execução","Em execução",IF($L675=TODAY(),"Hoje","Programada")))))))</f>
        <v/>
      </c>
      <c r="S675" s="34" t="str">
        <f aca="false">IF($E675="","",IF(ISNUMBER(SEARCH("(externo)",$G675&amp;$H675&amp;$I675)),"Terceirizada","Interna"))</f>
        <v/>
      </c>
      <c r="T675" s="40" t="str">
        <f aca="false">IF($L675="","",IF($O675="",$L675,$O675))</f>
        <v/>
      </c>
      <c r="U675" s="34" t="str">
        <f aca="false">IF($E675="","",IF(OR($M675="",$L675=""),0,IF($M675&lt;=$L675,1,0)))</f>
        <v/>
      </c>
      <c r="V675" s="34" t="str">
        <f aca="false">IF($E675="","",IF(OR($M675="",$T675=""),0,IF($M675&lt;=$T675,1,0)))</f>
        <v/>
      </c>
      <c r="W675" s="42" t="str">
        <f aca="false">IF(OR($M675="",$L675=""),"",MAX(0,$M675-$L675))</f>
        <v/>
      </c>
      <c r="X675" s="34" t="str">
        <f aca="false">IF($E675="","",IF(AND($O675&lt;&gt;"",$L675&lt;&gt;"",$O675&lt;&gt;$L675),1,0))</f>
        <v/>
      </c>
      <c r="Y675" s="34" t="str">
        <f aca="false">IF($E675="","",IF($N675="Cancelada",0,IF(OR($M675&lt;&gt;"",$N675="Concluída"),1,0)))</f>
        <v/>
      </c>
    </row>
    <row r="676" customFormat="false" ht="15" hidden="false" customHeight="true" outlineLevel="0" collapsed="false">
      <c r="A676" s="34" t="str">
        <f aca="false">IF($E676="","",COUNTA($E$5:$E676))</f>
        <v/>
      </c>
      <c r="B676" s="35"/>
      <c r="C676" s="35"/>
      <c r="D676" s="35"/>
      <c r="E676" s="35"/>
      <c r="F676" s="36"/>
      <c r="G676" s="37"/>
      <c r="H676" s="37"/>
      <c r="I676" s="37"/>
      <c r="J676" s="38"/>
      <c r="K676" s="39"/>
      <c r="L676" s="40" t="str">
        <f aca="false">IF(OR($J676="",$K676=""),"",$J676+MATCH($K676,Listas!$F$5:$F$11,0)-1)</f>
        <v/>
      </c>
      <c r="M676" s="41"/>
      <c r="N676" s="36"/>
      <c r="O676" s="41"/>
      <c r="P676" s="35"/>
      <c r="Q676" s="35"/>
      <c r="R676" s="42" t="str">
        <f aca="true">IF($E676="","",IF($N676="Cancelada","Cancelada",IF(OR($M676&lt;&gt;"",$N676="Concluída"),IF(OR($L676="",$M676="",$M676&lt;=$L676),"Concluída","Concluída com atraso"),IF($L676="","Na carteira",IF($L676&lt;TODAY(),"VENCIDA",IF($N676="Em execução","Em execução",IF($L676=TODAY(),"Hoje","Programada")))))))</f>
        <v/>
      </c>
      <c r="S676" s="34" t="str">
        <f aca="false">IF($E676="","",IF(ISNUMBER(SEARCH("(externo)",$G676&amp;$H676&amp;$I676)),"Terceirizada","Interna"))</f>
        <v/>
      </c>
      <c r="T676" s="40" t="str">
        <f aca="false">IF($L676="","",IF($O676="",$L676,$O676))</f>
        <v/>
      </c>
      <c r="U676" s="34" t="str">
        <f aca="false">IF($E676="","",IF(OR($M676="",$L676=""),0,IF($M676&lt;=$L676,1,0)))</f>
        <v/>
      </c>
      <c r="V676" s="34" t="str">
        <f aca="false">IF($E676="","",IF(OR($M676="",$T676=""),0,IF($M676&lt;=$T676,1,0)))</f>
        <v/>
      </c>
      <c r="W676" s="42" t="str">
        <f aca="false">IF(OR($M676="",$L676=""),"",MAX(0,$M676-$L676))</f>
        <v/>
      </c>
      <c r="X676" s="34" t="str">
        <f aca="false">IF($E676="","",IF(AND($O676&lt;&gt;"",$L676&lt;&gt;"",$O676&lt;&gt;$L676),1,0))</f>
        <v/>
      </c>
      <c r="Y676" s="34" t="str">
        <f aca="false">IF($E676="","",IF($N676="Cancelada",0,IF(OR($M676&lt;&gt;"",$N676="Concluída"),1,0)))</f>
        <v/>
      </c>
    </row>
    <row r="677" customFormat="false" ht="15" hidden="false" customHeight="true" outlineLevel="0" collapsed="false">
      <c r="A677" s="34" t="str">
        <f aca="false">IF($E677="","",COUNTA($E$5:$E677))</f>
        <v/>
      </c>
      <c r="B677" s="35"/>
      <c r="C677" s="35"/>
      <c r="D677" s="35"/>
      <c r="E677" s="35"/>
      <c r="F677" s="36"/>
      <c r="G677" s="37"/>
      <c r="H677" s="37"/>
      <c r="I677" s="37"/>
      <c r="J677" s="38"/>
      <c r="K677" s="39"/>
      <c r="L677" s="40" t="str">
        <f aca="false">IF(OR($J677="",$K677=""),"",$J677+MATCH($K677,Listas!$F$5:$F$11,0)-1)</f>
        <v/>
      </c>
      <c r="M677" s="41"/>
      <c r="N677" s="36"/>
      <c r="O677" s="41"/>
      <c r="P677" s="35"/>
      <c r="Q677" s="35"/>
      <c r="R677" s="42" t="str">
        <f aca="true">IF($E677="","",IF($N677="Cancelada","Cancelada",IF(OR($M677&lt;&gt;"",$N677="Concluída"),IF(OR($L677="",$M677="",$M677&lt;=$L677),"Concluída","Concluída com atraso"),IF($L677="","Na carteira",IF($L677&lt;TODAY(),"VENCIDA",IF($N677="Em execução","Em execução",IF($L677=TODAY(),"Hoje","Programada")))))))</f>
        <v/>
      </c>
      <c r="S677" s="34" t="str">
        <f aca="false">IF($E677="","",IF(ISNUMBER(SEARCH("(externo)",$G677&amp;$H677&amp;$I677)),"Terceirizada","Interna"))</f>
        <v/>
      </c>
      <c r="T677" s="40" t="str">
        <f aca="false">IF($L677="","",IF($O677="",$L677,$O677))</f>
        <v/>
      </c>
      <c r="U677" s="34" t="str">
        <f aca="false">IF($E677="","",IF(OR($M677="",$L677=""),0,IF($M677&lt;=$L677,1,0)))</f>
        <v/>
      </c>
      <c r="V677" s="34" t="str">
        <f aca="false">IF($E677="","",IF(OR($M677="",$T677=""),0,IF($M677&lt;=$T677,1,0)))</f>
        <v/>
      </c>
      <c r="W677" s="42" t="str">
        <f aca="false">IF(OR($M677="",$L677=""),"",MAX(0,$M677-$L677))</f>
        <v/>
      </c>
      <c r="X677" s="34" t="str">
        <f aca="false">IF($E677="","",IF(AND($O677&lt;&gt;"",$L677&lt;&gt;"",$O677&lt;&gt;$L677),1,0))</f>
        <v/>
      </c>
      <c r="Y677" s="34" t="str">
        <f aca="false">IF($E677="","",IF($N677="Cancelada",0,IF(OR($M677&lt;&gt;"",$N677="Concluída"),1,0)))</f>
        <v/>
      </c>
    </row>
    <row r="678" customFormat="false" ht="15" hidden="false" customHeight="true" outlineLevel="0" collapsed="false">
      <c r="A678" s="34" t="str">
        <f aca="false">IF($E678="","",COUNTA($E$5:$E678))</f>
        <v/>
      </c>
      <c r="B678" s="35"/>
      <c r="C678" s="35"/>
      <c r="D678" s="35"/>
      <c r="E678" s="35"/>
      <c r="F678" s="36"/>
      <c r="G678" s="37"/>
      <c r="H678" s="37"/>
      <c r="I678" s="37"/>
      <c r="J678" s="38"/>
      <c r="K678" s="39"/>
      <c r="L678" s="40" t="str">
        <f aca="false">IF(OR($J678="",$K678=""),"",$J678+MATCH($K678,Listas!$F$5:$F$11,0)-1)</f>
        <v/>
      </c>
      <c r="M678" s="41"/>
      <c r="N678" s="36"/>
      <c r="O678" s="41"/>
      <c r="P678" s="35"/>
      <c r="Q678" s="35"/>
      <c r="R678" s="42" t="str">
        <f aca="true">IF($E678="","",IF($N678="Cancelada","Cancelada",IF(OR($M678&lt;&gt;"",$N678="Concluída"),IF(OR($L678="",$M678="",$M678&lt;=$L678),"Concluída","Concluída com atraso"),IF($L678="","Na carteira",IF($L678&lt;TODAY(),"VENCIDA",IF($N678="Em execução","Em execução",IF($L678=TODAY(),"Hoje","Programada")))))))</f>
        <v/>
      </c>
      <c r="S678" s="34" t="str">
        <f aca="false">IF($E678="","",IF(ISNUMBER(SEARCH("(externo)",$G678&amp;$H678&amp;$I678)),"Terceirizada","Interna"))</f>
        <v/>
      </c>
      <c r="T678" s="40" t="str">
        <f aca="false">IF($L678="","",IF($O678="",$L678,$O678))</f>
        <v/>
      </c>
      <c r="U678" s="34" t="str">
        <f aca="false">IF($E678="","",IF(OR($M678="",$L678=""),0,IF($M678&lt;=$L678,1,0)))</f>
        <v/>
      </c>
      <c r="V678" s="34" t="str">
        <f aca="false">IF($E678="","",IF(OR($M678="",$T678=""),0,IF($M678&lt;=$T678,1,0)))</f>
        <v/>
      </c>
      <c r="W678" s="42" t="str">
        <f aca="false">IF(OR($M678="",$L678=""),"",MAX(0,$M678-$L678))</f>
        <v/>
      </c>
      <c r="X678" s="34" t="str">
        <f aca="false">IF($E678="","",IF(AND($O678&lt;&gt;"",$L678&lt;&gt;"",$O678&lt;&gt;$L678),1,0))</f>
        <v/>
      </c>
      <c r="Y678" s="34" t="str">
        <f aca="false">IF($E678="","",IF($N678="Cancelada",0,IF(OR($M678&lt;&gt;"",$N678="Concluída"),1,0)))</f>
        <v/>
      </c>
    </row>
    <row r="679" customFormat="false" ht="15" hidden="false" customHeight="true" outlineLevel="0" collapsed="false">
      <c r="A679" s="34" t="str">
        <f aca="false">IF($E679="","",COUNTA($E$5:$E679))</f>
        <v/>
      </c>
      <c r="B679" s="35"/>
      <c r="C679" s="35"/>
      <c r="D679" s="35"/>
      <c r="E679" s="35"/>
      <c r="F679" s="36"/>
      <c r="G679" s="37"/>
      <c r="H679" s="37"/>
      <c r="I679" s="37"/>
      <c r="J679" s="38"/>
      <c r="K679" s="39"/>
      <c r="L679" s="40" t="str">
        <f aca="false">IF(OR($J679="",$K679=""),"",$J679+MATCH($K679,Listas!$F$5:$F$11,0)-1)</f>
        <v/>
      </c>
      <c r="M679" s="41"/>
      <c r="N679" s="36"/>
      <c r="O679" s="41"/>
      <c r="P679" s="35"/>
      <c r="Q679" s="35"/>
      <c r="R679" s="42" t="str">
        <f aca="true">IF($E679="","",IF($N679="Cancelada","Cancelada",IF(OR($M679&lt;&gt;"",$N679="Concluída"),IF(OR($L679="",$M679="",$M679&lt;=$L679),"Concluída","Concluída com atraso"),IF($L679="","Na carteira",IF($L679&lt;TODAY(),"VENCIDA",IF($N679="Em execução","Em execução",IF($L679=TODAY(),"Hoje","Programada")))))))</f>
        <v/>
      </c>
      <c r="S679" s="34" t="str">
        <f aca="false">IF($E679="","",IF(ISNUMBER(SEARCH("(externo)",$G679&amp;$H679&amp;$I679)),"Terceirizada","Interna"))</f>
        <v/>
      </c>
      <c r="T679" s="40" t="str">
        <f aca="false">IF($L679="","",IF($O679="",$L679,$O679))</f>
        <v/>
      </c>
      <c r="U679" s="34" t="str">
        <f aca="false">IF($E679="","",IF(OR($M679="",$L679=""),0,IF($M679&lt;=$L679,1,0)))</f>
        <v/>
      </c>
      <c r="V679" s="34" t="str">
        <f aca="false">IF($E679="","",IF(OR($M679="",$T679=""),0,IF($M679&lt;=$T679,1,0)))</f>
        <v/>
      </c>
      <c r="W679" s="42" t="str">
        <f aca="false">IF(OR($M679="",$L679=""),"",MAX(0,$M679-$L679))</f>
        <v/>
      </c>
      <c r="X679" s="34" t="str">
        <f aca="false">IF($E679="","",IF(AND($O679&lt;&gt;"",$L679&lt;&gt;"",$O679&lt;&gt;$L679),1,0))</f>
        <v/>
      </c>
      <c r="Y679" s="34" t="str">
        <f aca="false">IF($E679="","",IF($N679="Cancelada",0,IF(OR($M679&lt;&gt;"",$N679="Concluída"),1,0)))</f>
        <v/>
      </c>
    </row>
    <row r="680" customFormat="false" ht="15" hidden="false" customHeight="true" outlineLevel="0" collapsed="false">
      <c r="A680" s="34" t="str">
        <f aca="false">IF($E680="","",COUNTA($E$5:$E680))</f>
        <v/>
      </c>
      <c r="B680" s="35"/>
      <c r="C680" s="35"/>
      <c r="D680" s="35"/>
      <c r="E680" s="35"/>
      <c r="F680" s="36"/>
      <c r="G680" s="37"/>
      <c r="H680" s="37"/>
      <c r="I680" s="37"/>
      <c r="J680" s="38"/>
      <c r="K680" s="39"/>
      <c r="L680" s="40" t="str">
        <f aca="false">IF(OR($J680="",$K680=""),"",$J680+MATCH($K680,Listas!$F$5:$F$11,0)-1)</f>
        <v/>
      </c>
      <c r="M680" s="41"/>
      <c r="N680" s="36"/>
      <c r="O680" s="41"/>
      <c r="P680" s="35"/>
      <c r="Q680" s="35"/>
      <c r="R680" s="42" t="str">
        <f aca="true">IF($E680="","",IF($N680="Cancelada","Cancelada",IF(OR($M680&lt;&gt;"",$N680="Concluída"),IF(OR($L680="",$M680="",$M680&lt;=$L680),"Concluída","Concluída com atraso"),IF($L680="","Na carteira",IF($L680&lt;TODAY(),"VENCIDA",IF($N680="Em execução","Em execução",IF($L680=TODAY(),"Hoje","Programada")))))))</f>
        <v/>
      </c>
      <c r="S680" s="34" t="str">
        <f aca="false">IF($E680="","",IF(ISNUMBER(SEARCH("(externo)",$G680&amp;$H680&amp;$I680)),"Terceirizada","Interna"))</f>
        <v/>
      </c>
      <c r="T680" s="40" t="str">
        <f aca="false">IF($L680="","",IF($O680="",$L680,$O680))</f>
        <v/>
      </c>
      <c r="U680" s="34" t="str">
        <f aca="false">IF($E680="","",IF(OR($M680="",$L680=""),0,IF($M680&lt;=$L680,1,0)))</f>
        <v/>
      </c>
      <c r="V680" s="34" t="str">
        <f aca="false">IF($E680="","",IF(OR($M680="",$T680=""),0,IF($M680&lt;=$T680,1,0)))</f>
        <v/>
      </c>
      <c r="W680" s="42" t="str">
        <f aca="false">IF(OR($M680="",$L680=""),"",MAX(0,$M680-$L680))</f>
        <v/>
      </c>
      <c r="X680" s="34" t="str">
        <f aca="false">IF($E680="","",IF(AND($O680&lt;&gt;"",$L680&lt;&gt;"",$O680&lt;&gt;$L680),1,0))</f>
        <v/>
      </c>
      <c r="Y680" s="34" t="str">
        <f aca="false">IF($E680="","",IF($N680="Cancelada",0,IF(OR($M680&lt;&gt;"",$N680="Concluída"),1,0)))</f>
        <v/>
      </c>
    </row>
    <row r="681" customFormat="false" ht="15" hidden="false" customHeight="true" outlineLevel="0" collapsed="false">
      <c r="A681" s="34" t="str">
        <f aca="false">IF($E681="","",COUNTA($E$5:$E681))</f>
        <v/>
      </c>
      <c r="B681" s="35"/>
      <c r="C681" s="35"/>
      <c r="D681" s="35"/>
      <c r="E681" s="35"/>
      <c r="F681" s="36"/>
      <c r="G681" s="37"/>
      <c r="H681" s="37"/>
      <c r="I681" s="37"/>
      <c r="J681" s="38"/>
      <c r="K681" s="39"/>
      <c r="L681" s="40" t="str">
        <f aca="false">IF(OR($J681="",$K681=""),"",$J681+MATCH($K681,Listas!$F$5:$F$11,0)-1)</f>
        <v/>
      </c>
      <c r="M681" s="41"/>
      <c r="N681" s="36"/>
      <c r="O681" s="41"/>
      <c r="P681" s="35"/>
      <c r="Q681" s="35"/>
      <c r="R681" s="42" t="str">
        <f aca="true">IF($E681="","",IF($N681="Cancelada","Cancelada",IF(OR($M681&lt;&gt;"",$N681="Concluída"),IF(OR($L681="",$M681="",$M681&lt;=$L681),"Concluída","Concluída com atraso"),IF($L681="","Na carteira",IF($L681&lt;TODAY(),"VENCIDA",IF($N681="Em execução","Em execução",IF($L681=TODAY(),"Hoje","Programada")))))))</f>
        <v/>
      </c>
      <c r="S681" s="34" t="str">
        <f aca="false">IF($E681="","",IF(ISNUMBER(SEARCH("(externo)",$G681&amp;$H681&amp;$I681)),"Terceirizada","Interna"))</f>
        <v/>
      </c>
      <c r="T681" s="40" t="str">
        <f aca="false">IF($L681="","",IF($O681="",$L681,$O681))</f>
        <v/>
      </c>
      <c r="U681" s="34" t="str">
        <f aca="false">IF($E681="","",IF(OR($M681="",$L681=""),0,IF($M681&lt;=$L681,1,0)))</f>
        <v/>
      </c>
      <c r="V681" s="34" t="str">
        <f aca="false">IF($E681="","",IF(OR($M681="",$T681=""),0,IF($M681&lt;=$T681,1,0)))</f>
        <v/>
      </c>
      <c r="W681" s="42" t="str">
        <f aca="false">IF(OR($M681="",$L681=""),"",MAX(0,$M681-$L681))</f>
        <v/>
      </c>
      <c r="X681" s="34" t="str">
        <f aca="false">IF($E681="","",IF(AND($O681&lt;&gt;"",$L681&lt;&gt;"",$O681&lt;&gt;$L681),1,0))</f>
        <v/>
      </c>
      <c r="Y681" s="34" t="str">
        <f aca="false">IF($E681="","",IF($N681="Cancelada",0,IF(OR($M681&lt;&gt;"",$N681="Concluída"),1,0)))</f>
        <v/>
      </c>
    </row>
    <row r="682" customFormat="false" ht="15" hidden="false" customHeight="true" outlineLevel="0" collapsed="false">
      <c r="A682" s="34" t="str">
        <f aca="false">IF($E682="","",COUNTA($E$5:$E682))</f>
        <v/>
      </c>
      <c r="B682" s="35"/>
      <c r="C682" s="35"/>
      <c r="D682" s="35"/>
      <c r="E682" s="35"/>
      <c r="F682" s="36"/>
      <c r="G682" s="37"/>
      <c r="H682" s="37"/>
      <c r="I682" s="37"/>
      <c r="J682" s="38"/>
      <c r="K682" s="39"/>
      <c r="L682" s="40" t="str">
        <f aca="false">IF(OR($J682="",$K682=""),"",$J682+MATCH($K682,Listas!$F$5:$F$11,0)-1)</f>
        <v/>
      </c>
      <c r="M682" s="41"/>
      <c r="N682" s="36"/>
      <c r="O682" s="41"/>
      <c r="P682" s="35"/>
      <c r="Q682" s="35"/>
      <c r="R682" s="42" t="str">
        <f aca="true">IF($E682="","",IF($N682="Cancelada","Cancelada",IF(OR($M682&lt;&gt;"",$N682="Concluída"),IF(OR($L682="",$M682="",$M682&lt;=$L682),"Concluída","Concluída com atraso"),IF($L682="","Na carteira",IF($L682&lt;TODAY(),"VENCIDA",IF($N682="Em execução","Em execução",IF($L682=TODAY(),"Hoje","Programada")))))))</f>
        <v/>
      </c>
      <c r="S682" s="34" t="str">
        <f aca="false">IF($E682="","",IF(ISNUMBER(SEARCH("(externo)",$G682&amp;$H682&amp;$I682)),"Terceirizada","Interna"))</f>
        <v/>
      </c>
      <c r="T682" s="40" t="str">
        <f aca="false">IF($L682="","",IF($O682="",$L682,$O682))</f>
        <v/>
      </c>
      <c r="U682" s="34" t="str">
        <f aca="false">IF($E682="","",IF(OR($M682="",$L682=""),0,IF($M682&lt;=$L682,1,0)))</f>
        <v/>
      </c>
      <c r="V682" s="34" t="str">
        <f aca="false">IF($E682="","",IF(OR($M682="",$T682=""),0,IF($M682&lt;=$T682,1,0)))</f>
        <v/>
      </c>
      <c r="W682" s="42" t="str">
        <f aca="false">IF(OR($M682="",$L682=""),"",MAX(0,$M682-$L682))</f>
        <v/>
      </c>
      <c r="X682" s="34" t="str">
        <f aca="false">IF($E682="","",IF(AND($O682&lt;&gt;"",$L682&lt;&gt;"",$O682&lt;&gt;$L682),1,0))</f>
        <v/>
      </c>
      <c r="Y682" s="34" t="str">
        <f aca="false">IF($E682="","",IF($N682="Cancelada",0,IF(OR($M682&lt;&gt;"",$N682="Concluída"),1,0)))</f>
        <v/>
      </c>
    </row>
    <row r="683" customFormat="false" ht="15" hidden="false" customHeight="true" outlineLevel="0" collapsed="false">
      <c r="A683" s="34" t="str">
        <f aca="false">IF($E683="","",COUNTA($E$5:$E683))</f>
        <v/>
      </c>
      <c r="B683" s="35"/>
      <c r="C683" s="35"/>
      <c r="D683" s="35"/>
      <c r="E683" s="35"/>
      <c r="F683" s="36"/>
      <c r="G683" s="37"/>
      <c r="H683" s="37"/>
      <c r="I683" s="37"/>
      <c r="J683" s="38"/>
      <c r="K683" s="39"/>
      <c r="L683" s="40" t="str">
        <f aca="false">IF(OR($J683="",$K683=""),"",$J683+MATCH($K683,Listas!$F$5:$F$11,0)-1)</f>
        <v/>
      </c>
      <c r="M683" s="41"/>
      <c r="N683" s="36"/>
      <c r="O683" s="41"/>
      <c r="P683" s="35"/>
      <c r="Q683" s="35"/>
      <c r="R683" s="42" t="str">
        <f aca="true">IF($E683="","",IF($N683="Cancelada","Cancelada",IF(OR($M683&lt;&gt;"",$N683="Concluída"),IF(OR($L683="",$M683="",$M683&lt;=$L683),"Concluída","Concluída com atraso"),IF($L683="","Na carteira",IF($L683&lt;TODAY(),"VENCIDA",IF($N683="Em execução","Em execução",IF($L683=TODAY(),"Hoje","Programada")))))))</f>
        <v/>
      </c>
      <c r="S683" s="34" t="str">
        <f aca="false">IF($E683="","",IF(ISNUMBER(SEARCH("(externo)",$G683&amp;$H683&amp;$I683)),"Terceirizada","Interna"))</f>
        <v/>
      </c>
      <c r="T683" s="40" t="str">
        <f aca="false">IF($L683="","",IF($O683="",$L683,$O683))</f>
        <v/>
      </c>
      <c r="U683" s="34" t="str">
        <f aca="false">IF($E683="","",IF(OR($M683="",$L683=""),0,IF($M683&lt;=$L683,1,0)))</f>
        <v/>
      </c>
      <c r="V683" s="34" t="str">
        <f aca="false">IF($E683="","",IF(OR($M683="",$T683=""),0,IF($M683&lt;=$T683,1,0)))</f>
        <v/>
      </c>
      <c r="W683" s="42" t="str">
        <f aca="false">IF(OR($M683="",$L683=""),"",MAX(0,$M683-$L683))</f>
        <v/>
      </c>
      <c r="X683" s="34" t="str">
        <f aca="false">IF($E683="","",IF(AND($O683&lt;&gt;"",$L683&lt;&gt;"",$O683&lt;&gt;$L683),1,0))</f>
        <v/>
      </c>
      <c r="Y683" s="34" t="str">
        <f aca="false">IF($E683="","",IF($N683="Cancelada",0,IF(OR($M683&lt;&gt;"",$N683="Concluída"),1,0)))</f>
        <v/>
      </c>
    </row>
    <row r="684" customFormat="false" ht="15" hidden="false" customHeight="true" outlineLevel="0" collapsed="false">
      <c r="A684" s="34" t="str">
        <f aca="false">IF($E684="","",COUNTA($E$5:$E684))</f>
        <v/>
      </c>
      <c r="B684" s="35"/>
      <c r="C684" s="35"/>
      <c r="D684" s="35"/>
      <c r="E684" s="35"/>
      <c r="F684" s="36"/>
      <c r="G684" s="37"/>
      <c r="H684" s="37"/>
      <c r="I684" s="37"/>
      <c r="J684" s="38"/>
      <c r="K684" s="39"/>
      <c r="L684" s="40" t="str">
        <f aca="false">IF(OR($J684="",$K684=""),"",$J684+MATCH($K684,Listas!$F$5:$F$11,0)-1)</f>
        <v/>
      </c>
      <c r="M684" s="41"/>
      <c r="N684" s="36"/>
      <c r="O684" s="41"/>
      <c r="P684" s="35"/>
      <c r="Q684" s="35"/>
      <c r="R684" s="42" t="str">
        <f aca="true">IF($E684="","",IF($N684="Cancelada","Cancelada",IF(OR($M684&lt;&gt;"",$N684="Concluída"),IF(OR($L684="",$M684="",$M684&lt;=$L684),"Concluída","Concluída com atraso"),IF($L684="","Na carteira",IF($L684&lt;TODAY(),"VENCIDA",IF($N684="Em execução","Em execução",IF($L684=TODAY(),"Hoje","Programada")))))))</f>
        <v/>
      </c>
      <c r="S684" s="34" t="str">
        <f aca="false">IF($E684="","",IF(ISNUMBER(SEARCH("(externo)",$G684&amp;$H684&amp;$I684)),"Terceirizada","Interna"))</f>
        <v/>
      </c>
      <c r="T684" s="40" t="str">
        <f aca="false">IF($L684="","",IF($O684="",$L684,$O684))</f>
        <v/>
      </c>
      <c r="U684" s="34" t="str">
        <f aca="false">IF($E684="","",IF(OR($M684="",$L684=""),0,IF($M684&lt;=$L684,1,0)))</f>
        <v/>
      </c>
      <c r="V684" s="34" t="str">
        <f aca="false">IF($E684="","",IF(OR($M684="",$T684=""),0,IF($M684&lt;=$T684,1,0)))</f>
        <v/>
      </c>
      <c r="W684" s="42" t="str">
        <f aca="false">IF(OR($M684="",$L684=""),"",MAX(0,$M684-$L684))</f>
        <v/>
      </c>
      <c r="X684" s="34" t="str">
        <f aca="false">IF($E684="","",IF(AND($O684&lt;&gt;"",$L684&lt;&gt;"",$O684&lt;&gt;$L684),1,0))</f>
        <v/>
      </c>
      <c r="Y684" s="34" t="str">
        <f aca="false">IF($E684="","",IF($N684="Cancelada",0,IF(OR($M684&lt;&gt;"",$N684="Concluída"),1,0)))</f>
        <v/>
      </c>
    </row>
    <row r="685" customFormat="false" ht="15" hidden="false" customHeight="true" outlineLevel="0" collapsed="false">
      <c r="A685" s="34" t="str">
        <f aca="false">IF($E685="","",COUNTA($E$5:$E685))</f>
        <v/>
      </c>
      <c r="B685" s="35"/>
      <c r="C685" s="35"/>
      <c r="D685" s="35"/>
      <c r="E685" s="35"/>
      <c r="F685" s="36"/>
      <c r="G685" s="37"/>
      <c r="H685" s="37"/>
      <c r="I685" s="37"/>
      <c r="J685" s="38"/>
      <c r="K685" s="39"/>
      <c r="L685" s="40" t="str">
        <f aca="false">IF(OR($J685="",$K685=""),"",$J685+MATCH($K685,Listas!$F$5:$F$11,0)-1)</f>
        <v/>
      </c>
      <c r="M685" s="41"/>
      <c r="N685" s="36"/>
      <c r="O685" s="41"/>
      <c r="P685" s="35"/>
      <c r="Q685" s="35"/>
      <c r="R685" s="42" t="str">
        <f aca="true">IF($E685="","",IF($N685="Cancelada","Cancelada",IF(OR($M685&lt;&gt;"",$N685="Concluída"),IF(OR($L685="",$M685="",$M685&lt;=$L685),"Concluída","Concluída com atraso"),IF($L685="","Na carteira",IF($L685&lt;TODAY(),"VENCIDA",IF($N685="Em execução","Em execução",IF($L685=TODAY(),"Hoje","Programada")))))))</f>
        <v/>
      </c>
      <c r="S685" s="34" t="str">
        <f aca="false">IF($E685="","",IF(ISNUMBER(SEARCH("(externo)",$G685&amp;$H685&amp;$I685)),"Terceirizada","Interna"))</f>
        <v/>
      </c>
      <c r="T685" s="40" t="str">
        <f aca="false">IF($L685="","",IF($O685="",$L685,$O685))</f>
        <v/>
      </c>
      <c r="U685" s="34" t="str">
        <f aca="false">IF($E685="","",IF(OR($M685="",$L685=""),0,IF($M685&lt;=$L685,1,0)))</f>
        <v/>
      </c>
      <c r="V685" s="34" t="str">
        <f aca="false">IF($E685="","",IF(OR($M685="",$T685=""),0,IF($M685&lt;=$T685,1,0)))</f>
        <v/>
      </c>
      <c r="W685" s="42" t="str">
        <f aca="false">IF(OR($M685="",$L685=""),"",MAX(0,$M685-$L685))</f>
        <v/>
      </c>
      <c r="X685" s="34" t="str">
        <f aca="false">IF($E685="","",IF(AND($O685&lt;&gt;"",$L685&lt;&gt;"",$O685&lt;&gt;$L685),1,0))</f>
        <v/>
      </c>
      <c r="Y685" s="34" t="str">
        <f aca="false">IF($E685="","",IF($N685="Cancelada",0,IF(OR($M685&lt;&gt;"",$N685="Concluída"),1,0)))</f>
        <v/>
      </c>
    </row>
    <row r="686" customFormat="false" ht="15" hidden="false" customHeight="true" outlineLevel="0" collapsed="false">
      <c r="A686" s="34" t="str">
        <f aca="false">IF($E686="","",COUNTA($E$5:$E686))</f>
        <v/>
      </c>
      <c r="B686" s="35"/>
      <c r="C686" s="35"/>
      <c r="D686" s="35"/>
      <c r="E686" s="35"/>
      <c r="F686" s="36"/>
      <c r="G686" s="37"/>
      <c r="H686" s="37"/>
      <c r="I686" s="37"/>
      <c r="J686" s="38"/>
      <c r="K686" s="39"/>
      <c r="L686" s="40" t="str">
        <f aca="false">IF(OR($J686="",$K686=""),"",$J686+MATCH($K686,Listas!$F$5:$F$11,0)-1)</f>
        <v/>
      </c>
      <c r="M686" s="41"/>
      <c r="N686" s="36"/>
      <c r="O686" s="41"/>
      <c r="P686" s="35"/>
      <c r="Q686" s="35"/>
      <c r="R686" s="42" t="str">
        <f aca="true">IF($E686="","",IF($N686="Cancelada","Cancelada",IF(OR($M686&lt;&gt;"",$N686="Concluída"),IF(OR($L686="",$M686="",$M686&lt;=$L686),"Concluída","Concluída com atraso"),IF($L686="","Na carteira",IF($L686&lt;TODAY(),"VENCIDA",IF($N686="Em execução","Em execução",IF($L686=TODAY(),"Hoje","Programada")))))))</f>
        <v/>
      </c>
      <c r="S686" s="34" t="str">
        <f aca="false">IF($E686="","",IF(ISNUMBER(SEARCH("(externo)",$G686&amp;$H686&amp;$I686)),"Terceirizada","Interna"))</f>
        <v/>
      </c>
      <c r="T686" s="40" t="str">
        <f aca="false">IF($L686="","",IF($O686="",$L686,$O686))</f>
        <v/>
      </c>
      <c r="U686" s="34" t="str">
        <f aca="false">IF($E686="","",IF(OR($M686="",$L686=""),0,IF($M686&lt;=$L686,1,0)))</f>
        <v/>
      </c>
      <c r="V686" s="34" t="str">
        <f aca="false">IF($E686="","",IF(OR($M686="",$T686=""),0,IF($M686&lt;=$T686,1,0)))</f>
        <v/>
      </c>
      <c r="W686" s="42" t="str">
        <f aca="false">IF(OR($M686="",$L686=""),"",MAX(0,$M686-$L686))</f>
        <v/>
      </c>
      <c r="X686" s="34" t="str">
        <f aca="false">IF($E686="","",IF(AND($O686&lt;&gt;"",$L686&lt;&gt;"",$O686&lt;&gt;$L686),1,0))</f>
        <v/>
      </c>
      <c r="Y686" s="34" t="str">
        <f aca="false">IF($E686="","",IF($N686="Cancelada",0,IF(OR($M686&lt;&gt;"",$N686="Concluída"),1,0)))</f>
        <v/>
      </c>
    </row>
    <row r="687" customFormat="false" ht="15" hidden="false" customHeight="true" outlineLevel="0" collapsed="false">
      <c r="A687" s="34" t="str">
        <f aca="false">IF($E687="","",COUNTA($E$5:$E687))</f>
        <v/>
      </c>
      <c r="B687" s="35"/>
      <c r="C687" s="35"/>
      <c r="D687" s="35"/>
      <c r="E687" s="35"/>
      <c r="F687" s="36"/>
      <c r="G687" s="37"/>
      <c r="H687" s="37"/>
      <c r="I687" s="37"/>
      <c r="J687" s="38"/>
      <c r="K687" s="39"/>
      <c r="L687" s="40" t="str">
        <f aca="false">IF(OR($J687="",$K687=""),"",$J687+MATCH($K687,Listas!$F$5:$F$11,0)-1)</f>
        <v/>
      </c>
      <c r="M687" s="41"/>
      <c r="N687" s="36"/>
      <c r="O687" s="41"/>
      <c r="P687" s="35"/>
      <c r="Q687" s="35"/>
      <c r="R687" s="42" t="str">
        <f aca="true">IF($E687="","",IF($N687="Cancelada","Cancelada",IF(OR($M687&lt;&gt;"",$N687="Concluída"),IF(OR($L687="",$M687="",$M687&lt;=$L687),"Concluída","Concluída com atraso"),IF($L687="","Na carteira",IF($L687&lt;TODAY(),"VENCIDA",IF($N687="Em execução","Em execução",IF($L687=TODAY(),"Hoje","Programada")))))))</f>
        <v/>
      </c>
      <c r="S687" s="34" t="str">
        <f aca="false">IF($E687="","",IF(ISNUMBER(SEARCH("(externo)",$G687&amp;$H687&amp;$I687)),"Terceirizada","Interna"))</f>
        <v/>
      </c>
      <c r="T687" s="40" t="str">
        <f aca="false">IF($L687="","",IF($O687="",$L687,$O687))</f>
        <v/>
      </c>
      <c r="U687" s="34" t="str">
        <f aca="false">IF($E687="","",IF(OR($M687="",$L687=""),0,IF($M687&lt;=$L687,1,0)))</f>
        <v/>
      </c>
      <c r="V687" s="34" t="str">
        <f aca="false">IF($E687="","",IF(OR($M687="",$T687=""),0,IF($M687&lt;=$T687,1,0)))</f>
        <v/>
      </c>
      <c r="W687" s="42" t="str">
        <f aca="false">IF(OR($M687="",$L687=""),"",MAX(0,$M687-$L687))</f>
        <v/>
      </c>
      <c r="X687" s="34" t="str">
        <f aca="false">IF($E687="","",IF(AND($O687&lt;&gt;"",$L687&lt;&gt;"",$O687&lt;&gt;$L687),1,0))</f>
        <v/>
      </c>
      <c r="Y687" s="34" t="str">
        <f aca="false">IF($E687="","",IF($N687="Cancelada",0,IF(OR($M687&lt;&gt;"",$N687="Concluída"),1,0)))</f>
        <v/>
      </c>
    </row>
    <row r="688" customFormat="false" ht="15" hidden="false" customHeight="true" outlineLevel="0" collapsed="false">
      <c r="A688" s="34" t="str">
        <f aca="false">IF($E688="","",COUNTA($E$5:$E688))</f>
        <v/>
      </c>
      <c r="B688" s="35"/>
      <c r="C688" s="35"/>
      <c r="D688" s="35"/>
      <c r="E688" s="35"/>
      <c r="F688" s="36"/>
      <c r="G688" s="37"/>
      <c r="H688" s="37"/>
      <c r="I688" s="37"/>
      <c r="J688" s="38"/>
      <c r="K688" s="39"/>
      <c r="L688" s="40" t="str">
        <f aca="false">IF(OR($J688="",$K688=""),"",$J688+MATCH($K688,Listas!$F$5:$F$11,0)-1)</f>
        <v/>
      </c>
      <c r="M688" s="41"/>
      <c r="N688" s="36"/>
      <c r="O688" s="41"/>
      <c r="P688" s="35"/>
      <c r="Q688" s="35"/>
      <c r="R688" s="42" t="str">
        <f aca="true">IF($E688="","",IF($N688="Cancelada","Cancelada",IF(OR($M688&lt;&gt;"",$N688="Concluída"),IF(OR($L688="",$M688="",$M688&lt;=$L688),"Concluída","Concluída com atraso"),IF($L688="","Na carteira",IF($L688&lt;TODAY(),"VENCIDA",IF($N688="Em execução","Em execução",IF($L688=TODAY(),"Hoje","Programada")))))))</f>
        <v/>
      </c>
      <c r="S688" s="34" t="str">
        <f aca="false">IF($E688="","",IF(ISNUMBER(SEARCH("(externo)",$G688&amp;$H688&amp;$I688)),"Terceirizada","Interna"))</f>
        <v/>
      </c>
      <c r="T688" s="40" t="str">
        <f aca="false">IF($L688="","",IF($O688="",$L688,$O688))</f>
        <v/>
      </c>
      <c r="U688" s="34" t="str">
        <f aca="false">IF($E688="","",IF(OR($M688="",$L688=""),0,IF($M688&lt;=$L688,1,0)))</f>
        <v/>
      </c>
      <c r="V688" s="34" t="str">
        <f aca="false">IF($E688="","",IF(OR($M688="",$T688=""),0,IF($M688&lt;=$T688,1,0)))</f>
        <v/>
      </c>
      <c r="W688" s="42" t="str">
        <f aca="false">IF(OR($M688="",$L688=""),"",MAX(0,$M688-$L688))</f>
        <v/>
      </c>
      <c r="X688" s="34" t="str">
        <f aca="false">IF($E688="","",IF(AND($O688&lt;&gt;"",$L688&lt;&gt;"",$O688&lt;&gt;$L688),1,0))</f>
        <v/>
      </c>
      <c r="Y688" s="34" t="str">
        <f aca="false">IF($E688="","",IF($N688="Cancelada",0,IF(OR($M688&lt;&gt;"",$N688="Concluída"),1,0)))</f>
        <v/>
      </c>
    </row>
    <row r="689" customFormat="false" ht="15" hidden="false" customHeight="true" outlineLevel="0" collapsed="false">
      <c r="A689" s="34" t="str">
        <f aca="false">IF($E689="","",COUNTA($E$5:$E689))</f>
        <v/>
      </c>
      <c r="B689" s="35"/>
      <c r="C689" s="35"/>
      <c r="D689" s="35"/>
      <c r="E689" s="35"/>
      <c r="F689" s="36"/>
      <c r="G689" s="37"/>
      <c r="H689" s="37"/>
      <c r="I689" s="37"/>
      <c r="J689" s="38"/>
      <c r="K689" s="39"/>
      <c r="L689" s="40" t="str">
        <f aca="false">IF(OR($J689="",$K689=""),"",$J689+MATCH($K689,Listas!$F$5:$F$11,0)-1)</f>
        <v/>
      </c>
      <c r="M689" s="41"/>
      <c r="N689" s="36"/>
      <c r="O689" s="41"/>
      <c r="P689" s="35"/>
      <c r="Q689" s="35"/>
      <c r="R689" s="42" t="str">
        <f aca="true">IF($E689="","",IF($N689="Cancelada","Cancelada",IF(OR($M689&lt;&gt;"",$N689="Concluída"),IF(OR($L689="",$M689="",$M689&lt;=$L689),"Concluída","Concluída com atraso"),IF($L689="","Na carteira",IF($L689&lt;TODAY(),"VENCIDA",IF($N689="Em execução","Em execução",IF($L689=TODAY(),"Hoje","Programada")))))))</f>
        <v/>
      </c>
      <c r="S689" s="34" t="str">
        <f aca="false">IF($E689="","",IF(ISNUMBER(SEARCH("(externo)",$G689&amp;$H689&amp;$I689)),"Terceirizada","Interna"))</f>
        <v/>
      </c>
      <c r="T689" s="40" t="str">
        <f aca="false">IF($L689="","",IF($O689="",$L689,$O689))</f>
        <v/>
      </c>
      <c r="U689" s="34" t="str">
        <f aca="false">IF($E689="","",IF(OR($M689="",$L689=""),0,IF($M689&lt;=$L689,1,0)))</f>
        <v/>
      </c>
      <c r="V689" s="34" t="str">
        <f aca="false">IF($E689="","",IF(OR($M689="",$T689=""),0,IF($M689&lt;=$T689,1,0)))</f>
        <v/>
      </c>
      <c r="W689" s="42" t="str">
        <f aca="false">IF(OR($M689="",$L689=""),"",MAX(0,$M689-$L689))</f>
        <v/>
      </c>
      <c r="X689" s="34" t="str">
        <f aca="false">IF($E689="","",IF(AND($O689&lt;&gt;"",$L689&lt;&gt;"",$O689&lt;&gt;$L689),1,0))</f>
        <v/>
      </c>
      <c r="Y689" s="34" t="str">
        <f aca="false">IF($E689="","",IF($N689="Cancelada",0,IF(OR($M689&lt;&gt;"",$N689="Concluída"),1,0)))</f>
        <v/>
      </c>
    </row>
    <row r="690" customFormat="false" ht="15" hidden="false" customHeight="true" outlineLevel="0" collapsed="false">
      <c r="A690" s="34" t="str">
        <f aca="false">IF($E690="","",COUNTA($E$5:$E690))</f>
        <v/>
      </c>
      <c r="B690" s="35"/>
      <c r="C690" s="35"/>
      <c r="D690" s="35"/>
      <c r="E690" s="35"/>
      <c r="F690" s="36"/>
      <c r="G690" s="37"/>
      <c r="H690" s="37"/>
      <c r="I690" s="37"/>
      <c r="J690" s="38"/>
      <c r="K690" s="39"/>
      <c r="L690" s="40" t="str">
        <f aca="false">IF(OR($J690="",$K690=""),"",$J690+MATCH($K690,Listas!$F$5:$F$11,0)-1)</f>
        <v/>
      </c>
      <c r="M690" s="41"/>
      <c r="N690" s="36"/>
      <c r="O690" s="41"/>
      <c r="P690" s="35"/>
      <c r="Q690" s="35"/>
      <c r="R690" s="42" t="str">
        <f aca="true">IF($E690="","",IF($N690="Cancelada","Cancelada",IF(OR($M690&lt;&gt;"",$N690="Concluída"),IF(OR($L690="",$M690="",$M690&lt;=$L690),"Concluída","Concluída com atraso"),IF($L690="","Na carteira",IF($L690&lt;TODAY(),"VENCIDA",IF($N690="Em execução","Em execução",IF($L690=TODAY(),"Hoje","Programada")))))))</f>
        <v/>
      </c>
      <c r="S690" s="34" t="str">
        <f aca="false">IF($E690="","",IF(ISNUMBER(SEARCH("(externo)",$G690&amp;$H690&amp;$I690)),"Terceirizada","Interna"))</f>
        <v/>
      </c>
      <c r="T690" s="40" t="str">
        <f aca="false">IF($L690="","",IF($O690="",$L690,$O690))</f>
        <v/>
      </c>
      <c r="U690" s="34" t="str">
        <f aca="false">IF($E690="","",IF(OR($M690="",$L690=""),0,IF($M690&lt;=$L690,1,0)))</f>
        <v/>
      </c>
      <c r="V690" s="34" t="str">
        <f aca="false">IF($E690="","",IF(OR($M690="",$T690=""),0,IF($M690&lt;=$T690,1,0)))</f>
        <v/>
      </c>
      <c r="W690" s="42" t="str">
        <f aca="false">IF(OR($M690="",$L690=""),"",MAX(0,$M690-$L690))</f>
        <v/>
      </c>
      <c r="X690" s="34" t="str">
        <f aca="false">IF($E690="","",IF(AND($O690&lt;&gt;"",$L690&lt;&gt;"",$O690&lt;&gt;$L690),1,0))</f>
        <v/>
      </c>
      <c r="Y690" s="34" t="str">
        <f aca="false">IF($E690="","",IF($N690="Cancelada",0,IF(OR($M690&lt;&gt;"",$N690="Concluída"),1,0)))</f>
        <v/>
      </c>
    </row>
    <row r="691" customFormat="false" ht="15" hidden="false" customHeight="true" outlineLevel="0" collapsed="false">
      <c r="A691" s="34" t="str">
        <f aca="false">IF($E691="","",COUNTA($E$5:$E691))</f>
        <v/>
      </c>
      <c r="B691" s="35"/>
      <c r="C691" s="35"/>
      <c r="D691" s="35"/>
      <c r="E691" s="35"/>
      <c r="F691" s="36"/>
      <c r="G691" s="37"/>
      <c r="H691" s="37"/>
      <c r="I691" s="37"/>
      <c r="J691" s="38"/>
      <c r="K691" s="39"/>
      <c r="L691" s="40" t="str">
        <f aca="false">IF(OR($J691="",$K691=""),"",$J691+MATCH($K691,Listas!$F$5:$F$11,0)-1)</f>
        <v/>
      </c>
      <c r="M691" s="41"/>
      <c r="N691" s="36"/>
      <c r="O691" s="41"/>
      <c r="P691" s="35"/>
      <c r="Q691" s="35"/>
      <c r="R691" s="42" t="str">
        <f aca="true">IF($E691="","",IF($N691="Cancelada","Cancelada",IF(OR($M691&lt;&gt;"",$N691="Concluída"),IF(OR($L691="",$M691="",$M691&lt;=$L691),"Concluída","Concluída com atraso"),IF($L691="","Na carteira",IF($L691&lt;TODAY(),"VENCIDA",IF($N691="Em execução","Em execução",IF($L691=TODAY(),"Hoje","Programada")))))))</f>
        <v/>
      </c>
      <c r="S691" s="34" t="str">
        <f aca="false">IF($E691="","",IF(ISNUMBER(SEARCH("(externo)",$G691&amp;$H691&amp;$I691)),"Terceirizada","Interna"))</f>
        <v/>
      </c>
      <c r="T691" s="40" t="str">
        <f aca="false">IF($L691="","",IF($O691="",$L691,$O691))</f>
        <v/>
      </c>
      <c r="U691" s="34" t="str">
        <f aca="false">IF($E691="","",IF(OR($M691="",$L691=""),0,IF($M691&lt;=$L691,1,0)))</f>
        <v/>
      </c>
      <c r="V691" s="34" t="str">
        <f aca="false">IF($E691="","",IF(OR($M691="",$T691=""),0,IF($M691&lt;=$T691,1,0)))</f>
        <v/>
      </c>
      <c r="W691" s="42" t="str">
        <f aca="false">IF(OR($M691="",$L691=""),"",MAX(0,$M691-$L691))</f>
        <v/>
      </c>
      <c r="X691" s="34" t="str">
        <f aca="false">IF($E691="","",IF(AND($O691&lt;&gt;"",$L691&lt;&gt;"",$O691&lt;&gt;$L691),1,0))</f>
        <v/>
      </c>
      <c r="Y691" s="34" t="str">
        <f aca="false">IF($E691="","",IF($N691="Cancelada",0,IF(OR($M691&lt;&gt;"",$N691="Concluída"),1,0)))</f>
        <v/>
      </c>
    </row>
    <row r="692" customFormat="false" ht="15" hidden="false" customHeight="true" outlineLevel="0" collapsed="false">
      <c r="A692" s="34" t="str">
        <f aca="false">IF($E692="","",COUNTA($E$5:$E692))</f>
        <v/>
      </c>
      <c r="B692" s="35"/>
      <c r="C692" s="35"/>
      <c r="D692" s="35"/>
      <c r="E692" s="35"/>
      <c r="F692" s="36"/>
      <c r="G692" s="37"/>
      <c r="H692" s="37"/>
      <c r="I692" s="37"/>
      <c r="J692" s="38"/>
      <c r="K692" s="39"/>
      <c r="L692" s="40" t="str">
        <f aca="false">IF(OR($J692="",$K692=""),"",$J692+MATCH($K692,Listas!$F$5:$F$11,0)-1)</f>
        <v/>
      </c>
      <c r="M692" s="41"/>
      <c r="N692" s="36"/>
      <c r="O692" s="41"/>
      <c r="P692" s="35"/>
      <c r="Q692" s="35"/>
      <c r="R692" s="42" t="str">
        <f aca="true">IF($E692="","",IF($N692="Cancelada","Cancelada",IF(OR($M692&lt;&gt;"",$N692="Concluída"),IF(OR($L692="",$M692="",$M692&lt;=$L692),"Concluída","Concluída com atraso"),IF($L692="","Na carteira",IF($L692&lt;TODAY(),"VENCIDA",IF($N692="Em execução","Em execução",IF($L692=TODAY(),"Hoje","Programada")))))))</f>
        <v/>
      </c>
      <c r="S692" s="34" t="str">
        <f aca="false">IF($E692="","",IF(ISNUMBER(SEARCH("(externo)",$G692&amp;$H692&amp;$I692)),"Terceirizada","Interna"))</f>
        <v/>
      </c>
      <c r="T692" s="40" t="str">
        <f aca="false">IF($L692="","",IF($O692="",$L692,$O692))</f>
        <v/>
      </c>
      <c r="U692" s="34" t="str">
        <f aca="false">IF($E692="","",IF(OR($M692="",$L692=""),0,IF($M692&lt;=$L692,1,0)))</f>
        <v/>
      </c>
      <c r="V692" s="34" t="str">
        <f aca="false">IF($E692="","",IF(OR($M692="",$T692=""),0,IF($M692&lt;=$T692,1,0)))</f>
        <v/>
      </c>
      <c r="W692" s="42" t="str">
        <f aca="false">IF(OR($M692="",$L692=""),"",MAX(0,$M692-$L692))</f>
        <v/>
      </c>
      <c r="X692" s="34" t="str">
        <f aca="false">IF($E692="","",IF(AND($O692&lt;&gt;"",$L692&lt;&gt;"",$O692&lt;&gt;$L692),1,0))</f>
        <v/>
      </c>
      <c r="Y692" s="34" t="str">
        <f aca="false">IF($E692="","",IF($N692="Cancelada",0,IF(OR($M692&lt;&gt;"",$N692="Concluída"),1,0)))</f>
        <v/>
      </c>
    </row>
    <row r="693" customFormat="false" ht="15" hidden="false" customHeight="true" outlineLevel="0" collapsed="false">
      <c r="A693" s="34" t="str">
        <f aca="false">IF($E693="","",COUNTA($E$5:$E693))</f>
        <v/>
      </c>
      <c r="B693" s="35"/>
      <c r="C693" s="35"/>
      <c r="D693" s="35"/>
      <c r="E693" s="35"/>
      <c r="F693" s="36"/>
      <c r="G693" s="37"/>
      <c r="H693" s="37"/>
      <c r="I693" s="37"/>
      <c r="J693" s="38"/>
      <c r="K693" s="39"/>
      <c r="L693" s="40" t="str">
        <f aca="false">IF(OR($J693="",$K693=""),"",$J693+MATCH($K693,Listas!$F$5:$F$11,0)-1)</f>
        <v/>
      </c>
      <c r="M693" s="41"/>
      <c r="N693" s="36"/>
      <c r="O693" s="41"/>
      <c r="P693" s="35"/>
      <c r="Q693" s="35"/>
      <c r="R693" s="42" t="str">
        <f aca="true">IF($E693="","",IF($N693="Cancelada","Cancelada",IF(OR($M693&lt;&gt;"",$N693="Concluída"),IF(OR($L693="",$M693="",$M693&lt;=$L693),"Concluída","Concluída com atraso"),IF($L693="","Na carteira",IF($L693&lt;TODAY(),"VENCIDA",IF($N693="Em execução","Em execução",IF($L693=TODAY(),"Hoje","Programada")))))))</f>
        <v/>
      </c>
      <c r="S693" s="34" t="str">
        <f aca="false">IF($E693="","",IF(ISNUMBER(SEARCH("(externo)",$G693&amp;$H693&amp;$I693)),"Terceirizada","Interna"))</f>
        <v/>
      </c>
      <c r="T693" s="40" t="str">
        <f aca="false">IF($L693="","",IF($O693="",$L693,$O693))</f>
        <v/>
      </c>
      <c r="U693" s="34" t="str">
        <f aca="false">IF($E693="","",IF(OR($M693="",$L693=""),0,IF($M693&lt;=$L693,1,0)))</f>
        <v/>
      </c>
      <c r="V693" s="34" t="str">
        <f aca="false">IF($E693="","",IF(OR($M693="",$T693=""),0,IF($M693&lt;=$T693,1,0)))</f>
        <v/>
      </c>
      <c r="W693" s="42" t="str">
        <f aca="false">IF(OR($M693="",$L693=""),"",MAX(0,$M693-$L693))</f>
        <v/>
      </c>
      <c r="X693" s="34" t="str">
        <f aca="false">IF($E693="","",IF(AND($O693&lt;&gt;"",$L693&lt;&gt;"",$O693&lt;&gt;$L693),1,0))</f>
        <v/>
      </c>
      <c r="Y693" s="34" t="str">
        <f aca="false">IF($E693="","",IF($N693="Cancelada",0,IF(OR($M693&lt;&gt;"",$N693="Concluída"),1,0)))</f>
        <v/>
      </c>
    </row>
    <row r="694" customFormat="false" ht="15" hidden="false" customHeight="true" outlineLevel="0" collapsed="false">
      <c r="A694" s="34" t="str">
        <f aca="false">IF($E694="","",COUNTA($E$5:$E694))</f>
        <v/>
      </c>
      <c r="B694" s="35"/>
      <c r="C694" s="35"/>
      <c r="D694" s="35"/>
      <c r="E694" s="35"/>
      <c r="F694" s="36"/>
      <c r="G694" s="37"/>
      <c r="H694" s="37"/>
      <c r="I694" s="37"/>
      <c r="J694" s="38"/>
      <c r="K694" s="39"/>
      <c r="L694" s="40" t="str">
        <f aca="false">IF(OR($J694="",$K694=""),"",$J694+MATCH($K694,Listas!$F$5:$F$11,0)-1)</f>
        <v/>
      </c>
      <c r="M694" s="41"/>
      <c r="N694" s="36"/>
      <c r="O694" s="41"/>
      <c r="P694" s="35"/>
      <c r="Q694" s="35"/>
      <c r="R694" s="42" t="str">
        <f aca="true">IF($E694="","",IF($N694="Cancelada","Cancelada",IF(OR($M694&lt;&gt;"",$N694="Concluída"),IF(OR($L694="",$M694="",$M694&lt;=$L694),"Concluída","Concluída com atraso"),IF($L694="","Na carteira",IF($L694&lt;TODAY(),"VENCIDA",IF($N694="Em execução","Em execução",IF($L694=TODAY(),"Hoje","Programada")))))))</f>
        <v/>
      </c>
      <c r="S694" s="34" t="str">
        <f aca="false">IF($E694="","",IF(ISNUMBER(SEARCH("(externo)",$G694&amp;$H694&amp;$I694)),"Terceirizada","Interna"))</f>
        <v/>
      </c>
      <c r="T694" s="40" t="str">
        <f aca="false">IF($L694="","",IF($O694="",$L694,$O694))</f>
        <v/>
      </c>
      <c r="U694" s="34" t="str">
        <f aca="false">IF($E694="","",IF(OR($M694="",$L694=""),0,IF($M694&lt;=$L694,1,0)))</f>
        <v/>
      </c>
      <c r="V694" s="34" t="str">
        <f aca="false">IF($E694="","",IF(OR($M694="",$T694=""),0,IF($M694&lt;=$T694,1,0)))</f>
        <v/>
      </c>
      <c r="W694" s="42" t="str">
        <f aca="false">IF(OR($M694="",$L694=""),"",MAX(0,$M694-$L694))</f>
        <v/>
      </c>
      <c r="X694" s="34" t="str">
        <f aca="false">IF($E694="","",IF(AND($O694&lt;&gt;"",$L694&lt;&gt;"",$O694&lt;&gt;$L694),1,0))</f>
        <v/>
      </c>
      <c r="Y694" s="34" t="str">
        <f aca="false">IF($E694="","",IF($N694="Cancelada",0,IF(OR($M694&lt;&gt;"",$N694="Concluída"),1,0)))</f>
        <v/>
      </c>
    </row>
    <row r="695" customFormat="false" ht="15" hidden="false" customHeight="true" outlineLevel="0" collapsed="false">
      <c r="A695" s="34" t="str">
        <f aca="false">IF($E695="","",COUNTA($E$5:$E695))</f>
        <v/>
      </c>
      <c r="B695" s="35"/>
      <c r="C695" s="35"/>
      <c r="D695" s="35"/>
      <c r="E695" s="35"/>
      <c r="F695" s="36"/>
      <c r="G695" s="37"/>
      <c r="H695" s="37"/>
      <c r="I695" s="37"/>
      <c r="J695" s="38"/>
      <c r="K695" s="39"/>
      <c r="L695" s="40" t="str">
        <f aca="false">IF(OR($J695="",$K695=""),"",$J695+MATCH($K695,Listas!$F$5:$F$11,0)-1)</f>
        <v/>
      </c>
      <c r="M695" s="41"/>
      <c r="N695" s="36"/>
      <c r="O695" s="41"/>
      <c r="P695" s="35"/>
      <c r="Q695" s="35"/>
      <c r="R695" s="42" t="str">
        <f aca="true">IF($E695="","",IF($N695="Cancelada","Cancelada",IF(OR($M695&lt;&gt;"",$N695="Concluída"),IF(OR($L695="",$M695="",$M695&lt;=$L695),"Concluída","Concluída com atraso"),IF($L695="","Na carteira",IF($L695&lt;TODAY(),"VENCIDA",IF($N695="Em execução","Em execução",IF($L695=TODAY(),"Hoje","Programada")))))))</f>
        <v/>
      </c>
      <c r="S695" s="34" t="str">
        <f aca="false">IF($E695="","",IF(ISNUMBER(SEARCH("(externo)",$G695&amp;$H695&amp;$I695)),"Terceirizada","Interna"))</f>
        <v/>
      </c>
      <c r="T695" s="40" t="str">
        <f aca="false">IF($L695="","",IF($O695="",$L695,$O695))</f>
        <v/>
      </c>
      <c r="U695" s="34" t="str">
        <f aca="false">IF($E695="","",IF(OR($M695="",$L695=""),0,IF($M695&lt;=$L695,1,0)))</f>
        <v/>
      </c>
      <c r="V695" s="34" t="str">
        <f aca="false">IF($E695="","",IF(OR($M695="",$T695=""),0,IF($M695&lt;=$T695,1,0)))</f>
        <v/>
      </c>
      <c r="W695" s="42" t="str">
        <f aca="false">IF(OR($M695="",$L695=""),"",MAX(0,$M695-$L695))</f>
        <v/>
      </c>
      <c r="X695" s="34" t="str">
        <f aca="false">IF($E695="","",IF(AND($O695&lt;&gt;"",$L695&lt;&gt;"",$O695&lt;&gt;$L695),1,0))</f>
        <v/>
      </c>
      <c r="Y695" s="34" t="str">
        <f aca="false">IF($E695="","",IF($N695="Cancelada",0,IF(OR($M695&lt;&gt;"",$N695="Concluída"),1,0)))</f>
        <v/>
      </c>
    </row>
    <row r="696" customFormat="false" ht="15" hidden="false" customHeight="true" outlineLevel="0" collapsed="false">
      <c r="A696" s="34" t="str">
        <f aca="false">IF($E696="","",COUNTA($E$5:$E696))</f>
        <v/>
      </c>
      <c r="B696" s="35"/>
      <c r="C696" s="35"/>
      <c r="D696" s="35"/>
      <c r="E696" s="35"/>
      <c r="F696" s="36"/>
      <c r="G696" s="37"/>
      <c r="H696" s="37"/>
      <c r="I696" s="37"/>
      <c r="J696" s="38"/>
      <c r="K696" s="39"/>
      <c r="L696" s="40" t="str">
        <f aca="false">IF(OR($J696="",$K696=""),"",$J696+MATCH($K696,Listas!$F$5:$F$11,0)-1)</f>
        <v/>
      </c>
      <c r="M696" s="41"/>
      <c r="N696" s="36"/>
      <c r="O696" s="41"/>
      <c r="P696" s="35"/>
      <c r="Q696" s="35"/>
      <c r="R696" s="42" t="str">
        <f aca="true">IF($E696="","",IF($N696="Cancelada","Cancelada",IF(OR($M696&lt;&gt;"",$N696="Concluída"),IF(OR($L696="",$M696="",$M696&lt;=$L696),"Concluída","Concluída com atraso"),IF($L696="","Na carteira",IF($L696&lt;TODAY(),"VENCIDA",IF($N696="Em execução","Em execução",IF($L696=TODAY(),"Hoje","Programada")))))))</f>
        <v/>
      </c>
      <c r="S696" s="34" t="str">
        <f aca="false">IF($E696="","",IF(ISNUMBER(SEARCH("(externo)",$G696&amp;$H696&amp;$I696)),"Terceirizada","Interna"))</f>
        <v/>
      </c>
      <c r="T696" s="40" t="str">
        <f aca="false">IF($L696="","",IF($O696="",$L696,$O696))</f>
        <v/>
      </c>
      <c r="U696" s="34" t="str">
        <f aca="false">IF($E696="","",IF(OR($M696="",$L696=""),0,IF($M696&lt;=$L696,1,0)))</f>
        <v/>
      </c>
      <c r="V696" s="34" t="str">
        <f aca="false">IF($E696="","",IF(OR($M696="",$T696=""),0,IF($M696&lt;=$T696,1,0)))</f>
        <v/>
      </c>
      <c r="W696" s="42" t="str">
        <f aca="false">IF(OR($M696="",$L696=""),"",MAX(0,$M696-$L696))</f>
        <v/>
      </c>
      <c r="X696" s="34" t="str">
        <f aca="false">IF($E696="","",IF(AND($O696&lt;&gt;"",$L696&lt;&gt;"",$O696&lt;&gt;$L696),1,0))</f>
        <v/>
      </c>
      <c r="Y696" s="34" t="str">
        <f aca="false">IF($E696="","",IF($N696="Cancelada",0,IF(OR($M696&lt;&gt;"",$N696="Concluída"),1,0)))</f>
        <v/>
      </c>
    </row>
    <row r="697" customFormat="false" ht="15" hidden="false" customHeight="true" outlineLevel="0" collapsed="false">
      <c r="A697" s="34" t="str">
        <f aca="false">IF($E697="","",COUNTA($E$5:$E697))</f>
        <v/>
      </c>
      <c r="B697" s="35"/>
      <c r="C697" s="35"/>
      <c r="D697" s="35"/>
      <c r="E697" s="35"/>
      <c r="F697" s="36"/>
      <c r="G697" s="37"/>
      <c r="H697" s="37"/>
      <c r="I697" s="37"/>
      <c r="J697" s="38"/>
      <c r="K697" s="39"/>
      <c r="L697" s="40" t="str">
        <f aca="false">IF(OR($J697="",$K697=""),"",$J697+MATCH($K697,Listas!$F$5:$F$11,0)-1)</f>
        <v/>
      </c>
      <c r="M697" s="41"/>
      <c r="N697" s="36"/>
      <c r="O697" s="41"/>
      <c r="P697" s="35"/>
      <c r="Q697" s="35"/>
      <c r="R697" s="42" t="str">
        <f aca="true">IF($E697="","",IF($N697="Cancelada","Cancelada",IF(OR($M697&lt;&gt;"",$N697="Concluída"),IF(OR($L697="",$M697="",$M697&lt;=$L697),"Concluída","Concluída com atraso"),IF($L697="","Na carteira",IF($L697&lt;TODAY(),"VENCIDA",IF($N697="Em execução","Em execução",IF($L697=TODAY(),"Hoje","Programada")))))))</f>
        <v/>
      </c>
      <c r="S697" s="34" t="str">
        <f aca="false">IF($E697="","",IF(ISNUMBER(SEARCH("(externo)",$G697&amp;$H697&amp;$I697)),"Terceirizada","Interna"))</f>
        <v/>
      </c>
      <c r="T697" s="40" t="str">
        <f aca="false">IF($L697="","",IF($O697="",$L697,$O697))</f>
        <v/>
      </c>
      <c r="U697" s="34" t="str">
        <f aca="false">IF($E697="","",IF(OR($M697="",$L697=""),0,IF($M697&lt;=$L697,1,0)))</f>
        <v/>
      </c>
      <c r="V697" s="34" t="str">
        <f aca="false">IF($E697="","",IF(OR($M697="",$T697=""),0,IF($M697&lt;=$T697,1,0)))</f>
        <v/>
      </c>
      <c r="W697" s="42" t="str">
        <f aca="false">IF(OR($M697="",$L697=""),"",MAX(0,$M697-$L697))</f>
        <v/>
      </c>
      <c r="X697" s="34" t="str">
        <f aca="false">IF($E697="","",IF(AND($O697&lt;&gt;"",$L697&lt;&gt;"",$O697&lt;&gt;$L697),1,0))</f>
        <v/>
      </c>
      <c r="Y697" s="34" t="str">
        <f aca="false">IF($E697="","",IF($N697="Cancelada",0,IF(OR($M697&lt;&gt;"",$N697="Concluída"),1,0)))</f>
        <v/>
      </c>
    </row>
    <row r="698" customFormat="false" ht="15" hidden="false" customHeight="true" outlineLevel="0" collapsed="false">
      <c r="A698" s="34" t="str">
        <f aca="false">IF($E698="","",COUNTA($E$5:$E698))</f>
        <v/>
      </c>
      <c r="B698" s="35"/>
      <c r="C698" s="35"/>
      <c r="D698" s="35"/>
      <c r="E698" s="35"/>
      <c r="F698" s="36"/>
      <c r="G698" s="37"/>
      <c r="H698" s="37"/>
      <c r="I698" s="37"/>
      <c r="J698" s="38"/>
      <c r="K698" s="39"/>
      <c r="L698" s="40" t="str">
        <f aca="false">IF(OR($J698="",$K698=""),"",$J698+MATCH($K698,Listas!$F$5:$F$11,0)-1)</f>
        <v/>
      </c>
      <c r="M698" s="41"/>
      <c r="N698" s="36"/>
      <c r="O698" s="41"/>
      <c r="P698" s="35"/>
      <c r="Q698" s="35"/>
      <c r="R698" s="42" t="str">
        <f aca="true">IF($E698="","",IF($N698="Cancelada","Cancelada",IF(OR($M698&lt;&gt;"",$N698="Concluída"),IF(OR($L698="",$M698="",$M698&lt;=$L698),"Concluída","Concluída com atraso"),IF($L698="","Na carteira",IF($L698&lt;TODAY(),"VENCIDA",IF($N698="Em execução","Em execução",IF($L698=TODAY(),"Hoje","Programada")))))))</f>
        <v/>
      </c>
      <c r="S698" s="34" t="str">
        <f aca="false">IF($E698="","",IF(ISNUMBER(SEARCH("(externo)",$G698&amp;$H698&amp;$I698)),"Terceirizada","Interna"))</f>
        <v/>
      </c>
      <c r="T698" s="40" t="str">
        <f aca="false">IF($L698="","",IF($O698="",$L698,$O698))</f>
        <v/>
      </c>
      <c r="U698" s="34" t="str">
        <f aca="false">IF($E698="","",IF(OR($M698="",$L698=""),0,IF($M698&lt;=$L698,1,0)))</f>
        <v/>
      </c>
      <c r="V698" s="34" t="str">
        <f aca="false">IF($E698="","",IF(OR($M698="",$T698=""),0,IF($M698&lt;=$T698,1,0)))</f>
        <v/>
      </c>
      <c r="W698" s="42" t="str">
        <f aca="false">IF(OR($M698="",$L698=""),"",MAX(0,$M698-$L698))</f>
        <v/>
      </c>
      <c r="X698" s="34" t="str">
        <f aca="false">IF($E698="","",IF(AND($O698&lt;&gt;"",$L698&lt;&gt;"",$O698&lt;&gt;$L698),1,0))</f>
        <v/>
      </c>
      <c r="Y698" s="34" t="str">
        <f aca="false">IF($E698="","",IF($N698="Cancelada",0,IF(OR($M698&lt;&gt;"",$N698="Concluída"),1,0)))</f>
        <v/>
      </c>
    </row>
    <row r="699" customFormat="false" ht="15" hidden="false" customHeight="true" outlineLevel="0" collapsed="false">
      <c r="A699" s="34" t="str">
        <f aca="false">IF($E699="","",COUNTA($E$5:$E699))</f>
        <v/>
      </c>
      <c r="B699" s="35"/>
      <c r="C699" s="35"/>
      <c r="D699" s="35"/>
      <c r="E699" s="35"/>
      <c r="F699" s="36"/>
      <c r="G699" s="37"/>
      <c r="H699" s="37"/>
      <c r="I699" s="37"/>
      <c r="J699" s="38"/>
      <c r="K699" s="39"/>
      <c r="L699" s="40" t="str">
        <f aca="false">IF(OR($J699="",$K699=""),"",$J699+MATCH($K699,Listas!$F$5:$F$11,0)-1)</f>
        <v/>
      </c>
      <c r="M699" s="41"/>
      <c r="N699" s="36"/>
      <c r="O699" s="41"/>
      <c r="P699" s="35"/>
      <c r="Q699" s="35"/>
      <c r="R699" s="42" t="str">
        <f aca="true">IF($E699="","",IF($N699="Cancelada","Cancelada",IF(OR($M699&lt;&gt;"",$N699="Concluída"),IF(OR($L699="",$M699="",$M699&lt;=$L699),"Concluída","Concluída com atraso"),IF($L699="","Na carteira",IF($L699&lt;TODAY(),"VENCIDA",IF($N699="Em execução","Em execução",IF($L699=TODAY(),"Hoje","Programada")))))))</f>
        <v/>
      </c>
      <c r="S699" s="34" t="str">
        <f aca="false">IF($E699="","",IF(ISNUMBER(SEARCH("(externo)",$G699&amp;$H699&amp;$I699)),"Terceirizada","Interna"))</f>
        <v/>
      </c>
      <c r="T699" s="40" t="str">
        <f aca="false">IF($L699="","",IF($O699="",$L699,$O699))</f>
        <v/>
      </c>
      <c r="U699" s="34" t="str">
        <f aca="false">IF($E699="","",IF(OR($M699="",$L699=""),0,IF($M699&lt;=$L699,1,0)))</f>
        <v/>
      </c>
      <c r="V699" s="34" t="str">
        <f aca="false">IF($E699="","",IF(OR($M699="",$T699=""),0,IF($M699&lt;=$T699,1,0)))</f>
        <v/>
      </c>
      <c r="W699" s="42" t="str">
        <f aca="false">IF(OR($M699="",$L699=""),"",MAX(0,$M699-$L699))</f>
        <v/>
      </c>
      <c r="X699" s="34" t="str">
        <f aca="false">IF($E699="","",IF(AND($O699&lt;&gt;"",$L699&lt;&gt;"",$O699&lt;&gt;$L699),1,0))</f>
        <v/>
      </c>
      <c r="Y699" s="34" t="str">
        <f aca="false">IF($E699="","",IF($N699="Cancelada",0,IF(OR($M699&lt;&gt;"",$N699="Concluída"),1,0)))</f>
        <v/>
      </c>
    </row>
    <row r="700" customFormat="false" ht="15" hidden="false" customHeight="true" outlineLevel="0" collapsed="false">
      <c r="A700" s="34" t="str">
        <f aca="false">IF($E700="","",COUNTA($E$5:$E700))</f>
        <v/>
      </c>
      <c r="B700" s="35"/>
      <c r="C700" s="35"/>
      <c r="D700" s="35"/>
      <c r="E700" s="35"/>
      <c r="F700" s="36"/>
      <c r="G700" s="37"/>
      <c r="H700" s="37"/>
      <c r="I700" s="37"/>
      <c r="J700" s="38"/>
      <c r="K700" s="39"/>
      <c r="L700" s="40" t="str">
        <f aca="false">IF(OR($J700="",$K700=""),"",$J700+MATCH($K700,Listas!$F$5:$F$11,0)-1)</f>
        <v/>
      </c>
      <c r="M700" s="41"/>
      <c r="N700" s="36"/>
      <c r="O700" s="41"/>
      <c r="P700" s="35"/>
      <c r="Q700" s="35"/>
      <c r="R700" s="42" t="str">
        <f aca="true">IF($E700="","",IF($N700="Cancelada","Cancelada",IF(OR($M700&lt;&gt;"",$N700="Concluída"),IF(OR($L700="",$M700="",$M700&lt;=$L700),"Concluída","Concluída com atraso"),IF($L700="","Na carteira",IF($L700&lt;TODAY(),"VENCIDA",IF($N700="Em execução","Em execução",IF($L700=TODAY(),"Hoje","Programada")))))))</f>
        <v/>
      </c>
      <c r="S700" s="34" t="str">
        <f aca="false">IF($E700="","",IF(ISNUMBER(SEARCH("(externo)",$G700&amp;$H700&amp;$I700)),"Terceirizada","Interna"))</f>
        <v/>
      </c>
      <c r="T700" s="40" t="str">
        <f aca="false">IF($L700="","",IF($O700="",$L700,$O700))</f>
        <v/>
      </c>
      <c r="U700" s="34" t="str">
        <f aca="false">IF($E700="","",IF(OR($M700="",$L700=""),0,IF($M700&lt;=$L700,1,0)))</f>
        <v/>
      </c>
      <c r="V700" s="34" t="str">
        <f aca="false">IF($E700="","",IF(OR($M700="",$T700=""),0,IF($M700&lt;=$T700,1,0)))</f>
        <v/>
      </c>
      <c r="W700" s="42" t="str">
        <f aca="false">IF(OR($M700="",$L700=""),"",MAX(0,$M700-$L700))</f>
        <v/>
      </c>
      <c r="X700" s="34" t="str">
        <f aca="false">IF($E700="","",IF(AND($O700&lt;&gt;"",$L700&lt;&gt;"",$O700&lt;&gt;$L700),1,0))</f>
        <v/>
      </c>
      <c r="Y700" s="34" t="str">
        <f aca="false">IF($E700="","",IF($N700="Cancelada",0,IF(OR($M700&lt;&gt;"",$N700="Concluída"),1,0)))</f>
        <v/>
      </c>
    </row>
    <row r="701" customFormat="false" ht="15" hidden="false" customHeight="true" outlineLevel="0" collapsed="false">
      <c r="A701" s="34" t="str">
        <f aca="false">IF($E701="","",COUNTA($E$5:$E701))</f>
        <v/>
      </c>
      <c r="B701" s="35"/>
      <c r="C701" s="35"/>
      <c r="D701" s="35"/>
      <c r="E701" s="35"/>
      <c r="F701" s="36"/>
      <c r="G701" s="37"/>
      <c r="H701" s="37"/>
      <c r="I701" s="37"/>
      <c r="J701" s="38"/>
      <c r="K701" s="39"/>
      <c r="L701" s="40" t="str">
        <f aca="false">IF(OR($J701="",$K701=""),"",$J701+MATCH($K701,Listas!$F$5:$F$11,0)-1)</f>
        <v/>
      </c>
      <c r="M701" s="41"/>
      <c r="N701" s="36"/>
      <c r="O701" s="41"/>
      <c r="P701" s="35"/>
      <c r="Q701" s="35"/>
      <c r="R701" s="42" t="str">
        <f aca="true">IF($E701="","",IF($N701="Cancelada","Cancelada",IF(OR($M701&lt;&gt;"",$N701="Concluída"),IF(OR($L701="",$M701="",$M701&lt;=$L701),"Concluída","Concluída com atraso"),IF($L701="","Na carteira",IF($L701&lt;TODAY(),"VENCIDA",IF($N701="Em execução","Em execução",IF($L701=TODAY(),"Hoje","Programada")))))))</f>
        <v/>
      </c>
      <c r="S701" s="34" t="str">
        <f aca="false">IF($E701="","",IF(ISNUMBER(SEARCH("(externo)",$G701&amp;$H701&amp;$I701)),"Terceirizada","Interna"))</f>
        <v/>
      </c>
      <c r="T701" s="40" t="str">
        <f aca="false">IF($L701="","",IF($O701="",$L701,$O701))</f>
        <v/>
      </c>
      <c r="U701" s="34" t="str">
        <f aca="false">IF($E701="","",IF(OR($M701="",$L701=""),0,IF($M701&lt;=$L701,1,0)))</f>
        <v/>
      </c>
      <c r="V701" s="34" t="str">
        <f aca="false">IF($E701="","",IF(OR($M701="",$T701=""),0,IF($M701&lt;=$T701,1,0)))</f>
        <v/>
      </c>
      <c r="W701" s="42" t="str">
        <f aca="false">IF(OR($M701="",$L701=""),"",MAX(0,$M701-$L701))</f>
        <v/>
      </c>
      <c r="X701" s="34" t="str">
        <f aca="false">IF($E701="","",IF(AND($O701&lt;&gt;"",$L701&lt;&gt;"",$O701&lt;&gt;$L701),1,0))</f>
        <v/>
      </c>
      <c r="Y701" s="34" t="str">
        <f aca="false">IF($E701="","",IF($N701="Cancelada",0,IF(OR($M701&lt;&gt;"",$N701="Concluída"),1,0)))</f>
        <v/>
      </c>
    </row>
    <row r="702" customFormat="false" ht="15" hidden="false" customHeight="true" outlineLevel="0" collapsed="false">
      <c r="A702" s="34" t="str">
        <f aca="false">IF($E702="","",COUNTA($E$5:$E702))</f>
        <v/>
      </c>
      <c r="B702" s="35"/>
      <c r="C702" s="35"/>
      <c r="D702" s="35"/>
      <c r="E702" s="35"/>
      <c r="F702" s="36"/>
      <c r="G702" s="37"/>
      <c r="H702" s="37"/>
      <c r="I702" s="37"/>
      <c r="J702" s="38"/>
      <c r="K702" s="39"/>
      <c r="L702" s="40" t="str">
        <f aca="false">IF(OR($J702="",$K702=""),"",$J702+MATCH($K702,Listas!$F$5:$F$11,0)-1)</f>
        <v/>
      </c>
      <c r="M702" s="41"/>
      <c r="N702" s="36"/>
      <c r="O702" s="41"/>
      <c r="P702" s="35"/>
      <c r="Q702" s="35"/>
      <c r="R702" s="42" t="str">
        <f aca="true">IF($E702="","",IF($N702="Cancelada","Cancelada",IF(OR($M702&lt;&gt;"",$N702="Concluída"),IF(OR($L702="",$M702="",$M702&lt;=$L702),"Concluída","Concluída com atraso"),IF($L702="","Na carteira",IF($L702&lt;TODAY(),"VENCIDA",IF($N702="Em execução","Em execução",IF($L702=TODAY(),"Hoje","Programada")))))))</f>
        <v/>
      </c>
      <c r="S702" s="34" t="str">
        <f aca="false">IF($E702="","",IF(ISNUMBER(SEARCH("(externo)",$G702&amp;$H702&amp;$I702)),"Terceirizada","Interna"))</f>
        <v/>
      </c>
      <c r="T702" s="40" t="str">
        <f aca="false">IF($L702="","",IF($O702="",$L702,$O702))</f>
        <v/>
      </c>
      <c r="U702" s="34" t="str">
        <f aca="false">IF($E702="","",IF(OR($M702="",$L702=""),0,IF($M702&lt;=$L702,1,0)))</f>
        <v/>
      </c>
      <c r="V702" s="34" t="str">
        <f aca="false">IF($E702="","",IF(OR($M702="",$T702=""),0,IF($M702&lt;=$T702,1,0)))</f>
        <v/>
      </c>
      <c r="W702" s="42" t="str">
        <f aca="false">IF(OR($M702="",$L702=""),"",MAX(0,$M702-$L702))</f>
        <v/>
      </c>
      <c r="X702" s="34" t="str">
        <f aca="false">IF($E702="","",IF(AND($O702&lt;&gt;"",$L702&lt;&gt;"",$O702&lt;&gt;$L702),1,0))</f>
        <v/>
      </c>
      <c r="Y702" s="34" t="str">
        <f aca="false">IF($E702="","",IF($N702="Cancelada",0,IF(OR($M702&lt;&gt;"",$N702="Concluída"),1,0)))</f>
        <v/>
      </c>
    </row>
    <row r="703" customFormat="false" ht="15" hidden="false" customHeight="true" outlineLevel="0" collapsed="false">
      <c r="A703" s="34" t="str">
        <f aca="false">IF($E703="","",COUNTA($E$5:$E703))</f>
        <v/>
      </c>
      <c r="B703" s="35"/>
      <c r="C703" s="35"/>
      <c r="D703" s="35"/>
      <c r="E703" s="35"/>
      <c r="F703" s="36"/>
      <c r="G703" s="37"/>
      <c r="H703" s="37"/>
      <c r="I703" s="37"/>
      <c r="J703" s="38"/>
      <c r="K703" s="39"/>
      <c r="L703" s="40" t="str">
        <f aca="false">IF(OR($J703="",$K703=""),"",$J703+MATCH($K703,Listas!$F$5:$F$11,0)-1)</f>
        <v/>
      </c>
      <c r="M703" s="41"/>
      <c r="N703" s="36"/>
      <c r="O703" s="41"/>
      <c r="P703" s="35"/>
      <c r="Q703" s="35"/>
      <c r="R703" s="42" t="str">
        <f aca="true">IF($E703="","",IF($N703="Cancelada","Cancelada",IF(OR($M703&lt;&gt;"",$N703="Concluída"),IF(OR($L703="",$M703="",$M703&lt;=$L703),"Concluída","Concluída com atraso"),IF($L703="","Na carteira",IF($L703&lt;TODAY(),"VENCIDA",IF($N703="Em execução","Em execução",IF($L703=TODAY(),"Hoje","Programada")))))))</f>
        <v/>
      </c>
      <c r="S703" s="34" t="str">
        <f aca="false">IF($E703="","",IF(ISNUMBER(SEARCH("(externo)",$G703&amp;$H703&amp;$I703)),"Terceirizada","Interna"))</f>
        <v/>
      </c>
      <c r="T703" s="40" t="str">
        <f aca="false">IF($L703="","",IF($O703="",$L703,$O703))</f>
        <v/>
      </c>
      <c r="U703" s="34" t="str">
        <f aca="false">IF($E703="","",IF(OR($M703="",$L703=""),0,IF($M703&lt;=$L703,1,0)))</f>
        <v/>
      </c>
      <c r="V703" s="34" t="str">
        <f aca="false">IF($E703="","",IF(OR($M703="",$T703=""),0,IF($M703&lt;=$T703,1,0)))</f>
        <v/>
      </c>
      <c r="W703" s="42" t="str">
        <f aca="false">IF(OR($M703="",$L703=""),"",MAX(0,$M703-$L703))</f>
        <v/>
      </c>
      <c r="X703" s="34" t="str">
        <f aca="false">IF($E703="","",IF(AND($O703&lt;&gt;"",$L703&lt;&gt;"",$O703&lt;&gt;$L703),1,0))</f>
        <v/>
      </c>
      <c r="Y703" s="34" t="str">
        <f aca="false">IF($E703="","",IF($N703="Cancelada",0,IF(OR($M703&lt;&gt;"",$N703="Concluída"),1,0)))</f>
        <v/>
      </c>
    </row>
    <row r="704" customFormat="false" ht="15" hidden="false" customHeight="true" outlineLevel="0" collapsed="false">
      <c r="A704" s="34" t="str">
        <f aca="false">IF($E704="","",COUNTA($E$5:$E704))</f>
        <v/>
      </c>
      <c r="B704" s="35"/>
      <c r="C704" s="35"/>
      <c r="D704" s="35"/>
      <c r="E704" s="35"/>
      <c r="F704" s="36"/>
      <c r="G704" s="37"/>
      <c r="H704" s="37"/>
      <c r="I704" s="37"/>
      <c r="J704" s="38"/>
      <c r="K704" s="39"/>
      <c r="L704" s="40" t="str">
        <f aca="false">IF(OR($J704="",$K704=""),"",$J704+MATCH($K704,Listas!$F$5:$F$11,0)-1)</f>
        <v/>
      </c>
      <c r="M704" s="41"/>
      <c r="N704" s="36"/>
      <c r="O704" s="41"/>
      <c r="P704" s="35"/>
      <c r="Q704" s="35"/>
      <c r="R704" s="42" t="str">
        <f aca="true">IF($E704="","",IF($N704="Cancelada","Cancelada",IF(OR($M704&lt;&gt;"",$N704="Concluída"),IF(OR($L704="",$M704="",$M704&lt;=$L704),"Concluída","Concluída com atraso"),IF($L704="","Na carteira",IF($L704&lt;TODAY(),"VENCIDA",IF($N704="Em execução","Em execução",IF($L704=TODAY(),"Hoje","Programada")))))))</f>
        <v/>
      </c>
      <c r="S704" s="34" t="str">
        <f aca="false">IF($E704="","",IF(ISNUMBER(SEARCH("(externo)",$G704&amp;$H704&amp;$I704)),"Terceirizada","Interna"))</f>
        <v/>
      </c>
      <c r="T704" s="40" t="str">
        <f aca="false">IF($L704="","",IF($O704="",$L704,$O704))</f>
        <v/>
      </c>
      <c r="U704" s="34" t="str">
        <f aca="false">IF($E704="","",IF(OR($M704="",$L704=""),0,IF($M704&lt;=$L704,1,0)))</f>
        <v/>
      </c>
      <c r="V704" s="34" t="str">
        <f aca="false">IF($E704="","",IF(OR($M704="",$T704=""),0,IF($M704&lt;=$T704,1,0)))</f>
        <v/>
      </c>
      <c r="W704" s="42" t="str">
        <f aca="false">IF(OR($M704="",$L704=""),"",MAX(0,$M704-$L704))</f>
        <v/>
      </c>
      <c r="X704" s="34" t="str">
        <f aca="false">IF($E704="","",IF(AND($O704&lt;&gt;"",$L704&lt;&gt;"",$O704&lt;&gt;$L704),1,0))</f>
        <v/>
      </c>
      <c r="Y704" s="34" t="str">
        <f aca="false">IF($E704="","",IF($N704="Cancelada",0,IF(OR($M704&lt;&gt;"",$N704="Concluída"),1,0)))</f>
        <v/>
      </c>
    </row>
    <row r="705" customFormat="false" ht="15" hidden="false" customHeight="true" outlineLevel="0" collapsed="false">
      <c r="A705" s="34" t="str">
        <f aca="false">IF($E705="","",COUNTA($E$5:$E705))</f>
        <v/>
      </c>
      <c r="B705" s="35"/>
      <c r="C705" s="35"/>
      <c r="D705" s="35"/>
      <c r="E705" s="35"/>
      <c r="F705" s="36"/>
      <c r="G705" s="37"/>
      <c r="H705" s="37"/>
      <c r="I705" s="37"/>
      <c r="J705" s="38"/>
      <c r="K705" s="39"/>
      <c r="L705" s="40" t="str">
        <f aca="false">IF(OR($J705="",$K705=""),"",$J705+MATCH($K705,Listas!$F$5:$F$11,0)-1)</f>
        <v/>
      </c>
      <c r="M705" s="41"/>
      <c r="N705" s="36"/>
      <c r="O705" s="41"/>
      <c r="P705" s="35"/>
      <c r="Q705" s="35"/>
      <c r="R705" s="42" t="str">
        <f aca="true">IF($E705="","",IF($N705="Cancelada","Cancelada",IF(OR($M705&lt;&gt;"",$N705="Concluída"),IF(OR($L705="",$M705="",$M705&lt;=$L705),"Concluída","Concluída com atraso"),IF($L705="","Na carteira",IF($L705&lt;TODAY(),"VENCIDA",IF($N705="Em execução","Em execução",IF($L705=TODAY(),"Hoje","Programada")))))))</f>
        <v/>
      </c>
      <c r="S705" s="34" t="str">
        <f aca="false">IF($E705="","",IF(ISNUMBER(SEARCH("(externo)",$G705&amp;$H705&amp;$I705)),"Terceirizada","Interna"))</f>
        <v/>
      </c>
      <c r="T705" s="40" t="str">
        <f aca="false">IF($L705="","",IF($O705="",$L705,$O705))</f>
        <v/>
      </c>
      <c r="U705" s="34" t="str">
        <f aca="false">IF($E705="","",IF(OR($M705="",$L705=""),0,IF($M705&lt;=$L705,1,0)))</f>
        <v/>
      </c>
      <c r="V705" s="34" t="str">
        <f aca="false">IF($E705="","",IF(OR($M705="",$T705=""),0,IF($M705&lt;=$T705,1,0)))</f>
        <v/>
      </c>
      <c r="W705" s="42" t="str">
        <f aca="false">IF(OR($M705="",$L705=""),"",MAX(0,$M705-$L705))</f>
        <v/>
      </c>
      <c r="X705" s="34" t="str">
        <f aca="false">IF($E705="","",IF(AND($O705&lt;&gt;"",$L705&lt;&gt;"",$O705&lt;&gt;$L705),1,0))</f>
        <v/>
      </c>
      <c r="Y705" s="34" t="str">
        <f aca="false">IF($E705="","",IF($N705="Cancelada",0,IF(OR($M705&lt;&gt;"",$N705="Concluída"),1,0)))</f>
        <v/>
      </c>
    </row>
    <row r="706" customFormat="false" ht="15" hidden="false" customHeight="true" outlineLevel="0" collapsed="false">
      <c r="A706" s="34" t="str">
        <f aca="false">IF($E706="","",COUNTA($E$5:$E706))</f>
        <v/>
      </c>
      <c r="B706" s="35"/>
      <c r="C706" s="35"/>
      <c r="D706" s="35"/>
      <c r="E706" s="35"/>
      <c r="F706" s="36"/>
      <c r="G706" s="37"/>
      <c r="H706" s="37"/>
      <c r="I706" s="37"/>
      <c r="J706" s="38"/>
      <c r="K706" s="39"/>
      <c r="L706" s="40" t="str">
        <f aca="false">IF(OR($J706="",$K706=""),"",$J706+MATCH($K706,Listas!$F$5:$F$11,0)-1)</f>
        <v/>
      </c>
      <c r="M706" s="41"/>
      <c r="N706" s="36"/>
      <c r="O706" s="41"/>
      <c r="P706" s="35"/>
      <c r="Q706" s="35"/>
      <c r="R706" s="42" t="str">
        <f aca="true">IF($E706="","",IF($N706="Cancelada","Cancelada",IF(OR($M706&lt;&gt;"",$N706="Concluída"),IF(OR($L706="",$M706="",$M706&lt;=$L706),"Concluída","Concluída com atraso"),IF($L706="","Na carteira",IF($L706&lt;TODAY(),"VENCIDA",IF($N706="Em execução","Em execução",IF($L706=TODAY(),"Hoje","Programada")))))))</f>
        <v/>
      </c>
      <c r="S706" s="34" t="str">
        <f aca="false">IF($E706="","",IF(ISNUMBER(SEARCH("(externo)",$G706&amp;$H706&amp;$I706)),"Terceirizada","Interna"))</f>
        <v/>
      </c>
      <c r="T706" s="40" t="str">
        <f aca="false">IF($L706="","",IF($O706="",$L706,$O706))</f>
        <v/>
      </c>
      <c r="U706" s="34" t="str">
        <f aca="false">IF($E706="","",IF(OR($M706="",$L706=""),0,IF($M706&lt;=$L706,1,0)))</f>
        <v/>
      </c>
      <c r="V706" s="34" t="str">
        <f aca="false">IF($E706="","",IF(OR($M706="",$T706=""),0,IF($M706&lt;=$T706,1,0)))</f>
        <v/>
      </c>
      <c r="W706" s="42" t="str">
        <f aca="false">IF(OR($M706="",$L706=""),"",MAX(0,$M706-$L706))</f>
        <v/>
      </c>
      <c r="X706" s="34" t="str">
        <f aca="false">IF($E706="","",IF(AND($O706&lt;&gt;"",$L706&lt;&gt;"",$O706&lt;&gt;$L706),1,0))</f>
        <v/>
      </c>
      <c r="Y706" s="34" t="str">
        <f aca="false">IF($E706="","",IF($N706="Cancelada",0,IF(OR($M706&lt;&gt;"",$N706="Concluída"),1,0)))</f>
        <v/>
      </c>
    </row>
    <row r="707" customFormat="false" ht="15" hidden="false" customHeight="true" outlineLevel="0" collapsed="false">
      <c r="A707" s="34" t="str">
        <f aca="false">IF($E707="","",COUNTA($E$5:$E707))</f>
        <v/>
      </c>
      <c r="B707" s="35"/>
      <c r="C707" s="35"/>
      <c r="D707" s="35"/>
      <c r="E707" s="35"/>
      <c r="F707" s="36"/>
      <c r="G707" s="37"/>
      <c r="H707" s="37"/>
      <c r="I707" s="37"/>
      <c r="J707" s="38"/>
      <c r="K707" s="39"/>
      <c r="L707" s="40" t="str">
        <f aca="false">IF(OR($J707="",$K707=""),"",$J707+MATCH($K707,Listas!$F$5:$F$11,0)-1)</f>
        <v/>
      </c>
      <c r="M707" s="41"/>
      <c r="N707" s="36"/>
      <c r="O707" s="41"/>
      <c r="P707" s="35"/>
      <c r="Q707" s="35"/>
      <c r="R707" s="42" t="str">
        <f aca="true">IF($E707="","",IF($N707="Cancelada","Cancelada",IF(OR($M707&lt;&gt;"",$N707="Concluída"),IF(OR($L707="",$M707="",$M707&lt;=$L707),"Concluída","Concluída com atraso"),IF($L707="","Na carteira",IF($L707&lt;TODAY(),"VENCIDA",IF($N707="Em execução","Em execução",IF($L707=TODAY(),"Hoje","Programada")))))))</f>
        <v/>
      </c>
      <c r="S707" s="34" t="str">
        <f aca="false">IF($E707="","",IF(ISNUMBER(SEARCH("(externo)",$G707&amp;$H707&amp;$I707)),"Terceirizada","Interna"))</f>
        <v/>
      </c>
      <c r="T707" s="40" t="str">
        <f aca="false">IF($L707="","",IF($O707="",$L707,$O707))</f>
        <v/>
      </c>
      <c r="U707" s="34" t="str">
        <f aca="false">IF($E707="","",IF(OR($M707="",$L707=""),0,IF($M707&lt;=$L707,1,0)))</f>
        <v/>
      </c>
      <c r="V707" s="34" t="str">
        <f aca="false">IF($E707="","",IF(OR($M707="",$T707=""),0,IF($M707&lt;=$T707,1,0)))</f>
        <v/>
      </c>
      <c r="W707" s="42" t="str">
        <f aca="false">IF(OR($M707="",$L707=""),"",MAX(0,$M707-$L707))</f>
        <v/>
      </c>
      <c r="X707" s="34" t="str">
        <f aca="false">IF($E707="","",IF(AND($O707&lt;&gt;"",$L707&lt;&gt;"",$O707&lt;&gt;$L707),1,0))</f>
        <v/>
      </c>
      <c r="Y707" s="34" t="str">
        <f aca="false">IF($E707="","",IF($N707="Cancelada",0,IF(OR($M707&lt;&gt;"",$N707="Concluída"),1,0)))</f>
        <v/>
      </c>
    </row>
    <row r="708" customFormat="false" ht="15" hidden="false" customHeight="true" outlineLevel="0" collapsed="false">
      <c r="A708" s="34" t="str">
        <f aca="false">IF($E708="","",COUNTA($E$5:$E708))</f>
        <v/>
      </c>
      <c r="B708" s="35"/>
      <c r="C708" s="35"/>
      <c r="D708" s="35"/>
      <c r="E708" s="35"/>
      <c r="F708" s="36"/>
      <c r="G708" s="37"/>
      <c r="H708" s="37"/>
      <c r="I708" s="37"/>
      <c r="J708" s="38"/>
      <c r="K708" s="39"/>
      <c r="L708" s="40" t="str">
        <f aca="false">IF(OR($J708="",$K708=""),"",$J708+MATCH($K708,Listas!$F$5:$F$11,0)-1)</f>
        <v/>
      </c>
      <c r="M708" s="41"/>
      <c r="N708" s="36"/>
      <c r="O708" s="41"/>
      <c r="P708" s="35"/>
      <c r="Q708" s="35"/>
      <c r="R708" s="42" t="str">
        <f aca="true">IF($E708="","",IF($N708="Cancelada","Cancelada",IF(OR($M708&lt;&gt;"",$N708="Concluída"),IF(OR($L708="",$M708="",$M708&lt;=$L708),"Concluída","Concluída com atraso"),IF($L708="","Na carteira",IF($L708&lt;TODAY(),"VENCIDA",IF($N708="Em execução","Em execução",IF($L708=TODAY(),"Hoje","Programada")))))))</f>
        <v/>
      </c>
      <c r="S708" s="34" t="str">
        <f aca="false">IF($E708="","",IF(ISNUMBER(SEARCH("(externo)",$G708&amp;$H708&amp;$I708)),"Terceirizada","Interna"))</f>
        <v/>
      </c>
      <c r="T708" s="40" t="str">
        <f aca="false">IF($L708="","",IF($O708="",$L708,$O708))</f>
        <v/>
      </c>
      <c r="U708" s="34" t="str">
        <f aca="false">IF($E708="","",IF(OR($M708="",$L708=""),0,IF($M708&lt;=$L708,1,0)))</f>
        <v/>
      </c>
      <c r="V708" s="34" t="str">
        <f aca="false">IF($E708="","",IF(OR($M708="",$T708=""),0,IF($M708&lt;=$T708,1,0)))</f>
        <v/>
      </c>
      <c r="W708" s="42" t="str">
        <f aca="false">IF(OR($M708="",$L708=""),"",MAX(0,$M708-$L708))</f>
        <v/>
      </c>
      <c r="X708" s="34" t="str">
        <f aca="false">IF($E708="","",IF(AND($O708&lt;&gt;"",$L708&lt;&gt;"",$O708&lt;&gt;$L708),1,0))</f>
        <v/>
      </c>
      <c r="Y708" s="34" t="str">
        <f aca="false">IF($E708="","",IF($N708="Cancelada",0,IF(OR($M708&lt;&gt;"",$N708="Concluída"),1,0)))</f>
        <v/>
      </c>
    </row>
    <row r="709" customFormat="false" ht="15" hidden="false" customHeight="true" outlineLevel="0" collapsed="false">
      <c r="A709" s="34" t="str">
        <f aca="false">IF($E709="","",COUNTA($E$5:$E709))</f>
        <v/>
      </c>
      <c r="B709" s="35"/>
      <c r="C709" s="35"/>
      <c r="D709" s="35"/>
      <c r="E709" s="35"/>
      <c r="F709" s="36"/>
      <c r="G709" s="37"/>
      <c r="H709" s="37"/>
      <c r="I709" s="37"/>
      <c r="J709" s="38"/>
      <c r="K709" s="39"/>
      <c r="L709" s="40" t="str">
        <f aca="false">IF(OR($J709="",$K709=""),"",$J709+MATCH($K709,Listas!$F$5:$F$11,0)-1)</f>
        <v/>
      </c>
      <c r="M709" s="41"/>
      <c r="N709" s="36"/>
      <c r="O709" s="41"/>
      <c r="P709" s="35"/>
      <c r="Q709" s="35"/>
      <c r="R709" s="42" t="str">
        <f aca="true">IF($E709="","",IF($N709="Cancelada","Cancelada",IF(OR($M709&lt;&gt;"",$N709="Concluída"),IF(OR($L709="",$M709="",$M709&lt;=$L709),"Concluída","Concluída com atraso"),IF($L709="","Na carteira",IF($L709&lt;TODAY(),"VENCIDA",IF($N709="Em execução","Em execução",IF($L709=TODAY(),"Hoje","Programada")))))))</f>
        <v/>
      </c>
      <c r="S709" s="34" t="str">
        <f aca="false">IF($E709="","",IF(ISNUMBER(SEARCH("(externo)",$G709&amp;$H709&amp;$I709)),"Terceirizada","Interna"))</f>
        <v/>
      </c>
      <c r="T709" s="40" t="str">
        <f aca="false">IF($L709="","",IF($O709="",$L709,$O709))</f>
        <v/>
      </c>
      <c r="U709" s="34" t="str">
        <f aca="false">IF($E709="","",IF(OR($M709="",$L709=""),0,IF($M709&lt;=$L709,1,0)))</f>
        <v/>
      </c>
      <c r="V709" s="34" t="str">
        <f aca="false">IF($E709="","",IF(OR($M709="",$T709=""),0,IF($M709&lt;=$T709,1,0)))</f>
        <v/>
      </c>
      <c r="W709" s="42" t="str">
        <f aca="false">IF(OR($M709="",$L709=""),"",MAX(0,$M709-$L709))</f>
        <v/>
      </c>
      <c r="X709" s="34" t="str">
        <f aca="false">IF($E709="","",IF(AND($O709&lt;&gt;"",$L709&lt;&gt;"",$O709&lt;&gt;$L709),1,0))</f>
        <v/>
      </c>
      <c r="Y709" s="34" t="str">
        <f aca="false">IF($E709="","",IF($N709="Cancelada",0,IF(OR($M709&lt;&gt;"",$N709="Concluída"),1,0)))</f>
        <v/>
      </c>
    </row>
    <row r="710" customFormat="false" ht="15" hidden="false" customHeight="true" outlineLevel="0" collapsed="false">
      <c r="A710" s="34" t="str">
        <f aca="false">IF($E710="","",COUNTA($E$5:$E710))</f>
        <v/>
      </c>
      <c r="B710" s="35"/>
      <c r="C710" s="35"/>
      <c r="D710" s="35"/>
      <c r="E710" s="35"/>
      <c r="F710" s="36"/>
      <c r="G710" s="37"/>
      <c r="H710" s="37"/>
      <c r="I710" s="37"/>
      <c r="J710" s="38"/>
      <c r="K710" s="39"/>
      <c r="L710" s="40" t="str">
        <f aca="false">IF(OR($J710="",$K710=""),"",$J710+MATCH($K710,Listas!$F$5:$F$11,0)-1)</f>
        <v/>
      </c>
      <c r="M710" s="41"/>
      <c r="N710" s="36"/>
      <c r="O710" s="41"/>
      <c r="P710" s="35"/>
      <c r="Q710" s="35"/>
      <c r="R710" s="42" t="str">
        <f aca="true">IF($E710="","",IF($N710="Cancelada","Cancelada",IF(OR($M710&lt;&gt;"",$N710="Concluída"),IF(OR($L710="",$M710="",$M710&lt;=$L710),"Concluída","Concluída com atraso"),IF($L710="","Na carteira",IF($L710&lt;TODAY(),"VENCIDA",IF($N710="Em execução","Em execução",IF($L710=TODAY(),"Hoje","Programada")))))))</f>
        <v/>
      </c>
      <c r="S710" s="34" t="str">
        <f aca="false">IF($E710="","",IF(ISNUMBER(SEARCH("(externo)",$G710&amp;$H710&amp;$I710)),"Terceirizada","Interna"))</f>
        <v/>
      </c>
      <c r="T710" s="40" t="str">
        <f aca="false">IF($L710="","",IF($O710="",$L710,$O710))</f>
        <v/>
      </c>
      <c r="U710" s="34" t="str">
        <f aca="false">IF($E710="","",IF(OR($M710="",$L710=""),0,IF($M710&lt;=$L710,1,0)))</f>
        <v/>
      </c>
      <c r="V710" s="34" t="str">
        <f aca="false">IF($E710="","",IF(OR($M710="",$T710=""),0,IF($M710&lt;=$T710,1,0)))</f>
        <v/>
      </c>
      <c r="W710" s="42" t="str">
        <f aca="false">IF(OR($M710="",$L710=""),"",MAX(0,$M710-$L710))</f>
        <v/>
      </c>
      <c r="X710" s="34" t="str">
        <f aca="false">IF($E710="","",IF(AND($O710&lt;&gt;"",$L710&lt;&gt;"",$O710&lt;&gt;$L710),1,0))</f>
        <v/>
      </c>
      <c r="Y710" s="34" t="str">
        <f aca="false">IF($E710="","",IF($N710="Cancelada",0,IF(OR($M710&lt;&gt;"",$N710="Concluída"),1,0)))</f>
        <v/>
      </c>
    </row>
    <row r="711" customFormat="false" ht="15" hidden="false" customHeight="true" outlineLevel="0" collapsed="false">
      <c r="A711" s="34" t="str">
        <f aca="false">IF($E711="","",COUNTA($E$5:$E711))</f>
        <v/>
      </c>
      <c r="B711" s="35"/>
      <c r="C711" s="35"/>
      <c r="D711" s="35"/>
      <c r="E711" s="35"/>
      <c r="F711" s="36"/>
      <c r="G711" s="37"/>
      <c r="H711" s="37"/>
      <c r="I711" s="37"/>
      <c r="J711" s="38"/>
      <c r="K711" s="39"/>
      <c r="L711" s="40" t="str">
        <f aca="false">IF(OR($J711="",$K711=""),"",$J711+MATCH($K711,Listas!$F$5:$F$11,0)-1)</f>
        <v/>
      </c>
      <c r="M711" s="41"/>
      <c r="N711" s="36"/>
      <c r="O711" s="41"/>
      <c r="P711" s="35"/>
      <c r="Q711" s="35"/>
      <c r="R711" s="42" t="str">
        <f aca="true">IF($E711="","",IF($N711="Cancelada","Cancelada",IF(OR($M711&lt;&gt;"",$N711="Concluída"),IF(OR($L711="",$M711="",$M711&lt;=$L711),"Concluída","Concluída com atraso"),IF($L711="","Na carteira",IF($L711&lt;TODAY(),"VENCIDA",IF($N711="Em execução","Em execução",IF($L711=TODAY(),"Hoje","Programada")))))))</f>
        <v/>
      </c>
      <c r="S711" s="34" t="str">
        <f aca="false">IF($E711="","",IF(ISNUMBER(SEARCH("(externo)",$G711&amp;$H711&amp;$I711)),"Terceirizada","Interna"))</f>
        <v/>
      </c>
      <c r="T711" s="40" t="str">
        <f aca="false">IF($L711="","",IF($O711="",$L711,$O711))</f>
        <v/>
      </c>
      <c r="U711" s="34" t="str">
        <f aca="false">IF($E711="","",IF(OR($M711="",$L711=""),0,IF($M711&lt;=$L711,1,0)))</f>
        <v/>
      </c>
      <c r="V711" s="34" t="str">
        <f aca="false">IF($E711="","",IF(OR($M711="",$T711=""),0,IF($M711&lt;=$T711,1,0)))</f>
        <v/>
      </c>
      <c r="W711" s="42" t="str">
        <f aca="false">IF(OR($M711="",$L711=""),"",MAX(0,$M711-$L711))</f>
        <v/>
      </c>
      <c r="X711" s="34" t="str">
        <f aca="false">IF($E711="","",IF(AND($O711&lt;&gt;"",$L711&lt;&gt;"",$O711&lt;&gt;$L711),1,0))</f>
        <v/>
      </c>
      <c r="Y711" s="34" t="str">
        <f aca="false">IF($E711="","",IF($N711="Cancelada",0,IF(OR($M711&lt;&gt;"",$N711="Concluída"),1,0)))</f>
        <v/>
      </c>
    </row>
    <row r="712" customFormat="false" ht="15" hidden="false" customHeight="true" outlineLevel="0" collapsed="false">
      <c r="A712" s="34" t="str">
        <f aca="false">IF($E712="","",COUNTA($E$5:$E712))</f>
        <v/>
      </c>
      <c r="B712" s="35"/>
      <c r="C712" s="35"/>
      <c r="D712" s="35"/>
      <c r="E712" s="35"/>
      <c r="F712" s="36"/>
      <c r="G712" s="37"/>
      <c r="H712" s="37"/>
      <c r="I712" s="37"/>
      <c r="J712" s="38"/>
      <c r="K712" s="39"/>
      <c r="L712" s="40" t="str">
        <f aca="false">IF(OR($J712="",$K712=""),"",$J712+MATCH($K712,Listas!$F$5:$F$11,0)-1)</f>
        <v/>
      </c>
      <c r="M712" s="41"/>
      <c r="N712" s="36"/>
      <c r="O712" s="41"/>
      <c r="P712" s="35"/>
      <c r="Q712" s="35"/>
      <c r="R712" s="42" t="str">
        <f aca="true">IF($E712="","",IF($N712="Cancelada","Cancelada",IF(OR($M712&lt;&gt;"",$N712="Concluída"),IF(OR($L712="",$M712="",$M712&lt;=$L712),"Concluída","Concluída com atraso"),IF($L712="","Na carteira",IF($L712&lt;TODAY(),"VENCIDA",IF($N712="Em execução","Em execução",IF($L712=TODAY(),"Hoje","Programada")))))))</f>
        <v/>
      </c>
      <c r="S712" s="34" t="str">
        <f aca="false">IF($E712="","",IF(ISNUMBER(SEARCH("(externo)",$G712&amp;$H712&amp;$I712)),"Terceirizada","Interna"))</f>
        <v/>
      </c>
      <c r="T712" s="40" t="str">
        <f aca="false">IF($L712="","",IF($O712="",$L712,$O712))</f>
        <v/>
      </c>
      <c r="U712" s="34" t="str">
        <f aca="false">IF($E712="","",IF(OR($M712="",$L712=""),0,IF($M712&lt;=$L712,1,0)))</f>
        <v/>
      </c>
      <c r="V712" s="34" t="str">
        <f aca="false">IF($E712="","",IF(OR($M712="",$T712=""),0,IF($M712&lt;=$T712,1,0)))</f>
        <v/>
      </c>
      <c r="W712" s="42" t="str">
        <f aca="false">IF(OR($M712="",$L712=""),"",MAX(0,$M712-$L712))</f>
        <v/>
      </c>
      <c r="X712" s="34" t="str">
        <f aca="false">IF($E712="","",IF(AND($O712&lt;&gt;"",$L712&lt;&gt;"",$O712&lt;&gt;$L712),1,0))</f>
        <v/>
      </c>
      <c r="Y712" s="34" t="str">
        <f aca="false">IF($E712="","",IF($N712="Cancelada",0,IF(OR($M712&lt;&gt;"",$N712="Concluída"),1,0)))</f>
        <v/>
      </c>
    </row>
    <row r="713" customFormat="false" ht="15" hidden="false" customHeight="true" outlineLevel="0" collapsed="false">
      <c r="A713" s="34" t="str">
        <f aca="false">IF($E713="","",COUNTA($E$5:$E713))</f>
        <v/>
      </c>
      <c r="B713" s="35"/>
      <c r="C713" s="35"/>
      <c r="D713" s="35"/>
      <c r="E713" s="35"/>
      <c r="F713" s="36"/>
      <c r="G713" s="37"/>
      <c r="H713" s="37"/>
      <c r="I713" s="37"/>
      <c r="J713" s="38"/>
      <c r="K713" s="39"/>
      <c r="L713" s="40" t="str">
        <f aca="false">IF(OR($J713="",$K713=""),"",$J713+MATCH($K713,Listas!$F$5:$F$11,0)-1)</f>
        <v/>
      </c>
      <c r="M713" s="41"/>
      <c r="N713" s="36"/>
      <c r="O713" s="41"/>
      <c r="P713" s="35"/>
      <c r="Q713" s="35"/>
      <c r="R713" s="42" t="str">
        <f aca="true">IF($E713="","",IF($N713="Cancelada","Cancelada",IF(OR($M713&lt;&gt;"",$N713="Concluída"),IF(OR($L713="",$M713="",$M713&lt;=$L713),"Concluída","Concluída com atraso"),IF($L713="","Na carteira",IF($L713&lt;TODAY(),"VENCIDA",IF($N713="Em execução","Em execução",IF($L713=TODAY(),"Hoje","Programada")))))))</f>
        <v/>
      </c>
      <c r="S713" s="34" t="str">
        <f aca="false">IF($E713="","",IF(ISNUMBER(SEARCH("(externo)",$G713&amp;$H713&amp;$I713)),"Terceirizada","Interna"))</f>
        <v/>
      </c>
      <c r="T713" s="40" t="str">
        <f aca="false">IF($L713="","",IF($O713="",$L713,$O713))</f>
        <v/>
      </c>
      <c r="U713" s="34" t="str">
        <f aca="false">IF($E713="","",IF(OR($M713="",$L713=""),0,IF($M713&lt;=$L713,1,0)))</f>
        <v/>
      </c>
      <c r="V713" s="34" t="str">
        <f aca="false">IF($E713="","",IF(OR($M713="",$T713=""),0,IF($M713&lt;=$T713,1,0)))</f>
        <v/>
      </c>
      <c r="W713" s="42" t="str">
        <f aca="false">IF(OR($M713="",$L713=""),"",MAX(0,$M713-$L713))</f>
        <v/>
      </c>
      <c r="X713" s="34" t="str">
        <f aca="false">IF($E713="","",IF(AND($O713&lt;&gt;"",$L713&lt;&gt;"",$O713&lt;&gt;$L713),1,0))</f>
        <v/>
      </c>
      <c r="Y713" s="34" t="str">
        <f aca="false">IF($E713="","",IF($N713="Cancelada",0,IF(OR($M713&lt;&gt;"",$N713="Concluída"),1,0)))</f>
        <v/>
      </c>
    </row>
    <row r="714" customFormat="false" ht="15" hidden="false" customHeight="true" outlineLevel="0" collapsed="false">
      <c r="A714" s="34" t="str">
        <f aca="false">IF($E714="","",COUNTA($E$5:$E714))</f>
        <v/>
      </c>
      <c r="B714" s="35"/>
      <c r="C714" s="35"/>
      <c r="D714" s="35"/>
      <c r="E714" s="35"/>
      <c r="F714" s="36"/>
      <c r="G714" s="37"/>
      <c r="H714" s="37"/>
      <c r="I714" s="37"/>
      <c r="J714" s="38"/>
      <c r="K714" s="39"/>
      <c r="L714" s="40" t="str">
        <f aca="false">IF(OR($J714="",$K714=""),"",$J714+MATCH($K714,Listas!$F$5:$F$11,0)-1)</f>
        <v/>
      </c>
      <c r="M714" s="41"/>
      <c r="N714" s="36"/>
      <c r="O714" s="41"/>
      <c r="P714" s="35"/>
      <c r="Q714" s="35"/>
      <c r="R714" s="42" t="str">
        <f aca="true">IF($E714="","",IF($N714="Cancelada","Cancelada",IF(OR($M714&lt;&gt;"",$N714="Concluída"),IF(OR($L714="",$M714="",$M714&lt;=$L714),"Concluída","Concluída com atraso"),IF($L714="","Na carteira",IF($L714&lt;TODAY(),"VENCIDA",IF($N714="Em execução","Em execução",IF($L714=TODAY(),"Hoje","Programada")))))))</f>
        <v/>
      </c>
      <c r="S714" s="34" t="str">
        <f aca="false">IF($E714="","",IF(ISNUMBER(SEARCH("(externo)",$G714&amp;$H714&amp;$I714)),"Terceirizada","Interna"))</f>
        <v/>
      </c>
      <c r="T714" s="40" t="str">
        <f aca="false">IF($L714="","",IF($O714="",$L714,$O714))</f>
        <v/>
      </c>
      <c r="U714" s="34" t="str">
        <f aca="false">IF($E714="","",IF(OR($M714="",$L714=""),0,IF($M714&lt;=$L714,1,0)))</f>
        <v/>
      </c>
      <c r="V714" s="34" t="str">
        <f aca="false">IF($E714="","",IF(OR($M714="",$T714=""),0,IF($M714&lt;=$T714,1,0)))</f>
        <v/>
      </c>
      <c r="W714" s="42" t="str">
        <f aca="false">IF(OR($M714="",$L714=""),"",MAX(0,$M714-$L714))</f>
        <v/>
      </c>
      <c r="X714" s="34" t="str">
        <f aca="false">IF($E714="","",IF(AND($O714&lt;&gt;"",$L714&lt;&gt;"",$O714&lt;&gt;$L714),1,0))</f>
        <v/>
      </c>
      <c r="Y714" s="34" t="str">
        <f aca="false">IF($E714="","",IF($N714="Cancelada",0,IF(OR($M714&lt;&gt;"",$N714="Concluída"),1,0)))</f>
        <v/>
      </c>
    </row>
    <row r="715" customFormat="false" ht="15" hidden="false" customHeight="true" outlineLevel="0" collapsed="false">
      <c r="A715" s="34" t="str">
        <f aca="false">IF($E715="","",COUNTA($E$5:$E715))</f>
        <v/>
      </c>
      <c r="B715" s="35"/>
      <c r="C715" s="35"/>
      <c r="D715" s="35"/>
      <c r="E715" s="35"/>
      <c r="F715" s="36"/>
      <c r="G715" s="37"/>
      <c r="H715" s="37"/>
      <c r="I715" s="37"/>
      <c r="J715" s="38"/>
      <c r="K715" s="39"/>
      <c r="L715" s="40" t="str">
        <f aca="false">IF(OR($J715="",$K715=""),"",$J715+MATCH($K715,Listas!$F$5:$F$11,0)-1)</f>
        <v/>
      </c>
      <c r="M715" s="41"/>
      <c r="N715" s="36"/>
      <c r="O715" s="41"/>
      <c r="P715" s="35"/>
      <c r="Q715" s="35"/>
      <c r="R715" s="42" t="str">
        <f aca="true">IF($E715="","",IF($N715="Cancelada","Cancelada",IF(OR($M715&lt;&gt;"",$N715="Concluída"),IF(OR($L715="",$M715="",$M715&lt;=$L715),"Concluída","Concluída com atraso"),IF($L715="","Na carteira",IF($L715&lt;TODAY(),"VENCIDA",IF($N715="Em execução","Em execução",IF($L715=TODAY(),"Hoje","Programada")))))))</f>
        <v/>
      </c>
      <c r="S715" s="34" t="str">
        <f aca="false">IF($E715="","",IF(ISNUMBER(SEARCH("(externo)",$G715&amp;$H715&amp;$I715)),"Terceirizada","Interna"))</f>
        <v/>
      </c>
      <c r="T715" s="40" t="str">
        <f aca="false">IF($L715="","",IF($O715="",$L715,$O715))</f>
        <v/>
      </c>
      <c r="U715" s="34" t="str">
        <f aca="false">IF($E715="","",IF(OR($M715="",$L715=""),0,IF($M715&lt;=$L715,1,0)))</f>
        <v/>
      </c>
      <c r="V715" s="34" t="str">
        <f aca="false">IF($E715="","",IF(OR($M715="",$T715=""),0,IF($M715&lt;=$T715,1,0)))</f>
        <v/>
      </c>
      <c r="W715" s="42" t="str">
        <f aca="false">IF(OR($M715="",$L715=""),"",MAX(0,$M715-$L715))</f>
        <v/>
      </c>
      <c r="X715" s="34" t="str">
        <f aca="false">IF($E715="","",IF(AND($O715&lt;&gt;"",$L715&lt;&gt;"",$O715&lt;&gt;$L715),1,0))</f>
        <v/>
      </c>
      <c r="Y715" s="34" t="str">
        <f aca="false">IF($E715="","",IF($N715="Cancelada",0,IF(OR($M715&lt;&gt;"",$N715="Concluída"),1,0)))</f>
        <v/>
      </c>
    </row>
    <row r="716" customFormat="false" ht="15" hidden="false" customHeight="true" outlineLevel="0" collapsed="false">
      <c r="A716" s="34" t="str">
        <f aca="false">IF($E716="","",COUNTA($E$5:$E716))</f>
        <v/>
      </c>
      <c r="B716" s="35"/>
      <c r="C716" s="35"/>
      <c r="D716" s="35"/>
      <c r="E716" s="35"/>
      <c r="F716" s="36"/>
      <c r="G716" s="37"/>
      <c r="H716" s="37"/>
      <c r="I716" s="37"/>
      <c r="J716" s="38"/>
      <c r="K716" s="39"/>
      <c r="L716" s="40" t="str">
        <f aca="false">IF(OR($J716="",$K716=""),"",$J716+MATCH($K716,Listas!$F$5:$F$11,0)-1)</f>
        <v/>
      </c>
      <c r="M716" s="41"/>
      <c r="N716" s="36"/>
      <c r="O716" s="41"/>
      <c r="P716" s="35"/>
      <c r="Q716" s="35"/>
      <c r="R716" s="42" t="str">
        <f aca="true">IF($E716="","",IF($N716="Cancelada","Cancelada",IF(OR($M716&lt;&gt;"",$N716="Concluída"),IF(OR($L716="",$M716="",$M716&lt;=$L716),"Concluída","Concluída com atraso"),IF($L716="","Na carteira",IF($L716&lt;TODAY(),"VENCIDA",IF($N716="Em execução","Em execução",IF($L716=TODAY(),"Hoje","Programada")))))))</f>
        <v/>
      </c>
      <c r="S716" s="34" t="str">
        <f aca="false">IF($E716="","",IF(ISNUMBER(SEARCH("(externo)",$G716&amp;$H716&amp;$I716)),"Terceirizada","Interna"))</f>
        <v/>
      </c>
      <c r="T716" s="40" t="str">
        <f aca="false">IF($L716="","",IF($O716="",$L716,$O716))</f>
        <v/>
      </c>
      <c r="U716" s="34" t="str">
        <f aca="false">IF($E716="","",IF(OR($M716="",$L716=""),0,IF($M716&lt;=$L716,1,0)))</f>
        <v/>
      </c>
      <c r="V716" s="34" t="str">
        <f aca="false">IF($E716="","",IF(OR($M716="",$T716=""),0,IF($M716&lt;=$T716,1,0)))</f>
        <v/>
      </c>
      <c r="W716" s="42" t="str">
        <f aca="false">IF(OR($M716="",$L716=""),"",MAX(0,$M716-$L716))</f>
        <v/>
      </c>
      <c r="X716" s="34" t="str">
        <f aca="false">IF($E716="","",IF(AND($O716&lt;&gt;"",$L716&lt;&gt;"",$O716&lt;&gt;$L716),1,0))</f>
        <v/>
      </c>
      <c r="Y716" s="34" t="str">
        <f aca="false">IF($E716="","",IF($N716="Cancelada",0,IF(OR($M716&lt;&gt;"",$N716="Concluída"),1,0)))</f>
        <v/>
      </c>
    </row>
    <row r="717" customFormat="false" ht="15" hidden="false" customHeight="true" outlineLevel="0" collapsed="false">
      <c r="A717" s="34" t="str">
        <f aca="false">IF($E717="","",COUNTA($E$5:$E717))</f>
        <v/>
      </c>
      <c r="B717" s="35"/>
      <c r="C717" s="35"/>
      <c r="D717" s="35"/>
      <c r="E717" s="35"/>
      <c r="F717" s="36"/>
      <c r="G717" s="37"/>
      <c r="H717" s="37"/>
      <c r="I717" s="37"/>
      <c r="J717" s="38"/>
      <c r="K717" s="39"/>
      <c r="L717" s="40" t="str">
        <f aca="false">IF(OR($J717="",$K717=""),"",$J717+MATCH($K717,Listas!$F$5:$F$11,0)-1)</f>
        <v/>
      </c>
      <c r="M717" s="41"/>
      <c r="N717" s="36"/>
      <c r="O717" s="41"/>
      <c r="P717" s="35"/>
      <c r="Q717" s="35"/>
      <c r="R717" s="42" t="str">
        <f aca="true">IF($E717="","",IF($N717="Cancelada","Cancelada",IF(OR($M717&lt;&gt;"",$N717="Concluída"),IF(OR($L717="",$M717="",$M717&lt;=$L717),"Concluída","Concluída com atraso"),IF($L717="","Na carteira",IF($L717&lt;TODAY(),"VENCIDA",IF($N717="Em execução","Em execução",IF($L717=TODAY(),"Hoje","Programada")))))))</f>
        <v/>
      </c>
      <c r="S717" s="34" t="str">
        <f aca="false">IF($E717="","",IF(ISNUMBER(SEARCH("(externo)",$G717&amp;$H717&amp;$I717)),"Terceirizada","Interna"))</f>
        <v/>
      </c>
      <c r="T717" s="40" t="str">
        <f aca="false">IF($L717="","",IF($O717="",$L717,$O717))</f>
        <v/>
      </c>
      <c r="U717" s="34" t="str">
        <f aca="false">IF($E717="","",IF(OR($M717="",$L717=""),0,IF($M717&lt;=$L717,1,0)))</f>
        <v/>
      </c>
      <c r="V717" s="34" t="str">
        <f aca="false">IF($E717="","",IF(OR($M717="",$T717=""),0,IF($M717&lt;=$T717,1,0)))</f>
        <v/>
      </c>
      <c r="W717" s="42" t="str">
        <f aca="false">IF(OR($M717="",$L717=""),"",MAX(0,$M717-$L717))</f>
        <v/>
      </c>
      <c r="X717" s="34" t="str">
        <f aca="false">IF($E717="","",IF(AND($O717&lt;&gt;"",$L717&lt;&gt;"",$O717&lt;&gt;$L717),1,0))</f>
        <v/>
      </c>
      <c r="Y717" s="34" t="str">
        <f aca="false">IF($E717="","",IF($N717="Cancelada",0,IF(OR($M717&lt;&gt;"",$N717="Concluída"),1,0)))</f>
        <v/>
      </c>
    </row>
    <row r="718" customFormat="false" ht="15" hidden="false" customHeight="true" outlineLevel="0" collapsed="false">
      <c r="A718" s="34" t="str">
        <f aca="false">IF($E718="","",COUNTA($E$5:$E718))</f>
        <v/>
      </c>
      <c r="B718" s="35"/>
      <c r="C718" s="35"/>
      <c r="D718" s="35"/>
      <c r="E718" s="35"/>
      <c r="F718" s="36"/>
      <c r="G718" s="37"/>
      <c r="H718" s="37"/>
      <c r="I718" s="37"/>
      <c r="J718" s="38"/>
      <c r="K718" s="39"/>
      <c r="L718" s="40" t="str">
        <f aca="false">IF(OR($J718="",$K718=""),"",$J718+MATCH($K718,Listas!$F$5:$F$11,0)-1)</f>
        <v/>
      </c>
      <c r="M718" s="41"/>
      <c r="N718" s="36"/>
      <c r="O718" s="41"/>
      <c r="P718" s="35"/>
      <c r="Q718" s="35"/>
      <c r="R718" s="42" t="str">
        <f aca="true">IF($E718="","",IF($N718="Cancelada","Cancelada",IF(OR($M718&lt;&gt;"",$N718="Concluída"),IF(OR($L718="",$M718="",$M718&lt;=$L718),"Concluída","Concluída com atraso"),IF($L718="","Na carteira",IF($L718&lt;TODAY(),"VENCIDA",IF($N718="Em execução","Em execução",IF($L718=TODAY(),"Hoje","Programada")))))))</f>
        <v/>
      </c>
      <c r="S718" s="34" t="str">
        <f aca="false">IF($E718="","",IF(ISNUMBER(SEARCH("(externo)",$G718&amp;$H718&amp;$I718)),"Terceirizada","Interna"))</f>
        <v/>
      </c>
      <c r="T718" s="40" t="str">
        <f aca="false">IF($L718="","",IF($O718="",$L718,$O718))</f>
        <v/>
      </c>
      <c r="U718" s="34" t="str">
        <f aca="false">IF($E718="","",IF(OR($M718="",$L718=""),0,IF($M718&lt;=$L718,1,0)))</f>
        <v/>
      </c>
      <c r="V718" s="34" t="str">
        <f aca="false">IF($E718="","",IF(OR($M718="",$T718=""),0,IF($M718&lt;=$T718,1,0)))</f>
        <v/>
      </c>
      <c r="W718" s="42" t="str">
        <f aca="false">IF(OR($M718="",$L718=""),"",MAX(0,$M718-$L718))</f>
        <v/>
      </c>
      <c r="X718" s="34" t="str">
        <f aca="false">IF($E718="","",IF(AND($O718&lt;&gt;"",$L718&lt;&gt;"",$O718&lt;&gt;$L718),1,0))</f>
        <v/>
      </c>
      <c r="Y718" s="34" t="str">
        <f aca="false">IF($E718="","",IF($N718="Cancelada",0,IF(OR($M718&lt;&gt;"",$N718="Concluída"),1,0)))</f>
        <v/>
      </c>
    </row>
    <row r="719" customFormat="false" ht="15" hidden="false" customHeight="true" outlineLevel="0" collapsed="false">
      <c r="A719" s="34" t="str">
        <f aca="false">IF($E719="","",COUNTA($E$5:$E719))</f>
        <v/>
      </c>
      <c r="B719" s="35"/>
      <c r="C719" s="35"/>
      <c r="D719" s="35"/>
      <c r="E719" s="35"/>
      <c r="F719" s="36"/>
      <c r="G719" s="37"/>
      <c r="H719" s="37"/>
      <c r="I719" s="37"/>
      <c r="J719" s="38"/>
      <c r="K719" s="39"/>
      <c r="L719" s="40" t="str">
        <f aca="false">IF(OR($J719="",$K719=""),"",$J719+MATCH($K719,Listas!$F$5:$F$11,0)-1)</f>
        <v/>
      </c>
      <c r="M719" s="41"/>
      <c r="N719" s="36"/>
      <c r="O719" s="41"/>
      <c r="P719" s="35"/>
      <c r="Q719" s="35"/>
      <c r="R719" s="42" t="str">
        <f aca="true">IF($E719="","",IF($N719="Cancelada","Cancelada",IF(OR($M719&lt;&gt;"",$N719="Concluída"),IF(OR($L719="",$M719="",$M719&lt;=$L719),"Concluída","Concluída com atraso"),IF($L719="","Na carteira",IF($L719&lt;TODAY(),"VENCIDA",IF($N719="Em execução","Em execução",IF($L719=TODAY(),"Hoje","Programada")))))))</f>
        <v/>
      </c>
      <c r="S719" s="34" t="str">
        <f aca="false">IF($E719="","",IF(ISNUMBER(SEARCH("(externo)",$G719&amp;$H719&amp;$I719)),"Terceirizada","Interna"))</f>
        <v/>
      </c>
      <c r="T719" s="40" t="str">
        <f aca="false">IF($L719="","",IF($O719="",$L719,$O719))</f>
        <v/>
      </c>
      <c r="U719" s="34" t="str">
        <f aca="false">IF($E719="","",IF(OR($M719="",$L719=""),0,IF($M719&lt;=$L719,1,0)))</f>
        <v/>
      </c>
      <c r="V719" s="34" t="str">
        <f aca="false">IF($E719="","",IF(OR($M719="",$T719=""),0,IF($M719&lt;=$T719,1,0)))</f>
        <v/>
      </c>
      <c r="W719" s="42" t="str">
        <f aca="false">IF(OR($M719="",$L719=""),"",MAX(0,$M719-$L719))</f>
        <v/>
      </c>
      <c r="X719" s="34" t="str">
        <f aca="false">IF($E719="","",IF(AND($O719&lt;&gt;"",$L719&lt;&gt;"",$O719&lt;&gt;$L719),1,0))</f>
        <v/>
      </c>
      <c r="Y719" s="34" t="str">
        <f aca="false">IF($E719="","",IF($N719="Cancelada",0,IF(OR($M719&lt;&gt;"",$N719="Concluída"),1,0)))</f>
        <v/>
      </c>
    </row>
    <row r="720" customFormat="false" ht="15" hidden="false" customHeight="true" outlineLevel="0" collapsed="false">
      <c r="A720" s="34" t="str">
        <f aca="false">IF($E720="","",COUNTA($E$5:$E720))</f>
        <v/>
      </c>
      <c r="B720" s="35"/>
      <c r="C720" s="35"/>
      <c r="D720" s="35"/>
      <c r="E720" s="35"/>
      <c r="F720" s="36"/>
      <c r="G720" s="37"/>
      <c r="H720" s="37"/>
      <c r="I720" s="37"/>
      <c r="J720" s="38"/>
      <c r="K720" s="39"/>
      <c r="L720" s="40" t="str">
        <f aca="false">IF(OR($J720="",$K720=""),"",$J720+MATCH($K720,Listas!$F$5:$F$11,0)-1)</f>
        <v/>
      </c>
      <c r="M720" s="41"/>
      <c r="N720" s="36"/>
      <c r="O720" s="41"/>
      <c r="P720" s="35"/>
      <c r="Q720" s="35"/>
      <c r="R720" s="42" t="str">
        <f aca="true">IF($E720="","",IF($N720="Cancelada","Cancelada",IF(OR($M720&lt;&gt;"",$N720="Concluída"),IF(OR($L720="",$M720="",$M720&lt;=$L720),"Concluída","Concluída com atraso"),IF($L720="","Na carteira",IF($L720&lt;TODAY(),"VENCIDA",IF($N720="Em execução","Em execução",IF($L720=TODAY(),"Hoje","Programada")))))))</f>
        <v/>
      </c>
      <c r="S720" s="34" t="str">
        <f aca="false">IF($E720="","",IF(ISNUMBER(SEARCH("(externo)",$G720&amp;$H720&amp;$I720)),"Terceirizada","Interna"))</f>
        <v/>
      </c>
      <c r="T720" s="40" t="str">
        <f aca="false">IF($L720="","",IF($O720="",$L720,$O720))</f>
        <v/>
      </c>
      <c r="U720" s="34" t="str">
        <f aca="false">IF($E720="","",IF(OR($M720="",$L720=""),0,IF($M720&lt;=$L720,1,0)))</f>
        <v/>
      </c>
      <c r="V720" s="34" t="str">
        <f aca="false">IF($E720="","",IF(OR($M720="",$T720=""),0,IF($M720&lt;=$T720,1,0)))</f>
        <v/>
      </c>
      <c r="W720" s="42" t="str">
        <f aca="false">IF(OR($M720="",$L720=""),"",MAX(0,$M720-$L720))</f>
        <v/>
      </c>
      <c r="X720" s="34" t="str">
        <f aca="false">IF($E720="","",IF(AND($O720&lt;&gt;"",$L720&lt;&gt;"",$O720&lt;&gt;$L720),1,0))</f>
        <v/>
      </c>
      <c r="Y720" s="34" t="str">
        <f aca="false">IF($E720="","",IF($N720="Cancelada",0,IF(OR($M720&lt;&gt;"",$N720="Concluída"),1,0)))</f>
        <v/>
      </c>
    </row>
    <row r="721" customFormat="false" ht="15" hidden="false" customHeight="true" outlineLevel="0" collapsed="false">
      <c r="A721" s="34" t="str">
        <f aca="false">IF($E721="","",COUNTA($E$5:$E721))</f>
        <v/>
      </c>
      <c r="B721" s="35"/>
      <c r="C721" s="35"/>
      <c r="D721" s="35"/>
      <c r="E721" s="35"/>
      <c r="F721" s="36"/>
      <c r="G721" s="37"/>
      <c r="H721" s="37"/>
      <c r="I721" s="37"/>
      <c r="J721" s="38"/>
      <c r="K721" s="39"/>
      <c r="L721" s="40" t="str">
        <f aca="false">IF(OR($J721="",$K721=""),"",$J721+MATCH($K721,Listas!$F$5:$F$11,0)-1)</f>
        <v/>
      </c>
      <c r="M721" s="41"/>
      <c r="N721" s="36"/>
      <c r="O721" s="41"/>
      <c r="P721" s="35"/>
      <c r="Q721" s="35"/>
      <c r="R721" s="42" t="str">
        <f aca="true">IF($E721="","",IF($N721="Cancelada","Cancelada",IF(OR($M721&lt;&gt;"",$N721="Concluída"),IF(OR($L721="",$M721="",$M721&lt;=$L721),"Concluída","Concluída com atraso"),IF($L721="","Na carteira",IF($L721&lt;TODAY(),"VENCIDA",IF($N721="Em execução","Em execução",IF($L721=TODAY(),"Hoje","Programada")))))))</f>
        <v/>
      </c>
      <c r="S721" s="34" t="str">
        <f aca="false">IF($E721="","",IF(ISNUMBER(SEARCH("(externo)",$G721&amp;$H721&amp;$I721)),"Terceirizada","Interna"))</f>
        <v/>
      </c>
      <c r="T721" s="40" t="str">
        <f aca="false">IF($L721="","",IF($O721="",$L721,$O721))</f>
        <v/>
      </c>
      <c r="U721" s="34" t="str">
        <f aca="false">IF($E721="","",IF(OR($M721="",$L721=""),0,IF($M721&lt;=$L721,1,0)))</f>
        <v/>
      </c>
      <c r="V721" s="34" t="str">
        <f aca="false">IF($E721="","",IF(OR($M721="",$T721=""),0,IF($M721&lt;=$T721,1,0)))</f>
        <v/>
      </c>
      <c r="W721" s="42" t="str">
        <f aca="false">IF(OR($M721="",$L721=""),"",MAX(0,$M721-$L721))</f>
        <v/>
      </c>
      <c r="X721" s="34" t="str">
        <f aca="false">IF($E721="","",IF(AND($O721&lt;&gt;"",$L721&lt;&gt;"",$O721&lt;&gt;$L721),1,0))</f>
        <v/>
      </c>
      <c r="Y721" s="34" t="str">
        <f aca="false">IF($E721="","",IF($N721="Cancelada",0,IF(OR($M721&lt;&gt;"",$N721="Concluída"),1,0)))</f>
        <v/>
      </c>
    </row>
    <row r="722" customFormat="false" ht="15" hidden="false" customHeight="true" outlineLevel="0" collapsed="false">
      <c r="A722" s="34" t="str">
        <f aca="false">IF($E722="","",COUNTA($E$5:$E722))</f>
        <v/>
      </c>
      <c r="B722" s="35"/>
      <c r="C722" s="35"/>
      <c r="D722" s="35"/>
      <c r="E722" s="35"/>
      <c r="F722" s="36"/>
      <c r="G722" s="37"/>
      <c r="H722" s="37"/>
      <c r="I722" s="37"/>
      <c r="J722" s="38"/>
      <c r="K722" s="39"/>
      <c r="L722" s="40" t="str">
        <f aca="false">IF(OR($J722="",$K722=""),"",$J722+MATCH($K722,Listas!$F$5:$F$11,0)-1)</f>
        <v/>
      </c>
      <c r="M722" s="41"/>
      <c r="N722" s="36"/>
      <c r="O722" s="41"/>
      <c r="P722" s="35"/>
      <c r="Q722" s="35"/>
      <c r="R722" s="42" t="str">
        <f aca="true">IF($E722="","",IF($N722="Cancelada","Cancelada",IF(OR($M722&lt;&gt;"",$N722="Concluída"),IF(OR($L722="",$M722="",$M722&lt;=$L722),"Concluída","Concluída com atraso"),IF($L722="","Na carteira",IF($L722&lt;TODAY(),"VENCIDA",IF($N722="Em execução","Em execução",IF($L722=TODAY(),"Hoje","Programada")))))))</f>
        <v/>
      </c>
      <c r="S722" s="34" t="str">
        <f aca="false">IF($E722="","",IF(ISNUMBER(SEARCH("(externo)",$G722&amp;$H722&amp;$I722)),"Terceirizada","Interna"))</f>
        <v/>
      </c>
      <c r="T722" s="40" t="str">
        <f aca="false">IF($L722="","",IF($O722="",$L722,$O722))</f>
        <v/>
      </c>
      <c r="U722" s="34" t="str">
        <f aca="false">IF($E722="","",IF(OR($M722="",$L722=""),0,IF($M722&lt;=$L722,1,0)))</f>
        <v/>
      </c>
      <c r="V722" s="34" t="str">
        <f aca="false">IF($E722="","",IF(OR($M722="",$T722=""),0,IF($M722&lt;=$T722,1,0)))</f>
        <v/>
      </c>
      <c r="W722" s="42" t="str">
        <f aca="false">IF(OR($M722="",$L722=""),"",MAX(0,$M722-$L722))</f>
        <v/>
      </c>
      <c r="X722" s="34" t="str">
        <f aca="false">IF($E722="","",IF(AND($O722&lt;&gt;"",$L722&lt;&gt;"",$O722&lt;&gt;$L722),1,0))</f>
        <v/>
      </c>
      <c r="Y722" s="34" t="str">
        <f aca="false">IF($E722="","",IF($N722="Cancelada",0,IF(OR($M722&lt;&gt;"",$N722="Concluída"),1,0)))</f>
        <v/>
      </c>
    </row>
    <row r="723" customFormat="false" ht="15" hidden="false" customHeight="true" outlineLevel="0" collapsed="false">
      <c r="A723" s="34" t="str">
        <f aca="false">IF($E723="","",COUNTA($E$5:$E723))</f>
        <v/>
      </c>
      <c r="B723" s="35"/>
      <c r="C723" s="35"/>
      <c r="D723" s="35"/>
      <c r="E723" s="35"/>
      <c r="F723" s="36"/>
      <c r="G723" s="37"/>
      <c r="H723" s="37"/>
      <c r="I723" s="37"/>
      <c r="J723" s="38"/>
      <c r="K723" s="39"/>
      <c r="L723" s="40" t="str">
        <f aca="false">IF(OR($J723="",$K723=""),"",$J723+MATCH($K723,Listas!$F$5:$F$11,0)-1)</f>
        <v/>
      </c>
      <c r="M723" s="41"/>
      <c r="N723" s="36"/>
      <c r="O723" s="41"/>
      <c r="P723" s="35"/>
      <c r="Q723" s="35"/>
      <c r="R723" s="42" t="str">
        <f aca="true">IF($E723="","",IF($N723="Cancelada","Cancelada",IF(OR($M723&lt;&gt;"",$N723="Concluída"),IF(OR($L723="",$M723="",$M723&lt;=$L723),"Concluída","Concluída com atraso"),IF($L723="","Na carteira",IF($L723&lt;TODAY(),"VENCIDA",IF($N723="Em execução","Em execução",IF($L723=TODAY(),"Hoje","Programada")))))))</f>
        <v/>
      </c>
      <c r="S723" s="34" t="str">
        <f aca="false">IF($E723="","",IF(ISNUMBER(SEARCH("(externo)",$G723&amp;$H723&amp;$I723)),"Terceirizada","Interna"))</f>
        <v/>
      </c>
      <c r="T723" s="40" t="str">
        <f aca="false">IF($L723="","",IF($O723="",$L723,$O723))</f>
        <v/>
      </c>
      <c r="U723" s="34" t="str">
        <f aca="false">IF($E723="","",IF(OR($M723="",$L723=""),0,IF($M723&lt;=$L723,1,0)))</f>
        <v/>
      </c>
      <c r="V723" s="34" t="str">
        <f aca="false">IF($E723="","",IF(OR($M723="",$T723=""),0,IF($M723&lt;=$T723,1,0)))</f>
        <v/>
      </c>
      <c r="W723" s="42" t="str">
        <f aca="false">IF(OR($M723="",$L723=""),"",MAX(0,$M723-$L723))</f>
        <v/>
      </c>
      <c r="X723" s="34" t="str">
        <f aca="false">IF($E723="","",IF(AND($O723&lt;&gt;"",$L723&lt;&gt;"",$O723&lt;&gt;$L723),1,0))</f>
        <v/>
      </c>
      <c r="Y723" s="34" t="str">
        <f aca="false">IF($E723="","",IF($N723="Cancelada",0,IF(OR($M723&lt;&gt;"",$N723="Concluída"),1,0)))</f>
        <v/>
      </c>
    </row>
    <row r="724" customFormat="false" ht="15" hidden="false" customHeight="true" outlineLevel="0" collapsed="false">
      <c r="A724" s="34" t="str">
        <f aca="false">IF($E724="","",COUNTA($E$5:$E724))</f>
        <v/>
      </c>
      <c r="B724" s="35"/>
      <c r="C724" s="35"/>
      <c r="D724" s="35"/>
      <c r="E724" s="35"/>
      <c r="F724" s="36"/>
      <c r="G724" s="37"/>
      <c r="H724" s="37"/>
      <c r="I724" s="37"/>
      <c r="J724" s="38"/>
      <c r="K724" s="39"/>
      <c r="L724" s="40" t="str">
        <f aca="false">IF(OR($J724="",$K724=""),"",$J724+MATCH($K724,Listas!$F$5:$F$11,0)-1)</f>
        <v/>
      </c>
      <c r="M724" s="41"/>
      <c r="N724" s="36"/>
      <c r="O724" s="41"/>
      <c r="P724" s="35"/>
      <c r="Q724" s="35"/>
      <c r="R724" s="42" t="str">
        <f aca="true">IF($E724="","",IF($N724="Cancelada","Cancelada",IF(OR($M724&lt;&gt;"",$N724="Concluída"),IF(OR($L724="",$M724="",$M724&lt;=$L724),"Concluída","Concluída com atraso"),IF($L724="","Na carteira",IF($L724&lt;TODAY(),"VENCIDA",IF($N724="Em execução","Em execução",IF($L724=TODAY(),"Hoje","Programada")))))))</f>
        <v/>
      </c>
      <c r="S724" s="34" t="str">
        <f aca="false">IF($E724="","",IF(ISNUMBER(SEARCH("(externo)",$G724&amp;$H724&amp;$I724)),"Terceirizada","Interna"))</f>
        <v/>
      </c>
      <c r="T724" s="40" t="str">
        <f aca="false">IF($L724="","",IF($O724="",$L724,$O724))</f>
        <v/>
      </c>
      <c r="U724" s="34" t="str">
        <f aca="false">IF($E724="","",IF(OR($M724="",$L724=""),0,IF($M724&lt;=$L724,1,0)))</f>
        <v/>
      </c>
      <c r="V724" s="34" t="str">
        <f aca="false">IF($E724="","",IF(OR($M724="",$T724=""),0,IF($M724&lt;=$T724,1,0)))</f>
        <v/>
      </c>
      <c r="W724" s="42" t="str">
        <f aca="false">IF(OR($M724="",$L724=""),"",MAX(0,$M724-$L724))</f>
        <v/>
      </c>
      <c r="X724" s="34" t="str">
        <f aca="false">IF($E724="","",IF(AND($O724&lt;&gt;"",$L724&lt;&gt;"",$O724&lt;&gt;$L724),1,0))</f>
        <v/>
      </c>
      <c r="Y724" s="34" t="str">
        <f aca="false">IF($E724="","",IF($N724="Cancelada",0,IF(OR($M724&lt;&gt;"",$N724="Concluída"),1,0)))</f>
        <v/>
      </c>
    </row>
    <row r="725" customFormat="false" ht="15" hidden="false" customHeight="true" outlineLevel="0" collapsed="false">
      <c r="A725" s="34" t="str">
        <f aca="false">IF($E725="","",COUNTA($E$5:$E725))</f>
        <v/>
      </c>
      <c r="B725" s="35"/>
      <c r="C725" s="35"/>
      <c r="D725" s="35"/>
      <c r="E725" s="35"/>
      <c r="F725" s="36"/>
      <c r="G725" s="37"/>
      <c r="H725" s="37"/>
      <c r="I725" s="37"/>
      <c r="J725" s="38"/>
      <c r="K725" s="39"/>
      <c r="L725" s="40" t="str">
        <f aca="false">IF(OR($J725="",$K725=""),"",$J725+MATCH($K725,Listas!$F$5:$F$11,0)-1)</f>
        <v/>
      </c>
      <c r="M725" s="41"/>
      <c r="N725" s="36"/>
      <c r="O725" s="41"/>
      <c r="P725" s="35"/>
      <c r="Q725" s="35"/>
      <c r="R725" s="42" t="str">
        <f aca="true">IF($E725="","",IF($N725="Cancelada","Cancelada",IF(OR($M725&lt;&gt;"",$N725="Concluída"),IF(OR($L725="",$M725="",$M725&lt;=$L725),"Concluída","Concluída com atraso"),IF($L725="","Na carteira",IF($L725&lt;TODAY(),"VENCIDA",IF($N725="Em execução","Em execução",IF($L725=TODAY(),"Hoje","Programada")))))))</f>
        <v/>
      </c>
      <c r="S725" s="34" t="str">
        <f aca="false">IF($E725="","",IF(ISNUMBER(SEARCH("(externo)",$G725&amp;$H725&amp;$I725)),"Terceirizada","Interna"))</f>
        <v/>
      </c>
      <c r="T725" s="40" t="str">
        <f aca="false">IF($L725="","",IF($O725="",$L725,$O725))</f>
        <v/>
      </c>
      <c r="U725" s="34" t="str">
        <f aca="false">IF($E725="","",IF(OR($M725="",$L725=""),0,IF($M725&lt;=$L725,1,0)))</f>
        <v/>
      </c>
      <c r="V725" s="34" t="str">
        <f aca="false">IF($E725="","",IF(OR($M725="",$T725=""),0,IF($M725&lt;=$T725,1,0)))</f>
        <v/>
      </c>
      <c r="W725" s="42" t="str">
        <f aca="false">IF(OR($M725="",$L725=""),"",MAX(0,$M725-$L725))</f>
        <v/>
      </c>
      <c r="X725" s="34" t="str">
        <f aca="false">IF($E725="","",IF(AND($O725&lt;&gt;"",$L725&lt;&gt;"",$O725&lt;&gt;$L725),1,0))</f>
        <v/>
      </c>
      <c r="Y725" s="34" t="str">
        <f aca="false">IF($E725="","",IF($N725="Cancelada",0,IF(OR($M725&lt;&gt;"",$N725="Concluída"),1,0)))</f>
        <v/>
      </c>
    </row>
    <row r="726" customFormat="false" ht="15" hidden="false" customHeight="true" outlineLevel="0" collapsed="false">
      <c r="A726" s="34" t="str">
        <f aca="false">IF($E726="","",COUNTA($E$5:$E726))</f>
        <v/>
      </c>
      <c r="B726" s="35"/>
      <c r="C726" s="35"/>
      <c r="D726" s="35"/>
      <c r="E726" s="35"/>
      <c r="F726" s="36"/>
      <c r="G726" s="37"/>
      <c r="H726" s="37"/>
      <c r="I726" s="37"/>
      <c r="J726" s="38"/>
      <c r="K726" s="39"/>
      <c r="L726" s="40" t="str">
        <f aca="false">IF(OR($J726="",$K726=""),"",$J726+MATCH($K726,Listas!$F$5:$F$11,0)-1)</f>
        <v/>
      </c>
      <c r="M726" s="41"/>
      <c r="N726" s="36"/>
      <c r="O726" s="41"/>
      <c r="P726" s="35"/>
      <c r="Q726" s="35"/>
      <c r="R726" s="42" t="str">
        <f aca="true">IF($E726="","",IF($N726="Cancelada","Cancelada",IF(OR($M726&lt;&gt;"",$N726="Concluída"),IF(OR($L726="",$M726="",$M726&lt;=$L726),"Concluída","Concluída com atraso"),IF($L726="","Na carteira",IF($L726&lt;TODAY(),"VENCIDA",IF($N726="Em execução","Em execução",IF($L726=TODAY(),"Hoje","Programada")))))))</f>
        <v/>
      </c>
      <c r="S726" s="34" t="str">
        <f aca="false">IF($E726="","",IF(ISNUMBER(SEARCH("(externo)",$G726&amp;$H726&amp;$I726)),"Terceirizada","Interna"))</f>
        <v/>
      </c>
      <c r="T726" s="40" t="str">
        <f aca="false">IF($L726="","",IF($O726="",$L726,$O726))</f>
        <v/>
      </c>
      <c r="U726" s="34" t="str">
        <f aca="false">IF($E726="","",IF(OR($M726="",$L726=""),0,IF($M726&lt;=$L726,1,0)))</f>
        <v/>
      </c>
      <c r="V726" s="34" t="str">
        <f aca="false">IF($E726="","",IF(OR($M726="",$T726=""),0,IF($M726&lt;=$T726,1,0)))</f>
        <v/>
      </c>
      <c r="W726" s="42" t="str">
        <f aca="false">IF(OR($M726="",$L726=""),"",MAX(0,$M726-$L726))</f>
        <v/>
      </c>
      <c r="X726" s="34" t="str">
        <f aca="false">IF($E726="","",IF(AND($O726&lt;&gt;"",$L726&lt;&gt;"",$O726&lt;&gt;$L726),1,0))</f>
        <v/>
      </c>
      <c r="Y726" s="34" t="str">
        <f aca="false">IF($E726="","",IF($N726="Cancelada",0,IF(OR($M726&lt;&gt;"",$N726="Concluída"),1,0)))</f>
        <v/>
      </c>
    </row>
    <row r="727" customFormat="false" ht="15" hidden="false" customHeight="true" outlineLevel="0" collapsed="false">
      <c r="A727" s="34" t="str">
        <f aca="false">IF($E727="","",COUNTA($E$5:$E727))</f>
        <v/>
      </c>
      <c r="B727" s="35"/>
      <c r="C727" s="35"/>
      <c r="D727" s="35"/>
      <c r="E727" s="35"/>
      <c r="F727" s="36"/>
      <c r="G727" s="37"/>
      <c r="H727" s="37"/>
      <c r="I727" s="37"/>
      <c r="J727" s="38"/>
      <c r="K727" s="39"/>
      <c r="L727" s="40" t="str">
        <f aca="false">IF(OR($J727="",$K727=""),"",$J727+MATCH($K727,Listas!$F$5:$F$11,0)-1)</f>
        <v/>
      </c>
      <c r="M727" s="41"/>
      <c r="N727" s="36"/>
      <c r="O727" s="41"/>
      <c r="P727" s="35"/>
      <c r="Q727" s="35"/>
      <c r="R727" s="42" t="str">
        <f aca="true">IF($E727="","",IF($N727="Cancelada","Cancelada",IF(OR($M727&lt;&gt;"",$N727="Concluída"),IF(OR($L727="",$M727="",$M727&lt;=$L727),"Concluída","Concluída com atraso"),IF($L727="","Na carteira",IF($L727&lt;TODAY(),"VENCIDA",IF($N727="Em execução","Em execução",IF($L727=TODAY(),"Hoje","Programada")))))))</f>
        <v/>
      </c>
      <c r="S727" s="34" t="str">
        <f aca="false">IF($E727="","",IF(ISNUMBER(SEARCH("(externo)",$G727&amp;$H727&amp;$I727)),"Terceirizada","Interna"))</f>
        <v/>
      </c>
      <c r="T727" s="40" t="str">
        <f aca="false">IF($L727="","",IF($O727="",$L727,$O727))</f>
        <v/>
      </c>
      <c r="U727" s="34" t="str">
        <f aca="false">IF($E727="","",IF(OR($M727="",$L727=""),0,IF($M727&lt;=$L727,1,0)))</f>
        <v/>
      </c>
      <c r="V727" s="34" t="str">
        <f aca="false">IF($E727="","",IF(OR($M727="",$T727=""),0,IF($M727&lt;=$T727,1,0)))</f>
        <v/>
      </c>
      <c r="W727" s="42" t="str">
        <f aca="false">IF(OR($M727="",$L727=""),"",MAX(0,$M727-$L727))</f>
        <v/>
      </c>
      <c r="X727" s="34" t="str">
        <f aca="false">IF($E727="","",IF(AND($O727&lt;&gt;"",$L727&lt;&gt;"",$O727&lt;&gt;$L727),1,0))</f>
        <v/>
      </c>
      <c r="Y727" s="34" t="str">
        <f aca="false">IF($E727="","",IF($N727="Cancelada",0,IF(OR($M727&lt;&gt;"",$N727="Concluída"),1,0)))</f>
        <v/>
      </c>
    </row>
    <row r="728" customFormat="false" ht="15" hidden="false" customHeight="true" outlineLevel="0" collapsed="false">
      <c r="A728" s="34" t="str">
        <f aca="false">IF($E728="","",COUNTA($E$5:$E728))</f>
        <v/>
      </c>
      <c r="B728" s="35"/>
      <c r="C728" s="35"/>
      <c r="D728" s="35"/>
      <c r="E728" s="35"/>
      <c r="F728" s="36"/>
      <c r="G728" s="37"/>
      <c r="H728" s="37"/>
      <c r="I728" s="37"/>
      <c r="J728" s="38"/>
      <c r="K728" s="39"/>
      <c r="L728" s="40" t="str">
        <f aca="false">IF(OR($J728="",$K728=""),"",$J728+MATCH($K728,Listas!$F$5:$F$11,0)-1)</f>
        <v/>
      </c>
      <c r="M728" s="41"/>
      <c r="N728" s="36"/>
      <c r="O728" s="41"/>
      <c r="P728" s="35"/>
      <c r="Q728" s="35"/>
      <c r="R728" s="42" t="str">
        <f aca="true">IF($E728="","",IF($N728="Cancelada","Cancelada",IF(OR($M728&lt;&gt;"",$N728="Concluída"),IF(OR($L728="",$M728="",$M728&lt;=$L728),"Concluída","Concluída com atraso"),IF($L728="","Na carteira",IF($L728&lt;TODAY(),"VENCIDA",IF($N728="Em execução","Em execução",IF($L728=TODAY(),"Hoje","Programada")))))))</f>
        <v/>
      </c>
      <c r="S728" s="34" t="str">
        <f aca="false">IF($E728="","",IF(ISNUMBER(SEARCH("(externo)",$G728&amp;$H728&amp;$I728)),"Terceirizada","Interna"))</f>
        <v/>
      </c>
      <c r="T728" s="40" t="str">
        <f aca="false">IF($L728="","",IF($O728="",$L728,$O728))</f>
        <v/>
      </c>
      <c r="U728" s="34" t="str">
        <f aca="false">IF($E728="","",IF(OR($M728="",$L728=""),0,IF($M728&lt;=$L728,1,0)))</f>
        <v/>
      </c>
      <c r="V728" s="34" t="str">
        <f aca="false">IF($E728="","",IF(OR($M728="",$T728=""),0,IF($M728&lt;=$T728,1,0)))</f>
        <v/>
      </c>
      <c r="W728" s="42" t="str">
        <f aca="false">IF(OR($M728="",$L728=""),"",MAX(0,$M728-$L728))</f>
        <v/>
      </c>
      <c r="X728" s="34" t="str">
        <f aca="false">IF($E728="","",IF(AND($O728&lt;&gt;"",$L728&lt;&gt;"",$O728&lt;&gt;$L728),1,0))</f>
        <v/>
      </c>
      <c r="Y728" s="34" t="str">
        <f aca="false">IF($E728="","",IF($N728="Cancelada",0,IF(OR($M728&lt;&gt;"",$N728="Concluída"),1,0)))</f>
        <v/>
      </c>
    </row>
    <row r="729" customFormat="false" ht="15" hidden="false" customHeight="true" outlineLevel="0" collapsed="false">
      <c r="A729" s="34" t="str">
        <f aca="false">IF($E729="","",COUNTA($E$5:$E729))</f>
        <v/>
      </c>
      <c r="B729" s="35"/>
      <c r="C729" s="35"/>
      <c r="D729" s="35"/>
      <c r="E729" s="35"/>
      <c r="F729" s="36"/>
      <c r="G729" s="37"/>
      <c r="H729" s="37"/>
      <c r="I729" s="37"/>
      <c r="J729" s="38"/>
      <c r="K729" s="39"/>
      <c r="L729" s="40" t="str">
        <f aca="false">IF(OR($J729="",$K729=""),"",$J729+MATCH($K729,Listas!$F$5:$F$11,0)-1)</f>
        <v/>
      </c>
      <c r="M729" s="41"/>
      <c r="N729" s="36"/>
      <c r="O729" s="41"/>
      <c r="P729" s="35"/>
      <c r="Q729" s="35"/>
      <c r="R729" s="42" t="str">
        <f aca="true">IF($E729="","",IF($N729="Cancelada","Cancelada",IF(OR($M729&lt;&gt;"",$N729="Concluída"),IF(OR($L729="",$M729="",$M729&lt;=$L729),"Concluída","Concluída com atraso"),IF($L729="","Na carteira",IF($L729&lt;TODAY(),"VENCIDA",IF($N729="Em execução","Em execução",IF($L729=TODAY(),"Hoje","Programada")))))))</f>
        <v/>
      </c>
      <c r="S729" s="34" t="str">
        <f aca="false">IF($E729="","",IF(ISNUMBER(SEARCH("(externo)",$G729&amp;$H729&amp;$I729)),"Terceirizada","Interna"))</f>
        <v/>
      </c>
      <c r="T729" s="40" t="str">
        <f aca="false">IF($L729="","",IF($O729="",$L729,$O729))</f>
        <v/>
      </c>
      <c r="U729" s="34" t="str">
        <f aca="false">IF($E729="","",IF(OR($M729="",$L729=""),0,IF($M729&lt;=$L729,1,0)))</f>
        <v/>
      </c>
      <c r="V729" s="34" t="str">
        <f aca="false">IF($E729="","",IF(OR($M729="",$T729=""),0,IF($M729&lt;=$T729,1,0)))</f>
        <v/>
      </c>
      <c r="W729" s="42" t="str">
        <f aca="false">IF(OR($M729="",$L729=""),"",MAX(0,$M729-$L729))</f>
        <v/>
      </c>
      <c r="X729" s="34" t="str">
        <f aca="false">IF($E729="","",IF(AND($O729&lt;&gt;"",$L729&lt;&gt;"",$O729&lt;&gt;$L729),1,0))</f>
        <v/>
      </c>
      <c r="Y729" s="34" t="str">
        <f aca="false">IF($E729="","",IF($N729="Cancelada",0,IF(OR($M729&lt;&gt;"",$N729="Concluída"),1,0)))</f>
        <v/>
      </c>
    </row>
    <row r="730" customFormat="false" ht="15" hidden="false" customHeight="true" outlineLevel="0" collapsed="false">
      <c r="A730" s="34" t="str">
        <f aca="false">IF($E730="","",COUNTA($E$5:$E730))</f>
        <v/>
      </c>
      <c r="B730" s="35"/>
      <c r="C730" s="35"/>
      <c r="D730" s="35"/>
      <c r="E730" s="35"/>
      <c r="F730" s="36"/>
      <c r="G730" s="37"/>
      <c r="H730" s="37"/>
      <c r="I730" s="37"/>
      <c r="J730" s="38"/>
      <c r="K730" s="39"/>
      <c r="L730" s="40" t="str">
        <f aca="false">IF(OR($J730="",$K730=""),"",$J730+MATCH($K730,Listas!$F$5:$F$11,0)-1)</f>
        <v/>
      </c>
      <c r="M730" s="41"/>
      <c r="N730" s="36"/>
      <c r="O730" s="41"/>
      <c r="P730" s="35"/>
      <c r="Q730" s="35"/>
      <c r="R730" s="42" t="str">
        <f aca="true">IF($E730="","",IF($N730="Cancelada","Cancelada",IF(OR($M730&lt;&gt;"",$N730="Concluída"),IF(OR($L730="",$M730="",$M730&lt;=$L730),"Concluída","Concluída com atraso"),IF($L730="","Na carteira",IF($L730&lt;TODAY(),"VENCIDA",IF($N730="Em execução","Em execução",IF($L730=TODAY(),"Hoje","Programada")))))))</f>
        <v/>
      </c>
      <c r="S730" s="34" t="str">
        <f aca="false">IF($E730="","",IF(ISNUMBER(SEARCH("(externo)",$G730&amp;$H730&amp;$I730)),"Terceirizada","Interna"))</f>
        <v/>
      </c>
      <c r="T730" s="40" t="str">
        <f aca="false">IF($L730="","",IF($O730="",$L730,$O730))</f>
        <v/>
      </c>
      <c r="U730" s="34" t="str">
        <f aca="false">IF($E730="","",IF(OR($M730="",$L730=""),0,IF($M730&lt;=$L730,1,0)))</f>
        <v/>
      </c>
      <c r="V730" s="34" t="str">
        <f aca="false">IF($E730="","",IF(OR($M730="",$T730=""),0,IF($M730&lt;=$T730,1,0)))</f>
        <v/>
      </c>
      <c r="W730" s="42" t="str">
        <f aca="false">IF(OR($M730="",$L730=""),"",MAX(0,$M730-$L730))</f>
        <v/>
      </c>
      <c r="X730" s="34" t="str">
        <f aca="false">IF($E730="","",IF(AND($O730&lt;&gt;"",$L730&lt;&gt;"",$O730&lt;&gt;$L730),1,0))</f>
        <v/>
      </c>
      <c r="Y730" s="34" t="str">
        <f aca="false">IF($E730="","",IF($N730="Cancelada",0,IF(OR($M730&lt;&gt;"",$N730="Concluída"),1,0)))</f>
        <v/>
      </c>
    </row>
    <row r="731" customFormat="false" ht="15" hidden="false" customHeight="true" outlineLevel="0" collapsed="false">
      <c r="A731" s="34" t="str">
        <f aca="false">IF($E731="","",COUNTA($E$5:$E731))</f>
        <v/>
      </c>
      <c r="B731" s="35"/>
      <c r="C731" s="35"/>
      <c r="D731" s="35"/>
      <c r="E731" s="35"/>
      <c r="F731" s="36"/>
      <c r="G731" s="37"/>
      <c r="H731" s="37"/>
      <c r="I731" s="37"/>
      <c r="J731" s="38"/>
      <c r="K731" s="39"/>
      <c r="L731" s="40" t="str">
        <f aca="false">IF(OR($J731="",$K731=""),"",$J731+MATCH($K731,Listas!$F$5:$F$11,0)-1)</f>
        <v/>
      </c>
      <c r="M731" s="41"/>
      <c r="N731" s="36"/>
      <c r="O731" s="41"/>
      <c r="P731" s="35"/>
      <c r="Q731" s="35"/>
      <c r="R731" s="42" t="str">
        <f aca="true">IF($E731="","",IF($N731="Cancelada","Cancelada",IF(OR($M731&lt;&gt;"",$N731="Concluída"),IF(OR($L731="",$M731="",$M731&lt;=$L731),"Concluída","Concluída com atraso"),IF($L731="","Na carteira",IF($L731&lt;TODAY(),"VENCIDA",IF($N731="Em execução","Em execução",IF($L731=TODAY(),"Hoje","Programada")))))))</f>
        <v/>
      </c>
      <c r="S731" s="34" t="str">
        <f aca="false">IF($E731="","",IF(ISNUMBER(SEARCH("(externo)",$G731&amp;$H731&amp;$I731)),"Terceirizada","Interna"))</f>
        <v/>
      </c>
      <c r="T731" s="40" t="str">
        <f aca="false">IF($L731="","",IF($O731="",$L731,$O731))</f>
        <v/>
      </c>
      <c r="U731" s="34" t="str">
        <f aca="false">IF($E731="","",IF(OR($M731="",$L731=""),0,IF($M731&lt;=$L731,1,0)))</f>
        <v/>
      </c>
      <c r="V731" s="34" t="str">
        <f aca="false">IF($E731="","",IF(OR($M731="",$T731=""),0,IF($M731&lt;=$T731,1,0)))</f>
        <v/>
      </c>
      <c r="W731" s="42" t="str">
        <f aca="false">IF(OR($M731="",$L731=""),"",MAX(0,$M731-$L731))</f>
        <v/>
      </c>
      <c r="X731" s="34" t="str">
        <f aca="false">IF($E731="","",IF(AND($O731&lt;&gt;"",$L731&lt;&gt;"",$O731&lt;&gt;$L731),1,0))</f>
        <v/>
      </c>
      <c r="Y731" s="34" t="str">
        <f aca="false">IF($E731="","",IF($N731="Cancelada",0,IF(OR($M731&lt;&gt;"",$N731="Concluída"),1,0)))</f>
        <v/>
      </c>
    </row>
    <row r="732" customFormat="false" ht="15" hidden="false" customHeight="true" outlineLevel="0" collapsed="false">
      <c r="A732" s="34" t="str">
        <f aca="false">IF($E732="","",COUNTA($E$5:$E732))</f>
        <v/>
      </c>
      <c r="B732" s="35"/>
      <c r="C732" s="35"/>
      <c r="D732" s="35"/>
      <c r="E732" s="35"/>
      <c r="F732" s="36"/>
      <c r="G732" s="37"/>
      <c r="H732" s="37"/>
      <c r="I732" s="37"/>
      <c r="J732" s="38"/>
      <c r="K732" s="39"/>
      <c r="L732" s="40" t="str">
        <f aca="false">IF(OR($J732="",$K732=""),"",$J732+MATCH($K732,Listas!$F$5:$F$11,0)-1)</f>
        <v/>
      </c>
      <c r="M732" s="41"/>
      <c r="N732" s="36"/>
      <c r="O732" s="41"/>
      <c r="P732" s="35"/>
      <c r="Q732" s="35"/>
      <c r="R732" s="42" t="str">
        <f aca="true">IF($E732="","",IF($N732="Cancelada","Cancelada",IF(OR($M732&lt;&gt;"",$N732="Concluída"),IF(OR($L732="",$M732="",$M732&lt;=$L732),"Concluída","Concluída com atraso"),IF($L732="","Na carteira",IF($L732&lt;TODAY(),"VENCIDA",IF($N732="Em execução","Em execução",IF($L732=TODAY(),"Hoje","Programada")))))))</f>
        <v/>
      </c>
      <c r="S732" s="34" t="str">
        <f aca="false">IF($E732="","",IF(ISNUMBER(SEARCH("(externo)",$G732&amp;$H732&amp;$I732)),"Terceirizada","Interna"))</f>
        <v/>
      </c>
      <c r="T732" s="40" t="str">
        <f aca="false">IF($L732="","",IF($O732="",$L732,$O732))</f>
        <v/>
      </c>
      <c r="U732" s="34" t="str">
        <f aca="false">IF($E732="","",IF(OR($M732="",$L732=""),0,IF($M732&lt;=$L732,1,0)))</f>
        <v/>
      </c>
      <c r="V732" s="34" t="str">
        <f aca="false">IF($E732="","",IF(OR($M732="",$T732=""),0,IF($M732&lt;=$T732,1,0)))</f>
        <v/>
      </c>
      <c r="W732" s="42" t="str">
        <f aca="false">IF(OR($M732="",$L732=""),"",MAX(0,$M732-$L732))</f>
        <v/>
      </c>
      <c r="X732" s="34" t="str">
        <f aca="false">IF($E732="","",IF(AND($O732&lt;&gt;"",$L732&lt;&gt;"",$O732&lt;&gt;$L732),1,0))</f>
        <v/>
      </c>
      <c r="Y732" s="34" t="str">
        <f aca="false">IF($E732="","",IF($N732="Cancelada",0,IF(OR($M732&lt;&gt;"",$N732="Concluída"),1,0)))</f>
        <v/>
      </c>
    </row>
    <row r="733" customFormat="false" ht="15" hidden="false" customHeight="true" outlineLevel="0" collapsed="false">
      <c r="A733" s="34" t="str">
        <f aca="false">IF($E733="","",COUNTA($E$5:$E733))</f>
        <v/>
      </c>
      <c r="B733" s="35"/>
      <c r="C733" s="35"/>
      <c r="D733" s="35"/>
      <c r="E733" s="35"/>
      <c r="F733" s="36"/>
      <c r="G733" s="37"/>
      <c r="H733" s="37"/>
      <c r="I733" s="37"/>
      <c r="J733" s="38"/>
      <c r="K733" s="39"/>
      <c r="L733" s="40" t="str">
        <f aca="false">IF(OR($J733="",$K733=""),"",$J733+MATCH($K733,Listas!$F$5:$F$11,0)-1)</f>
        <v/>
      </c>
      <c r="M733" s="41"/>
      <c r="N733" s="36"/>
      <c r="O733" s="41"/>
      <c r="P733" s="35"/>
      <c r="Q733" s="35"/>
      <c r="R733" s="42" t="str">
        <f aca="true">IF($E733="","",IF($N733="Cancelada","Cancelada",IF(OR($M733&lt;&gt;"",$N733="Concluída"),IF(OR($L733="",$M733="",$M733&lt;=$L733),"Concluída","Concluída com atraso"),IF($L733="","Na carteira",IF($L733&lt;TODAY(),"VENCIDA",IF($N733="Em execução","Em execução",IF($L733=TODAY(),"Hoje","Programada")))))))</f>
        <v/>
      </c>
      <c r="S733" s="34" t="str">
        <f aca="false">IF($E733="","",IF(ISNUMBER(SEARCH("(externo)",$G733&amp;$H733&amp;$I733)),"Terceirizada","Interna"))</f>
        <v/>
      </c>
      <c r="T733" s="40" t="str">
        <f aca="false">IF($L733="","",IF($O733="",$L733,$O733))</f>
        <v/>
      </c>
      <c r="U733" s="34" t="str">
        <f aca="false">IF($E733="","",IF(OR($M733="",$L733=""),0,IF($M733&lt;=$L733,1,0)))</f>
        <v/>
      </c>
      <c r="V733" s="34" t="str">
        <f aca="false">IF($E733="","",IF(OR($M733="",$T733=""),0,IF($M733&lt;=$T733,1,0)))</f>
        <v/>
      </c>
      <c r="W733" s="42" t="str">
        <f aca="false">IF(OR($M733="",$L733=""),"",MAX(0,$M733-$L733))</f>
        <v/>
      </c>
      <c r="X733" s="34" t="str">
        <f aca="false">IF($E733="","",IF(AND($O733&lt;&gt;"",$L733&lt;&gt;"",$O733&lt;&gt;$L733),1,0))</f>
        <v/>
      </c>
      <c r="Y733" s="34" t="str">
        <f aca="false">IF($E733="","",IF($N733="Cancelada",0,IF(OR($M733&lt;&gt;"",$N733="Concluída"),1,0)))</f>
        <v/>
      </c>
    </row>
    <row r="734" customFormat="false" ht="15" hidden="false" customHeight="true" outlineLevel="0" collapsed="false">
      <c r="A734" s="34" t="str">
        <f aca="false">IF($E734="","",COUNTA($E$5:$E734))</f>
        <v/>
      </c>
      <c r="B734" s="35"/>
      <c r="C734" s="35"/>
      <c r="D734" s="35"/>
      <c r="E734" s="35"/>
      <c r="F734" s="36"/>
      <c r="G734" s="37"/>
      <c r="H734" s="37"/>
      <c r="I734" s="37"/>
      <c r="J734" s="38"/>
      <c r="K734" s="39"/>
      <c r="L734" s="40" t="str">
        <f aca="false">IF(OR($J734="",$K734=""),"",$J734+MATCH($K734,Listas!$F$5:$F$11,0)-1)</f>
        <v/>
      </c>
      <c r="M734" s="41"/>
      <c r="N734" s="36"/>
      <c r="O734" s="41"/>
      <c r="P734" s="35"/>
      <c r="Q734" s="35"/>
      <c r="R734" s="42" t="str">
        <f aca="true">IF($E734="","",IF($N734="Cancelada","Cancelada",IF(OR($M734&lt;&gt;"",$N734="Concluída"),IF(OR($L734="",$M734="",$M734&lt;=$L734),"Concluída","Concluída com atraso"),IF($L734="","Na carteira",IF($L734&lt;TODAY(),"VENCIDA",IF($N734="Em execução","Em execução",IF($L734=TODAY(),"Hoje","Programada")))))))</f>
        <v/>
      </c>
      <c r="S734" s="34" t="str">
        <f aca="false">IF($E734="","",IF(ISNUMBER(SEARCH("(externo)",$G734&amp;$H734&amp;$I734)),"Terceirizada","Interna"))</f>
        <v/>
      </c>
      <c r="T734" s="40" t="str">
        <f aca="false">IF($L734="","",IF($O734="",$L734,$O734))</f>
        <v/>
      </c>
      <c r="U734" s="34" t="str">
        <f aca="false">IF($E734="","",IF(OR($M734="",$L734=""),0,IF($M734&lt;=$L734,1,0)))</f>
        <v/>
      </c>
      <c r="V734" s="34" t="str">
        <f aca="false">IF($E734="","",IF(OR($M734="",$T734=""),0,IF($M734&lt;=$T734,1,0)))</f>
        <v/>
      </c>
      <c r="W734" s="42" t="str">
        <f aca="false">IF(OR($M734="",$L734=""),"",MAX(0,$M734-$L734))</f>
        <v/>
      </c>
      <c r="X734" s="34" t="str">
        <f aca="false">IF($E734="","",IF(AND($O734&lt;&gt;"",$L734&lt;&gt;"",$O734&lt;&gt;$L734),1,0))</f>
        <v/>
      </c>
      <c r="Y734" s="34" t="str">
        <f aca="false">IF($E734="","",IF($N734="Cancelada",0,IF(OR($M734&lt;&gt;"",$N734="Concluída"),1,0)))</f>
        <v/>
      </c>
    </row>
    <row r="735" customFormat="false" ht="15" hidden="false" customHeight="true" outlineLevel="0" collapsed="false">
      <c r="A735" s="34" t="str">
        <f aca="false">IF($E735="","",COUNTA($E$5:$E735))</f>
        <v/>
      </c>
      <c r="B735" s="35"/>
      <c r="C735" s="35"/>
      <c r="D735" s="35"/>
      <c r="E735" s="35"/>
      <c r="F735" s="36"/>
      <c r="G735" s="37"/>
      <c r="H735" s="37"/>
      <c r="I735" s="37"/>
      <c r="J735" s="38"/>
      <c r="K735" s="39"/>
      <c r="L735" s="40" t="str">
        <f aca="false">IF(OR($J735="",$K735=""),"",$J735+MATCH($K735,Listas!$F$5:$F$11,0)-1)</f>
        <v/>
      </c>
      <c r="M735" s="41"/>
      <c r="N735" s="36"/>
      <c r="O735" s="41"/>
      <c r="P735" s="35"/>
      <c r="Q735" s="35"/>
      <c r="R735" s="42" t="str">
        <f aca="true">IF($E735="","",IF($N735="Cancelada","Cancelada",IF(OR($M735&lt;&gt;"",$N735="Concluída"),IF(OR($L735="",$M735="",$M735&lt;=$L735),"Concluída","Concluída com atraso"),IF($L735="","Na carteira",IF($L735&lt;TODAY(),"VENCIDA",IF($N735="Em execução","Em execução",IF($L735=TODAY(),"Hoje","Programada")))))))</f>
        <v/>
      </c>
      <c r="S735" s="34" t="str">
        <f aca="false">IF($E735="","",IF(ISNUMBER(SEARCH("(externo)",$G735&amp;$H735&amp;$I735)),"Terceirizada","Interna"))</f>
        <v/>
      </c>
      <c r="T735" s="40" t="str">
        <f aca="false">IF($L735="","",IF($O735="",$L735,$O735))</f>
        <v/>
      </c>
      <c r="U735" s="34" t="str">
        <f aca="false">IF($E735="","",IF(OR($M735="",$L735=""),0,IF($M735&lt;=$L735,1,0)))</f>
        <v/>
      </c>
      <c r="V735" s="34" t="str">
        <f aca="false">IF($E735="","",IF(OR($M735="",$T735=""),0,IF($M735&lt;=$T735,1,0)))</f>
        <v/>
      </c>
      <c r="W735" s="42" t="str">
        <f aca="false">IF(OR($M735="",$L735=""),"",MAX(0,$M735-$L735))</f>
        <v/>
      </c>
      <c r="X735" s="34" t="str">
        <f aca="false">IF($E735="","",IF(AND($O735&lt;&gt;"",$L735&lt;&gt;"",$O735&lt;&gt;$L735),1,0))</f>
        <v/>
      </c>
      <c r="Y735" s="34" t="str">
        <f aca="false">IF($E735="","",IF($N735="Cancelada",0,IF(OR($M735&lt;&gt;"",$N735="Concluída"),1,0)))</f>
        <v/>
      </c>
    </row>
    <row r="736" customFormat="false" ht="15" hidden="false" customHeight="true" outlineLevel="0" collapsed="false">
      <c r="A736" s="34" t="str">
        <f aca="false">IF($E736="","",COUNTA($E$5:$E736))</f>
        <v/>
      </c>
      <c r="B736" s="35"/>
      <c r="C736" s="35"/>
      <c r="D736" s="35"/>
      <c r="E736" s="35"/>
      <c r="F736" s="36"/>
      <c r="G736" s="37"/>
      <c r="H736" s="37"/>
      <c r="I736" s="37"/>
      <c r="J736" s="38"/>
      <c r="K736" s="39"/>
      <c r="L736" s="40" t="str">
        <f aca="false">IF(OR($J736="",$K736=""),"",$J736+MATCH($K736,Listas!$F$5:$F$11,0)-1)</f>
        <v/>
      </c>
      <c r="M736" s="41"/>
      <c r="N736" s="36"/>
      <c r="O736" s="41"/>
      <c r="P736" s="35"/>
      <c r="Q736" s="35"/>
      <c r="R736" s="42" t="str">
        <f aca="true">IF($E736="","",IF($N736="Cancelada","Cancelada",IF(OR($M736&lt;&gt;"",$N736="Concluída"),IF(OR($L736="",$M736="",$M736&lt;=$L736),"Concluída","Concluída com atraso"),IF($L736="","Na carteira",IF($L736&lt;TODAY(),"VENCIDA",IF($N736="Em execução","Em execução",IF($L736=TODAY(),"Hoje","Programada")))))))</f>
        <v/>
      </c>
      <c r="S736" s="34" t="str">
        <f aca="false">IF($E736="","",IF(ISNUMBER(SEARCH("(externo)",$G736&amp;$H736&amp;$I736)),"Terceirizada","Interna"))</f>
        <v/>
      </c>
      <c r="T736" s="40" t="str">
        <f aca="false">IF($L736="","",IF($O736="",$L736,$O736))</f>
        <v/>
      </c>
      <c r="U736" s="34" t="str">
        <f aca="false">IF($E736="","",IF(OR($M736="",$L736=""),0,IF($M736&lt;=$L736,1,0)))</f>
        <v/>
      </c>
      <c r="V736" s="34" t="str">
        <f aca="false">IF($E736="","",IF(OR($M736="",$T736=""),0,IF($M736&lt;=$T736,1,0)))</f>
        <v/>
      </c>
      <c r="W736" s="42" t="str">
        <f aca="false">IF(OR($M736="",$L736=""),"",MAX(0,$M736-$L736))</f>
        <v/>
      </c>
      <c r="X736" s="34" t="str">
        <f aca="false">IF($E736="","",IF(AND($O736&lt;&gt;"",$L736&lt;&gt;"",$O736&lt;&gt;$L736),1,0))</f>
        <v/>
      </c>
      <c r="Y736" s="34" t="str">
        <f aca="false">IF($E736="","",IF($N736="Cancelada",0,IF(OR($M736&lt;&gt;"",$N736="Concluída"),1,0)))</f>
        <v/>
      </c>
    </row>
    <row r="737" customFormat="false" ht="15" hidden="false" customHeight="true" outlineLevel="0" collapsed="false">
      <c r="A737" s="34" t="str">
        <f aca="false">IF($E737="","",COUNTA($E$5:$E737))</f>
        <v/>
      </c>
      <c r="B737" s="35"/>
      <c r="C737" s="35"/>
      <c r="D737" s="35"/>
      <c r="E737" s="35"/>
      <c r="F737" s="36"/>
      <c r="G737" s="37"/>
      <c r="H737" s="37"/>
      <c r="I737" s="37"/>
      <c r="J737" s="38"/>
      <c r="K737" s="39"/>
      <c r="L737" s="40" t="str">
        <f aca="false">IF(OR($J737="",$K737=""),"",$J737+MATCH($K737,Listas!$F$5:$F$11,0)-1)</f>
        <v/>
      </c>
      <c r="M737" s="41"/>
      <c r="N737" s="36"/>
      <c r="O737" s="41"/>
      <c r="P737" s="35"/>
      <c r="Q737" s="35"/>
      <c r="R737" s="42" t="str">
        <f aca="true">IF($E737="","",IF($N737="Cancelada","Cancelada",IF(OR($M737&lt;&gt;"",$N737="Concluída"),IF(OR($L737="",$M737="",$M737&lt;=$L737),"Concluída","Concluída com atraso"),IF($L737="","Na carteira",IF($L737&lt;TODAY(),"VENCIDA",IF($N737="Em execução","Em execução",IF($L737=TODAY(),"Hoje","Programada")))))))</f>
        <v/>
      </c>
      <c r="S737" s="34" t="str">
        <f aca="false">IF($E737="","",IF(ISNUMBER(SEARCH("(externo)",$G737&amp;$H737&amp;$I737)),"Terceirizada","Interna"))</f>
        <v/>
      </c>
      <c r="T737" s="40" t="str">
        <f aca="false">IF($L737="","",IF($O737="",$L737,$O737))</f>
        <v/>
      </c>
      <c r="U737" s="34" t="str">
        <f aca="false">IF($E737="","",IF(OR($M737="",$L737=""),0,IF($M737&lt;=$L737,1,0)))</f>
        <v/>
      </c>
      <c r="V737" s="34" t="str">
        <f aca="false">IF($E737="","",IF(OR($M737="",$T737=""),0,IF($M737&lt;=$T737,1,0)))</f>
        <v/>
      </c>
      <c r="W737" s="42" t="str">
        <f aca="false">IF(OR($M737="",$L737=""),"",MAX(0,$M737-$L737))</f>
        <v/>
      </c>
      <c r="X737" s="34" t="str">
        <f aca="false">IF($E737="","",IF(AND($O737&lt;&gt;"",$L737&lt;&gt;"",$O737&lt;&gt;$L737),1,0))</f>
        <v/>
      </c>
      <c r="Y737" s="34" t="str">
        <f aca="false">IF($E737="","",IF($N737="Cancelada",0,IF(OR($M737&lt;&gt;"",$N737="Concluída"),1,0)))</f>
        <v/>
      </c>
    </row>
    <row r="738" customFormat="false" ht="15" hidden="false" customHeight="true" outlineLevel="0" collapsed="false">
      <c r="A738" s="34" t="str">
        <f aca="false">IF($E738="","",COUNTA($E$5:$E738))</f>
        <v/>
      </c>
      <c r="B738" s="35"/>
      <c r="C738" s="35"/>
      <c r="D738" s="35"/>
      <c r="E738" s="35"/>
      <c r="F738" s="36"/>
      <c r="G738" s="37"/>
      <c r="H738" s="37"/>
      <c r="I738" s="37"/>
      <c r="J738" s="38"/>
      <c r="K738" s="39"/>
      <c r="L738" s="40" t="str">
        <f aca="false">IF(OR($J738="",$K738=""),"",$J738+MATCH($K738,Listas!$F$5:$F$11,0)-1)</f>
        <v/>
      </c>
      <c r="M738" s="41"/>
      <c r="N738" s="36"/>
      <c r="O738" s="41"/>
      <c r="P738" s="35"/>
      <c r="Q738" s="35"/>
      <c r="R738" s="42" t="str">
        <f aca="true">IF($E738="","",IF($N738="Cancelada","Cancelada",IF(OR($M738&lt;&gt;"",$N738="Concluída"),IF(OR($L738="",$M738="",$M738&lt;=$L738),"Concluída","Concluída com atraso"),IF($L738="","Na carteira",IF($L738&lt;TODAY(),"VENCIDA",IF($N738="Em execução","Em execução",IF($L738=TODAY(),"Hoje","Programada")))))))</f>
        <v/>
      </c>
      <c r="S738" s="34" t="str">
        <f aca="false">IF($E738="","",IF(ISNUMBER(SEARCH("(externo)",$G738&amp;$H738&amp;$I738)),"Terceirizada","Interna"))</f>
        <v/>
      </c>
      <c r="T738" s="40" t="str">
        <f aca="false">IF($L738="","",IF($O738="",$L738,$O738))</f>
        <v/>
      </c>
      <c r="U738" s="34" t="str">
        <f aca="false">IF($E738="","",IF(OR($M738="",$L738=""),0,IF($M738&lt;=$L738,1,0)))</f>
        <v/>
      </c>
      <c r="V738" s="34" t="str">
        <f aca="false">IF($E738="","",IF(OR($M738="",$T738=""),0,IF($M738&lt;=$T738,1,0)))</f>
        <v/>
      </c>
      <c r="W738" s="42" t="str">
        <f aca="false">IF(OR($M738="",$L738=""),"",MAX(0,$M738-$L738))</f>
        <v/>
      </c>
      <c r="X738" s="34" t="str">
        <f aca="false">IF($E738="","",IF(AND($O738&lt;&gt;"",$L738&lt;&gt;"",$O738&lt;&gt;$L738),1,0))</f>
        <v/>
      </c>
      <c r="Y738" s="34" t="str">
        <f aca="false">IF($E738="","",IF($N738="Cancelada",0,IF(OR($M738&lt;&gt;"",$N738="Concluída"),1,0)))</f>
        <v/>
      </c>
    </row>
    <row r="739" customFormat="false" ht="15" hidden="false" customHeight="true" outlineLevel="0" collapsed="false">
      <c r="A739" s="34" t="str">
        <f aca="false">IF($E739="","",COUNTA($E$5:$E739))</f>
        <v/>
      </c>
      <c r="B739" s="35"/>
      <c r="C739" s="35"/>
      <c r="D739" s="35"/>
      <c r="E739" s="35"/>
      <c r="F739" s="36"/>
      <c r="G739" s="37"/>
      <c r="H739" s="37"/>
      <c r="I739" s="37"/>
      <c r="J739" s="38"/>
      <c r="K739" s="39"/>
      <c r="L739" s="40" t="str">
        <f aca="false">IF(OR($J739="",$K739=""),"",$J739+MATCH($K739,Listas!$F$5:$F$11,0)-1)</f>
        <v/>
      </c>
      <c r="M739" s="41"/>
      <c r="N739" s="36"/>
      <c r="O739" s="41"/>
      <c r="P739" s="35"/>
      <c r="Q739" s="35"/>
      <c r="R739" s="42" t="str">
        <f aca="true">IF($E739="","",IF($N739="Cancelada","Cancelada",IF(OR($M739&lt;&gt;"",$N739="Concluída"),IF(OR($L739="",$M739="",$M739&lt;=$L739),"Concluída","Concluída com atraso"),IF($L739="","Na carteira",IF($L739&lt;TODAY(),"VENCIDA",IF($N739="Em execução","Em execução",IF($L739=TODAY(),"Hoje","Programada")))))))</f>
        <v/>
      </c>
      <c r="S739" s="34" t="str">
        <f aca="false">IF($E739="","",IF(ISNUMBER(SEARCH("(externo)",$G739&amp;$H739&amp;$I739)),"Terceirizada","Interna"))</f>
        <v/>
      </c>
      <c r="T739" s="40" t="str">
        <f aca="false">IF($L739="","",IF($O739="",$L739,$O739))</f>
        <v/>
      </c>
      <c r="U739" s="34" t="str">
        <f aca="false">IF($E739="","",IF(OR($M739="",$L739=""),0,IF($M739&lt;=$L739,1,0)))</f>
        <v/>
      </c>
      <c r="V739" s="34" t="str">
        <f aca="false">IF($E739="","",IF(OR($M739="",$T739=""),0,IF($M739&lt;=$T739,1,0)))</f>
        <v/>
      </c>
      <c r="W739" s="42" t="str">
        <f aca="false">IF(OR($M739="",$L739=""),"",MAX(0,$M739-$L739))</f>
        <v/>
      </c>
      <c r="X739" s="34" t="str">
        <f aca="false">IF($E739="","",IF(AND($O739&lt;&gt;"",$L739&lt;&gt;"",$O739&lt;&gt;$L739),1,0))</f>
        <v/>
      </c>
      <c r="Y739" s="34" t="str">
        <f aca="false">IF($E739="","",IF($N739="Cancelada",0,IF(OR($M739&lt;&gt;"",$N739="Concluída"),1,0)))</f>
        <v/>
      </c>
    </row>
    <row r="740" customFormat="false" ht="15" hidden="false" customHeight="true" outlineLevel="0" collapsed="false">
      <c r="A740" s="34" t="str">
        <f aca="false">IF($E740="","",COUNTA($E$5:$E740))</f>
        <v/>
      </c>
      <c r="B740" s="35"/>
      <c r="C740" s="35"/>
      <c r="D740" s="35"/>
      <c r="E740" s="35"/>
      <c r="F740" s="36"/>
      <c r="G740" s="37"/>
      <c r="H740" s="37"/>
      <c r="I740" s="37"/>
      <c r="J740" s="38"/>
      <c r="K740" s="39"/>
      <c r="L740" s="40" t="str">
        <f aca="false">IF(OR($J740="",$K740=""),"",$J740+MATCH($K740,Listas!$F$5:$F$11,0)-1)</f>
        <v/>
      </c>
      <c r="M740" s="41"/>
      <c r="N740" s="36"/>
      <c r="O740" s="41"/>
      <c r="P740" s="35"/>
      <c r="Q740" s="35"/>
      <c r="R740" s="42" t="str">
        <f aca="true">IF($E740="","",IF($N740="Cancelada","Cancelada",IF(OR($M740&lt;&gt;"",$N740="Concluída"),IF(OR($L740="",$M740="",$M740&lt;=$L740),"Concluída","Concluída com atraso"),IF($L740="","Na carteira",IF($L740&lt;TODAY(),"VENCIDA",IF($N740="Em execução","Em execução",IF($L740=TODAY(),"Hoje","Programada")))))))</f>
        <v/>
      </c>
      <c r="S740" s="34" t="str">
        <f aca="false">IF($E740="","",IF(ISNUMBER(SEARCH("(externo)",$G740&amp;$H740&amp;$I740)),"Terceirizada","Interna"))</f>
        <v/>
      </c>
      <c r="T740" s="40" t="str">
        <f aca="false">IF($L740="","",IF($O740="",$L740,$O740))</f>
        <v/>
      </c>
      <c r="U740" s="34" t="str">
        <f aca="false">IF($E740="","",IF(OR($M740="",$L740=""),0,IF($M740&lt;=$L740,1,0)))</f>
        <v/>
      </c>
      <c r="V740" s="34" t="str">
        <f aca="false">IF($E740="","",IF(OR($M740="",$T740=""),0,IF($M740&lt;=$T740,1,0)))</f>
        <v/>
      </c>
      <c r="W740" s="42" t="str">
        <f aca="false">IF(OR($M740="",$L740=""),"",MAX(0,$M740-$L740))</f>
        <v/>
      </c>
      <c r="X740" s="34" t="str">
        <f aca="false">IF($E740="","",IF(AND($O740&lt;&gt;"",$L740&lt;&gt;"",$O740&lt;&gt;$L740),1,0))</f>
        <v/>
      </c>
      <c r="Y740" s="34" t="str">
        <f aca="false">IF($E740="","",IF($N740="Cancelada",0,IF(OR($M740&lt;&gt;"",$N740="Concluída"),1,0)))</f>
        <v/>
      </c>
    </row>
    <row r="741" customFormat="false" ht="15" hidden="false" customHeight="true" outlineLevel="0" collapsed="false">
      <c r="A741" s="34" t="str">
        <f aca="false">IF($E741="","",COUNTA($E$5:$E741))</f>
        <v/>
      </c>
      <c r="B741" s="35"/>
      <c r="C741" s="35"/>
      <c r="D741" s="35"/>
      <c r="E741" s="35"/>
      <c r="F741" s="36"/>
      <c r="G741" s="37"/>
      <c r="H741" s="37"/>
      <c r="I741" s="37"/>
      <c r="J741" s="38"/>
      <c r="K741" s="39"/>
      <c r="L741" s="40" t="str">
        <f aca="false">IF(OR($J741="",$K741=""),"",$J741+MATCH($K741,Listas!$F$5:$F$11,0)-1)</f>
        <v/>
      </c>
      <c r="M741" s="41"/>
      <c r="N741" s="36"/>
      <c r="O741" s="41"/>
      <c r="P741" s="35"/>
      <c r="Q741" s="35"/>
      <c r="R741" s="42" t="str">
        <f aca="true">IF($E741="","",IF($N741="Cancelada","Cancelada",IF(OR($M741&lt;&gt;"",$N741="Concluída"),IF(OR($L741="",$M741="",$M741&lt;=$L741),"Concluída","Concluída com atraso"),IF($L741="","Na carteira",IF($L741&lt;TODAY(),"VENCIDA",IF($N741="Em execução","Em execução",IF($L741=TODAY(),"Hoje","Programada")))))))</f>
        <v/>
      </c>
      <c r="S741" s="34" t="str">
        <f aca="false">IF($E741="","",IF(ISNUMBER(SEARCH("(externo)",$G741&amp;$H741&amp;$I741)),"Terceirizada","Interna"))</f>
        <v/>
      </c>
      <c r="T741" s="40" t="str">
        <f aca="false">IF($L741="","",IF($O741="",$L741,$O741))</f>
        <v/>
      </c>
      <c r="U741" s="34" t="str">
        <f aca="false">IF($E741="","",IF(OR($M741="",$L741=""),0,IF($M741&lt;=$L741,1,0)))</f>
        <v/>
      </c>
      <c r="V741" s="34" t="str">
        <f aca="false">IF($E741="","",IF(OR($M741="",$T741=""),0,IF($M741&lt;=$T741,1,0)))</f>
        <v/>
      </c>
      <c r="W741" s="42" t="str">
        <f aca="false">IF(OR($M741="",$L741=""),"",MAX(0,$M741-$L741))</f>
        <v/>
      </c>
      <c r="X741" s="34" t="str">
        <f aca="false">IF($E741="","",IF(AND($O741&lt;&gt;"",$L741&lt;&gt;"",$O741&lt;&gt;$L741),1,0))</f>
        <v/>
      </c>
      <c r="Y741" s="34" t="str">
        <f aca="false">IF($E741="","",IF($N741="Cancelada",0,IF(OR($M741&lt;&gt;"",$N741="Concluída"),1,0)))</f>
        <v/>
      </c>
    </row>
    <row r="742" customFormat="false" ht="15" hidden="false" customHeight="true" outlineLevel="0" collapsed="false">
      <c r="A742" s="34" t="str">
        <f aca="false">IF($E742="","",COUNTA($E$5:$E742))</f>
        <v/>
      </c>
      <c r="B742" s="35"/>
      <c r="C742" s="35"/>
      <c r="D742" s="35"/>
      <c r="E742" s="35"/>
      <c r="F742" s="36"/>
      <c r="G742" s="37"/>
      <c r="H742" s="37"/>
      <c r="I742" s="37"/>
      <c r="J742" s="38"/>
      <c r="K742" s="39"/>
      <c r="L742" s="40" t="str">
        <f aca="false">IF(OR($J742="",$K742=""),"",$J742+MATCH($K742,Listas!$F$5:$F$11,0)-1)</f>
        <v/>
      </c>
      <c r="M742" s="41"/>
      <c r="N742" s="36"/>
      <c r="O742" s="41"/>
      <c r="P742" s="35"/>
      <c r="Q742" s="35"/>
      <c r="R742" s="42" t="str">
        <f aca="true">IF($E742="","",IF($N742="Cancelada","Cancelada",IF(OR($M742&lt;&gt;"",$N742="Concluída"),IF(OR($L742="",$M742="",$M742&lt;=$L742),"Concluída","Concluída com atraso"),IF($L742="","Na carteira",IF($L742&lt;TODAY(),"VENCIDA",IF($N742="Em execução","Em execução",IF($L742=TODAY(),"Hoje","Programada")))))))</f>
        <v/>
      </c>
      <c r="S742" s="34" t="str">
        <f aca="false">IF($E742="","",IF(ISNUMBER(SEARCH("(externo)",$G742&amp;$H742&amp;$I742)),"Terceirizada","Interna"))</f>
        <v/>
      </c>
      <c r="T742" s="40" t="str">
        <f aca="false">IF($L742="","",IF($O742="",$L742,$O742))</f>
        <v/>
      </c>
      <c r="U742" s="34" t="str">
        <f aca="false">IF($E742="","",IF(OR($M742="",$L742=""),0,IF($M742&lt;=$L742,1,0)))</f>
        <v/>
      </c>
      <c r="V742" s="34" t="str">
        <f aca="false">IF($E742="","",IF(OR($M742="",$T742=""),0,IF($M742&lt;=$T742,1,0)))</f>
        <v/>
      </c>
      <c r="W742" s="42" t="str">
        <f aca="false">IF(OR($M742="",$L742=""),"",MAX(0,$M742-$L742))</f>
        <v/>
      </c>
      <c r="X742" s="34" t="str">
        <f aca="false">IF($E742="","",IF(AND($O742&lt;&gt;"",$L742&lt;&gt;"",$O742&lt;&gt;$L742),1,0))</f>
        <v/>
      </c>
      <c r="Y742" s="34" t="str">
        <f aca="false">IF($E742="","",IF($N742="Cancelada",0,IF(OR($M742&lt;&gt;"",$N742="Concluída"),1,0)))</f>
        <v/>
      </c>
    </row>
    <row r="743" customFormat="false" ht="15" hidden="false" customHeight="true" outlineLevel="0" collapsed="false">
      <c r="A743" s="34" t="str">
        <f aca="false">IF($E743="","",COUNTA($E$5:$E743))</f>
        <v/>
      </c>
      <c r="B743" s="35"/>
      <c r="C743" s="35"/>
      <c r="D743" s="35"/>
      <c r="E743" s="35"/>
      <c r="F743" s="36"/>
      <c r="G743" s="37"/>
      <c r="H743" s="37"/>
      <c r="I743" s="37"/>
      <c r="J743" s="38"/>
      <c r="K743" s="39"/>
      <c r="L743" s="40" t="str">
        <f aca="false">IF(OR($J743="",$K743=""),"",$J743+MATCH($K743,Listas!$F$5:$F$11,0)-1)</f>
        <v/>
      </c>
      <c r="M743" s="41"/>
      <c r="N743" s="36"/>
      <c r="O743" s="41"/>
      <c r="P743" s="35"/>
      <c r="Q743" s="35"/>
      <c r="R743" s="42" t="str">
        <f aca="true">IF($E743="","",IF($N743="Cancelada","Cancelada",IF(OR($M743&lt;&gt;"",$N743="Concluída"),IF(OR($L743="",$M743="",$M743&lt;=$L743),"Concluída","Concluída com atraso"),IF($L743="","Na carteira",IF($L743&lt;TODAY(),"VENCIDA",IF($N743="Em execução","Em execução",IF($L743=TODAY(),"Hoje","Programada")))))))</f>
        <v/>
      </c>
      <c r="S743" s="34" t="str">
        <f aca="false">IF($E743="","",IF(ISNUMBER(SEARCH("(externo)",$G743&amp;$H743&amp;$I743)),"Terceirizada","Interna"))</f>
        <v/>
      </c>
      <c r="T743" s="40" t="str">
        <f aca="false">IF($L743="","",IF($O743="",$L743,$O743))</f>
        <v/>
      </c>
      <c r="U743" s="34" t="str">
        <f aca="false">IF($E743="","",IF(OR($M743="",$L743=""),0,IF($M743&lt;=$L743,1,0)))</f>
        <v/>
      </c>
      <c r="V743" s="34" t="str">
        <f aca="false">IF($E743="","",IF(OR($M743="",$T743=""),0,IF($M743&lt;=$T743,1,0)))</f>
        <v/>
      </c>
      <c r="W743" s="42" t="str">
        <f aca="false">IF(OR($M743="",$L743=""),"",MAX(0,$M743-$L743))</f>
        <v/>
      </c>
      <c r="X743" s="34" t="str">
        <f aca="false">IF($E743="","",IF(AND($O743&lt;&gt;"",$L743&lt;&gt;"",$O743&lt;&gt;$L743),1,0))</f>
        <v/>
      </c>
      <c r="Y743" s="34" t="str">
        <f aca="false">IF($E743="","",IF($N743="Cancelada",0,IF(OR($M743&lt;&gt;"",$N743="Concluída"),1,0)))</f>
        <v/>
      </c>
    </row>
    <row r="744" customFormat="false" ht="15" hidden="false" customHeight="true" outlineLevel="0" collapsed="false">
      <c r="A744" s="34" t="str">
        <f aca="false">IF($E744="","",COUNTA($E$5:$E744))</f>
        <v/>
      </c>
      <c r="B744" s="35"/>
      <c r="C744" s="35"/>
      <c r="D744" s="35"/>
      <c r="E744" s="35"/>
      <c r="F744" s="36"/>
      <c r="G744" s="37"/>
      <c r="H744" s="37"/>
      <c r="I744" s="37"/>
      <c r="J744" s="38"/>
      <c r="K744" s="39"/>
      <c r="L744" s="40" t="str">
        <f aca="false">IF(OR($J744="",$K744=""),"",$J744+MATCH($K744,Listas!$F$5:$F$11,0)-1)</f>
        <v/>
      </c>
      <c r="M744" s="41"/>
      <c r="N744" s="36"/>
      <c r="O744" s="41"/>
      <c r="P744" s="35"/>
      <c r="Q744" s="35"/>
      <c r="R744" s="42" t="str">
        <f aca="true">IF($E744="","",IF($N744="Cancelada","Cancelada",IF(OR($M744&lt;&gt;"",$N744="Concluída"),IF(OR($L744="",$M744="",$M744&lt;=$L744),"Concluída","Concluída com atraso"),IF($L744="","Na carteira",IF($L744&lt;TODAY(),"VENCIDA",IF($N744="Em execução","Em execução",IF($L744=TODAY(),"Hoje","Programada")))))))</f>
        <v/>
      </c>
      <c r="S744" s="34" t="str">
        <f aca="false">IF($E744="","",IF(ISNUMBER(SEARCH("(externo)",$G744&amp;$H744&amp;$I744)),"Terceirizada","Interna"))</f>
        <v/>
      </c>
      <c r="T744" s="40" t="str">
        <f aca="false">IF($L744="","",IF($O744="",$L744,$O744))</f>
        <v/>
      </c>
      <c r="U744" s="34" t="str">
        <f aca="false">IF($E744="","",IF(OR($M744="",$L744=""),0,IF($M744&lt;=$L744,1,0)))</f>
        <v/>
      </c>
      <c r="V744" s="34" t="str">
        <f aca="false">IF($E744="","",IF(OR($M744="",$T744=""),0,IF($M744&lt;=$T744,1,0)))</f>
        <v/>
      </c>
      <c r="W744" s="42" t="str">
        <f aca="false">IF(OR($M744="",$L744=""),"",MAX(0,$M744-$L744))</f>
        <v/>
      </c>
      <c r="X744" s="34" t="str">
        <f aca="false">IF($E744="","",IF(AND($O744&lt;&gt;"",$L744&lt;&gt;"",$O744&lt;&gt;$L744),1,0))</f>
        <v/>
      </c>
      <c r="Y744" s="34" t="str">
        <f aca="false">IF($E744="","",IF($N744="Cancelada",0,IF(OR($M744&lt;&gt;"",$N744="Concluída"),1,0)))</f>
        <v/>
      </c>
    </row>
    <row r="745" customFormat="false" ht="15" hidden="false" customHeight="true" outlineLevel="0" collapsed="false">
      <c r="A745" s="34" t="str">
        <f aca="false">IF($E745="","",COUNTA($E$5:$E745))</f>
        <v/>
      </c>
      <c r="B745" s="35"/>
      <c r="C745" s="35"/>
      <c r="D745" s="35"/>
      <c r="E745" s="35"/>
      <c r="F745" s="36"/>
      <c r="G745" s="37"/>
      <c r="H745" s="37"/>
      <c r="I745" s="37"/>
      <c r="J745" s="38"/>
      <c r="K745" s="39"/>
      <c r="L745" s="40" t="str">
        <f aca="false">IF(OR($J745="",$K745=""),"",$J745+MATCH($K745,Listas!$F$5:$F$11,0)-1)</f>
        <v/>
      </c>
      <c r="M745" s="41"/>
      <c r="N745" s="36"/>
      <c r="O745" s="41"/>
      <c r="P745" s="35"/>
      <c r="Q745" s="35"/>
      <c r="R745" s="42" t="str">
        <f aca="true">IF($E745="","",IF($N745="Cancelada","Cancelada",IF(OR($M745&lt;&gt;"",$N745="Concluída"),IF(OR($L745="",$M745="",$M745&lt;=$L745),"Concluída","Concluída com atraso"),IF($L745="","Na carteira",IF($L745&lt;TODAY(),"VENCIDA",IF($N745="Em execução","Em execução",IF($L745=TODAY(),"Hoje","Programada")))))))</f>
        <v/>
      </c>
      <c r="S745" s="34" t="str">
        <f aca="false">IF($E745="","",IF(ISNUMBER(SEARCH("(externo)",$G745&amp;$H745&amp;$I745)),"Terceirizada","Interna"))</f>
        <v/>
      </c>
      <c r="T745" s="40" t="str">
        <f aca="false">IF($L745="","",IF($O745="",$L745,$O745))</f>
        <v/>
      </c>
      <c r="U745" s="34" t="str">
        <f aca="false">IF($E745="","",IF(OR($M745="",$L745=""),0,IF($M745&lt;=$L745,1,0)))</f>
        <v/>
      </c>
      <c r="V745" s="34" t="str">
        <f aca="false">IF($E745="","",IF(OR($M745="",$T745=""),0,IF($M745&lt;=$T745,1,0)))</f>
        <v/>
      </c>
      <c r="W745" s="42" t="str">
        <f aca="false">IF(OR($M745="",$L745=""),"",MAX(0,$M745-$L745))</f>
        <v/>
      </c>
      <c r="X745" s="34" t="str">
        <f aca="false">IF($E745="","",IF(AND($O745&lt;&gt;"",$L745&lt;&gt;"",$O745&lt;&gt;$L745),1,0))</f>
        <v/>
      </c>
      <c r="Y745" s="34" t="str">
        <f aca="false">IF($E745="","",IF($N745="Cancelada",0,IF(OR($M745&lt;&gt;"",$N745="Concluída"),1,0)))</f>
        <v/>
      </c>
    </row>
    <row r="746" customFormat="false" ht="15" hidden="false" customHeight="true" outlineLevel="0" collapsed="false">
      <c r="A746" s="34" t="str">
        <f aca="false">IF($E746="","",COUNTA($E$5:$E746))</f>
        <v/>
      </c>
      <c r="B746" s="35"/>
      <c r="C746" s="35"/>
      <c r="D746" s="35"/>
      <c r="E746" s="35"/>
      <c r="F746" s="36"/>
      <c r="G746" s="37"/>
      <c r="H746" s="37"/>
      <c r="I746" s="37"/>
      <c r="J746" s="38"/>
      <c r="K746" s="39"/>
      <c r="L746" s="40" t="str">
        <f aca="false">IF(OR($J746="",$K746=""),"",$J746+MATCH($K746,Listas!$F$5:$F$11,0)-1)</f>
        <v/>
      </c>
      <c r="M746" s="41"/>
      <c r="N746" s="36"/>
      <c r="O746" s="41"/>
      <c r="P746" s="35"/>
      <c r="Q746" s="35"/>
      <c r="R746" s="42" t="str">
        <f aca="true">IF($E746="","",IF($N746="Cancelada","Cancelada",IF(OR($M746&lt;&gt;"",$N746="Concluída"),IF(OR($L746="",$M746="",$M746&lt;=$L746),"Concluída","Concluída com atraso"),IF($L746="","Na carteira",IF($L746&lt;TODAY(),"VENCIDA",IF($N746="Em execução","Em execução",IF($L746=TODAY(),"Hoje","Programada")))))))</f>
        <v/>
      </c>
      <c r="S746" s="34" t="str">
        <f aca="false">IF($E746="","",IF(ISNUMBER(SEARCH("(externo)",$G746&amp;$H746&amp;$I746)),"Terceirizada","Interna"))</f>
        <v/>
      </c>
      <c r="T746" s="40" t="str">
        <f aca="false">IF($L746="","",IF($O746="",$L746,$O746))</f>
        <v/>
      </c>
      <c r="U746" s="34" t="str">
        <f aca="false">IF($E746="","",IF(OR($M746="",$L746=""),0,IF($M746&lt;=$L746,1,0)))</f>
        <v/>
      </c>
      <c r="V746" s="34" t="str">
        <f aca="false">IF($E746="","",IF(OR($M746="",$T746=""),0,IF($M746&lt;=$T746,1,0)))</f>
        <v/>
      </c>
      <c r="W746" s="42" t="str">
        <f aca="false">IF(OR($M746="",$L746=""),"",MAX(0,$M746-$L746))</f>
        <v/>
      </c>
      <c r="X746" s="34" t="str">
        <f aca="false">IF($E746="","",IF(AND($O746&lt;&gt;"",$L746&lt;&gt;"",$O746&lt;&gt;$L746),1,0))</f>
        <v/>
      </c>
      <c r="Y746" s="34" t="str">
        <f aca="false">IF($E746="","",IF($N746="Cancelada",0,IF(OR($M746&lt;&gt;"",$N746="Concluída"),1,0)))</f>
        <v/>
      </c>
    </row>
    <row r="747" customFormat="false" ht="15" hidden="false" customHeight="true" outlineLevel="0" collapsed="false">
      <c r="A747" s="34" t="str">
        <f aca="false">IF($E747="","",COUNTA($E$5:$E747))</f>
        <v/>
      </c>
      <c r="B747" s="35"/>
      <c r="C747" s="35"/>
      <c r="D747" s="35"/>
      <c r="E747" s="35"/>
      <c r="F747" s="36"/>
      <c r="G747" s="37"/>
      <c r="H747" s="37"/>
      <c r="I747" s="37"/>
      <c r="J747" s="38"/>
      <c r="K747" s="39"/>
      <c r="L747" s="40" t="str">
        <f aca="false">IF(OR($J747="",$K747=""),"",$J747+MATCH($K747,Listas!$F$5:$F$11,0)-1)</f>
        <v/>
      </c>
      <c r="M747" s="41"/>
      <c r="N747" s="36"/>
      <c r="O747" s="41"/>
      <c r="P747" s="35"/>
      <c r="Q747" s="35"/>
      <c r="R747" s="42" t="str">
        <f aca="true">IF($E747="","",IF($N747="Cancelada","Cancelada",IF(OR($M747&lt;&gt;"",$N747="Concluída"),IF(OR($L747="",$M747="",$M747&lt;=$L747),"Concluída","Concluída com atraso"),IF($L747="","Na carteira",IF($L747&lt;TODAY(),"VENCIDA",IF($N747="Em execução","Em execução",IF($L747=TODAY(),"Hoje","Programada")))))))</f>
        <v/>
      </c>
      <c r="S747" s="34" t="str">
        <f aca="false">IF($E747="","",IF(ISNUMBER(SEARCH("(externo)",$G747&amp;$H747&amp;$I747)),"Terceirizada","Interna"))</f>
        <v/>
      </c>
      <c r="T747" s="40" t="str">
        <f aca="false">IF($L747="","",IF($O747="",$L747,$O747))</f>
        <v/>
      </c>
      <c r="U747" s="34" t="str">
        <f aca="false">IF($E747="","",IF(OR($M747="",$L747=""),0,IF($M747&lt;=$L747,1,0)))</f>
        <v/>
      </c>
      <c r="V747" s="34" t="str">
        <f aca="false">IF($E747="","",IF(OR($M747="",$T747=""),0,IF($M747&lt;=$T747,1,0)))</f>
        <v/>
      </c>
      <c r="W747" s="42" t="str">
        <f aca="false">IF(OR($M747="",$L747=""),"",MAX(0,$M747-$L747))</f>
        <v/>
      </c>
      <c r="X747" s="34" t="str">
        <f aca="false">IF($E747="","",IF(AND($O747&lt;&gt;"",$L747&lt;&gt;"",$O747&lt;&gt;$L747),1,0))</f>
        <v/>
      </c>
      <c r="Y747" s="34" t="str">
        <f aca="false">IF($E747="","",IF($N747="Cancelada",0,IF(OR($M747&lt;&gt;"",$N747="Concluída"),1,0)))</f>
        <v/>
      </c>
    </row>
    <row r="748" customFormat="false" ht="15" hidden="false" customHeight="true" outlineLevel="0" collapsed="false">
      <c r="A748" s="34" t="str">
        <f aca="false">IF($E748="","",COUNTA($E$5:$E748))</f>
        <v/>
      </c>
      <c r="B748" s="35"/>
      <c r="C748" s="35"/>
      <c r="D748" s="35"/>
      <c r="E748" s="35"/>
      <c r="F748" s="36"/>
      <c r="G748" s="37"/>
      <c r="H748" s="37"/>
      <c r="I748" s="37"/>
      <c r="J748" s="38"/>
      <c r="K748" s="39"/>
      <c r="L748" s="40" t="str">
        <f aca="false">IF(OR($J748="",$K748=""),"",$J748+MATCH($K748,Listas!$F$5:$F$11,0)-1)</f>
        <v/>
      </c>
      <c r="M748" s="41"/>
      <c r="N748" s="36"/>
      <c r="O748" s="41"/>
      <c r="P748" s="35"/>
      <c r="Q748" s="35"/>
      <c r="R748" s="42" t="str">
        <f aca="true">IF($E748="","",IF($N748="Cancelada","Cancelada",IF(OR($M748&lt;&gt;"",$N748="Concluída"),IF(OR($L748="",$M748="",$M748&lt;=$L748),"Concluída","Concluída com atraso"),IF($L748="","Na carteira",IF($L748&lt;TODAY(),"VENCIDA",IF($N748="Em execução","Em execução",IF($L748=TODAY(),"Hoje","Programada")))))))</f>
        <v/>
      </c>
      <c r="S748" s="34" t="str">
        <f aca="false">IF($E748="","",IF(ISNUMBER(SEARCH("(externo)",$G748&amp;$H748&amp;$I748)),"Terceirizada","Interna"))</f>
        <v/>
      </c>
      <c r="T748" s="40" t="str">
        <f aca="false">IF($L748="","",IF($O748="",$L748,$O748))</f>
        <v/>
      </c>
      <c r="U748" s="34" t="str">
        <f aca="false">IF($E748="","",IF(OR($M748="",$L748=""),0,IF($M748&lt;=$L748,1,0)))</f>
        <v/>
      </c>
      <c r="V748" s="34" t="str">
        <f aca="false">IF($E748="","",IF(OR($M748="",$T748=""),0,IF($M748&lt;=$T748,1,0)))</f>
        <v/>
      </c>
      <c r="W748" s="42" t="str">
        <f aca="false">IF(OR($M748="",$L748=""),"",MAX(0,$M748-$L748))</f>
        <v/>
      </c>
      <c r="X748" s="34" t="str">
        <f aca="false">IF($E748="","",IF(AND($O748&lt;&gt;"",$L748&lt;&gt;"",$O748&lt;&gt;$L748),1,0))</f>
        <v/>
      </c>
      <c r="Y748" s="34" t="str">
        <f aca="false">IF($E748="","",IF($N748="Cancelada",0,IF(OR($M748&lt;&gt;"",$N748="Concluída"),1,0)))</f>
        <v/>
      </c>
    </row>
    <row r="749" customFormat="false" ht="15" hidden="false" customHeight="true" outlineLevel="0" collapsed="false">
      <c r="A749" s="34" t="str">
        <f aca="false">IF($E749="","",COUNTA($E$5:$E749))</f>
        <v/>
      </c>
      <c r="B749" s="35"/>
      <c r="C749" s="35"/>
      <c r="D749" s="35"/>
      <c r="E749" s="35"/>
      <c r="F749" s="36"/>
      <c r="G749" s="37"/>
      <c r="H749" s="37"/>
      <c r="I749" s="37"/>
      <c r="J749" s="38"/>
      <c r="K749" s="39"/>
      <c r="L749" s="40" t="str">
        <f aca="false">IF(OR($J749="",$K749=""),"",$J749+MATCH($K749,Listas!$F$5:$F$11,0)-1)</f>
        <v/>
      </c>
      <c r="M749" s="41"/>
      <c r="N749" s="36"/>
      <c r="O749" s="41"/>
      <c r="P749" s="35"/>
      <c r="Q749" s="35"/>
      <c r="R749" s="42" t="str">
        <f aca="true">IF($E749="","",IF($N749="Cancelada","Cancelada",IF(OR($M749&lt;&gt;"",$N749="Concluída"),IF(OR($L749="",$M749="",$M749&lt;=$L749),"Concluída","Concluída com atraso"),IF($L749="","Na carteira",IF($L749&lt;TODAY(),"VENCIDA",IF($N749="Em execução","Em execução",IF($L749=TODAY(),"Hoje","Programada")))))))</f>
        <v/>
      </c>
      <c r="S749" s="34" t="str">
        <f aca="false">IF($E749="","",IF(ISNUMBER(SEARCH("(externo)",$G749&amp;$H749&amp;$I749)),"Terceirizada","Interna"))</f>
        <v/>
      </c>
      <c r="T749" s="40" t="str">
        <f aca="false">IF($L749="","",IF($O749="",$L749,$O749))</f>
        <v/>
      </c>
      <c r="U749" s="34" t="str">
        <f aca="false">IF($E749="","",IF(OR($M749="",$L749=""),0,IF($M749&lt;=$L749,1,0)))</f>
        <v/>
      </c>
      <c r="V749" s="34" t="str">
        <f aca="false">IF($E749="","",IF(OR($M749="",$T749=""),0,IF($M749&lt;=$T749,1,0)))</f>
        <v/>
      </c>
      <c r="W749" s="42" t="str">
        <f aca="false">IF(OR($M749="",$L749=""),"",MAX(0,$M749-$L749))</f>
        <v/>
      </c>
      <c r="X749" s="34" t="str">
        <f aca="false">IF($E749="","",IF(AND($O749&lt;&gt;"",$L749&lt;&gt;"",$O749&lt;&gt;$L749),1,0))</f>
        <v/>
      </c>
      <c r="Y749" s="34" t="str">
        <f aca="false">IF($E749="","",IF($N749="Cancelada",0,IF(OR($M749&lt;&gt;"",$N749="Concluída"),1,0)))</f>
        <v/>
      </c>
    </row>
    <row r="750" customFormat="false" ht="15" hidden="false" customHeight="true" outlineLevel="0" collapsed="false">
      <c r="A750" s="34" t="str">
        <f aca="false">IF($E750="","",COUNTA($E$5:$E750))</f>
        <v/>
      </c>
      <c r="B750" s="35"/>
      <c r="C750" s="35"/>
      <c r="D750" s="35"/>
      <c r="E750" s="35"/>
      <c r="F750" s="36"/>
      <c r="G750" s="37"/>
      <c r="H750" s="37"/>
      <c r="I750" s="37"/>
      <c r="J750" s="38"/>
      <c r="K750" s="39"/>
      <c r="L750" s="40" t="str">
        <f aca="false">IF(OR($J750="",$K750=""),"",$J750+MATCH($K750,Listas!$F$5:$F$11,0)-1)</f>
        <v/>
      </c>
      <c r="M750" s="41"/>
      <c r="N750" s="36"/>
      <c r="O750" s="41"/>
      <c r="P750" s="35"/>
      <c r="Q750" s="35"/>
      <c r="R750" s="42" t="str">
        <f aca="true">IF($E750="","",IF($N750="Cancelada","Cancelada",IF(OR($M750&lt;&gt;"",$N750="Concluída"),IF(OR($L750="",$M750="",$M750&lt;=$L750),"Concluída","Concluída com atraso"),IF($L750="","Na carteira",IF($L750&lt;TODAY(),"VENCIDA",IF($N750="Em execução","Em execução",IF($L750=TODAY(),"Hoje","Programada")))))))</f>
        <v/>
      </c>
      <c r="S750" s="34" t="str">
        <f aca="false">IF($E750="","",IF(ISNUMBER(SEARCH("(externo)",$G750&amp;$H750&amp;$I750)),"Terceirizada","Interna"))</f>
        <v/>
      </c>
      <c r="T750" s="40" t="str">
        <f aca="false">IF($L750="","",IF($O750="",$L750,$O750))</f>
        <v/>
      </c>
      <c r="U750" s="34" t="str">
        <f aca="false">IF($E750="","",IF(OR($M750="",$L750=""),0,IF($M750&lt;=$L750,1,0)))</f>
        <v/>
      </c>
      <c r="V750" s="34" t="str">
        <f aca="false">IF($E750="","",IF(OR($M750="",$T750=""),0,IF($M750&lt;=$T750,1,0)))</f>
        <v/>
      </c>
      <c r="W750" s="42" t="str">
        <f aca="false">IF(OR($M750="",$L750=""),"",MAX(0,$M750-$L750))</f>
        <v/>
      </c>
      <c r="X750" s="34" t="str">
        <f aca="false">IF($E750="","",IF(AND($O750&lt;&gt;"",$L750&lt;&gt;"",$O750&lt;&gt;$L750),1,0))</f>
        <v/>
      </c>
      <c r="Y750" s="34" t="str">
        <f aca="false">IF($E750="","",IF($N750="Cancelada",0,IF(OR($M750&lt;&gt;"",$N750="Concluída"),1,0)))</f>
        <v/>
      </c>
    </row>
    <row r="751" customFormat="false" ht="15" hidden="false" customHeight="true" outlineLevel="0" collapsed="false">
      <c r="A751" s="34" t="str">
        <f aca="false">IF($E751="","",COUNTA($E$5:$E751))</f>
        <v/>
      </c>
      <c r="B751" s="35"/>
      <c r="C751" s="35"/>
      <c r="D751" s="35"/>
      <c r="E751" s="35"/>
      <c r="F751" s="36"/>
      <c r="G751" s="37"/>
      <c r="H751" s="37"/>
      <c r="I751" s="37"/>
      <c r="J751" s="38"/>
      <c r="K751" s="39"/>
      <c r="L751" s="40" t="str">
        <f aca="false">IF(OR($J751="",$K751=""),"",$J751+MATCH($K751,Listas!$F$5:$F$11,0)-1)</f>
        <v/>
      </c>
      <c r="M751" s="41"/>
      <c r="N751" s="36"/>
      <c r="O751" s="41"/>
      <c r="P751" s="35"/>
      <c r="Q751" s="35"/>
      <c r="R751" s="42" t="str">
        <f aca="true">IF($E751="","",IF($N751="Cancelada","Cancelada",IF(OR($M751&lt;&gt;"",$N751="Concluída"),IF(OR($L751="",$M751="",$M751&lt;=$L751),"Concluída","Concluída com atraso"),IF($L751="","Na carteira",IF($L751&lt;TODAY(),"VENCIDA",IF($N751="Em execução","Em execução",IF($L751=TODAY(),"Hoje","Programada")))))))</f>
        <v/>
      </c>
      <c r="S751" s="34" t="str">
        <f aca="false">IF($E751="","",IF(ISNUMBER(SEARCH("(externo)",$G751&amp;$H751&amp;$I751)),"Terceirizada","Interna"))</f>
        <v/>
      </c>
      <c r="T751" s="40" t="str">
        <f aca="false">IF($L751="","",IF($O751="",$L751,$O751))</f>
        <v/>
      </c>
      <c r="U751" s="34" t="str">
        <f aca="false">IF($E751="","",IF(OR($M751="",$L751=""),0,IF($M751&lt;=$L751,1,0)))</f>
        <v/>
      </c>
      <c r="V751" s="34" t="str">
        <f aca="false">IF($E751="","",IF(OR($M751="",$T751=""),0,IF($M751&lt;=$T751,1,0)))</f>
        <v/>
      </c>
      <c r="W751" s="42" t="str">
        <f aca="false">IF(OR($M751="",$L751=""),"",MAX(0,$M751-$L751))</f>
        <v/>
      </c>
      <c r="X751" s="34" t="str">
        <f aca="false">IF($E751="","",IF(AND($O751&lt;&gt;"",$L751&lt;&gt;"",$O751&lt;&gt;$L751),1,0))</f>
        <v/>
      </c>
      <c r="Y751" s="34" t="str">
        <f aca="false">IF($E751="","",IF($N751="Cancelada",0,IF(OR($M751&lt;&gt;"",$N751="Concluída"),1,0)))</f>
        <v/>
      </c>
    </row>
    <row r="752" customFormat="false" ht="15" hidden="false" customHeight="true" outlineLevel="0" collapsed="false">
      <c r="A752" s="34" t="str">
        <f aca="false">IF($E752="","",COUNTA($E$5:$E752))</f>
        <v/>
      </c>
      <c r="B752" s="35"/>
      <c r="C752" s="35"/>
      <c r="D752" s="35"/>
      <c r="E752" s="35"/>
      <c r="F752" s="36"/>
      <c r="G752" s="37"/>
      <c r="H752" s="37"/>
      <c r="I752" s="37"/>
      <c r="J752" s="38"/>
      <c r="K752" s="39"/>
      <c r="L752" s="40" t="str">
        <f aca="false">IF(OR($J752="",$K752=""),"",$J752+MATCH($K752,Listas!$F$5:$F$11,0)-1)</f>
        <v/>
      </c>
      <c r="M752" s="41"/>
      <c r="N752" s="36"/>
      <c r="O752" s="41"/>
      <c r="P752" s="35"/>
      <c r="Q752" s="35"/>
      <c r="R752" s="42" t="str">
        <f aca="true">IF($E752="","",IF($N752="Cancelada","Cancelada",IF(OR($M752&lt;&gt;"",$N752="Concluída"),IF(OR($L752="",$M752="",$M752&lt;=$L752),"Concluída","Concluída com atraso"),IF($L752="","Na carteira",IF($L752&lt;TODAY(),"VENCIDA",IF($N752="Em execução","Em execução",IF($L752=TODAY(),"Hoje","Programada")))))))</f>
        <v/>
      </c>
      <c r="S752" s="34" t="str">
        <f aca="false">IF($E752="","",IF(ISNUMBER(SEARCH("(externo)",$G752&amp;$H752&amp;$I752)),"Terceirizada","Interna"))</f>
        <v/>
      </c>
      <c r="T752" s="40" t="str">
        <f aca="false">IF($L752="","",IF($O752="",$L752,$O752))</f>
        <v/>
      </c>
      <c r="U752" s="34" t="str">
        <f aca="false">IF($E752="","",IF(OR($M752="",$L752=""),0,IF($M752&lt;=$L752,1,0)))</f>
        <v/>
      </c>
      <c r="V752" s="34" t="str">
        <f aca="false">IF($E752="","",IF(OR($M752="",$T752=""),0,IF($M752&lt;=$T752,1,0)))</f>
        <v/>
      </c>
      <c r="W752" s="42" t="str">
        <f aca="false">IF(OR($M752="",$L752=""),"",MAX(0,$M752-$L752))</f>
        <v/>
      </c>
      <c r="X752" s="34" t="str">
        <f aca="false">IF($E752="","",IF(AND($O752&lt;&gt;"",$L752&lt;&gt;"",$O752&lt;&gt;$L752),1,0))</f>
        <v/>
      </c>
      <c r="Y752" s="34" t="str">
        <f aca="false">IF($E752="","",IF($N752="Cancelada",0,IF(OR($M752&lt;&gt;"",$N752="Concluída"),1,0)))</f>
        <v/>
      </c>
    </row>
    <row r="753" customFormat="false" ht="15" hidden="false" customHeight="true" outlineLevel="0" collapsed="false">
      <c r="A753" s="34" t="str">
        <f aca="false">IF($E753="","",COUNTA($E$5:$E753))</f>
        <v/>
      </c>
      <c r="B753" s="35"/>
      <c r="C753" s="35"/>
      <c r="D753" s="35"/>
      <c r="E753" s="35"/>
      <c r="F753" s="36"/>
      <c r="G753" s="37"/>
      <c r="H753" s="37"/>
      <c r="I753" s="37"/>
      <c r="J753" s="38"/>
      <c r="K753" s="39"/>
      <c r="L753" s="40" t="str">
        <f aca="false">IF(OR($J753="",$K753=""),"",$J753+MATCH($K753,Listas!$F$5:$F$11,0)-1)</f>
        <v/>
      </c>
      <c r="M753" s="41"/>
      <c r="N753" s="36"/>
      <c r="O753" s="41"/>
      <c r="P753" s="35"/>
      <c r="Q753" s="35"/>
      <c r="R753" s="42" t="str">
        <f aca="true">IF($E753="","",IF($N753="Cancelada","Cancelada",IF(OR($M753&lt;&gt;"",$N753="Concluída"),IF(OR($L753="",$M753="",$M753&lt;=$L753),"Concluída","Concluída com atraso"),IF($L753="","Na carteira",IF($L753&lt;TODAY(),"VENCIDA",IF($N753="Em execução","Em execução",IF($L753=TODAY(),"Hoje","Programada")))))))</f>
        <v/>
      </c>
      <c r="S753" s="34" t="str">
        <f aca="false">IF($E753="","",IF(ISNUMBER(SEARCH("(externo)",$G753&amp;$H753&amp;$I753)),"Terceirizada","Interna"))</f>
        <v/>
      </c>
      <c r="T753" s="40" t="str">
        <f aca="false">IF($L753="","",IF($O753="",$L753,$O753))</f>
        <v/>
      </c>
      <c r="U753" s="34" t="str">
        <f aca="false">IF($E753="","",IF(OR($M753="",$L753=""),0,IF($M753&lt;=$L753,1,0)))</f>
        <v/>
      </c>
      <c r="V753" s="34" t="str">
        <f aca="false">IF($E753="","",IF(OR($M753="",$T753=""),0,IF($M753&lt;=$T753,1,0)))</f>
        <v/>
      </c>
      <c r="W753" s="42" t="str">
        <f aca="false">IF(OR($M753="",$L753=""),"",MAX(0,$M753-$L753))</f>
        <v/>
      </c>
      <c r="X753" s="34" t="str">
        <f aca="false">IF($E753="","",IF(AND($O753&lt;&gt;"",$L753&lt;&gt;"",$O753&lt;&gt;$L753),1,0))</f>
        <v/>
      </c>
      <c r="Y753" s="34" t="str">
        <f aca="false">IF($E753="","",IF($N753="Cancelada",0,IF(OR($M753&lt;&gt;"",$N753="Concluída"),1,0)))</f>
        <v/>
      </c>
    </row>
    <row r="754" customFormat="false" ht="15" hidden="false" customHeight="true" outlineLevel="0" collapsed="false">
      <c r="A754" s="34" t="str">
        <f aca="false">IF($E754="","",COUNTA($E$5:$E754))</f>
        <v/>
      </c>
      <c r="B754" s="35"/>
      <c r="C754" s="35"/>
      <c r="D754" s="35"/>
      <c r="E754" s="35"/>
      <c r="F754" s="36"/>
      <c r="G754" s="37"/>
      <c r="H754" s="37"/>
      <c r="I754" s="37"/>
      <c r="J754" s="38"/>
      <c r="K754" s="39"/>
      <c r="L754" s="40" t="str">
        <f aca="false">IF(OR($J754="",$K754=""),"",$J754+MATCH($K754,Listas!$F$5:$F$11,0)-1)</f>
        <v/>
      </c>
      <c r="M754" s="41"/>
      <c r="N754" s="36"/>
      <c r="O754" s="41"/>
      <c r="P754" s="35"/>
      <c r="Q754" s="35"/>
      <c r="R754" s="42" t="str">
        <f aca="true">IF($E754="","",IF($N754="Cancelada","Cancelada",IF(OR($M754&lt;&gt;"",$N754="Concluída"),IF(OR($L754="",$M754="",$M754&lt;=$L754),"Concluída","Concluída com atraso"),IF($L754="","Na carteira",IF($L754&lt;TODAY(),"VENCIDA",IF($N754="Em execução","Em execução",IF($L754=TODAY(),"Hoje","Programada")))))))</f>
        <v/>
      </c>
      <c r="S754" s="34" t="str">
        <f aca="false">IF($E754="","",IF(ISNUMBER(SEARCH("(externo)",$G754&amp;$H754&amp;$I754)),"Terceirizada","Interna"))</f>
        <v/>
      </c>
      <c r="T754" s="40" t="str">
        <f aca="false">IF($L754="","",IF($O754="",$L754,$O754))</f>
        <v/>
      </c>
      <c r="U754" s="34" t="str">
        <f aca="false">IF($E754="","",IF(OR($M754="",$L754=""),0,IF($M754&lt;=$L754,1,0)))</f>
        <v/>
      </c>
      <c r="V754" s="34" t="str">
        <f aca="false">IF($E754="","",IF(OR($M754="",$T754=""),0,IF($M754&lt;=$T754,1,0)))</f>
        <v/>
      </c>
      <c r="W754" s="42" t="str">
        <f aca="false">IF(OR($M754="",$L754=""),"",MAX(0,$M754-$L754))</f>
        <v/>
      </c>
      <c r="X754" s="34" t="str">
        <f aca="false">IF($E754="","",IF(AND($O754&lt;&gt;"",$L754&lt;&gt;"",$O754&lt;&gt;$L754),1,0))</f>
        <v/>
      </c>
      <c r="Y754" s="34" t="str">
        <f aca="false">IF($E754="","",IF($N754="Cancelada",0,IF(OR($M754&lt;&gt;"",$N754="Concluída"),1,0)))</f>
        <v/>
      </c>
    </row>
    <row r="755" customFormat="false" ht="15" hidden="false" customHeight="true" outlineLevel="0" collapsed="false">
      <c r="A755" s="34" t="str">
        <f aca="false">IF($E755="","",COUNTA($E$5:$E755))</f>
        <v/>
      </c>
      <c r="B755" s="35"/>
      <c r="C755" s="35"/>
      <c r="D755" s="35"/>
      <c r="E755" s="35"/>
      <c r="F755" s="36"/>
      <c r="G755" s="37"/>
      <c r="H755" s="37"/>
      <c r="I755" s="37"/>
      <c r="J755" s="38"/>
      <c r="K755" s="39"/>
      <c r="L755" s="40" t="str">
        <f aca="false">IF(OR($J755="",$K755=""),"",$J755+MATCH($K755,Listas!$F$5:$F$11,0)-1)</f>
        <v/>
      </c>
      <c r="M755" s="41"/>
      <c r="N755" s="36"/>
      <c r="O755" s="41"/>
      <c r="P755" s="35"/>
      <c r="Q755" s="35"/>
      <c r="R755" s="42" t="str">
        <f aca="true">IF($E755="","",IF($N755="Cancelada","Cancelada",IF(OR($M755&lt;&gt;"",$N755="Concluída"),IF(OR($L755="",$M755="",$M755&lt;=$L755),"Concluída","Concluída com atraso"),IF($L755="","Na carteira",IF($L755&lt;TODAY(),"VENCIDA",IF($N755="Em execução","Em execução",IF($L755=TODAY(),"Hoje","Programada")))))))</f>
        <v/>
      </c>
      <c r="S755" s="34" t="str">
        <f aca="false">IF($E755="","",IF(ISNUMBER(SEARCH("(externo)",$G755&amp;$H755&amp;$I755)),"Terceirizada","Interna"))</f>
        <v/>
      </c>
      <c r="T755" s="40" t="str">
        <f aca="false">IF($L755="","",IF($O755="",$L755,$O755))</f>
        <v/>
      </c>
      <c r="U755" s="34" t="str">
        <f aca="false">IF($E755="","",IF(OR($M755="",$L755=""),0,IF($M755&lt;=$L755,1,0)))</f>
        <v/>
      </c>
      <c r="V755" s="34" t="str">
        <f aca="false">IF($E755="","",IF(OR($M755="",$T755=""),0,IF($M755&lt;=$T755,1,0)))</f>
        <v/>
      </c>
      <c r="W755" s="42" t="str">
        <f aca="false">IF(OR($M755="",$L755=""),"",MAX(0,$M755-$L755))</f>
        <v/>
      </c>
      <c r="X755" s="34" t="str">
        <f aca="false">IF($E755="","",IF(AND($O755&lt;&gt;"",$L755&lt;&gt;"",$O755&lt;&gt;$L755),1,0))</f>
        <v/>
      </c>
      <c r="Y755" s="34" t="str">
        <f aca="false">IF($E755="","",IF($N755="Cancelada",0,IF(OR($M755&lt;&gt;"",$N755="Concluída"),1,0)))</f>
        <v/>
      </c>
    </row>
    <row r="756" customFormat="false" ht="15" hidden="false" customHeight="true" outlineLevel="0" collapsed="false">
      <c r="A756" s="34" t="str">
        <f aca="false">IF($E756="","",COUNTA($E$5:$E756))</f>
        <v/>
      </c>
      <c r="B756" s="35"/>
      <c r="C756" s="35"/>
      <c r="D756" s="35"/>
      <c r="E756" s="35"/>
      <c r="F756" s="36"/>
      <c r="G756" s="37"/>
      <c r="H756" s="37"/>
      <c r="I756" s="37"/>
      <c r="J756" s="38"/>
      <c r="K756" s="39"/>
      <c r="L756" s="40" t="str">
        <f aca="false">IF(OR($J756="",$K756=""),"",$J756+MATCH($K756,Listas!$F$5:$F$11,0)-1)</f>
        <v/>
      </c>
      <c r="M756" s="41"/>
      <c r="N756" s="36"/>
      <c r="O756" s="41"/>
      <c r="P756" s="35"/>
      <c r="Q756" s="35"/>
      <c r="R756" s="42" t="str">
        <f aca="true">IF($E756="","",IF($N756="Cancelada","Cancelada",IF(OR($M756&lt;&gt;"",$N756="Concluída"),IF(OR($L756="",$M756="",$M756&lt;=$L756),"Concluída","Concluída com atraso"),IF($L756="","Na carteira",IF($L756&lt;TODAY(),"VENCIDA",IF($N756="Em execução","Em execução",IF($L756=TODAY(),"Hoje","Programada")))))))</f>
        <v/>
      </c>
      <c r="S756" s="34" t="str">
        <f aca="false">IF($E756="","",IF(ISNUMBER(SEARCH("(externo)",$G756&amp;$H756&amp;$I756)),"Terceirizada","Interna"))</f>
        <v/>
      </c>
      <c r="T756" s="40" t="str">
        <f aca="false">IF($L756="","",IF($O756="",$L756,$O756))</f>
        <v/>
      </c>
      <c r="U756" s="34" t="str">
        <f aca="false">IF($E756="","",IF(OR($M756="",$L756=""),0,IF($M756&lt;=$L756,1,0)))</f>
        <v/>
      </c>
      <c r="V756" s="34" t="str">
        <f aca="false">IF($E756="","",IF(OR($M756="",$T756=""),0,IF($M756&lt;=$T756,1,0)))</f>
        <v/>
      </c>
      <c r="W756" s="42" t="str">
        <f aca="false">IF(OR($M756="",$L756=""),"",MAX(0,$M756-$L756))</f>
        <v/>
      </c>
      <c r="X756" s="34" t="str">
        <f aca="false">IF($E756="","",IF(AND($O756&lt;&gt;"",$L756&lt;&gt;"",$O756&lt;&gt;$L756),1,0))</f>
        <v/>
      </c>
      <c r="Y756" s="34" t="str">
        <f aca="false">IF($E756="","",IF($N756="Cancelada",0,IF(OR($M756&lt;&gt;"",$N756="Concluída"),1,0)))</f>
        <v/>
      </c>
    </row>
    <row r="757" customFormat="false" ht="15" hidden="false" customHeight="true" outlineLevel="0" collapsed="false">
      <c r="A757" s="34" t="str">
        <f aca="false">IF($E757="","",COUNTA($E$5:$E757))</f>
        <v/>
      </c>
      <c r="B757" s="35"/>
      <c r="C757" s="35"/>
      <c r="D757" s="35"/>
      <c r="E757" s="35"/>
      <c r="F757" s="36"/>
      <c r="G757" s="37"/>
      <c r="H757" s="37"/>
      <c r="I757" s="37"/>
      <c r="J757" s="38"/>
      <c r="K757" s="39"/>
      <c r="L757" s="40" t="str">
        <f aca="false">IF(OR($J757="",$K757=""),"",$J757+MATCH($K757,Listas!$F$5:$F$11,0)-1)</f>
        <v/>
      </c>
      <c r="M757" s="41"/>
      <c r="N757" s="36"/>
      <c r="O757" s="41"/>
      <c r="P757" s="35"/>
      <c r="Q757" s="35"/>
      <c r="R757" s="42" t="str">
        <f aca="true">IF($E757="","",IF($N757="Cancelada","Cancelada",IF(OR($M757&lt;&gt;"",$N757="Concluída"),IF(OR($L757="",$M757="",$M757&lt;=$L757),"Concluída","Concluída com atraso"),IF($L757="","Na carteira",IF($L757&lt;TODAY(),"VENCIDA",IF($N757="Em execução","Em execução",IF($L757=TODAY(),"Hoje","Programada")))))))</f>
        <v/>
      </c>
      <c r="S757" s="34" t="str">
        <f aca="false">IF($E757="","",IF(ISNUMBER(SEARCH("(externo)",$G757&amp;$H757&amp;$I757)),"Terceirizada","Interna"))</f>
        <v/>
      </c>
      <c r="T757" s="40" t="str">
        <f aca="false">IF($L757="","",IF($O757="",$L757,$O757))</f>
        <v/>
      </c>
      <c r="U757" s="34" t="str">
        <f aca="false">IF($E757="","",IF(OR($M757="",$L757=""),0,IF($M757&lt;=$L757,1,0)))</f>
        <v/>
      </c>
      <c r="V757" s="34" t="str">
        <f aca="false">IF($E757="","",IF(OR($M757="",$T757=""),0,IF($M757&lt;=$T757,1,0)))</f>
        <v/>
      </c>
      <c r="W757" s="42" t="str">
        <f aca="false">IF(OR($M757="",$L757=""),"",MAX(0,$M757-$L757))</f>
        <v/>
      </c>
      <c r="X757" s="34" t="str">
        <f aca="false">IF($E757="","",IF(AND($O757&lt;&gt;"",$L757&lt;&gt;"",$O757&lt;&gt;$L757),1,0))</f>
        <v/>
      </c>
      <c r="Y757" s="34" t="str">
        <f aca="false">IF($E757="","",IF($N757="Cancelada",0,IF(OR($M757&lt;&gt;"",$N757="Concluída"),1,0)))</f>
        <v/>
      </c>
    </row>
    <row r="758" customFormat="false" ht="15" hidden="false" customHeight="true" outlineLevel="0" collapsed="false">
      <c r="A758" s="34" t="str">
        <f aca="false">IF($E758="","",COUNTA($E$5:$E758))</f>
        <v/>
      </c>
      <c r="B758" s="35"/>
      <c r="C758" s="35"/>
      <c r="D758" s="35"/>
      <c r="E758" s="35"/>
      <c r="F758" s="36"/>
      <c r="G758" s="37"/>
      <c r="H758" s="37"/>
      <c r="I758" s="37"/>
      <c r="J758" s="38"/>
      <c r="K758" s="39"/>
      <c r="L758" s="40" t="str">
        <f aca="false">IF(OR($J758="",$K758=""),"",$J758+MATCH($K758,Listas!$F$5:$F$11,0)-1)</f>
        <v/>
      </c>
      <c r="M758" s="41"/>
      <c r="N758" s="36"/>
      <c r="O758" s="41"/>
      <c r="P758" s="35"/>
      <c r="Q758" s="35"/>
      <c r="R758" s="42" t="str">
        <f aca="true">IF($E758="","",IF($N758="Cancelada","Cancelada",IF(OR($M758&lt;&gt;"",$N758="Concluída"),IF(OR($L758="",$M758="",$M758&lt;=$L758),"Concluída","Concluída com atraso"),IF($L758="","Na carteira",IF($L758&lt;TODAY(),"VENCIDA",IF($N758="Em execução","Em execução",IF($L758=TODAY(),"Hoje","Programada")))))))</f>
        <v/>
      </c>
      <c r="S758" s="34" t="str">
        <f aca="false">IF($E758="","",IF(ISNUMBER(SEARCH("(externo)",$G758&amp;$H758&amp;$I758)),"Terceirizada","Interna"))</f>
        <v/>
      </c>
      <c r="T758" s="40" t="str">
        <f aca="false">IF($L758="","",IF($O758="",$L758,$O758))</f>
        <v/>
      </c>
      <c r="U758" s="34" t="str">
        <f aca="false">IF($E758="","",IF(OR($M758="",$L758=""),0,IF($M758&lt;=$L758,1,0)))</f>
        <v/>
      </c>
      <c r="V758" s="34" t="str">
        <f aca="false">IF($E758="","",IF(OR($M758="",$T758=""),0,IF($M758&lt;=$T758,1,0)))</f>
        <v/>
      </c>
      <c r="W758" s="42" t="str">
        <f aca="false">IF(OR($M758="",$L758=""),"",MAX(0,$M758-$L758))</f>
        <v/>
      </c>
      <c r="X758" s="34" t="str">
        <f aca="false">IF($E758="","",IF(AND($O758&lt;&gt;"",$L758&lt;&gt;"",$O758&lt;&gt;$L758),1,0))</f>
        <v/>
      </c>
      <c r="Y758" s="34" t="str">
        <f aca="false">IF($E758="","",IF($N758="Cancelada",0,IF(OR($M758&lt;&gt;"",$N758="Concluída"),1,0)))</f>
        <v/>
      </c>
    </row>
    <row r="759" customFormat="false" ht="15" hidden="false" customHeight="true" outlineLevel="0" collapsed="false">
      <c r="A759" s="34" t="str">
        <f aca="false">IF($E759="","",COUNTA($E$5:$E759))</f>
        <v/>
      </c>
      <c r="B759" s="35"/>
      <c r="C759" s="35"/>
      <c r="D759" s="35"/>
      <c r="E759" s="35"/>
      <c r="F759" s="36"/>
      <c r="G759" s="37"/>
      <c r="H759" s="37"/>
      <c r="I759" s="37"/>
      <c r="J759" s="38"/>
      <c r="K759" s="39"/>
      <c r="L759" s="40" t="str">
        <f aca="false">IF(OR($J759="",$K759=""),"",$J759+MATCH($K759,Listas!$F$5:$F$11,0)-1)</f>
        <v/>
      </c>
      <c r="M759" s="41"/>
      <c r="N759" s="36"/>
      <c r="O759" s="41"/>
      <c r="P759" s="35"/>
      <c r="Q759" s="35"/>
      <c r="R759" s="42" t="str">
        <f aca="true">IF($E759="","",IF($N759="Cancelada","Cancelada",IF(OR($M759&lt;&gt;"",$N759="Concluída"),IF(OR($L759="",$M759="",$M759&lt;=$L759),"Concluída","Concluída com atraso"),IF($L759="","Na carteira",IF($L759&lt;TODAY(),"VENCIDA",IF($N759="Em execução","Em execução",IF($L759=TODAY(),"Hoje","Programada")))))))</f>
        <v/>
      </c>
      <c r="S759" s="34" t="str">
        <f aca="false">IF($E759="","",IF(ISNUMBER(SEARCH("(externo)",$G759&amp;$H759&amp;$I759)),"Terceirizada","Interna"))</f>
        <v/>
      </c>
      <c r="T759" s="40" t="str">
        <f aca="false">IF($L759="","",IF($O759="",$L759,$O759))</f>
        <v/>
      </c>
      <c r="U759" s="34" t="str">
        <f aca="false">IF($E759="","",IF(OR($M759="",$L759=""),0,IF($M759&lt;=$L759,1,0)))</f>
        <v/>
      </c>
      <c r="V759" s="34" t="str">
        <f aca="false">IF($E759="","",IF(OR($M759="",$T759=""),0,IF($M759&lt;=$T759,1,0)))</f>
        <v/>
      </c>
      <c r="W759" s="42" t="str">
        <f aca="false">IF(OR($M759="",$L759=""),"",MAX(0,$M759-$L759))</f>
        <v/>
      </c>
      <c r="X759" s="34" t="str">
        <f aca="false">IF($E759="","",IF(AND($O759&lt;&gt;"",$L759&lt;&gt;"",$O759&lt;&gt;$L759),1,0))</f>
        <v/>
      </c>
      <c r="Y759" s="34" t="str">
        <f aca="false">IF($E759="","",IF($N759="Cancelada",0,IF(OR($M759&lt;&gt;"",$N759="Concluída"),1,0)))</f>
        <v/>
      </c>
    </row>
    <row r="760" customFormat="false" ht="15" hidden="false" customHeight="true" outlineLevel="0" collapsed="false">
      <c r="A760" s="34" t="str">
        <f aca="false">IF($E760="","",COUNTA($E$5:$E760))</f>
        <v/>
      </c>
      <c r="B760" s="35"/>
      <c r="C760" s="35"/>
      <c r="D760" s="35"/>
      <c r="E760" s="35"/>
      <c r="F760" s="36"/>
      <c r="G760" s="37"/>
      <c r="H760" s="37"/>
      <c r="I760" s="37"/>
      <c r="J760" s="38"/>
      <c r="K760" s="39"/>
      <c r="L760" s="40" t="str">
        <f aca="false">IF(OR($J760="",$K760=""),"",$J760+MATCH($K760,Listas!$F$5:$F$11,0)-1)</f>
        <v/>
      </c>
      <c r="M760" s="41"/>
      <c r="N760" s="36"/>
      <c r="O760" s="41"/>
      <c r="P760" s="35"/>
      <c r="Q760" s="35"/>
      <c r="R760" s="42" t="str">
        <f aca="true">IF($E760="","",IF($N760="Cancelada","Cancelada",IF(OR($M760&lt;&gt;"",$N760="Concluída"),IF(OR($L760="",$M760="",$M760&lt;=$L760),"Concluída","Concluída com atraso"),IF($L760="","Na carteira",IF($L760&lt;TODAY(),"VENCIDA",IF($N760="Em execução","Em execução",IF($L760=TODAY(),"Hoje","Programada")))))))</f>
        <v/>
      </c>
      <c r="S760" s="34" t="str">
        <f aca="false">IF($E760="","",IF(ISNUMBER(SEARCH("(externo)",$G760&amp;$H760&amp;$I760)),"Terceirizada","Interna"))</f>
        <v/>
      </c>
      <c r="T760" s="40" t="str">
        <f aca="false">IF($L760="","",IF($O760="",$L760,$O760))</f>
        <v/>
      </c>
      <c r="U760" s="34" t="str">
        <f aca="false">IF($E760="","",IF(OR($M760="",$L760=""),0,IF($M760&lt;=$L760,1,0)))</f>
        <v/>
      </c>
      <c r="V760" s="34" t="str">
        <f aca="false">IF($E760="","",IF(OR($M760="",$T760=""),0,IF($M760&lt;=$T760,1,0)))</f>
        <v/>
      </c>
      <c r="W760" s="42" t="str">
        <f aca="false">IF(OR($M760="",$L760=""),"",MAX(0,$M760-$L760))</f>
        <v/>
      </c>
      <c r="X760" s="34" t="str">
        <f aca="false">IF($E760="","",IF(AND($O760&lt;&gt;"",$L760&lt;&gt;"",$O760&lt;&gt;$L760),1,0))</f>
        <v/>
      </c>
      <c r="Y760" s="34" t="str">
        <f aca="false">IF($E760="","",IF($N760="Cancelada",0,IF(OR($M760&lt;&gt;"",$N760="Concluída"),1,0)))</f>
        <v/>
      </c>
    </row>
    <row r="761" customFormat="false" ht="15" hidden="false" customHeight="true" outlineLevel="0" collapsed="false">
      <c r="A761" s="34" t="str">
        <f aca="false">IF($E761="","",COUNTA($E$5:$E761))</f>
        <v/>
      </c>
      <c r="B761" s="35"/>
      <c r="C761" s="35"/>
      <c r="D761" s="35"/>
      <c r="E761" s="35"/>
      <c r="F761" s="36"/>
      <c r="G761" s="37"/>
      <c r="H761" s="37"/>
      <c r="I761" s="37"/>
      <c r="J761" s="38"/>
      <c r="K761" s="39"/>
      <c r="L761" s="40" t="str">
        <f aca="false">IF(OR($J761="",$K761=""),"",$J761+MATCH($K761,Listas!$F$5:$F$11,0)-1)</f>
        <v/>
      </c>
      <c r="M761" s="41"/>
      <c r="N761" s="36"/>
      <c r="O761" s="41"/>
      <c r="P761" s="35"/>
      <c r="Q761" s="35"/>
      <c r="R761" s="42" t="str">
        <f aca="true">IF($E761="","",IF($N761="Cancelada","Cancelada",IF(OR($M761&lt;&gt;"",$N761="Concluída"),IF(OR($L761="",$M761="",$M761&lt;=$L761),"Concluída","Concluída com atraso"),IF($L761="","Na carteira",IF($L761&lt;TODAY(),"VENCIDA",IF($N761="Em execução","Em execução",IF($L761=TODAY(),"Hoje","Programada")))))))</f>
        <v/>
      </c>
      <c r="S761" s="34" t="str">
        <f aca="false">IF($E761="","",IF(ISNUMBER(SEARCH("(externo)",$G761&amp;$H761&amp;$I761)),"Terceirizada","Interna"))</f>
        <v/>
      </c>
      <c r="T761" s="40" t="str">
        <f aca="false">IF($L761="","",IF($O761="",$L761,$O761))</f>
        <v/>
      </c>
      <c r="U761" s="34" t="str">
        <f aca="false">IF($E761="","",IF(OR($M761="",$L761=""),0,IF($M761&lt;=$L761,1,0)))</f>
        <v/>
      </c>
      <c r="V761" s="34" t="str">
        <f aca="false">IF($E761="","",IF(OR($M761="",$T761=""),0,IF($M761&lt;=$T761,1,0)))</f>
        <v/>
      </c>
      <c r="W761" s="42" t="str">
        <f aca="false">IF(OR($M761="",$L761=""),"",MAX(0,$M761-$L761))</f>
        <v/>
      </c>
      <c r="X761" s="34" t="str">
        <f aca="false">IF($E761="","",IF(AND($O761&lt;&gt;"",$L761&lt;&gt;"",$O761&lt;&gt;$L761),1,0))</f>
        <v/>
      </c>
      <c r="Y761" s="34" t="str">
        <f aca="false">IF($E761="","",IF($N761="Cancelada",0,IF(OR($M761&lt;&gt;"",$N761="Concluída"),1,0)))</f>
        <v/>
      </c>
    </row>
    <row r="762" customFormat="false" ht="15" hidden="false" customHeight="true" outlineLevel="0" collapsed="false">
      <c r="A762" s="34" t="str">
        <f aca="false">IF($E762="","",COUNTA($E$5:$E762))</f>
        <v/>
      </c>
      <c r="B762" s="35"/>
      <c r="C762" s="35"/>
      <c r="D762" s="35"/>
      <c r="E762" s="35"/>
      <c r="F762" s="36"/>
      <c r="G762" s="37"/>
      <c r="H762" s="37"/>
      <c r="I762" s="37"/>
      <c r="J762" s="38"/>
      <c r="K762" s="39"/>
      <c r="L762" s="40" t="str">
        <f aca="false">IF(OR($J762="",$K762=""),"",$J762+MATCH($K762,Listas!$F$5:$F$11,0)-1)</f>
        <v/>
      </c>
      <c r="M762" s="41"/>
      <c r="N762" s="36"/>
      <c r="O762" s="41"/>
      <c r="P762" s="35"/>
      <c r="Q762" s="35"/>
      <c r="R762" s="42" t="str">
        <f aca="true">IF($E762="","",IF($N762="Cancelada","Cancelada",IF(OR($M762&lt;&gt;"",$N762="Concluída"),IF(OR($L762="",$M762="",$M762&lt;=$L762),"Concluída","Concluída com atraso"),IF($L762="","Na carteira",IF($L762&lt;TODAY(),"VENCIDA",IF($N762="Em execução","Em execução",IF($L762=TODAY(),"Hoje","Programada")))))))</f>
        <v/>
      </c>
      <c r="S762" s="34" t="str">
        <f aca="false">IF($E762="","",IF(ISNUMBER(SEARCH("(externo)",$G762&amp;$H762&amp;$I762)),"Terceirizada","Interna"))</f>
        <v/>
      </c>
      <c r="T762" s="40" t="str">
        <f aca="false">IF($L762="","",IF($O762="",$L762,$O762))</f>
        <v/>
      </c>
      <c r="U762" s="34" t="str">
        <f aca="false">IF($E762="","",IF(OR($M762="",$L762=""),0,IF($M762&lt;=$L762,1,0)))</f>
        <v/>
      </c>
      <c r="V762" s="34" t="str">
        <f aca="false">IF($E762="","",IF(OR($M762="",$T762=""),0,IF($M762&lt;=$T762,1,0)))</f>
        <v/>
      </c>
      <c r="W762" s="42" t="str">
        <f aca="false">IF(OR($M762="",$L762=""),"",MAX(0,$M762-$L762))</f>
        <v/>
      </c>
      <c r="X762" s="34" t="str">
        <f aca="false">IF($E762="","",IF(AND($O762&lt;&gt;"",$L762&lt;&gt;"",$O762&lt;&gt;$L762),1,0))</f>
        <v/>
      </c>
      <c r="Y762" s="34" t="str">
        <f aca="false">IF($E762="","",IF($N762="Cancelada",0,IF(OR($M762&lt;&gt;"",$N762="Concluída"),1,0)))</f>
        <v/>
      </c>
    </row>
    <row r="763" customFormat="false" ht="15" hidden="false" customHeight="true" outlineLevel="0" collapsed="false">
      <c r="A763" s="34" t="str">
        <f aca="false">IF($E763="","",COUNTA($E$5:$E763))</f>
        <v/>
      </c>
      <c r="B763" s="35"/>
      <c r="C763" s="35"/>
      <c r="D763" s="35"/>
      <c r="E763" s="35"/>
      <c r="F763" s="36"/>
      <c r="G763" s="37"/>
      <c r="H763" s="37"/>
      <c r="I763" s="37"/>
      <c r="J763" s="38"/>
      <c r="K763" s="39"/>
      <c r="L763" s="40" t="str">
        <f aca="false">IF(OR($J763="",$K763=""),"",$J763+MATCH($K763,Listas!$F$5:$F$11,0)-1)</f>
        <v/>
      </c>
      <c r="M763" s="41"/>
      <c r="N763" s="36"/>
      <c r="O763" s="41"/>
      <c r="P763" s="35"/>
      <c r="Q763" s="35"/>
      <c r="R763" s="42" t="str">
        <f aca="true">IF($E763="","",IF($N763="Cancelada","Cancelada",IF(OR($M763&lt;&gt;"",$N763="Concluída"),IF(OR($L763="",$M763="",$M763&lt;=$L763),"Concluída","Concluída com atraso"),IF($L763="","Na carteira",IF($L763&lt;TODAY(),"VENCIDA",IF($N763="Em execução","Em execução",IF($L763=TODAY(),"Hoje","Programada")))))))</f>
        <v/>
      </c>
      <c r="S763" s="34" t="str">
        <f aca="false">IF($E763="","",IF(ISNUMBER(SEARCH("(externo)",$G763&amp;$H763&amp;$I763)),"Terceirizada","Interna"))</f>
        <v/>
      </c>
      <c r="T763" s="40" t="str">
        <f aca="false">IF($L763="","",IF($O763="",$L763,$O763))</f>
        <v/>
      </c>
      <c r="U763" s="34" t="str">
        <f aca="false">IF($E763="","",IF(OR($M763="",$L763=""),0,IF($M763&lt;=$L763,1,0)))</f>
        <v/>
      </c>
      <c r="V763" s="34" t="str">
        <f aca="false">IF($E763="","",IF(OR($M763="",$T763=""),0,IF($M763&lt;=$T763,1,0)))</f>
        <v/>
      </c>
      <c r="W763" s="42" t="str">
        <f aca="false">IF(OR($M763="",$L763=""),"",MAX(0,$M763-$L763))</f>
        <v/>
      </c>
      <c r="X763" s="34" t="str">
        <f aca="false">IF($E763="","",IF(AND($O763&lt;&gt;"",$L763&lt;&gt;"",$O763&lt;&gt;$L763),1,0))</f>
        <v/>
      </c>
      <c r="Y763" s="34" t="str">
        <f aca="false">IF($E763="","",IF($N763="Cancelada",0,IF(OR($M763&lt;&gt;"",$N763="Concluída"),1,0)))</f>
        <v/>
      </c>
    </row>
    <row r="764" customFormat="false" ht="15" hidden="false" customHeight="true" outlineLevel="0" collapsed="false">
      <c r="A764" s="34" t="str">
        <f aca="false">IF($E764="","",COUNTA($E$5:$E764))</f>
        <v/>
      </c>
      <c r="B764" s="35"/>
      <c r="C764" s="35"/>
      <c r="D764" s="35"/>
      <c r="E764" s="35"/>
      <c r="F764" s="36"/>
      <c r="G764" s="37"/>
      <c r="H764" s="37"/>
      <c r="I764" s="37"/>
      <c r="J764" s="38"/>
      <c r="K764" s="39"/>
      <c r="L764" s="40" t="str">
        <f aca="false">IF(OR($J764="",$K764=""),"",$J764+MATCH($K764,Listas!$F$5:$F$11,0)-1)</f>
        <v/>
      </c>
      <c r="M764" s="41"/>
      <c r="N764" s="36"/>
      <c r="O764" s="41"/>
      <c r="P764" s="35"/>
      <c r="Q764" s="35"/>
      <c r="R764" s="42" t="str">
        <f aca="true">IF($E764="","",IF($N764="Cancelada","Cancelada",IF(OR($M764&lt;&gt;"",$N764="Concluída"),IF(OR($L764="",$M764="",$M764&lt;=$L764),"Concluída","Concluída com atraso"),IF($L764="","Na carteira",IF($L764&lt;TODAY(),"VENCIDA",IF($N764="Em execução","Em execução",IF($L764=TODAY(),"Hoje","Programada")))))))</f>
        <v/>
      </c>
      <c r="S764" s="34" t="str">
        <f aca="false">IF($E764="","",IF(ISNUMBER(SEARCH("(externo)",$G764&amp;$H764&amp;$I764)),"Terceirizada","Interna"))</f>
        <v/>
      </c>
      <c r="T764" s="40" t="str">
        <f aca="false">IF($L764="","",IF($O764="",$L764,$O764))</f>
        <v/>
      </c>
      <c r="U764" s="34" t="str">
        <f aca="false">IF($E764="","",IF(OR($M764="",$L764=""),0,IF($M764&lt;=$L764,1,0)))</f>
        <v/>
      </c>
      <c r="V764" s="34" t="str">
        <f aca="false">IF($E764="","",IF(OR($M764="",$T764=""),0,IF($M764&lt;=$T764,1,0)))</f>
        <v/>
      </c>
      <c r="W764" s="42" t="str">
        <f aca="false">IF(OR($M764="",$L764=""),"",MAX(0,$M764-$L764))</f>
        <v/>
      </c>
      <c r="X764" s="34" t="str">
        <f aca="false">IF($E764="","",IF(AND($O764&lt;&gt;"",$L764&lt;&gt;"",$O764&lt;&gt;$L764),1,0))</f>
        <v/>
      </c>
      <c r="Y764" s="34" t="str">
        <f aca="false">IF($E764="","",IF($N764="Cancelada",0,IF(OR($M764&lt;&gt;"",$N764="Concluída"),1,0)))</f>
        <v/>
      </c>
    </row>
    <row r="765" customFormat="false" ht="15" hidden="false" customHeight="true" outlineLevel="0" collapsed="false">
      <c r="A765" s="34" t="str">
        <f aca="false">IF($E765="","",COUNTA($E$5:$E765))</f>
        <v/>
      </c>
      <c r="B765" s="35"/>
      <c r="C765" s="35"/>
      <c r="D765" s="35"/>
      <c r="E765" s="35"/>
      <c r="F765" s="36"/>
      <c r="G765" s="37"/>
      <c r="H765" s="37"/>
      <c r="I765" s="37"/>
      <c r="J765" s="38"/>
      <c r="K765" s="39"/>
      <c r="L765" s="40" t="str">
        <f aca="false">IF(OR($J765="",$K765=""),"",$J765+MATCH($K765,Listas!$F$5:$F$11,0)-1)</f>
        <v/>
      </c>
      <c r="M765" s="41"/>
      <c r="N765" s="36"/>
      <c r="O765" s="41"/>
      <c r="P765" s="35"/>
      <c r="Q765" s="35"/>
      <c r="R765" s="42" t="str">
        <f aca="true">IF($E765="","",IF($N765="Cancelada","Cancelada",IF(OR($M765&lt;&gt;"",$N765="Concluída"),IF(OR($L765="",$M765="",$M765&lt;=$L765),"Concluída","Concluída com atraso"),IF($L765="","Na carteira",IF($L765&lt;TODAY(),"VENCIDA",IF($N765="Em execução","Em execução",IF($L765=TODAY(),"Hoje","Programada")))))))</f>
        <v/>
      </c>
      <c r="S765" s="34" t="str">
        <f aca="false">IF($E765="","",IF(ISNUMBER(SEARCH("(externo)",$G765&amp;$H765&amp;$I765)),"Terceirizada","Interna"))</f>
        <v/>
      </c>
      <c r="T765" s="40" t="str">
        <f aca="false">IF($L765="","",IF($O765="",$L765,$O765))</f>
        <v/>
      </c>
      <c r="U765" s="34" t="str">
        <f aca="false">IF($E765="","",IF(OR($M765="",$L765=""),0,IF($M765&lt;=$L765,1,0)))</f>
        <v/>
      </c>
      <c r="V765" s="34" t="str">
        <f aca="false">IF($E765="","",IF(OR($M765="",$T765=""),0,IF($M765&lt;=$T765,1,0)))</f>
        <v/>
      </c>
      <c r="W765" s="42" t="str">
        <f aca="false">IF(OR($M765="",$L765=""),"",MAX(0,$M765-$L765))</f>
        <v/>
      </c>
      <c r="X765" s="34" t="str">
        <f aca="false">IF($E765="","",IF(AND($O765&lt;&gt;"",$L765&lt;&gt;"",$O765&lt;&gt;$L765),1,0))</f>
        <v/>
      </c>
      <c r="Y765" s="34" t="str">
        <f aca="false">IF($E765="","",IF($N765="Cancelada",0,IF(OR($M765&lt;&gt;"",$N765="Concluída"),1,0)))</f>
        <v/>
      </c>
    </row>
    <row r="766" customFormat="false" ht="15" hidden="false" customHeight="true" outlineLevel="0" collapsed="false">
      <c r="A766" s="34" t="str">
        <f aca="false">IF($E766="","",COUNTA($E$5:$E766))</f>
        <v/>
      </c>
      <c r="B766" s="35"/>
      <c r="C766" s="35"/>
      <c r="D766" s="35"/>
      <c r="E766" s="35"/>
      <c r="F766" s="36"/>
      <c r="G766" s="37"/>
      <c r="H766" s="37"/>
      <c r="I766" s="37"/>
      <c r="J766" s="38"/>
      <c r="K766" s="39"/>
      <c r="L766" s="40" t="str">
        <f aca="false">IF(OR($J766="",$K766=""),"",$J766+MATCH($K766,Listas!$F$5:$F$11,0)-1)</f>
        <v/>
      </c>
      <c r="M766" s="41"/>
      <c r="N766" s="36"/>
      <c r="O766" s="41"/>
      <c r="P766" s="35"/>
      <c r="Q766" s="35"/>
      <c r="R766" s="42" t="str">
        <f aca="true">IF($E766="","",IF($N766="Cancelada","Cancelada",IF(OR($M766&lt;&gt;"",$N766="Concluída"),IF(OR($L766="",$M766="",$M766&lt;=$L766),"Concluída","Concluída com atraso"),IF($L766="","Na carteira",IF($L766&lt;TODAY(),"VENCIDA",IF($N766="Em execução","Em execução",IF($L766=TODAY(),"Hoje","Programada")))))))</f>
        <v/>
      </c>
      <c r="S766" s="34" t="str">
        <f aca="false">IF($E766="","",IF(ISNUMBER(SEARCH("(externo)",$G766&amp;$H766&amp;$I766)),"Terceirizada","Interna"))</f>
        <v/>
      </c>
      <c r="T766" s="40" t="str">
        <f aca="false">IF($L766="","",IF($O766="",$L766,$O766))</f>
        <v/>
      </c>
      <c r="U766" s="34" t="str">
        <f aca="false">IF($E766="","",IF(OR($M766="",$L766=""),0,IF($M766&lt;=$L766,1,0)))</f>
        <v/>
      </c>
      <c r="V766" s="34" t="str">
        <f aca="false">IF($E766="","",IF(OR($M766="",$T766=""),0,IF($M766&lt;=$T766,1,0)))</f>
        <v/>
      </c>
      <c r="W766" s="42" t="str">
        <f aca="false">IF(OR($M766="",$L766=""),"",MAX(0,$M766-$L766))</f>
        <v/>
      </c>
      <c r="X766" s="34" t="str">
        <f aca="false">IF($E766="","",IF(AND($O766&lt;&gt;"",$L766&lt;&gt;"",$O766&lt;&gt;$L766),1,0))</f>
        <v/>
      </c>
      <c r="Y766" s="34" t="str">
        <f aca="false">IF($E766="","",IF($N766="Cancelada",0,IF(OR($M766&lt;&gt;"",$N766="Concluída"),1,0)))</f>
        <v/>
      </c>
    </row>
    <row r="767" customFormat="false" ht="15" hidden="false" customHeight="true" outlineLevel="0" collapsed="false">
      <c r="A767" s="34" t="str">
        <f aca="false">IF($E767="","",COUNTA($E$5:$E767))</f>
        <v/>
      </c>
      <c r="B767" s="35"/>
      <c r="C767" s="35"/>
      <c r="D767" s="35"/>
      <c r="E767" s="35"/>
      <c r="F767" s="36"/>
      <c r="G767" s="37"/>
      <c r="H767" s="37"/>
      <c r="I767" s="37"/>
      <c r="J767" s="38"/>
      <c r="K767" s="39"/>
      <c r="L767" s="40" t="str">
        <f aca="false">IF(OR($J767="",$K767=""),"",$J767+MATCH($K767,Listas!$F$5:$F$11,0)-1)</f>
        <v/>
      </c>
      <c r="M767" s="41"/>
      <c r="N767" s="36"/>
      <c r="O767" s="41"/>
      <c r="P767" s="35"/>
      <c r="Q767" s="35"/>
      <c r="R767" s="42" t="str">
        <f aca="true">IF($E767="","",IF($N767="Cancelada","Cancelada",IF(OR($M767&lt;&gt;"",$N767="Concluída"),IF(OR($L767="",$M767="",$M767&lt;=$L767),"Concluída","Concluída com atraso"),IF($L767="","Na carteira",IF($L767&lt;TODAY(),"VENCIDA",IF($N767="Em execução","Em execução",IF($L767=TODAY(),"Hoje","Programada")))))))</f>
        <v/>
      </c>
      <c r="S767" s="34" t="str">
        <f aca="false">IF($E767="","",IF(ISNUMBER(SEARCH("(externo)",$G767&amp;$H767&amp;$I767)),"Terceirizada","Interna"))</f>
        <v/>
      </c>
      <c r="T767" s="40" t="str">
        <f aca="false">IF($L767="","",IF($O767="",$L767,$O767))</f>
        <v/>
      </c>
      <c r="U767" s="34" t="str">
        <f aca="false">IF($E767="","",IF(OR($M767="",$L767=""),0,IF($M767&lt;=$L767,1,0)))</f>
        <v/>
      </c>
      <c r="V767" s="34" t="str">
        <f aca="false">IF($E767="","",IF(OR($M767="",$T767=""),0,IF($M767&lt;=$T767,1,0)))</f>
        <v/>
      </c>
      <c r="W767" s="42" t="str">
        <f aca="false">IF(OR($M767="",$L767=""),"",MAX(0,$M767-$L767))</f>
        <v/>
      </c>
      <c r="X767" s="34" t="str">
        <f aca="false">IF($E767="","",IF(AND($O767&lt;&gt;"",$L767&lt;&gt;"",$O767&lt;&gt;$L767),1,0))</f>
        <v/>
      </c>
      <c r="Y767" s="34" t="str">
        <f aca="false">IF($E767="","",IF($N767="Cancelada",0,IF(OR($M767&lt;&gt;"",$N767="Concluída"),1,0)))</f>
        <v/>
      </c>
    </row>
    <row r="768" customFormat="false" ht="15" hidden="false" customHeight="true" outlineLevel="0" collapsed="false">
      <c r="A768" s="34" t="str">
        <f aca="false">IF($E768="","",COUNTA($E$5:$E768))</f>
        <v/>
      </c>
      <c r="B768" s="35"/>
      <c r="C768" s="35"/>
      <c r="D768" s="35"/>
      <c r="E768" s="35"/>
      <c r="F768" s="36"/>
      <c r="G768" s="37"/>
      <c r="H768" s="37"/>
      <c r="I768" s="37"/>
      <c r="J768" s="38"/>
      <c r="K768" s="39"/>
      <c r="L768" s="40" t="str">
        <f aca="false">IF(OR($J768="",$K768=""),"",$J768+MATCH($K768,Listas!$F$5:$F$11,0)-1)</f>
        <v/>
      </c>
      <c r="M768" s="41"/>
      <c r="N768" s="36"/>
      <c r="O768" s="41"/>
      <c r="P768" s="35"/>
      <c r="Q768" s="35"/>
      <c r="R768" s="42" t="str">
        <f aca="true">IF($E768="","",IF($N768="Cancelada","Cancelada",IF(OR($M768&lt;&gt;"",$N768="Concluída"),IF(OR($L768="",$M768="",$M768&lt;=$L768),"Concluída","Concluída com atraso"),IF($L768="","Na carteira",IF($L768&lt;TODAY(),"VENCIDA",IF($N768="Em execução","Em execução",IF($L768=TODAY(),"Hoje","Programada")))))))</f>
        <v/>
      </c>
      <c r="S768" s="34" t="str">
        <f aca="false">IF($E768="","",IF(ISNUMBER(SEARCH("(externo)",$G768&amp;$H768&amp;$I768)),"Terceirizada","Interna"))</f>
        <v/>
      </c>
      <c r="T768" s="40" t="str">
        <f aca="false">IF($L768="","",IF($O768="",$L768,$O768))</f>
        <v/>
      </c>
      <c r="U768" s="34" t="str">
        <f aca="false">IF($E768="","",IF(OR($M768="",$L768=""),0,IF($M768&lt;=$L768,1,0)))</f>
        <v/>
      </c>
      <c r="V768" s="34" t="str">
        <f aca="false">IF($E768="","",IF(OR($M768="",$T768=""),0,IF($M768&lt;=$T768,1,0)))</f>
        <v/>
      </c>
      <c r="W768" s="42" t="str">
        <f aca="false">IF(OR($M768="",$L768=""),"",MAX(0,$M768-$L768))</f>
        <v/>
      </c>
      <c r="X768" s="34" t="str">
        <f aca="false">IF($E768="","",IF(AND($O768&lt;&gt;"",$L768&lt;&gt;"",$O768&lt;&gt;$L768),1,0))</f>
        <v/>
      </c>
      <c r="Y768" s="34" t="str">
        <f aca="false">IF($E768="","",IF($N768="Cancelada",0,IF(OR($M768&lt;&gt;"",$N768="Concluída"),1,0)))</f>
        <v/>
      </c>
    </row>
    <row r="769" customFormat="false" ht="15" hidden="false" customHeight="true" outlineLevel="0" collapsed="false">
      <c r="A769" s="34" t="str">
        <f aca="false">IF($E769="","",COUNTA($E$5:$E769))</f>
        <v/>
      </c>
      <c r="B769" s="35"/>
      <c r="C769" s="35"/>
      <c r="D769" s="35"/>
      <c r="E769" s="35"/>
      <c r="F769" s="36"/>
      <c r="G769" s="37"/>
      <c r="H769" s="37"/>
      <c r="I769" s="37"/>
      <c r="J769" s="38"/>
      <c r="K769" s="39"/>
      <c r="L769" s="40" t="str">
        <f aca="false">IF(OR($J769="",$K769=""),"",$J769+MATCH($K769,Listas!$F$5:$F$11,0)-1)</f>
        <v/>
      </c>
      <c r="M769" s="41"/>
      <c r="N769" s="36"/>
      <c r="O769" s="41"/>
      <c r="P769" s="35"/>
      <c r="Q769" s="35"/>
      <c r="R769" s="42" t="str">
        <f aca="true">IF($E769="","",IF($N769="Cancelada","Cancelada",IF(OR($M769&lt;&gt;"",$N769="Concluída"),IF(OR($L769="",$M769="",$M769&lt;=$L769),"Concluída","Concluída com atraso"),IF($L769="","Na carteira",IF($L769&lt;TODAY(),"VENCIDA",IF($N769="Em execução","Em execução",IF($L769=TODAY(),"Hoje","Programada")))))))</f>
        <v/>
      </c>
      <c r="S769" s="34" t="str">
        <f aca="false">IF($E769="","",IF(ISNUMBER(SEARCH("(externo)",$G769&amp;$H769&amp;$I769)),"Terceirizada","Interna"))</f>
        <v/>
      </c>
      <c r="T769" s="40" t="str">
        <f aca="false">IF($L769="","",IF($O769="",$L769,$O769))</f>
        <v/>
      </c>
      <c r="U769" s="34" t="str">
        <f aca="false">IF($E769="","",IF(OR($M769="",$L769=""),0,IF($M769&lt;=$L769,1,0)))</f>
        <v/>
      </c>
      <c r="V769" s="34" t="str">
        <f aca="false">IF($E769="","",IF(OR($M769="",$T769=""),0,IF($M769&lt;=$T769,1,0)))</f>
        <v/>
      </c>
      <c r="W769" s="42" t="str">
        <f aca="false">IF(OR($M769="",$L769=""),"",MAX(0,$M769-$L769))</f>
        <v/>
      </c>
      <c r="X769" s="34" t="str">
        <f aca="false">IF($E769="","",IF(AND($O769&lt;&gt;"",$L769&lt;&gt;"",$O769&lt;&gt;$L769),1,0))</f>
        <v/>
      </c>
      <c r="Y769" s="34" t="str">
        <f aca="false">IF($E769="","",IF($N769="Cancelada",0,IF(OR($M769&lt;&gt;"",$N769="Concluída"),1,0)))</f>
        <v/>
      </c>
    </row>
    <row r="770" customFormat="false" ht="15" hidden="false" customHeight="true" outlineLevel="0" collapsed="false">
      <c r="A770" s="34" t="str">
        <f aca="false">IF($E770="","",COUNTA($E$5:$E770))</f>
        <v/>
      </c>
      <c r="B770" s="35"/>
      <c r="C770" s="35"/>
      <c r="D770" s="35"/>
      <c r="E770" s="35"/>
      <c r="F770" s="36"/>
      <c r="G770" s="37"/>
      <c r="H770" s="37"/>
      <c r="I770" s="37"/>
      <c r="J770" s="38"/>
      <c r="K770" s="39"/>
      <c r="L770" s="40" t="str">
        <f aca="false">IF(OR($J770="",$K770=""),"",$J770+MATCH($K770,Listas!$F$5:$F$11,0)-1)</f>
        <v/>
      </c>
      <c r="M770" s="41"/>
      <c r="N770" s="36"/>
      <c r="O770" s="41"/>
      <c r="P770" s="35"/>
      <c r="Q770" s="35"/>
      <c r="R770" s="42" t="str">
        <f aca="true">IF($E770="","",IF($N770="Cancelada","Cancelada",IF(OR($M770&lt;&gt;"",$N770="Concluída"),IF(OR($L770="",$M770="",$M770&lt;=$L770),"Concluída","Concluída com atraso"),IF($L770="","Na carteira",IF($L770&lt;TODAY(),"VENCIDA",IF($N770="Em execução","Em execução",IF($L770=TODAY(),"Hoje","Programada")))))))</f>
        <v/>
      </c>
      <c r="S770" s="34" t="str">
        <f aca="false">IF($E770="","",IF(ISNUMBER(SEARCH("(externo)",$G770&amp;$H770&amp;$I770)),"Terceirizada","Interna"))</f>
        <v/>
      </c>
      <c r="T770" s="40" t="str">
        <f aca="false">IF($L770="","",IF($O770="",$L770,$O770))</f>
        <v/>
      </c>
      <c r="U770" s="34" t="str">
        <f aca="false">IF($E770="","",IF(OR($M770="",$L770=""),0,IF($M770&lt;=$L770,1,0)))</f>
        <v/>
      </c>
      <c r="V770" s="34" t="str">
        <f aca="false">IF($E770="","",IF(OR($M770="",$T770=""),0,IF($M770&lt;=$T770,1,0)))</f>
        <v/>
      </c>
      <c r="W770" s="42" t="str">
        <f aca="false">IF(OR($M770="",$L770=""),"",MAX(0,$M770-$L770))</f>
        <v/>
      </c>
      <c r="X770" s="34" t="str">
        <f aca="false">IF($E770="","",IF(AND($O770&lt;&gt;"",$L770&lt;&gt;"",$O770&lt;&gt;$L770),1,0))</f>
        <v/>
      </c>
      <c r="Y770" s="34" t="str">
        <f aca="false">IF($E770="","",IF($N770="Cancelada",0,IF(OR($M770&lt;&gt;"",$N770="Concluída"),1,0)))</f>
        <v/>
      </c>
    </row>
    <row r="771" customFormat="false" ht="15" hidden="false" customHeight="true" outlineLevel="0" collapsed="false">
      <c r="A771" s="34" t="str">
        <f aca="false">IF($E771="","",COUNTA($E$5:$E771))</f>
        <v/>
      </c>
      <c r="B771" s="35"/>
      <c r="C771" s="35"/>
      <c r="D771" s="35"/>
      <c r="E771" s="35"/>
      <c r="F771" s="36"/>
      <c r="G771" s="37"/>
      <c r="H771" s="37"/>
      <c r="I771" s="37"/>
      <c r="J771" s="38"/>
      <c r="K771" s="39"/>
      <c r="L771" s="40" t="str">
        <f aca="false">IF(OR($J771="",$K771=""),"",$J771+MATCH($K771,Listas!$F$5:$F$11,0)-1)</f>
        <v/>
      </c>
      <c r="M771" s="41"/>
      <c r="N771" s="36"/>
      <c r="O771" s="41"/>
      <c r="P771" s="35"/>
      <c r="Q771" s="35"/>
      <c r="R771" s="42" t="str">
        <f aca="true">IF($E771="","",IF($N771="Cancelada","Cancelada",IF(OR($M771&lt;&gt;"",$N771="Concluída"),IF(OR($L771="",$M771="",$M771&lt;=$L771),"Concluída","Concluída com atraso"),IF($L771="","Na carteira",IF($L771&lt;TODAY(),"VENCIDA",IF($N771="Em execução","Em execução",IF($L771=TODAY(),"Hoje","Programada")))))))</f>
        <v/>
      </c>
      <c r="S771" s="34" t="str">
        <f aca="false">IF($E771="","",IF(ISNUMBER(SEARCH("(externo)",$G771&amp;$H771&amp;$I771)),"Terceirizada","Interna"))</f>
        <v/>
      </c>
      <c r="T771" s="40" t="str">
        <f aca="false">IF($L771="","",IF($O771="",$L771,$O771))</f>
        <v/>
      </c>
      <c r="U771" s="34" t="str">
        <f aca="false">IF($E771="","",IF(OR($M771="",$L771=""),0,IF($M771&lt;=$L771,1,0)))</f>
        <v/>
      </c>
      <c r="V771" s="34" t="str">
        <f aca="false">IF($E771="","",IF(OR($M771="",$T771=""),0,IF($M771&lt;=$T771,1,0)))</f>
        <v/>
      </c>
      <c r="W771" s="42" t="str">
        <f aca="false">IF(OR($M771="",$L771=""),"",MAX(0,$M771-$L771))</f>
        <v/>
      </c>
      <c r="X771" s="34" t="str">
        <f aca="false">IF($E771="","",IF(AND($O771&lt;&gt;"",$L771&lt;&gt;"",$O771&lt;&gt;$L771),1,0))</f>
        <v/>
      </c>
      <c r="Y771" s="34" t="str">
        <f aca="false">IF($E771="","",IF($N771="Cancelada",0,IF(OR($M771&lt;&gt;"",$N771="Concluída"),1,0)))</f>
        <v/>
      </c>
    </row>
    <row r="772" customFormat="false" ht="15" hidden="false" customHeight="true" outlineLevel="0" collapsed="false">
      <c r="A772" s="34" t="str">
        <f aca="false">IF($E772="","",COUNTA($E$5:$E772))</f>
        <v/>
      </c>
      <c r="B772" s="35"/>
      <c r="C772" s="35"/>
      <c r="D772" s="35"/>
      <c r="E772" s="35"/>
      <c r="F772" s="36"/>
      <c r="G772" s="37"/>
      <c r="H772" s="37"/>
      <c r="I772" s="37"/>
      <c r="J772" s="38"/>
      <c r="K772" s="39"/>
      <c r="L772" s="40" t="str">
        <f aca="false">IF(OR($J772="",$K772=""),"",$J772+MATCH($K772,Listas!$F$5:$F$11,0)-1)</f>
        <v/>
      </c>
      <c r="M772" s="41"/>
      <c r="N772" s="36"/>
      <c r="O772" s="41"/>
      <c r="P772" s="35"/>
      <c r="Q772" s="35"/>
      <c r="R772" s="42" t="str">
        <f aca="true">IF($E772="","",IF($N772="Cancelada","Cancelada",IF(OR($M772&lt;&gt;"",$N772="Concluída"),IF(OR($L772="",$M772="",$M772&lt;=$L772),"Concluída","Concluída com atraso"),IF($L772="","Na carteira",IF($L772&lt;TODAY(),"VENCIDA",IF($N772="Em execução","Em execução",IF($L772=TODAY(),"Hoje","Programada")))))))</f>
        <v/>
      </c>
      <c r="S772" s="34" t="str">
        <f aca="false">IF($E772="","",IF(ISNUMBER(SEARCH("(externo)",$G772&amp;$H772&amp;$I772)),"Terceirizada","Interna"))</f>
        <v/>
      </c>
      <c r="T772" s="40" t="str">
        <f aca="false">IF($L772="","",IF($O772="",$L772,$O772))</f>
        <v/>
      </c>
      <c r="U772" s="34" t="str">
        <f aca="false">IF($E772="","",IF(OR($M772="",$L772=""),0,IF($M772&lt;=$L772,1,0)))</f>
        <v/>
      </c>
      <c r="V772" s="34" t="str">
        <f aca="false">IF($E772="","",IF(OR($M772="",$T772=""),0,IF($M772&lt;=$T772,1,0)))</f>
        <v/>
      </c>
      <c r="W772" s="42" t="str">
        <f aca="false">IF(OR($M772="",$L772=""),"",MAX(0,$M772-$L772))</f>
        <v/>
      </c>
      <c r="X772" s="34" t="str">
        <f aca="false">IF($E772="","",IF(AND($O772&lt;&gt;"",$L772&lt;&gt;"",$O772&lt;&gt;$L772),1,0))</f>
        <v/>
      </c>
      <c r="Y772" s="34" t="str">
        <f aca="false">IF($E772="","",IF($N772="Cancelada",0,IF(OR($M772&lt;&gt;"",$N772="Concluída"),1,0)))</f>
        <v/>
      </c>
    </row>
    <row r="773" customFormat="false" ht="15" hidden="false" customHeight="true" outlineLevel="0" collapsed="false">
      <c r="A773" s="34" t="str">
        <f aca="false">IF($E773="","",COUNTA($E$5:$E773))</f>
        <v/>
      </c>
      <c r="B773" s="35"/>
      <c r="C773" s="35"/>
      <c r="D773" s="35"/>
      <c r="E773" s="35"/>
      <c r="F773" s="36"/>
      <c r="G773" s="37"/>
      <c r="H773" s="37"/>
      <c r="I773" s="37"/>
      <c r="J773" s="38"/>
      <c r="K773" s="39"/>
      <c r="L773" s="40" t="str">
        <f aca="false">IF(OR($J773="",$K773=""),"",$J773+MATCH($K773,Listas!$F$5:$F$11,0)-1)</f>
        <v/>
      </c>
      <c r="M773" s="41"/>
      <c r="N773" s="36"/>
      <c r="O773" s="41"/>
      <c r="P773" s="35"/>
      <c r="Q773" s="35"/>
      <c r="R773" s="42" t="str">
        <f aca="true">IF($E773="","",IF($N773="Cancelada","Cancelada",IF(OR($M773&lt;&gt;"",$N773="Concluída"),IF(OR($L773="",$M773="",$M773&lt;=$L773),"Concluída","Concluída com atraso"),IF($L773="","Na carteira",IF($L773&lt;TODAY(),"VENCIDA",IF($N773="Em execução","Em execução",IF($L773=TODAY(),"Hoje","Programada")))))))</f>
        <v/>
      </c>
      <c r="S773" s="34" t="str">
        <f aca="false">IF($E773="","",IF(ISNUMBER(SEARCH("(externo)",$G773&amp;$H773&amp;$I773)),"Terceirizada","Interna"))</f>
        <v/>
      </c>
      <c r="T773" s="40" t="str">
        <f aca="false">IF($L773="","",IF($O773="",$L773,$O773))</f>
        <v/>
      </c>
      <c r="U773" s="34" t="str">
        <f aca="false">IF($E773="","",IF(OR($M773="",$L773=""),0,IF($M773&lt;=$L773,1,0)))</f>
        <v/>
      </c>
      <c r="V773" s="34" t="str">
        <f aca="false">IF($E773="","",IF(OR($M773="",$T773=""),0,IF($M773&lt;=$T773,1,0)))</f>
        <v/>
      </c>
      <c r="W773" s="42" t="str">
        <f aca="false">IF(OR($M773="",$L773=""),"",MAX(0,$M773-$L773))</f>
        <v/>
      </c>
      <c r="X773" s="34" t="str">
        <f aca="false">IF($E773="","",IF(AND($O773&lt;&gt;"",$L773&lt;&gt;"",$O773&lt;&gt;$L773),1,0))</f>
        <v/>
      </c>
      <c r="Y773" s="34" t="str">
        <f aca="false">IF($E773="","",IF($N773="Cancelada",0,IF(OR($M773&lt;&gt;"",$N773="Concluída"),1,0)))</f>
        <v/>
      </c>
    </row>
    <row r="774" customFormat="false" ht="15" hidden="false" customHeight="true" outlineLevel="0" collapsed="false">
      <c r="A774" s="34" t="str">
        <f aca="false">IF($E774="","",COUNTA($E$5:$E774))</f>
        <v/>
      </c>
      <c r="B774" s="35"/>
      <c r="C774" s="35"/>
      <c r="D774" s="35"/>
      <c r="E774" s="35"/>
      <c r="F774" s="36"/>
      <c r="G774" s="37"/>
      <c r="H774" s="37"/>
      <c r="I774" s="37"/>
      <c r="J774" s="38"/>
      <c r="K774" s="39"/>
      <c r="L774" s="40" t="str">
        <f aca="false">IF(OR($J774="",$K774=""),"",$J774+MATCH($K774,Listas!$F$5:$F$11,0)-1)</f>
        <v/>
      </c>
      <c r="M774" s="41"/>
      <c r="N774" s="36"/>
      <c r="O774" s="41"/>
      <c r="P774" s="35"/>
      <c r="Q774" s="35"/>
      <c r="R774" s="42" t="str">
        <f aca="true">IF($E774="","",IF($N774="Cancelada","Cancelada",IF(OR($M774&lt;&gt;"",$N774="Concluída"),IF(OR($L774="",$M774="",$M774&lt;=$L774),"Concluída","Concluída com atraso"),IF($L774="","Na carteira",IF($L774&lt;TODAY(),"VENCIDA",IF($N774="Em execução","Em execução",IF($L774=TODAY(),"Hoje","Programada")))))))</f>
        <v/>
      </c>
      <c r="S774" s="34" t="str">
        <f aca="false">IF($E774="","",IF(ISNUMBER(SEARCH("(externo)",$G774&amp;$H774&amp;$I774)),"Terceirizada","Interna"))</f>
        <v/>
      </c>
      <c r="T774" s="40" t="str">
        <f aca="false">IF($L774="","",IF($O774="",$L774,$O774))</f>
        <v/>
      </c>
      <c r="U774" s="34" t="str">
        <f aca="false">IF($E774="","",IF(OR($M774="",$L774=""),0,IF($M774&lt;=$L774,1,0)))</f>
        <v/>
      </c>
      <c r="V774" s="34" t="str">
        <f aca="false">IF($E774="","",IF(OR($M774="",$T774=""),0,IF($M774&lt;=$T774,1,0)))</f>
        <v/>
      </c>
      <c r="W774" s="42" t="str">
        <f aca="false">IF(OR($M774="",$L774=""),"",MAX(0,$M774-$L774))</f>
        <v/>
      </c>
      <c r="X774" s="34" t="str">
        <f aca="false">IF($E774="","",IF(AND($O774&lt;&gt;"",$L774&lt;&gt;"",$O774&lt;&gt;$L774),1,0))</f>
        <v/>
      </c>
      <c r="Y774" s="34" t="str">
        <f aca="false">IF($E774="","",IF($N774="Cancelada",0,IF(OR($M774&lt;&gt;"",$N774="Concluída"),1,0)))</f>
        <v/>
      </c>
    </row>
    <row r="775" customFormat="false" ht="15" hidden="false" customHeight="true" outlineLevel="0" collapsed="false">
      <c r="A775" s="34" t="str">
        <f aca="false">IF($E775="","",COUNTA($E$5:$E775))</f>
        <v/>
      </c>
      <c r="B775" s="35"/>
      <c r="C775" s="35"/>
      <c r="D775" s="35"/>
      <c r="E775" s="35"/>
      <c r="F775" s="36"/>
      <c r="G775" s="37"/>
      <c r="H775" s="37"/>
      <c r="I775" s="37"/>
      <c r="J775" s="38"/>
      <c r="K775" s="39"/>
      <c r="L775" s="40" t="str">
        <f aca="false">IF(OR($J775="",$K775=""),"",$J775+MATCH($K775,Listas!$F$5:$F$11,0)-1)</f>
        <v/>
      </c>
      <c r="M775" s="41"/>
      <c r="N775" s="36"/>
      <c r="O775" s="41"/>
      <c r="P775" s="35"/>
      <c r="Q775" s="35"/>
      <c r="R775" s="42" t="str">
        <f aca="true">IF($E775="","",IF($N775="Cancelada","Cancelada",IF(OR($M775&lt;&gt;"",$N775="Concluída"),IF(OR($L775="",$M775="",$M775&lt;=$L775),"Concluída","Concluída com atraso"),IF($L775="","Na carteira",IF($L775&lt;TODAY(),"VENCIDA",IF($N775="Em execução","Em execução",IF($L775=TODAY(),"Hoje","Programada")))))))</f>
        <v/>
      </c>
      <c r="S775" s="34" t="str">
        <f aca="false">IF($E775="","",IF(ISNUMBER(SEARCH("(externo)",$G775&amp;$H775&amp;$I775)),"Terceirizada","Interna"))</f>
        <v/>
      </c>
      <c r="T775" s="40" t="str">
        <f aca="false">IF($L775="","",IF($O775="",$L775,$O775))</f>
        <v/>
      </c>
      <c r="U775" s="34" t="str">
        <f aca="false">IF($E775="","",IF(OR($M775="",$L775=""),0,IF($M775&lt;=$L775,1,0)))</f>
        <v/>
      </c>
      <c r="V775" s="34" t="str">
        <f aca="false">IF($E775="","",IF(OR($M775="",$T775=""),0,IF($M775&lt;=$T775,1,0)))</f>
        <v/>
      </c>
      <c r="W775" s="42" t="str">
        <f aca="false">IF(OR($M775="",$L775=""),"",MAX(0,$M775-$L775))</f>
        <v/>
      </c>
      <c r="X775" s="34" t="str">
        <f aca="false">IF($E775="","",IF(AND($O775&lt;&gt;"",$L775&lt;&gt;"",$O775&lt;&gt;$L775),1,0))</f>
        <v/>
      </c>
      <c r="Y775" s="34" t="str">
        <f aca="false">IF($E775="","",IF($N775="Cancelada",0,IF(OR($M775&lt;&gt;"",$N775="Concluída"),1,0)))</f>
        <v/>
      </c>
    </row>
    <row r="776" customFormat="false" ht="15" hidden="false" customHeight="true" outlineLevel="0" collapsed="false">
      <c r="A776" s="34" t="str">
        <f aca="false">IF($E776="","",COUNTA($E$5:$E776))</f>
        <v/>
      </c>
      <c r="B776" s="35"/>
      <c r="C776" s="35"/>
      <c r="D776" s="35"/>
      <c r="E776" s="35"/>
      <c r="F776" s="36"/>
      <c r="G776" s="37"/>
      <c r="H776" s="37"/>
      <c r="I776" s="37"/>
      <c r="J776" s="38"/>
      <c r="K776" s="39"/>
      <c r="L776" s="40" t="str">
        <f aca="false">IF(OR($J776="",$K776=""),"",$J776+MATCH($K776,Listas!$F$5:$F$11,0)-1)</f>
        <v/>
      </c>
      <c r="M776" s="41"/>
      <c r="N776" s="36"/>
      <c r="O776" s="41"/>
      <c r="P776" s="35"/>
      <c r="Q776" s="35"/>
      <c r="R776" s="42" t="str">
        <f aca="true">IF($E776="","",IF($N776="Cancelada","Cancelada",IF(OR($M776&lt;&gt;"",$N776="Concluída"),IF(OR($L776="",$M776="",$M776&lt;=$L776),"Concluída","Concluída com atraso"),IF($L776="","Na carteira",IF($L776&lt;TODAY(),"VENCIDA",IF($N776="Em execução","Em execução",IF($L776=TODAY(),"Hoje","Programada")))))))</f>
        <v/>
      </c>
      <c r="S776" s="34" t="str">
        <f aca="false">IF($E776="","",IF(ISNUMBER(SEARCH("(externo)",$G776&amp;$H776&amp;$I776)),"Terceirizada","Interna"))</f>
        <v/>
      </c>
      <c r="T776" s="40" t="str">
        <f aca="false">IF($L776="","",IF($O776="",$L776,$O776))</f>
        <v/>
      </c>
      <c r="U776" s="34" t="str">
        <f aca="false">IF($E776="","",IF(OR($M776="",$L776=""),0,IF($M776&lt;=$L776,1,0)))</f>
        <v/>
      </c>
      <c r="V776" s="34" t="str">
        <f aca="false">IF($E776="","",IF(OR($M776="",$T776=""),0,IF($M776&lt;=$T776,1,0)))</f>
        <v/>
      </c>
      <c r="W776" s="42" t="str">
        <f aca="false">IF(OR($M776="",$L776=""),"",MAX(0,$M776-$L776))</f>
        <v/>
      </c>
      <c r="X776" s="34" t="str">
        <f aca="false">IF($E776="","",IF(AND($O776&lt;&gt;"",$L776&lt;&gt;"",$O776&lt;&gt;$L776),1,0))</f>
        <v/>
      </c>
      <c r="Y776" s="34" t="str">
        <f aca="false">IF($E776="","",IF($N776="Cancelada",0,IF(OR($M776&lt;&gt;"",$N776="Concluída"),1,0)))</f>
        <v/>
      </c>
    </row>
    <row r="777" customFormat="false" ht="15" hidden="false" customHeight="true" outlineLevel="0" collapsed="false">
      <c r="A777" s="34" t="str">
        <f aca="false">IF($E777="","",COUNTA($E$5:$E777))</f>
        <v/>
      </c>
      <c r="B777" s="35"/>
      <c r="C777" s="35"/>
      <c r="D777" s="35"/>
      <c r="E777" s="35"/>
      <c r="F777" s="36"/>
      <c r="G777" s="37"/>
      <c r="H777" s="37"/>
      <c r="I777" s="37"/>
      <c r="J777" s="38"/>
      <c r="K777" s="39"/>
      <c r="L777" s="40" t="str">
        <f aca="false">IF(OR($J777="",$K777=""),"",$J777+MATCH($K777,Listas!$F$5:$F$11,0)-1)</f>
        <v/>
      </c>
      <c r="M777" s="41"/>
      <c r="N777" s="36"/>
      <c r="O777" s="41"/>
      <c r="P777" s="35"/>
      <c r="Q777" s="35"/>
      <c r="R777" s="42" t="str">
        <f aca="true">IF($E777="","",IF($N777="Cancelada","Cancelada",IF(OR($M777&lt;&gt;"",$N777="Concluída"),IF(OR($L777="",$M777="",$M777&lt;=$L777),"Concluída","Concluída com atraso"),IF($L777="","Na carteira",IF($L777&lt;TODAY(),"VENCIDA",IF($N777="Em execução","Em execução",IF($L777=TODAY(),"Hoje","Programada")))))))</f>
        <v/>
      </c>
      <c r="S777" s="34" t="str">
        <f aca="false">IF($E777="","",IF(ISNUMBER(SEARCH("(externo)",$G777&amp;$H777&amp;$I777)),"Terceirizada","Interna"))</f>
        <v/>
      </c>
      <c r="T777" s="40" t="str">
        <f aca="false">IF($L777="","",IF($O777="",$L777,$O777))</f>
        <v/>
      </c>
      <c r="U777" s="34" t="str">
        <f aca="false">IF($E777="","",IF(OR($M777="",$L777=""),0,IF($M777&lt;=$L777,1,0)))</f>
        <v/>
      </c>
      <c r="V777" s="34" t="str">
        <f aca="false">IF($E777="","",IF(OR($M777="",$T777=""),0,IF($M777&lt;=$T777,1,0)))</f>
        <v/>
      </c>
      <c r="W777" s="42" t="str">
        <f aca="false">IF(OR($M777="",$L777=""),"",MAX(0,$M777-$L777))</f>
        <v/>
      </c>
      <c r="X777" s="34" t="str">
        <f aca="false">IF($E777="","",IF(AND($O777&lt;&gt;"",$L777&lt;&gt;"",$O777&lt;&gt;$L777),1,0))</f>
        <v/>
      </c>
      <c r="Y777" s="34" t="str">
        <f aca="false">IF($E777="","",IF($N777="Cancelada",0,IF(OR($M777&lt;&gt;"",$N777="Concluída"),1,0)))</f>
        <v/>
      </c>
    </row>
    <row r="778" customFormat="false" ht="15" hidden="false" customHeight="true" outlineLevel="0" collapsed="false">
      <c r="A778" s="34" t="str">
        <f aca="false">IF($E778="","",COUNTA($E$5:$E778))</f>
        <v/>
      </c>
      <c r="B778" s="35"/>
      <c r="C778" s="35"/>
      <c r="D778" s="35"/>
      <c r="E778" s="35"/>
      <c r="F778" s="36"/>
      <c r="G778" s="37"/>
      <c r="H778" s="37"/>
      <c r="I778" s="37"/>
      <c r="J778" s="38"/>
      <c r="K778" s="39"/>
      <c r="L778" s="40" t="str">
        <f aca="false">IF(OR($J778="",$K778=""),"",$J778+MATCH($K778,Listas!$F$5:$F$11,0)-1)</f>
        <v/>
      </c>
      <c r="M778" s="41"/>
      <c r="N778" s="36"/>
      <c r="O778" s="41"/>
      <c r="P778" s="35"/>
      <c r="Q778" s="35"/>
      <c r="R778" s="42" t="str">
        <f aca="true">IF($E778="","",IF($N778="Cancelada","Cancelada",IF(OR($M778&lt;&gt;"",$N778="Concluída"),IF(OR($L778="",$M778="",$M778&lt;=$L778),"Concluída","Concluída com atraso"),IF($L778="","Na carteira",IF($L778&lt;TODAY(),"VENCIDA",IF($N778="Em execução","Em execução",IF($L778=TODAY(),"Hoje","Programada")))))))</f>
        <v/>
      </c>
      <c r="S778" s="34" t="str">
        <f aca="false">IF($E778="","",IF(ISNUMBER(SEARCH("(externo)",$G778&amp;$H778&amp;$I778)),"Terceirizada","Interna"))</f>
        <v/>
      </c>
      <c r="T778" s="40" t="str">
        <f aca="false">IF($L778="","",IF($O778="",$L778,$O778))</f>
        <v/>
      </c>
      <c r="U778" s="34" t="str">
        <f aca="false">IF($E778="","",IF(OR($M778="",$L778=""),0,IF($M778&lt;=$L778,1,0)))</f>
        <v/>
      </c>
      <c r="V778" s="34" t="str">
        <f aca="false">IF($E778="","",IF(OR($M778="",$T778=""),0,IF($M778&lt;=$T778,1,0)))</f>
        <v/>
      </c>
      <c r="W778" s="42" t="str">
        <f aca="false">IF(OR($M778="",$L778=""),"",MAX(0,$M778-$L778))</f>
        <v/>
      </c>
      <c r="X778" s="34" t="str">
        <f aca="false">IF($E778="","",IF(AND($O778&lt;&gt;"",$L778&lt;&gt;"",$O778&lt;&gt;$L778),1,0))</f>
        <v/>
      </c>
      <c r="Y778" s="34" t="str">
        <f aca="false">IF($E778="","",IF($N778="Cancelada",0,IF(OR($M778&lt;&gt;"",$N778="Concluída"),1,0)))</f>
        <v/>
      </c>
    </row>
    <row r="779" customFormat="false" ht="15" hidden="false" customHeight="true" outlineLevel="0" collapsed="false">
      <c r="A779" s="34" t="str">
        <f aca="false">IF($E779="","",COUNTA($E$5:$E779))</f>
        <v/>
      </c>
      <c r="B779" s="35"/>
      <c r="C779" s="35"/>
      <c r="D779" s="35"/>
      <c r="E779" s="35"/>
      <c r="F779" s="36"/>
      <c r="G779" s="37"/>
      <c r="H779" s="37"/>
      <c r="I779" s="37"/>
      <c r="J779" s="38"/>
      <c r="K779" s="39"/>
      <c r="L779" s="40" t="str">
        <f aca="false">IF(OR($J779="",$K779=""),"",$J779+MATCH($K779,Listas!$F$5:$F$11,0)-1)</f>
        <v/>
      </c>
      <c r="M779" s="41"/>
      <c r="N779" s="36"/>
      <c r="O779" s="41"/>
      <c r="P779" s="35"/>
      <c r="Q779" s="35"/>
      <c r="R779" s="42" t="str">
        <f aca="true">IF($E779="","",IF($N779="Cancelada","Cancelada",IF(OR($M779&lt;&gt;"",$N779="Concluída"),IF(OR($L779="",$M779="",$M779&lt;=$L779),"Concluída","Concluída com atraso"),IF($L779="","Na carteira",IF($L779&lt;TODAY(),"VENCIDA",IF($N779="Em execução","Em execução",IF($L779=TODAY(),"Hoje","Programada")))))))</f>
        <v/>
      </c>
      <c r="S779" s="34" t="str">
        <f aca="false">IF($E779="","",IF(ISNUMBER(SEARCH("(externo)",$G779&amp;$H779&amp;$I779)),"Terceirizada","Interna"))</f>
        <v/>
      </c>
      <c r="T779" s="40" t="str">
        <f aca="false">IF($L779="","",IF($O779="",$L779,$O779))</f>
        <v/>
      </c>
      <c r="U779" s="34" t="str">
        <f aca="false">IF($E779="","",IF(OR($M779="",$L779=""),0,IF($M779&lt;=$L779,1,0)))</f>
        <v/>
      </c>
      <c r="V779" s="34" t="str">
        <f aca="false">IF($E779="","",IF(OR($M779="",$T779=""),0,IF($M779&lt;=$T779,1,0)))</f>
        <v/>
      </c>
      <c r="W779" s="42" t="str">
        <f aca="false">IF(OR($M779="",$L779=""),"",MAX(0,$M779-$L779))</f>
        <v/>
      </c>
      <c r="X779" s="34" t="str">
        <f aca="false">IF($E779="","",IF(AND($O779&lt;&gt;"",$L779&lt;&gt;"",$O779&lt;&gt;$L779),1,0))</f>
        <v/>
      </c>
      <c r="Y779" s="34" t="str">
        <f aca="false">IF($E779="","",IF($N779="Cancelada",0,IF(OR($M779&lt;&gt;"",$N779="Concluída"),1,0)))</f>
        <v/>
      </c>
    </row>
    <row r="780" customFormat="false" ht="15" hidden="false" customHeight="true" outlineLevel="0" collapsed="false">
      <c r="A780" s="34" t="str">
        <f aca="false">IF($E780="","",COUNTA($E$5:$E780))</f>
        <v/>
      </c>
      <c r="B780" s="35"/>
      <c r="C780" s="35"/>
      <c r="D780" s="35"/>
      <c r="E780" s="35"/>
      <c r="F780" s="36"/>
      <c r="G780" s="37"/>
      <c r="H780" s="37"/>
      <c r="I780" s="37"/>
      <c r="J780" s="38"/>
      <c r="K780" s="39"/>
      <c r="L780" s="40" t="str">
        <f aca="false">IF(OR($J780="",$K780=""),"",$J780+MATCH($K780,Listas!$F$5:$F$11,0)-1)</f>
        <v/>
      </c>
      <c r="M780" s="41"/>
      <c r="N780" s="36"/>
      <c r="O780" s="41"/>
      <c r="P780" s="35"/>
      <c r="Q780" s="35"/>
      <c r="R780" s="42" t="str">
        <f aca="true">IF($E780="","",IF($N780="Cancelada","Cancelada",IF(OR($M780&lt;&gt;"",$N780="Concluída"),IF(OR($L780="",$M780="",$M780&lt;=$L780),"Concluída","Concluída com atraso"),IF($L780="","Na carteira",IF($L780&lt;TODAY(),"VENCIDA",IF($N780="Em execução","Em execução",IF($L780=TODAY(),"Hoje","Programada")))))))</f>
        <v/>
      </c>
      <c r="S780" s="34" t="str">
        <f aca="false">IF($E780="","",IF(ISNUMBER(SEARCH("(externo)",$G780&amp;$H780&amp;$I780)),"Terceirizada","Interna"))</f>
        <v/>
      </c>
      <c r="T780" s="40" t="str">
        <f aca="false">IF($L780="","",IF($O780="",$L780,$O780))</f>
        <v/>
      </c>
      <c r="U780" s="34" t="str">
        <f aca="false">IF($E780="","",IF(OR($M780="",$L780=""),0,IF($M780&lt;=$L780,1,0)))</f>
        <v/>
      </c>
      <c r="V780" s="34" t="str">
        <f aca="false">IF($E780="","",IF(OR($M780="",$T780=""),0,IF($M780&lt;=$T780,1,0)))</f>
        <v/>
      </c>
      <c r="W780" s="42" t="str">
        <f aca="false">IF(OR($M780="",$L780=""),"",MAX(0,$M780-$L780))</f>
        <v/>
      </c>
      <c r="X780" s="34" t="str">
        <f aca="false">IF($E780="","",IF(AND($O780&lt;&gt;"",$L780&lt;&gt;"",$O780&lt;&gt;$L780),1,0))</f>
        <v/>
      </c>
      <c r="Y780" s="34" t="str">
        <f aca="false">IF($E780="","",IF($N780="Cancelada",0,IF(OR($M780&lt;&gt;"",$N780="Concluída"),1,0)))</f>
        <v/>
      </c>
    </row>
    <row r="781" customFormat="false" ht="15" hidden="false" customHeight="true" outlineLevel="0" collapsed="false">
      <c r="A781" s="34" t="str">
        <f aca="false">IF($E781="","",COUNTA($E$5:$E781))</f>
        <v/>
      </c>
      <c r="B781" s="35"/>
      <c r="C781" s="35"/>
      <c r="D781" s="35"/>
      <c r="E781" s="35"/>
      <c r="F781" s="36"/>
      <c r="G781" s="37"/>
      <c r="H781" s="37"/>
      <c r="I781" s="37"/>
      <c r="J781" s="38"/>
      <c r="K781" s="39"/>
      <c r="L781" s="40" t="str">
        <f aca="false">IF(OR($J781="",$K781=""),"",$J781+MATCH($K781,Listas!$F$5:$F$11,0)-1)</f>
        <v/>
      </c>
      <c r="M781" s="41"/>
      <c r="N781" s="36"/>
      <c r="O781" s="41"/>
      <c r="P781" s="35"/>
      <c r="Q781" s="35"/>
      <c r="R781" s="42" t="str">
        <f aca="true">IF($E781="","",IF($N781="Cancelada","Cancelada",IF(OR($M781&lt;&gt;"",$N781="Concluída"),IF(OR($L781="",$M781="",$M781&lt;=$L781),"Concluída","Concluída com atraso"),IF($L781="","Na carteira",IF($L781&lt;TODAY(),"VENCIDA",IF($N781="Em execução","Em execução",IF($L781=TODAY(),"Hoje","Programada")))))))</f>
        <v/>
      </c>
      <c r="S781" s="34" t="str">
        <f aca="false">IF($E781="","",IF(ISNUMBER(SEARCH("(externo)",$G781&amp;$H781&amp;$I781)),"Terceirizada","Interna"))</f>
        <v/>
      </c>
      <c r="T781" s="40" t="str">
        <f aca="false">IF($L781="","",IF($O781="",$L781,$O781))</f>
        <v/>
      </c>
      <c r="U781" s="34" t="str">
        <f aca="false">IF($E781="","",IF(OR($M781="",$L781=""),0,IF($M781&lt;=$L781,1,0)))</f>
        <v/>
      </c>
      <c r="V781" s="34" t="str">
        <f aca="false">IF($E781="","",IF(OR($M781="",$T781=""),0,IF($M781&lt;=$T781,1,0)))</f>
        <v/>
      </c>
      <c r="W781" s="42" t="str">
        <f aca="false">IF(OR($M781="",$L781=""),"",MAX(0,$M781-$L781))</f>
        <v/>
      </c>
      <c r="X781" s="34" t="str">
        <f aca="false">IF($E781="","",IF(AND($O781&lt;&gt;"",$L781&lt;&gt;"",$O781&lt;&gt;$L781),1,0))</f>
        <v/>
      </c>
      <c r="Y781" s="34" t="str">
        <f aca="false">IF($E781="","",IF($N781="Cancelada",0,IF(OR($M781&lt;&gt;"",$N781="Concluída"),1,0)))</f>
        <v/>
      </c>
    </row>
    <row r="782" customFormat="false" ht="15" hidden="false" customHeight="true" outlineLevel="0" collapsed="false">
      <c r="A782" s="34" t="str">
        <f aca="false">IF($E782="","",COUNTA($E$5:$E782))</f>
        <v/>
      </c>
      <c r="B782" s="35"/>
      <c r="C782" s="35"/>
      <c r="D782" s="35"/>
      <c r="E782" s="35"/>
      <c r="F782" s="36"/>
      <c r="G782" s="37"/>
      <c r="H782" s="37"/>
      <c r="I782" s="37"/>
      <c r="J782" s="38"/>
      <c r="K782" s="39"/>
      <c r="L782" s="40" t="str">
        <f aca="false">IF(OR($J782="",$K782=""),"",$J782+MATCH($K782,Listas!$F$5:$F$11,0)-1)</f>
        <v/>
      </c>
      <c r="M782" s="41"/>
      <c r="N782" s="36"/>
      <c r="O782" s="41"/>
      <c r="P782" s="35"/>
      <c r="Q782" s="35"/>
      <c r="R782" s="42" t="str">
        <f aca="true">IF($E782="","",IF($N782="Cancelada","Cancelada",IF(OR($M782&lt;&gt;"",$N782="Concluída"),IF(OR($L782="",$M782="",$M782&lt;=$L782),"Concluída","Concluída com atraso"),IF($L782="","Na carteira",IF($L782&lt;TODAY(),"VENCIDA",IF($N782="Em execução","Em execução",IF($L782=TODAY(),"Hoje","Programada")))))))</f>
        <v/>
      </c>
      <c r="S782" s="34" t="str">
        <f aca="false">IF($E782="","",IF(ISNUMBER(SEARCH("(externo)",$G782&amp;$H782&amp;$I782)),"Terceirizada","Interna"))</f>
        <v/>
      </c>
      <c r="T782" s="40" t="str">
        <f aca="false">IF($L782="","",IF($O782="",$L782,$O782))</f>
        <v/>
      </c>
      <c r="U782" s="34" t="str">
        <f aca="false">IF($E782="","",IF(OR($M782="",$L782=""),0,IF($M782&lt;=$L782,1,0)))</f>
        <v/>
      </c>
      <c r="V782" s="34" t="str">
        <f aca="false">IF($E782="","",IF(OR($M782="",$T782=""),0,IF($M782&lt;=$T782,1,0)))</f>
        <v/>
      </c>
      <c r="W782" s="42" t="str">
        <f aca="false">IF(OR($M782="",$L782=""),"",MAX(0,$M782-$L782))</f>
        <v/>
      </c>
      <c r="X782" s="34" t="str">
        <f aca="false">IF($E782="","",IF(AND($O782&lt;&gt;"",$L782&lt;&gt;"",$O782&lt;&gt;$L782),1,0))</f>
        <v/>
      </c>
      <c r="Y782" s="34" t="str">
        <f aca="false">IF($E782="","",IF($N782="Cancelada",0,IF(OR($M782&lt;&gt;"",$N782="Concluída"),1,0)))</f>
        <v/>
      </c>
    </row>
    <row r="783" customFormat="false" ht="15" hidden="false" customHeight="true" outlineLevel="0" collapsed="false">
      <c r="A783" s="34" t="str">
        <f aca="false">IF($E783="","",COUNTA($E$5:$E783))</f>
        <v/>
      </c>
      <c r="B783" s="35"/>
      <c r="C783" s="35"/>
      <c r="D783" s="35"/>
      <c r="E783" s="35"/>
      <c r="F783" s="36"/>
      <c r="G783" s="37"/>
      <c r="H783" s="37"/>
      <c r="I783" s="37"/>
      <c r="J783" s="38"/>
      <c r="K783" s="39"/>
      <c r="L783" s="40" t="str">
        <f aca="false">IF(OR($J783="",$K783=""),"",$J783+MATCH($K783,Listas!$F$5:$F$11,0)-1)</f>
        <v/>
      </c>
      <c r="M783" s="41"/>
      <c r="N783" s="36"/>
      <c r="O783" s="41"/>
      <c r="P783" s="35"/>
      <c r="Q783" s="35"/>
      <c r="R783" s="42" t="str">
        <f aca="true">IF($E783="","",IF($N783="Cancelada","Cancelada",IF(OR($M783&lt;&gt;"",$N783="Concluída"),IF(OR($L783="",$M783="",$M783&lt;=$L783),"Concluída","Concluída com atraso"),IF($L783="","Na carteira",IF($L783&lt;TODAY(),"VENCIDA",IF($N783="Em execução","Em execução",IF($L783=TODAY(),"Hoje","Programada")))))))</f>
        <v/>
      </c>
      <c r="S783" s="34" t="str">
        <f aca="false">IF($E783="","",IF(ISNUMBER(SEARCH("(externo)",$G783&amp;$H783&amp;$I783)),"Terceirizada","Interna"))</f>
        <v/>
      </c>
      <c r="T783" s="40" t="str">
        <f aca="false">IF($L783="","",IF($O783="",$L783,$O783))</f>
        <v/>
      </c>
      <c r="U783" s="34" t="str">
        <f aca="false">IF($E783="","",IF(OR($M783="",$L783=""),0,IF($M783&lt;=$L783,1,0)))</f>
        <v/>
      </c>
      <c r="V783" s="34" t="str">
        <f aca="false">IF($E783="","",IF(OR($M783="",$T783=""),0,IF($M783&lt;=$T783,1,0)))</f>
        <v/>
      </c>
      <c r="W783" s="42" t="str">
        <f aca="false">IF(OR($M783="",$L783=""),"",MAX(0,$M783-$L783))</f>
        <v/>
      </c>
      <c r="X783" s="34" t="str">
        <f aca="false">IF($E783="","",IF(AND($O783&lt;&gt;"",$L783&lt;&gt;"",$O783&lt;&gt;$L783),1,0))</f>
        <v/>
      </c>
      <c r="Y783" s="34" t="str">
        <f aca="false">IF($E783="","",IF($N783="Cancelada",0,IF(OR($M783&lt;&gt;"",$N783="Concluída"),1,0)))</f>
        <v/>
      </c>
    </row>
    <row r="784" customFormat="false" ht="15" hidden="false" customHeight="true" outlineLevel="0" collapsed="false">
      <c r="A784" s="34" t="str">
        <f aca="false">IF($E784="","",COUNTA($E$5:$E784))</f>
        <v/>
      </c>
      <c r="B784" s="35"/>
      <c r="C784" s="35"/>
      <c r="D784" s="35"/>
      <c r="E784" s="35"/>
      <c r="F784" s="36"/>
      <c r="G784" s="37"/>
      <c r="H784" s="37"/>
      <c r="I784" s="37"/>
      <c r="J784" s="38"/>
      <c r="K784" s="39"/>
      <c r="L784" s="40" t="str">
        <f aca="false">IF(OR($J784="",$K784=""),"",$J784+MATCH($K784,Listas!$F$5:$F$11,0)-1)</f>
        <v/>
      </c>
      <c r="M784" s="41"/>
      <c r="N784" s="36"/>
      <c r="O784" s="41"/>
      <c r="P784" s="35"/>
      <c r="Q784" s="35"/>
      <c r="R784" s="42" t="str">
        <f aca="true">IF($E784="","",IF($N784="Cancelada","Cancelada",IF(OR($M784&lt;&gt;"",$N784="Concluída"),IF(OR($L784="",$M784="",$M784&lt;=$L784),"Concluída","Concluída com atraso"),IF($L784="","Na carteira",IF($L784&lt;TODAY(),"VENCIDA",IF($N784="Em execução","Em execução",IF($L784=TODAY(),"Hoje","Programada")))))))</f>
        <v/>
      </c>
      <c r="S784" s="34" t="str">
        <f aca="false">IF($E784="","",IF(ISNUMBER(SEARCH("(externo)",$G784&amp;$H784&amp;$I784)),"Terceirizada","Interna"))</f>
        <v/>
      </c>
      <c r="T784" s="40" t="str">
        <f aca="false">IF($L784="","",IF($O784="",$L784,$O784))</f>
        <v/>
      </c>
      <c r="U784" s="34" t="str">
        <f aca="false">IF($E784="","",IF(OR($M784="",$L784=""),0,IF($M784&lt;=$L784,1,0)))</f>
        <v/>
      </c>
      <c r="V784" s="34" t="str">
        <f aca="false">IF($E784="","",IF(OR($M784="",$T784=""),0,IF($M784&lt;=$T784,1,0)))</f>
        <v/>
      </c>
      <c r="W784" s="42" t="str">
        <f aca="false">IF(OR($M784="",$L784=""),"",MAX(0,$M784-$L784))</f>
        <v/>
      </c>
      <c r="X784" s="34" t="str">
        <f aca="false">IF($E784="","",IF(AND($O784&lt;&gt;"",$L784&lt;&gt;"",$O784&lt;&gt;$L784),1,0))</f>
        <v/>
      </c>
      <c r="Y784" s="34" t="str">
        <f aca="false">IF($E784="","",IF($N784="Cancelada",0,IF(OR($M784&lt;&gt;"",$N784="Concluída"),1,0)))</f>
        <v/>
      </c>
    </row>
    <row r="785" customFormat="false" ht="15" hidden="false" customHeight="true" outlineLevel="0" collapsed="false">
      <c r="A785" s="34" t="str">
        <f aca="false">IF($E785="","",COUNTA($E$5:$E785))</f>
        <v/>
      </c>
      <c r="B785" s="35"/>
      <c r="C785" s="35"/>
      <c r="D785" s="35"/>
      <c r="E785" s="35"/>
      <c r="F785" s="36"/>
      <c r="G785" s="37"/>
      <c r="H785" s="37"/>
      <c r="I785" s="37"/>
      <c r="J785" s="38"/>
      <c r="K785" s="39"/>
      <c r="L785" s="40" t="str">
        <f aca="false">IF(OR($J785="",$K785=""),"",$J785+MATCH($K785,Listas!$F$5:$F$11,0)-1)</f>
        <v/>
      </c>
      <c r="M785" s="41"/>
      <c r="N785" s="36"/>
      <c r="O785" s="41"/>
      <c r="P785" s="35"/>
      <c r="Q785" s="35"/>
      <c r="R785" s="42" t="str">
        <f aca="true">IF($E785="","",IF($N785="Cancelada","Cancelada",IF(OR($M785&lt;&gt;"",$N785="Concluída"),IF(OR($L785="",$M785="",$M785&lt;=$L785),"Concluída","Concluída com atraso"),IF($L785="","Na carteira",IF($L785&lt;TODAY(),"VENCIDA",IF($N785="Em execução","Em execução",IF($L785=TODAY(),"Hoje","Programada")))))))</f>
        <v/>
      </c>
      <c r="S785" s="34" t="str">
        <f aca="false">IF($E785="","",IF(ISNUMBER(SEARCH("(externo)",$G785&amp;$H785&amp;$I785)),"Terceirizada","Interna"))</f>
        <v/>
      </c>
      <c r="T785" s="40" t="str">
        <f aca="false">IF($L785="","",IF($O785="",$L785,$O785))</f>
        <v/>
      </c>
      <c r="U785" s="34" t="str">
        <f aca="false">IF($E785="","",IF(OR($M785="",$L785=""),0,IF($M785&lt;=$L785,1,0)))</f>
        <v/>
      </c>
      <c r="V785" s="34" t="str">
        <f aca="false">IF($E785="","",IF(OR($M785="",$T785=""),0,IF($M785&lt;=$T785,1,0)))</f>
        <v/>
      </c>
      <c r="W785" s="42" t="str">
        <f aca="false">IF(OR($M785="",$L785=""),"",MAX(0,$M785-$L785))</f>
        <v/>
      </c>
      <c r="X785" s="34" t="str">
        <f aca="false">IF($E785="","",IF(AND($O785&lt;&gt;"",$L785&lt;&gt;"",$O785&lt;&gt;$L785),1,0))</f>
        <v/>
      </c>
      <c r="Y785" s="34" t="str">
        <f aca="false">IF($E785="","",IF($N785="Cancelada",0,IF(OR($M785&lt;&gt;"",$N785="Concluída"),1,0)))</f>
        <v/>
      </c>
    </row>
    <row r="786" customFormat="false" ht="15" hidden="false" customHeight="true" outlineLevel="0" collapsed="false">
      <c r="A786" s="34" t="str">
        <f aca="false">IF($E786="","",COUNTA($E$5:$E786))</f>
        <v/>
      </c>
      <c r="B786" s="35"/>
      <c r="C786" s="35"/>
      <c r="D786" s="35"/>
      <c r="E786" s="35"/>
      <c r="F786" s="36"/>
      <c r="G786" s="37"/>
      <c r="H786" s="37"/>
      <c r="I786" s="37"/>
      <c r="J786" s="38"/>
      <c r="K786" s="39"/>
      <c r="L786" s="40" t="str">
        <f aca="false">IF(OR($J786="",$K786=""),"",$J786+MATCH($K786,Listas!$F$5:$F$11,0)-1)</f>
        <v/>
      </c>
      <c r="M786" s="41"/>
      <c r="N786" s="36"/>
      <c r="O786" s="41"/>
      <c r="P786" s="35"/>
      <c r="Q786" s="35"/>
      <c r="R786" s="42" t="str">
        <f aca="true">IF($E786="","",IF($N786="Cancelada","Cancelada",IF(OR($M786&lt;&gt;"",$N786="Concluída"),IF(OR($L786="",$M786="",$M786&lt;=$L786),"Concluída","Concluída com atraso"),IF($L786="","Na carteira",IF($L786&lt;TODAY(),"VENCIDA",IF($N786="Em execução","Em execução",IF($L786=TODAY(),"Hoje","Programada")))))))</f>
        <v/>
      </c>
      <c r="S786" s="34" t="str">
        <f aca="false">IF($E786="","",IF(ISNUMBER(SEARCH("(externo)",$G786&amp;$H786&amp;$I786)),"Terceirizada","Interna"))</f>
        <v/>
      </c>
      <c r="T786" s="40" t="str">
        <f aca="false">IF($L786="","",IF($O786="",$L786,$O786))</f>
        <v/>
      </c>
      <c r="U786" s="34" t="str">
        <f aca="false">IF($E786="","",IF(OR($M786="",$L786=""),0,IF($M786&lt;=$L786,1,0)))</f>
        <v/>
      </c>
      <c r="V786" s="34" t="str">
        <f aca="false">IF($E786="","",IF(OR($M786="",$T786=""),0,IF($M786&lt;=$T786,1,0)))</f>
        <v/>
      </c>
      <c r="W786" s="42" t="str">
        <f aca="false">IF(OR($M786="",$L786=""),"",MAX(0,$M786-$L786))</f>
        <v/>
      </c>
      <c r="X786" s="34" t="str">
        <f aca="false">IF($E786="","",IF(AND($O786&lt;&gt;"",$L786&lt;&gt;"",$O786&lt;&gt;$L786),1,0))</f>
        <v/>
      </c>
      <c r="Y786" s="34" t="str">
        <f aca="false">IF($E786="","",IF($N786="Cancelada",0,IF(OR($M786&lt;&gt;"",$N786="Concluída"),1,0)))</f>
        <v/>
      </c>
    </row>
    <row r="787" customFormat="false" ht="15" hidden="false" customHeight="true" outlineLevel="0" collapsed="false">
      <c r="A787" s="34" t="str">
        <f aca="false">IF($E787="","",COUNTA($E$5:$E787))</f>
        <v/>
      </c>
      <c r="B787" s="35"/>
      <c r="C787" s="35"/>
      <c r="D787" s="35"/>
      <c r="E787" s="35"/>
      <c r="F787" s="36"/>
      <c r="G787" s="37"/>
      <c r="H787" s="37"/>
      <c r="I787" s="37"/>
      <c r="J787" s="38"/>
      <c r="K787" s="39"/>
      <c r="L787" s="40" t="str">
        <f aca="false">IF(OR($J787="",$K787=""),"",$J787+MATCH($K787,Listas!$F$5:$F$11,0)-1)</f>
        <v/>
      </c>
      <c r="M787" s="41"/>
      <c r="N787" s="36"/>
      <c r="O787" s="41"/>
      <c r="P787" s="35"/>
      <c r="Q787" s="35"/>
      <c r="R787" s="42" t="str">
        <f aca="true">IF($E787="","",IF($N787="Cancelada","Cancelada",IF(OR($M787&lt;&gt;"",$N787="Concluída"),IF(OR($L787="",$M787="",$M787&lt;=$L787),"Concluída","Concluída com atraso"),IF($L787="","Na carteira",IF($L787&lt;TODAY(),"VENCIDA",IF($N787="Em execução","Em execução",IF($L787=TODAY(),"Hoje","Programada")))))))</f>
        <v/>
      </c>
      <c r="S787" s="34" t="str">
        <f aca="false">IF($E787="","",IF(ISNUMBER(SEARCH("(externo)",$G787&amp;$H787&amp;$I787)),"Terceirizada","Interna"))</f>
        <v/>
      </c>
      <c r="T787" s="40" t="str">
        <f aca="false">IF($L787="","",IF($O787="",$L787,$O787))</f>
        <v/>
      </c>
      <c r="U787" s="34" t="str">
        <f aca="false">IF($E787="","",IF(OR($M787="",$L787=""),0,IF($M787&lt;=$L787,1,0)))</f>
        <v/>
      </c>
      <c r="V787" s="34" t="str">
        <f aca="false">IF($E787="","",IF(OR($M787="",$T787=""),0,IF($M787&lt;=$T787,1,0)))</f>
        <v/>
      </c>
      <c r="W787" s="42" t="str">
        <f aca="false">IF(OR($M787="",$L787=""),"",MAX(0,$M787-$L787))</f>
        <v/>
      </c>
      <c r="X787" s="34" t="str">
        <f aca="false">IF($E787="","",IF(AND($O787&lt;&gt;"",$L787&lt;&gt;"",$O787&lt;&gt;$L787),1,0))</f>
        <v/>
      </c>
      <c r="Y787" s="34" t="str">
        <f aca="false">IF($E787="","",IF($N787="Cancelada",0,IF(OR($M787&lt;&gt;"",$N787="Concluída"),1,0)))</f>
        <v/>
      </c>
    </row>
    <row r="788" customFormat="false" ht="15" hidden="false" customHeight="true" outlineLevel="0" collapsed="false">
      <c r="A788" s="34" t="str">
        <f aca="false">IF($E788="","",COUNTA($E$5:$E788))</f>
        <v/>
      </c>
      <c r="B788" s="35"/>
      <c r="C788" s="35"/>
      <c r="D788" s="35"/>
      <c r="E788" s="35"/>
      <c r="F788" s="36"/>
      <c r="G788" s="37"/>
      <c r="H788" s="37"/>
      <c r="I788" s="37"/>
      <c r="J788" s="38"/>
      <c r="K788" s="39"/>
      <c r="L788" s="40" t="str">
        <f aca="false">IF(OR($J788="",$K788=""),"",$J788+MATCH($K788,Listas!$F$5:$F$11,0)-1)</f>
        <v/>
      </c>
      <c r="M788" s="41"/>
      <c r="N788" s="36"/>
      <c r="O788" s="41"/>
      <c r="P788" s="35"/>
      <c r="Q788" s="35"/>
      <c r="R788" s="42" t="str">
        <f aca="true">IF($E788="","",IF($N788="Cancelada","Cancelada",IF(OR($M788&lt;&gt;"",$N788="Concluída"),IF(OR($L788="",$M788="",$M788&lt;=$L788),"Concluída","Concluída com atraso"),IF($L788="","Na carteira",IF($L788&lt;TODAY(),"VENCIDA",IF($N788="Em execução","Em execução",IF($L788=TODAY(),"Hoje","Programada")))))))</f>
        <v/>
      </c>
      <c r="S788" s="34" t="str">
        <f aca="false">IF($E788="","",IF(ISNUMBER(SEARCH("(externo)",$G788&amp;$H788&amp;$I788)),"Terceirizada","Interna"))</f>
        <v/>
      </c>
      <c r="T788" s="40" t="str">
        <f aca="false">IF($L788="","",IF($O788="",$L788,$O788))</f>
        <v/>
      </c>
      <c r="U788" s="34" t="str">
        <f aca="false">IF($E788="","",IF(OR($M788="",$L788=""),0,IF($M788&lt;=$L788,1,0)))</f>
        <v/>
      </c>
      <c r="V788" s="34" t="str">
        <f aca="false">IF($E788="","",IF(OR($M788="",$T788=""),0,IF($M788&lt;=$T788,1,0)))</f>
        <v/>
      </c>
      <c r="W788" s="42" t="str">
        <f aca="false">IF(OR($M788="",$L788=""),"",MAX(0,$M788-$L788))</f>
        <v/>
      </c>
      <c r="X788" s="34" t="str">
        <f aca="false">IF($E788="","",IF(AND($O788&lt;&gt;"",$L788&lt;&gt;"",$O788&lt;&gt;$L788),1,0))</f>
        <v/>
      </c>
      <c r="Y788" s="34" t="str">
        <f aca="false">IF($E788="","",IF($N788="Cancelada",0,IF(OR($M788&lt;&gt;"",$N788="Concluída"),1,0)))</f>
        <v/>
      </c>
    </row>
    <row r="789" customFormat="false" ht="15" hidden="false" customHeight="true" outlineLevel="0" collapsed="false">
      <c r="A789" s="34" t="str">
        <f aca="false">IF($E789="","",COUNTA($E$5:$E789))</f>
        <v/>
      </c>
      <c r="B789" s="35"/>
      <c r="C789" s="35"/>
      <c r="D789" s="35"/>
      <c r="E789" s="35"/>
      <c r="F789" s="36"/>
      <c r="G789" s="37"/>
      <c r="H789" s="37"/>
      <c r="I789" s="37"/>
      <c r="J789" s="38"/>
      <c r="K789" s="39"/>
      <c r="L789" s="40" t="str">
        <f aca="false">IF(OR($J789="",$K789=""),"",$J789+MATCH($K789,Listas!$F$5:$F$11,0)-1)</f>
        <v/>
      </c>
      <c r="M789" s="41"/>
      <c r="N789" s="36"/>
      <c r="O789" s="41"/>
      <c r="P789" s="35"/>
      <c r="Q789" s="35"/>
      <c r="R789" s="42" t="str">
        <f aca="true">IF($E789="","",IF($N789="Cancelada","Cancelada",IF(OR($M789&lt;&gt;"",$N789="Concluída"),IF(OR($L789="",$M789="",$M789&lt;=$L789),"Concluída","Concluída com atraso"),IF($L789="","Na carteira",IF($L789&lt;TODAY(),"VENCIDA",IF($N789="Em execução","Em execução",IF($L789=TODAY(),"Hoje","Programada")))))))</f>
        <v/>
      </c>
      <c r="S789" s="34" t="str">
        <f aca="false">IF($E789="","",IF(ISNUMBER(SEARCH("(externo)",$G789&amp;$H789&amp;$I789)),"Terceirizada","Interna"))</f>
        <v/>
      </c>
      <c r="T789" s="40" t="str">
        <f aca="false">IF($L789="","",IF($O789="",$L789,$O789))</f>
        <v/>
      </c>
      <c r="U789" s="34" t="str">
        <f aca="false">IF($E789="","",IF(OR($M789="",$L789=""),0,IF($M789&lt;=$L789,1,0)))</f>
        <v/>
      </c>
      <c r="V789" s="34" t="str">
        <f aca="false">IF($E789="","",IF(OR($M789="",$T789=""),0,IF($M789&lt;=$T789,1,0)))</f>
        <v/>
      </c>
      <c r="W789" s="42" t="str">
        <f aca="false">IF(OR($M789="",$L789=""),"",MAX(0,$M789-$L789))</f>
        <v/>
      </c>
      <c r="X789" s="34" t="str">
        <f aca="false">IF($E789="","",IF(AND($O789&lt;&gt;"",$L789&lt;&gt;"",$O789&lt;&gt;$L789),1,0))</f>
        <v/>
      </c>
      <c r="Y789" s="34" t="str">
        <f aca="false">IF($E789="","",IF($N789="Cancelada",0,IF(OR($M789&lt;&gt;"",$N789="Concluída"),1,0)))</f>
        <v/>
      </c>
    </row>
    <row r="790" customFormat="false" ht="15" hidden="false" customHeight="true" outlineLevel="0" collapsed="false">
      <c r="A790" s="34" t="str">
        <f aca="false">IF($E790="","",COUNTA($E$5:$E790))</f>
        <v/>
      </c>
      <c r="B790" s="35"/>
      <c r="C790" s="35"/>
      <c r="D790" s="35"/>
      <c r="E790" s="35"/>
      <c r="F790" s="36"/>
      <c r="G790" s="37"/>
      <c r="H790" s="37"/>
      <c r="I790" s="37"/>
      <c r="J790" s="38"/>
      <c r="K790" s="39"/>
      <c r="L790" s="40" t="str">
        <f aca="false">IF(OR($J790="",$K790=""),"",$J790+MATCH($K790,Listas!$F$5:$F$11,0)-1)</f>
        <v/>
      </c>
      <c r="M790" s="41"/>
      <c r="N790" s="36"/>
      <c r="O790" s="41"/>
      <c r="P790" s="35"/>
      <c r="Q790" s="35"/>
      <c r="R790" s="42" t="str">
        <f aca="true">IF($E790="","",IF($N790="Cancelada","Cancelada",IF(OR($M790&lt;&gt;"",$N790="Concluída"),IF(OR($L790="",$M790="",$M790&lt;=$L790),"Concluída","Concluída com atraso"),IF($L790="","Na carteira",IF($L790&lt;TODAY(),"VENCIDA",IF($N790="Em execução","Em execução",IF($L790=TODAY(),"Hoje","Programada")))))))</f>
        <v/>
      </c>
      <c r="S790" s="34" t="str">
        <f aca="false">IF($E790="","",IF(ISNUMBER(SEARCH("(externo)",$G790&amp;$H790&amp;$I790)),"Terceirizada","Interna"))</f>
        <v/>
      </c>
      <c r="T790" s="40" t="str">
        <f aca="false">IF($L790="","",IF($O790="",$L790,$O790))</f>
        <v/>
      </c>
      <c r="U790" s="34" t="str">
        <f aca="false">IF($E790="","",IF(OR($M790="",$L790=""),0,IF($M790&lt;=$L790,1,0)))</f>
        <v/>
      </c>
      <c r="V790" s="34" t="str">
        <f aca="false">IF($E790="","",IF(OR($M790="",$T790=""),0,IF($M790&lt;=$T790,1,0)))</f>
        <v/>
      </c>
      <c r="W790" s="42" t="str">
        <f aca="false">IF(OR($M790="",$L790=""),"",MAX(0,$M790-$L790))</f>
        <v/>
      </c>
      <c r="X790" s="34" t="str">
        <f aca="false">IF($E790="","",IF(AND($O790&lt;&gt;"",$L790&lt;&gt;"",$O790&lt;&gt;$L790),1,0))</f>
        <v/>
      </c>
      <c r="Y790" s="34" t="str">
        <f aca="false">IF($E790="","",IF($N790="Cancelada",0,IF(OR($M790&lt;&gt;"",$N790="Concluída"),1,0)))</f>
        <v/>
      </c>
    </row>
    <row r="791" customFormat="false" ht="15" hidden="false" customHeight="true" outlineLevel="0" collapsed="false">
      <c r="A791" s="34" t="str">
        <f aca="false">IF($E791="","",COUNTA($E$5:$E791))</f>
        <v/>
      </c>
      <c r="B791" s="35"/>
      <c r="C791" s="35"/>
      <c r="D791" s="35"/>
      <c r="E791" s="35"/>
      <c r="F791" s="36"/>
      <c r="G791" s="37"/>
      <c r="H791" s="37"/>
      <c r="I791" s="37"/>
      <c r="J791" s="38"/>
      <c r="K791" s="39"/>
      <c r="L791" s="40" t="str">
        <f aca="false">IF(OR($J791="",$K791=""),"",$J791+MATCH($K791,Listas!$F$5:$F$11,0)-1)</f>
        <v/>
      </c>
      <c r="M791" s="41"/>
      <c r="N791" s="36"/>
      <c r="O791" s="41"/>
      <c r="P791" s="35"/>
      <c r="Q791" s="35"/>
      <c r="R791" s="42" t="str">
        <f aca="true">IF($E791="","",IF($N791="Cancelada","Cancelada",IF(OR($M791&lt;&gt;"",$N791="Concluída"),IF(OR($L791="",$M791="",$M791&lt;=$L791),"Concluída","Concluída com atraso"),IF($L791="","Na carteira",IF($L791&lt;TODAY(),"VENCIDA",IF($N791="Em execução","Em execução",IF($L791=TODAY(),"Hoje","Programada")))))))</f>
        <v/>
      </c>
      <c r="S791" s="34" t="str">
        <f aca="false">IF($E791="","",IF(ISNUMBER(SEARCH("(externo)",$G791&amp;$H791&amp;$I791)),"Terceirizada","Interna"))</f>
        <v/>
      </c>
      <c r="T791" s="40" t="str">
        <f aca="false">IF($L791="","",IF($O791="",$L791,$O791))</f>
        <v/>
      </c>
      <c r="U791" s="34" t="str">
        <f aca="false">IF($E791="","",IF(OR($M791="",$L791=""),0,IF($M791&lt;=$L791,1,0)))</f>
        <v/>
      </c>
      <c r="V791" s="34" t="str">
        <f aca="false">IF($E791="","",IF(OR($M791="",$T791=""),0,IF($M791&lt;=$T791,1,0)))</f>
        <v/>
      </c>
      <c r="W791" s="42" t="str">
        <f aca="false">IF(OR($M791="",$L791=""),"",MAX(0,$M791-$L791))</f>
        <v/>
      </c>
      <c r="X791" s="34" t="str">
        <f aca="false">IF($E791="","",IF(AND($O791&lt;&gt;"",$L791&lt;&gt;"",$O791&lt;&gt;$L791),1,0))</f>
        <v/>
      </c>
      <c r="Y791" s="34" t="str">
        <f aca="false">IF($E791="","",IF($N791="Cancelada",0,IF(OR($M791&lt;&gt;"",$N791="Concluída"),1,0)))</f>
        <v/>
      </c>
    </row>
    <row r="792" customFormat="false" ht="15" hidden="false" customHeight="true" outlineLevel="0" collapsed="false">
      <c r="A792" s="34" t="str">
        <f aca="false">IF($E792="","",COUNTA($E$5:$E792))</f>
        <v/>
      </c>
      <c r="B792" s="35"/>
      <c r="C792" s="35"/>
      <c r="D792" s="35"/>
      <c r="E792" s="35"/>
      <c r="F792" s="36"/>
      <c r="G792" s="37"/>
      <c r="H792" s="37"/>
      <c r="I792" s="37"/>
      <c r="J792" s="38"/>
      <c r="K792" s="39"/>
      <c r="L792" s="40" t="str">
        <f aca="false">IF(OR($J792="",$K792=""),"",$J792+MATCH($K792,Listas!$F$5:$F$11,0)-1)</f>
        <v/>
      </c>
      <c r="M792" s="41"/>
      <c r="N792" s="36"/>
      <c r="O792" s="41"/>
      <c r="P792" s="35"/>
      <c r="Q792" s="35"/>
      <c r="R792" s="42" t="str">
        <f aca="true">IF($E792="","",IF($N792="Cancelada","Cancelada",IF(OR($M792&lt;&gt;"",$N792="Concluída"),IF(OR($L792="",$M792="",$M792&lt;=$L792),"Concluída","Concluída com atraso"),IF($L792="","Na carteira",IF($L792&lt;TODAY(),"VENCIDA",IF($N792="Em execução","Em execução",IF($L792=TODAY(),"Hoje","Programada")))))))</f>
        <v/>
      </c>
      <c r="S792" s="34" t="str">
        <f aca="false">IF($E792="","",IF(ISNUMBER(SEARCH("(externo)",$G792&amp;$H792&amp;$I792)),"Terceirizada","Interna"))</f>
        <v/>
      </c>
      <c r="T792" s="40" t="str">
        <f aca="false">IF($L792="","",IF($O792="",$L792,$O792))</f>
        <v/>
      </c>
      <c r="U792" s="34" t="str">
        <f aca="false">IF($E792="","",IF(OR($M792="",$L792=""),0,IF($M792&lt;=$L792,1,0)))</f>
        <v/>
      </c>
      <c r="V792" s="34" t="str">
        <f aca="false">IF($E792="","",IF(OR($M792="",$T792=""),0,IF($M792&lt;=$T792,1,0)))</f>
        <v/>
      </c>
      <c r="W792" s="42" t="str">
        <f aca="false">IF(OR($M792="",$L792=""),"",MAX(0,$M792-$L792))</f>
        <v/>
      </c>
      <c r="X792" s="34" t="str">
        <f aca="false">IF($E792="","",IF(AND($O792&lt;&gt;"",$L792&lt;&gt;"",$O792&lt;&gt;$L792),1,0))</f>
        <v/>
      </c>
      <c r="Y792" s="34" t="str">
        <f aca="false">IF($E792="","",IF($N792="Cancelada",0,IF(OR($M792&lt;&gt;"",$N792="Concluída"),1,0)))</f>
        <v/>
      </c>
    </row>
    <row r="793" customFormat="false" ht="15" hidden="false" customHeight="true" outlineLevel="0" collapsed="false">
      <c r="A793" s="34" t="str">
        <f aca="false">IF($E793="","",COUNTA($E$5:$E793))</f>
        <v/>
      </c>
      <c r="B793" s="35"/>
      <c r="C793" s="35"/>
      <c r="D793" s="35"/>
      <c r="E793" s="35"/>
      <c r="F793" s="36"/>
      <c r="G793" s="37"/>
      <c r="H793" s="37"/>
      <c r="I793" s="37"/>
      <c r="J793" s="38"/>
      <c r="K793" s="39"/>
      <c r="L793" s="40" t="str">
        <f aca="false">IF(OR($J793="",$K793=""),"",$J793+MATCH($K793,Listas!$F$5:$F$11,0)-1)</f>
        <v/>
      </c>
      <c r="M793" s="41"/>
      <c r="N793" s="36"/>
      <c r="O793" s="41"/>
      <c r="P793" s="35"/>
      <c r="Q793" s="35"/>
      <c r="R793" s="42" t="str">
        <f aca="true">IF($E793="","",IF($N793="Cancelada","Cancelada",IF(OR($M793&lt;&gt;"",$N793="Concluída"),IF(OR($L793="",$M793="",$M793&lt;=$L793),"Concluída","Concluída com atraso"),IF($L793="","Na carteira",IF($L793&lt;TODAY(),"VENCIDA",IF($N793="Em execução","Em execução",IF($L793=TODAY(),"Hoje","Programada")))))))</f>
        <v/>
      </c>
      <c r="S793" s="34" t="str">
        <f aca="false">IF($E793="","",IF(ISNUMBER(SEARCH("(externo)",$G793&amp;$H793&amp;$I793)),"Terceirizada","Interna"))</f>
        <v/>
      </c>
      <c r="T793" s="40" t="str">
        <f aca="false">IF($L793="","",IF($O793="",$L793,$O793))</f>
        <v/>
      </c>
      <c r="U793" s="34" t="str">
        <f aca="false">IF($E793="","",IF(OR($M793="",$L793=""),0,IF($M793&lt;=$L793,1,0)))</f>
        <v/>
      </c>
      <c r="V793" s="34" t="str">
        <f aca="false">IF($E793="","",IF(OR($M793="",$T793=""),0,IF($M793&lt;=$T793,1,0)))</f>
        <v/>
      </c>
      <c r="W793" s="42" t="str">
        <f aca="false">IF(OR($M793="",$L793=""),"",MAX(0,$M793-$L793))</f>
        <v/>
      </c>
      <c r="X793" s="34" t="str">
        <f aca="false">IF($E793="","",IF(AND($O793&lt;&gt;"",$L793&lt;&gt;"",$O793&lt;&gt;$L793),1,0))</f>
        <v/>
      </c>
      <c r="Y793" s="34" t="str">
        <f aca="false">IF($E793="","",IF($N793="Cancelada",0,IF(OR($M793&lt;&gt;"",$N793="Concluída"),1,0)))</f>
        <v/>
      </c>
    </row>
    <row r="794" customFormat="false" ht="15" hidden="false" customHeight="true" outlineLevel="0" collapsed="false">
      <c r="A794" s="34" t="str">
        <f aca="false">IF($E794="","",COUNTA($E$5:$E794))</f>
        <v/>
      </c>
      <c r="B794" s="35"/>
      <c r="C794" s="35"/>
      <c r="D794" s="35"/>
      <c r="E794" s="35"/>
      <c r="F794" s="36"/>
      <c r="G794" s="37"/>
      <c r="H794" s="37"/>
      <c r="I794" s="37"/>
      <c r="J794" s="38"/>
      <c r="K794" s="39"/>
      <c r="L794" s="40" t="str">
        <f aca="false">IF(OR($J794="",$K794=""),"",$J794+MATCH($K794,Listas!$F$5:$F$11,0)-1)</f>
        <v/>
      </c>
      <c r="M794" s="41"/>
      <c r="N794" s="36"/>
      <c r="O794" s="41"/>
      <c r="P794" s="35"/>
      <c r="Q794" s="35"/>
      <c r="R794" s="42" t="str">
        <f aca="true">IF($E794="","",IF($N794="Cancelada","Cancelada",IF(OR($M794&lt;&gt;"",$N794="Concluída"),IF(OR($L794="",$M794="",$M794&lt;=$L794),"Concluída","Concluída com atraso"),IF($L794="","Na carteira",IF($L794&lt;TODAY(),"VENCIDA",IF($N794="Em execução","Em execução",IF($L794=TODAY(),"Hoje","Programada")))))))</f>
        <v/>
      </c>
      <c r="S794" s="34" t="str">
        <f aca="false">IF($E794="","",IF(ISNUMBER(SEARCH("(externo)",$G794&amp;$H794&amp;$I794)),"Terceirizada","Interna"))</f>
        <v/>
      </c>
      <c r="T794" s="40" t="str">
        <f aca="false">IF($L794="","",IF($O794="",$L794,$O794))</f>
        <v/>
      </c>
      <c r="U794" s="34" t="str">
        <f aca="false">IF($E794="","",IF(OR($M794="",$L794=""),0,IF($M794&lt;=$L794,1,0)))</f>
        <v/>
      </c>
      <c r="V794" s="34" t="str">
        <f aca="false">IF($E794="","",IF(OR($M794="",$T794=""),0,IF($M794&lt;=$T794,1,0)))</f>
        <v/>
      </c>
      <c r="W794" s="42" t="str">
        <f aca="false">IF(OR($M794="",$L794=""),"",MAX(0,$M794-$L794))</f>
        <v/>
      </c>
      <c r="X794" s="34" t="str">
        <f aca="false">IF($E794="","",IF(AND($O794&lt;&gt;"",$L794&lt;&gt;"",$O794&lt;&gt;$L794),1,0))</f>
        <v/>
      </c>
      <c r="Y794" s="34" t="str">
        <f aca="false">IF($E794="","",IF($N794="Cancelada",0,IF(OR($M794&lt;&gt;"",$N794="Concluída"),1,0)))</f>
        <v/>
      </c>
    </row>
    <row r="795" customFormat="false" ht="15" hidden="false" customHeight="true" outlineLevel="0" collapsed="false">
      <c r="A795" s="34" t="str">
        <f aca="false">IF($E795="","",COUNTA($E$5:$E795))</f>
        <v/>
      </c>
      <c r="B795" s="35"/>
      <c r="C795" s="35"/>
      <c r="D795" s="35"/>
      <c r="E795" s="35"/>
      <c r="F795" s="36"/>
      <c r="G795" s="37"/>
      <c r="H795" s="37"/>
      <c r="I795" s="37"/>
      <c r="J795" s="38"/>
      <c r="K795" s="39"/>
      <c r="L795" s="40" t="str">
        <f aca="false">IF(OR($J795="",$K795=""),"",$J795+MATCH($K795,Listas!$F$5:$F$11,0)-1)</f>
        <v/>
      </c>
      <c r="M795" s="41"/>
      <c r="N795" s="36"/>
      <c r="O795" s="41"/>
      <c r="P795" s="35"/>
      <c r="Q795" s="35"/>
      <c r="R795" s="42" t="str">
        <f aca="true">IF($E795="","",IF($N795="Cancelada","Cancelada",IF(OR($M795&lt;&gt;"",$N795="Concluída"),IF(OR($L795="",$M795="",$M795&lt;=$L795),"Concluída","Concluída com atraso"),IF($L795="","Na carteira",IF($L795&lt;TODAY(),"VENCIDA",IF($N795="Em execução","Em execução",IF($L795=TODAY(),"Hoje","Programada")))))))</f>
        <v/>
      </c>
      <c r="S795" s="34" t="str">
        <f aca="false">IF($E795="","",IF(ISNUMBER(SEARCH("(externo)",$G795&amp;$H795&amp;$I795)),"Terceirizada","Interna"))</f>
        <v/>
      </c>
      <c r="T795" s="40" t="str">
        <f aca="false">IF($L795="","",IF($O795="",$L795,$O795))</f>
        <v/>
      </c>
      <c r="U795" s="34" t="str">
        <f aca="false">IF($E795="","",IF(OR($M795="",$L795=""),0,IF($M795&lt;=$L795,1,0)))</f>
        <v/>
      </c>
      <c r="V795" s="34" t="str">
        <f aca="false">IF($E795="","",IF(OR($M795="",$T795=""),0,IF($M795&lt;=$T795,1,0)))</f>
        <v/>
      </c>
      <c r="W795" s="42" t="str">
        <f aca="false">IF(OR($M795="",$L795=""),"",MAX(0,$M795-$L795))</f>
        <v/>
      </c>
      <c r="X795" s="34" t="str">
        <f aca="false">IF($E795="","",IF(AND($O795&lt;&gt;"",$L795&lt;&gt;"",$O795&lt;&gt;$L795),1,0))</f>
        <v/>
      </c>
      <c r="Y795" s="34" t="str">
        <f aca="false">IF($E795="","",IF($N795="Cancelada",0,IF(OR($M795&lt;&gt;"",$N795="Concluída"),1,0)))</f>
        <v/>
      </c>
    </row>
    <row r="796" customFormat="false" ht="15" hidden="false" customHeight="true" outlineLevel="0" collapsed="false">
      <c r="A796" s="34" t="str">
        <f aca="false">IF($E796="","",COUNTA($E$5:$E796))</f>
        <v/>
      </c>
      <c r="B796" s="35"/>
      <c r="C796" s="35"/>
      <c r="D796" s="35"/>
      <c r="E796" s="35"/>
      <c r="F796" s="36"/>
      <c r="G796" s="37"/>
      <c r="H796" s="37"/>
      <c r="I796" s="37"/>
      <c r="J796" s="38"/>
      <c r="K796" s="39"/>
      <c r="L796" s="40" t="str">
        <f aca="false">IF(OR($J796="",$K796=""),"",$J796+MATCH($K796,Listas!$F$5:$F$11,0)-1)</f>
        <v/>
      </c>
      <c r="M796" s="41"/>
      <c r="N796" s="36"/>
      <c r="O796" s="41"/>
      <c r="P796" s="35"/>
      <c r="Q796" s="35"/>
      <c r="R796" s="42" t="str">
        <f aca="true">IF($E796="","",IF($N796="Cancelada","Cancelada",IF(OR($M796&lt;&gt;"",$N796="Concluída"),IF(OR($L796="",$M796="",$M796&lt;=$L796),"Concluída","Concluída com atraso"),IF($L796="","Na carteira",IF($L796&lt;TODAY(),"VENCIDA",IF($N796="Em execução","Em execução",IF($L796=TODAY(),"Hoje","Programada")))))))</f>
        <v/>
      </c>
      <c r="S796" s="34" t="str">
        <f aca="false">IF($E796="","",IF(ISNUMBER(SEARCH("(externo)",$G796&amp;$H796&amp;$I796)),"Terceirizada","Interna"))</f>
        <v/>
      </c>
      <c r="T796" s="40" t="str">
        <f aca="false">IF($L796="","",IF($O796="",$L796,$O796))</f>
        <v/>
      </c>
      <c r="U796" s="34" t="str">
        <f aca="false">IF($E796="","",IF(OR($M796="",$L796=""),0,IF($M796&lt;=$L796,1,0)))</f>
        <v/>
      </c>
      <c r="V796" s="34" t="str">
        <f aca="false">IF($E796="","",IF(OR($M796="",$T796=""),0,IF($M796&lt;=$T796,1,0)))</f>
        <v/>
      </c>
      <c r="W796" s="42" t="str">
        <f aca="false">IF(OR($M796="",$L796=""),"",MAX(0,$M796-$L796))</f>
        <v/>
      </c>
      <c r="X796" s="34" t="str">
        <f aca="false">IF($E796="","",IF(AND($O796&lt;&gt;"",$L796&lt;&gt;"",$O796&lt;&gt;$L796),1,0))</f>
        <v/>
      </c>
      <c r="Y796" s="34" t="str">
        <f aca="false">IF($E796="","",IF($N796="Cancelada",0,IF(OR($M796&lt;&gt;"",$N796="Concluída"),1,0)))</f>
        <v/>
      </c>
    </row>
    <row r="797" customFormat="false" ht="15" hidden="false" customHeight="true" outlineLevel="0" collapsed="false">
      <c r="A797" s="34" t="str">
        <f aca="false">IF($E797="","",COUNTA($E$5:$E797))</f>
        <v/>
      </c>
      <c r="B797" s="35"/>
      <c r="C797" s="35"/>
      <c r="D797" s="35"/>
      <c r="E797" s="35"/>
      <c r="F797" s="36"/>
      <c r="G797" s="37"/>
      <c r="H797" s="37"/>
      <c r="I797" s="37"/>
      <c r="J797" s="38"/>
      <c r="K797" s="39"/>
      <c r="L797" s="40" t="str">
        <f aca="false">IF(OR($J797="",$K797=""),"",$J797+MATCH($K797,Listas!$F$5:$F$11,0)-1)</f>
        <v/>
      </c>
      <c r="M797" s="41"/>
      <c r="N797" s="36"/>
      <c r="O797" s="41"/>
      <c r="P797" s="35"/>
      <c r="Q797" s="35"/>
      <c r="R797" s="42" t="str">
        <f aca="true">IF($E797="","",IF($N797="Cancelada","Cancelada",IF(OR($M797&lt;&gt;"",$N797="Concluída"),IF(OR($L797="",$M797="",$M797&lt;=$L797),"Concluída","Concluída com atraso"),IF($L797="","Na carteira",IF($L797&lt;TODAY(),"VENCIDA",IF($N797="Em execução","Em execução",IF($L797=TODAY(),"Hoje","Programada")))))))</f>
        <v/>
      </c>
      <c r="S797" s="34" t="str">
        <f aca="false">IF($E797="","",IF(ISNUMBER(SEARCH("(externo)",$G797&amp;$H797&amp;$I797)),"Terceirizada","Interna"))</f>
        <v/>
      </c>
      <c r="T797" s="40" t="str">
        <f aca="false">IF($L797="","",IF($O797="",$L797,$O797))</f>
        <v/>
      </c>
      <c r="U797" s="34" t="str">
        <f aca="false">IF($E797="","",IF(OR($M797="",$L797=""),0,IF($M797&lt;=$L797,1,0)))</f>
        <v/>
      </c>
      <c r="V797" s="34" t="str">
        <f aca="false">IF($E797="","",IF(OR($M797="",$T797=""),0,IF($M797&lt;=$T797,1,0)))</f>
        <v/>
      </c>
      <c r="W797" s="42" t="str">
        <f aca="false">IF(OR($M797="",$L797=""),"",MAX(0,$M797-$L797))</f>
        <v/>
      </c>
      <c r="X797" s="34" t="str">
        <f aca="false">IF($E797="","",IF(AND($O797&lt;&gt;"",$L797&lt;&gt;"",$O797&lt;&gt;$L797),1,0))</f>
        <v/>
      </c>
      <c r="Y797" s="34" t="str">
        <f aca="false">IF($E797="","",IF($N797="Cancelada",0,IF(OR($M797&lt;&gt;"",$N797="Concluída"),1,0)))</f>
        <v/>
      </c>
    </row>
    <row r="798" customFormat="false" ht="15" hidden="false" customHeight="true" outlineLevel="0" collapsed="false">
      <c r="A798" s="34" t="str">
        <f aca="false">IF($E798="","",COUNTA($E$5:$E798))</f>
        <v/>
      </c>
      <c r="B798" s="35"/>
      <c r="C798" s="35"/>
      <c r="D798" s="35"/>
      <c r="E798" s="35"/>
      <c r="F798" s="36"/>
      <c r="G798" s="37"/>
      <c r="H798" s="37"/>
      <c r="I798" s="37"/>
      <c r="J798" s="38"/>
      <c r="K798" s="39"/>
      <c r="L798" s="40" t="str">
        <f aca="false">IF(OR($J798="",$K798=""),"",$J798+MATCH($K798,Listas!$F$5:$F$11,0)-1)</f>
        <v/>
      </c>
      <c r="M798" s="41"/>
      <c r="N798" s="36"/>
      <c r="O798" s="41"/>
      <c r="P798" s="35"/>
      <c r="Q798" s="35"/>
      <c r="R798" s="42" t="str">
        <f aca="true">IF($E798="","",IF($N798="Cancelada","Cancelada",IF(OR($M798&lt;&gt;"",$N798="Concluída"),IF(OR($L798="",$M798="",$M798&lt;=$L798),"Concluída","Concluída com atraso"),IF($L798="","Na carteira",IF($L798&lt;TODAY(),"VENCIDA",IF($N798="Em execução","Em execução",IF($L798=TODAY(),"Hoje","Programada")))))))</f>
        <v/>
      </c>
      <c r="S798" s="34" t="str">
        <f aca="false">IF($E798="","",IF(ISNUMBER(SEARCH("(externo)",$G798&amp;$H798&amp;$I798)),"Terceirizada","Interna"))</f>
        <v/>
      </c>
      <c r="T798" s="40" t="str">
        <f aca="false">IF($L798="","",IF($O798="",$L798,$O798))</f>
        <v/>
      </c>
      <c r="U798" s="34" t="str">
        <f aca="false">IF($E798="","",IF(OR($M798="",$L798=""),0,IF($M798&lt;=$L798,1,0)))</f>
        <v/>
      </c>
      <c r="V798" s="34" t="str">
        <f aca="false">IF($E798="","",IF(OR($M798="",$T798=""),0,IF($M798&lt;=$T798,1,0)))</f>
        <v/>
      </c>
      <c r="W798" s="42" t="str">
        <f aca="false">IF(OR($M798="",$L798=""),"",MAX(0,$M798-$L798))</f>
        <v/>
      </c>
      <c r="X798" s="34" t="str">
        <f aca="false">IF($E798="","",IF(AND($O798&lt;&gt;"",$L798&lt;&gt;"",$O798&lt;&gt;$L798),1,0))</f>
        <v/>
      </c>
      <c r="Y798" s="34" t="str">
        <f aca="false">IF($E798="","",IF($N798="Cancelada",0,IF(OR($M798&lt;&gt;"",$N798="Concluída"),1,0)))</f>
        <v/>
      </c>
    </row>
    <row r="799" customFormat="false" ht="15" hidden="false" customHeight="true" outlineLevel="0" collapsed="false">
      <c r="A799" s="34" t="str">
        <f aca="false">IF($E799="","",COUNTA($E$5:$E799))</f>
        <v/>
      </c>
      <c r="B799" s="35"/>
      <c r="C799" s="35"/>
      <c r="D799" s="35"/>
      <c r="E799" s="35"/>
      <c r="F799" s="36"/>
      <c r="G799" s="37"/>
      <c r="H799" s="37"/>
      <c r="I799" s="37"/>
      <c r="J799" s="38"/>
      <c r="K799" s="39"/>
      <c r="L799" s="40" t="str">
        <f aca="false">IF(OR($J799="",$K799=""),"",$J799+MATCH($K799,Listas!$F$5:$F$11,0)-1)</f>
        <v/>
      </c>
      <c r="M799" s="41"/>
      <c r="N799" s="36"/>
      <c r="O799" s="41"/>
      <c r="P799" s="35"/>
      <c r="Q799" s="35"/>
      <c r="R799" s="42" t="str">
        <f aca="true">IF($E799="","",IF($N799="Cancelada","Cancelada",IF(OR($M799&lt;&gt;"",$N799="Concluída"),IF(OR($L799="",$M799="",$M799&lt;=$L799),"Concluída","Concluída com atraso"),IF($L799="","Na carteira",IF($L799&lt;TODAY(),"VENCIDA",IF($N799="Em execução","Em execução",IF($L799=TODAY(),"Hoje","Programada")))))))</f>
        <v/>
      </c>
      <c r="S799" s="34" t="str">
        <f aca="false">IF($E799="","",IF(ISNUMBER(SEARCH("(externo)",$G799&amp;$H799&amp;$I799)),"Terceirizada","Interna"))</f>
        <v/>
      </c>
      <c r="T799" s="40" t="str">
        <f aca="false">IF($L799="","",IF($O799="",$L799,$O799))</f>
        <v/>
      </c>
      <c r="U799" s="34" t="str">
        <f aca="false">IF($E799="","",IF(OR($M799="",$L799=""),0,IF($M799&lt;=$L799,1,0)))</f>
        <v/>
      </c>
      <c r="V799" s="34" t="str">
        <f aca="false">IF($E799="","",IF(OR($M799="",$T799=""),0,IF($M799&lt;=$T799,1,0)))</f>
        <v/>
      </c>
      <c r="W799" s="42" t="str">
        <f aca="false">IF(OR($M799="",$L799=""),"",MAX(0,$M799-$L799))</f>
        <v/>
      </c>
      <c r="X799" s="34" t="str">
        <f aca="false">IF($E799="","",IF(AND($O799&lt;&gt;"",$L799&lt;&gt;"",$O799&lt;&gt;$L799),1,0))</f>
        <v/>
      </c>
      <c r="Y799" s="34" t="str">
        <f aca="false">IF($E799="","",IF($N799="Cancelada",0,IF(OR($M799&lt;&gt;"",$N799="Concluída"),1,0)))</f>
        <v/>
      </c>
    </row>
    <row r="800" customFormat="false" ht="15" hidden="false" customHeight="true" outlineLevel="0" collapsed="false">
      <c r="A800" s="34" t="str">
        <f aca="false">IF($E800="","",COUNTA($E$5:$E800))</f>
        <v/>
      </c>
      <c r="B800" s="35"/>
      <c r="C800" s="35"/>
      <c r="D800" s="35"/>
      <c r="E800" s="35"/>
      <c r="F800" s="36"/>
      <c r="G800" s="37"/>
      <c r="H800" s="37"/>
      <c r="I800" s="37"/>
      <c r="J800" s="38"/>
      <c r="K800" s="39"/>
      <c r="L800" s="40" t="str">
        <f aca="false">IF(OR($J800="",$K800=""),"",$J800+MATCH($K800,Listas!$F$5:$F$11,0)-1)</f>
        <v/>
      </c>
      <c r="M800" s="41"/>
      <c r="N800" s="36"/>
      <c r="O800" s="41"/>
      <c r="P800" s="35"/>
      <c r="Q800" s="35"/>
      <c r="R800" s="42" t="str">
        <f aca="true">IF($E800="","",IF($N800="Cancelada","Cancelada",IF(OR($M800&lt;&gt;"",$N800="Concluída"),IF(OR($L800="",$M800="",$M800&lt;=$L800),"Concluída","Concluída com atraso"),IF($L800="","Na carteira",IF($L800&lt;TODAY(),"VENCIDA",IF($N800="Em execução","Em execução",IF($L800=TODAY(),"Hoje","Programada")))))))</f>
        <v/>
      </c>
      <c r="S800" s="34" t="str">
        <f aca="false">IF($E800="","",IF(ISNUMBER(SEARCH("(externo)",$G800&amp;$H800&amp;$I800)),"Terceirizada","Interna"))</f>
        <v/>
      </c>
      <c r="T800" s="40" t="str">
        <f aca="false">IF($L800="","",IF($O800="",$L800,$O800))</f>
        <v/>
      </c>
      <c r="U800" s="34" t="str">
        <f aca="false">IF($E800="","",IF(OR($M800="",$L800=""),0,IF($M800&lt;=$L800,1,0)))</f>
        <v/>
      </c>
      <c r="V800" s="34" t="str">
        <f aca="false">IF($E800="","",IF(OR($M800="",$T800=""),0,IF($M800&lt;=$T800,1,0)))</f>
        <v/>
      </c>
      <c r="W800" s="42" t="str">
        <f aca="false">IF(OR($M800="",$L800=""),"",MAX(0,$M800-$L800))</f>
        <v/>
      </c>
      <c r="X800" s="34" t="str">
        <f aca="false">IF($E800="","",IF(AND($O800&lt;&gt;"",$L800&lt;&gt;"",$O800&lt;&gt;$L800),1,0))</f>
        <v/>
      </c>
      <c r="Y800" s="34" t="str">
        <f aca="false">IF($E800="","",IF($N800="Cancelada",0,IF(OR($M800&lt;&gt;"",$N800="Concluída"),1,0)))</f>
        <v/>
      </c>
    </row>
    <row r="801" customFormat="false" ht="15" hidden="false" customHeight="true" outlineLevel="0" collapsed="false">
      <c r="A801" s="34" t="str">
        <f aca="false">IF($E801="","",COUNTA($E$5:$E801))</f>
        <v/>
      </c>
      <c r="B801" s="35"/>
      <c r="C801" s="35"/>
      <c r="D801" s="35"/>
      <c r="E801" s="35"/>
      <c r="F801" s="36"/>
      <c r="G801" s="37"/>
      <c r="H801" s="37"/>
      <c r="I801" s="37"/>
      <c r="J801" s="38"/>
      <c r="K801" s="39"/>
      <c r="L801" s="40" t="str">
        <f aca="false">IF(OR($J801="",$K801=""),"",$J801+MATCH($K801,Listas!$F$5:$F$11,0)-1)</f>
        <v/>
      </c>
      <c r="M801" s="41"/>
      <c r="N801" s="36"/>
      <c r="O801" s="41"/>
      <c r="P801" s="35"/>
      <c r="Q801" s="35"/>
      <c r="R801" s="42" t="str">
        <f aca="true">IF($E801="","",IF($N801="Cancelada","Cancelada",IF(OR($M801&lt;&gt;"",$N801="Concluída"),IF(OR($L801="",$M801="",$M801&lt;=$L801),"Concluída","Concluída com atraso"),IF($L801="","Na carteira",IF($L801&lt;TODAY(),"VENCIDA",IF($N801="Em execução","Em execução",IF($L801=TODAY(),"Hoje","Programada")))))))</f>
        <v/>
      </c>
      <c r="S801" s="34" t="str">
        <f aca="false">IF($E801="","",IF(ISNUMBER(SEARCH("(externo)",$G801&amp;$H801&amp;$I801)),"Terceirizada","Interna"))</f>
        <v/>
      </c>
      <c r="T801" s="40" t="str">
        <f aca="false">IF($L801="","",IF($O801="",$L801,$O801))</f>
        <v/>
      </c>
      <c r="U801" s="34" t="str">
        <f aca="false">IF($E801="","",IF(OR($M801="",$L801=""),0,IF($M801&lt;=$L801,1,0)))</f>
        <v/>
      </c>
      <c r="V801" s="34" t="str">
        <f aca="false">IF($E801="","",IF(OR($M801="",$T801=""),0,IF($M801&lt;=$T801,1,0)))</f>
        <v/>
      </c>
      <c r="W801" s="42" t="str">
        <f aca="false">IF(OR($M801="",$L801=""),"",MAX(0,$M801-$L801))</f>
        <v/>
      </c>
      <c r="X801" s="34" t="str">
        <f aca="false">IF($E801="","",IF(AND($O801&lt;&gt;"",$L801&lt;&gt;"",$O801&lt;&gt;$L801),1,0))</f>
        <v/>
      </c>
      <c r="Y801" s="34" t="str">
        <f aca="false">IF($E801="","",IF($N801="Cancelada",0,IF(OR($M801&lt;&gt;"",$N801="Concluída"),1,0)))</f>
        <v/>
      </c>
    </row>
    <row r="802" customFormat="false" ht="15" hidden="false" customHeight="true" outlineLevel="0" collapsed="false">
      <c r="A802" s="34" t="str">
        <f aca="false">IF($E802="","",COUNTA($E$5:$E802))</f>
        <v/>
      </c>
      <c r="B802" s="35"/>
      <c r="C802" s="35"/>
      <c r="D802" s="35"/>
      <c r="E802" s="35"/>
      <c r="F802" s="36"/>
      <c r="G802" s="37"/>
      <c r="H802" s="37"/>
      <c r="I802" s="37"/>
      <c r="J802" s="38"/>
      <c r="K802" s="39"/>
      <c r="L802" s="40" t="str">
        <f aca="false">IF(OR($J802="",$K802=""),"",$J802+MATCH($K802,Listas!$F$5:$F$11,0)-1)</f>
        <v/>
      </c>
      <c r="M802" s="41"/>
      <c r="N802" s="36"/>
      <c r="O802" s="41"/>
      <c r="P802" s="35"/>
      <c r="Q802" s="35"/>
      <c r="R802" s="42" t="str">
        <f aca="true">IF($E802="","",IF($N802="Cancelada","Cancelada",IF(OR($M802&lt;&gt;"",$N802="Concluída"),IF(OR($L802="",$M802="",$M802&lt;=$L802),"Concluída","Concluída com atraso"),IF($L802="","Na carteira",IF($L802&lt;TODAY(),"VENCIDA",IF($N802="Em execução","Em execução",IF($L802=TODAY(),"Hoje","Programada")))))))</f>
        <v/>
      </c>
      <c r="S802" s="34" t="str">
        <f aca="false">IF($E802="","",IF(ISNUMBER(SEARCH("(externo)",$G802&amp;$H802&amp;$I802)),"Terceirizada","Interna"))</f>
        <v/>
      </c>
      <c r="T802" s="40" t="str">
        <f aca="false">IF($L802="","",IF($O802="",$L802,$O802))</f>
        <v/>
      </c>
      <c r="U802" s="34" t="str">
        <f aca="false">IF($E802="","",IF(OR($M802="",$L802=""),0,IF($M802&lt;=$L802,1,0)))</f>
        <v/>
      </c>
      <c r="V802" s="34" t="str">
        <f aca="false">IF($E802="","",IF(OR($M802="",$T802=""),0,IF($M802&lt;=$T802,1,0)))</f>
        <v/>
      </c>
      <c r="W802" s="42" t="str">
        <f aca="false">IF(OR($M802="",$L802=""),"",MAX(0,$M802-$L802))</f>
        <v/>
      </c>
      <c r="X802" s="34" t="str">
        <f aca="false">IF($E802="","",IF(AND($O802&lt;&gt;"",$L802&lt;&gt;"",$O802&lt;&gt;$L802),1,0))</f>
        <v/>
      </c>
      <c r="Y802" s="34" t="str">
        <f aca="false">IF($E802="","",IF($N802="Cancelada",0,IF(OR($M802&lt;&gt;"",$N802="Concluída"),1,0)))</f>
        <v/>
      </c>
    </row>
    <row r="803" customFormat="false" ht="15" hidden="false" customHeight="true" outlineLevel="0" collapsed="false">
      <c r="A803" s="34" t="str">
        <f aca="false">IF($E803="","",COUNTA($E$5:$E803))</f>
        <v/>
      </c>
      <c r="B803" s="35"/>
      <c r="C803" s="35"/>
      <c r="D803" s="35"/>
      <c r="E803" s="35"/>
      <c r="F803" s="36"/>
      <c r="G803" s="37"/>
      <c r="H803" s="37"/>
      <c r="I803" s="37"/>
      <c r="J803" s="38"/>
      <c r="K803" s="39"/>
      <c r="L803" s="40" t="str">
        <f aca="false">IF(OR($J803="",$K803=""),"",$J803+MATCH($K803,Listas!$F$5:$F$11,0)-1)</f>
        <v/>
      </c>
      <c r="M803" s="41"/>
      <c r="N803" s="36"/>
      <c r="O803" s="41"/>
      <c r="P803" s="35"/>
      <c r="Q803" s="35"/>
      <c r="R803" s="42" t="str">
        <f aca="true">IF($E803="","",IF($N803="Cancelada","Cancelada",IF(OR($M803&lt;&gt;"",$N803="Concluída"),IF(OR($L803="",$M803="",$M803&lt;=$L803),"Concluída","Concluída com atraso"),IF($L803="","Na carteira",IF($L803&lt;TODAY(),"VENCIDA",IF($N803="Em execução","Em execução",IF($L803=TODAY(),"Hoje","Programada")))))))</f>
        <v/>
      </c>
      <c r="S803" s="34" t="str">
        <f aca="false">IF($E803="","",IF(ISNUMBER(SEARCH("(externo)",$G803&amp;$H803&amp;$I803)),"Terceirizada","Interna"))</f>
        <v/>
      </c>
      <c r="T803" s="40" t="str">
        <f aca="false">IF($L803="","",IF($O803="",$L803,$O803))</f>
        <v/>
      </c>
      <c r="U803" s="34" t="str">
        <f aca="false">IF($E803="","",IF(OR($M803="",$L803=""),0,IF($M803&lt;=$L803,1,0)))</f>
        <v/>
      </c>
      <c r="V803" s="34" t="str">
        <f aca="false">IF($E803="","",IF(OR($M803="",$T803=""),0,IF($M803&lt;=$T803,1,0)))</f>
        <v/>
      </c>
      <c r="W803" s="42" t="str">
        <f aca="false">IF(OR($M803="",$L803=""),"",MAX(0,$M803-$L803))</f>
        <v/>
      </c>
      <c r="X803" s="34" t="str">
        <f aca="false">IF($E803="","",IF(AND($O803&lt;&gt;"",$L803&lt;&gt;"",$O803&lt;&gt;$L803),1,0))</f>
        <v/>
      </c>
      <c r="Y803" s="34" t="str">
        <f aca="false">IF($E803="","",IF($N803="Cancelada",0,IF(OR($M803&lt;&gt;"",$N803="Concluída"),1,0)))</f>
        <v/>
      </c>
    </row>
    <row r="804" customFormat="false" ht="15" hidden="false" customHeight="true" outlineLevel="0" collapsed="false">
      <c r="A804" s="34" t="str">
        <f aca="false">IF($E804="","",COUNTA($E$5:$E804))</f>
        <v/>
      </c>
      <c r="B804" s="35"/>
      <c r="C804" s="35"/>
      <c r="D804" s="35"/>
      <c r="E804" s="35"/>
      <c r="F804" s="36"/>
      <c r="G804" s="37"/>
      <c r="H804" s="37"/>
      <c r="I804" s="37"/>
      <c r="J804" s="38"/>
      <c r="K804" s="39"/>
      <c r="L804" s="40" t="str">
        <f aca="false">IF(OR($J804="",$K804=""),"",$J804+MATCH($K804,Listas!$F$5:$F$11,0)-1)</f>
        <v/>
      </c>
      <c r="M804" s="41"/>
      <c r="N804" s="36"/>
      <c r="O804" s="41"/>
      <c r="P804" s="35"/>
      <c r="Q804" s="35"/>
      <c r="R804" s="42" t="str">
        <f aca="true">IF($E804="","",IF($N804="Cancelada","Cancelada",IF(OR($M804&lt;&gt;"",$N804="Concluída"),IF(OR($L804="",$M804="",$M804&lt;=$L804),"Concluída","Concluída com atraso"),IF($L804="","Na carteira",IF($L804&lt;TODAY(),"VENCIDA",IF($N804="Em execução","Em execução",IF($L804=TODAY(),"Hoje","Programada")))))))</f>
        <v/>
      </c>
      <c r="S804" s="34" t="str">
        <f aca="false">IF($E804="","",IF(ISNUMBER(SEARCH("(externo)",$G804&amp;$H804&amp;$I804)),"Terceirizada","Interna"))</f>
        <v/>
      </c>
      <c r="T804" s="40" t="str">
        <f aca="false">IF($L804="","",IF($O804="",$L804,$O804))</f>
        <v/>
      </c>
      <c r="U804" s="34" t="str">
        <f aca="false">IF($E804="","",IF(OR($M804="",$L804=""),0,IF($M804&lt;=$L804,1,0)))</f>
        <v/>
      </c>
      <c r="V804" s="34" t="str">
        <f aca="false">IF($E804="","",IF(OR($M804="",$T804=""),0,IF($M804&lt;=$T804,1,0)))</f>
        <v/>
      </c>
      <c r="W804" s="42" t="str">
        <f aca="false">IF(OR($M804="",$L804=""),"",MAX(0,$M804-$L804))</f>
        <v/>
      </c>
      <c r="X804" s="34" t="str">
        <f aca="false">IF($E804="","",IF(AND($O804&lt;&gt;"",$L804&lt;&gt;"",$O804&lt;&gt;$L804),1,0))</f>
        <v/>
      </c>
      <c r="Y804" s="34" t="str">
        <f aca="false">IF($E804="","",IF($N804="Cancelada",0,IF(OR($M804&lt;&gt;"",$N804="Concluída"),1,0)))</f>
        <v/>
      </c>
    </row>
    <row r="805" customFormat="false" ht="15" hidden="false" customHeight="true" outlineLevel="0" collapsed="false">
      <c r="A805" s="34" t="str">
        <f aca="false">IF($E805="","",COUNTA($E$5:$E805))</f>
        <v/>
      </c>
      <c r="B805" s="35"/>
      <c r="C805" s="35"/>
      <c r="D805" s="35"/>
      <c r="E805" s="35"/>
      <c r="F805" s="36"/>
      <c r="G805" s="37"/>
      <c r="H805" s="37"/>
      <c r="I805" s="37"/>
      <c r="J805" s="38"/>
      <c r="K805" s="39"/>
      <c r="L805" s="40" t="str">
        <f aca="false">IF(OR($J805="",$K805=""),"",$J805+MATCH($K805,Listas!$F$5:$F$11,0)-1)</f>
        <v/>
      </c>
      <c r="M805" s="41"/>
      <c r="N805" s="36"/>
      <c r="O805" s="41"/>
      <c r="P805" s="35"/>
      <c r="Q805" s="35"/>
      <c r="R805" s="42" t="str">
        <f aca="true">IF($E805="","",IF($N805="Cancelada","Cancelada",IF(OR($M805&lt;&gt;"",$N805="Concluída"),IF(OR($L805="",$M805="",$M805&lt;=$L805),"Concluída","Concluída com atraso"),IF($L805="","Na carteira",IF($L805&lt;TODAY(),"VENCIDA",IF($N805="Em execução","Em execução",IF($L805=TODAY(),"Hoje","Programada")))))))</f>
        <v/>
      </c>
      <c r="S805" s="34" t="str">
        <f aca="false">IF($E805="","",IF(ISNUMBER(SEARCH("(externo)",$G805&amp;$H805&amp;$I805)),"Terceirizada","Interna"))</f>
        <v/>
      </c>
      <c r="T805" s="40" t="str">
        <f aca="false">IF($L805="","",IF($O805="",$L805,$O805))</f>
        <v/>
      </c>
      <c r="U805" s="34" t="str">
        <f aca="false">IF($E805="","",IF(OR($M805="",$L805=""),0,IF($M805&lt;=$L805,1,0)))</f>
        <v/>
      </c>
      <c r="V805" s="34" t="str">
        <f aca="false">IF($E805="","",IF(OR($M805="",$T805=""),0,IF($M805&lt;=$T805,1,0)))</f>
        <v/>
      </c>
      <c r="W805" s="42" t="str">
        <f aca="false">IF(OR($M805="",$L805=""),"",MAX(0,$M805-$L805))</f>
        <v/>
      </c>
      <c r="X805" s="34" t="str">
        <f aca="false">IF($E805="","",IF(AND($O805&lt;&gt;"",$L805&lt;&gt;"",$O805&lt;&gt;$L805),1,0))</f>
        <v/>
      </c>
      <c r="Y805" s="34" t="str">
        <f aca="false">IF($E805="","",IF($N805="Cancelada",0,IF(OR($M805&lt;&gt;"",$N805="Concluída"),1,0)))</f>
        <v/>
      </c>
    </row>
    <row r="806" customFormat="false" ht="15" hidden="false" customHeight="true" outlineLevel="0" collapsed="false">
      <c r="A806" s="34" t="str">
        <f aca="false">IF($E806="","",COUNTA($E$5:$E806))</f>
        <v/>
      </c>
      <c r="B806" s="35"/>
      <c r="C806" s="35"/>
      <c r="D806" s="35"/>
      <c r="E806" s="35"/>
      <c r="F806" s="36"/>
      <c r="G806" s="37"/>
      <c r="H806" s="37"/>
      <c r="I806" s="37"/>
      <c r="J806" s="38"/>
      <c r="K806" s="39"/>
      <c r="L806" s="40" t="str">
        <f aca="false">IF(OR($J806="",$K806=""),"",$J806+MATCH($K806,Listas!$F$5:$F$11,0)-1)</f>
        <v/>
      </c>
      <c r="M806" s="41"/>
      <c r="N806" s="36"/>
      <c r="O806" s="41"/>
      <c r="P806" s="35"/>
      <c r="Q806" s="35"/>
      <c r="R806" s="42" t="str">
        <f aca="true">IF($E806="","",IF($N806="Cancelada","Cancelada",IF(OR($M806&lt;&gt;"",$N806="Concluída"),IF(OR($L806="",$M806="",$M806&lt;=$L806),"Concluída","Concluída com atraso"),IF($L806="","Na carteira",IF($L806&lt;TODAY(),"VENCIDA",IF($N806="Em execução","Em execução",IF($L806=TODAY(),"Hoje","Programada")))))))</f>
        <v/>
      </c>
      <c r="S806" s="34" t="str">
        <f aca="false">IF($E806="","",IF(ISNUMBER(SEARCH("(externo)",$G806&amp;$H806&amp;$I806)),"Terceirizada","Interna"))</f>
        <v/>
      </c>
      <c r="T806" s="40" t="str">
        <f aca="false">IF($L806="","",IF($O806="",$L806,$O806))</f>
        <v/>
      </c>
      <c r="U806" s="34" t="str">
        <f aca="false">IF($E806="","",IF(OR($M806="",$L806=""),0,IF($M806&lt;=$L806,1,0)))</f>
        <v/>
      </c>
      <c r="V806" s="34" t="str">
        <f aca="false">IF($E806="","",IF(OR($M806="",$T806=""),0,IF($M806&lt;=$T806,1,0)))</f>
        <v/>
      </c>
      <c r="W806" s="42" t="str">
        <f aca="false">IF(OR($M806="",$L806=""),"",MAX(0,$M806-$L806))</f>
        <v/>
      </c>
      <c r="X806" s="34" t="str">
        <f aca="false">IF($E806="","",IF(AND($O806&lt;&gt;"",$L806&lt;&gt;"",$O806&lt;&gt;$L806),1,0))</f>
        <v/>
      </c>
      <c r="Y806" s="34" t="str">
        <f aca="false">IF($E806="","",IF($N806="Cancelada",0,IF(OR($M806&lt;&gt;"",$N806="Concluída"),1,0)))</f>
        <v/>
      </c>
    </row>
    <row r="807" customFormat="false" ht="15" hidden="false" customHeight="true" outlineLevel="0" collapsed="false">
      <c r="A807" s="34" t="str">
        <f aca="false">IF($E807="","",COUNTA($E$5:$E807))</f>
        <v/>
      </c>
      <c r="B807" s="35"/>
      <c r="C807" s="35"/>
      <c r="D807" s="35"/>
      <c r="E807" s="35"/>
      <c r="F807" s="36"/>
      <c r="G807" s="37"/>
      <c r="H807" s="37"/>
      <c r="I807" s="37"/>
      <c r="J807" s="38"/>
      <c r="K807" s="39"/>
      <c r="L807" s="40" t="str">
        <f aca="false">IF(OR($J807="",$K807=""),"",$J807+MATCH($K807,Listas!$F$5:$F$11,0)-1)</f>
        <v/>
      </c>
      <c r="M807" s="41"/>
      <c r="N807" s="36"/>
      <c r="O807" s="41"/>
      <c r="P807" s="35"/>
      <c r="Q807" s="35"/>
      <c r="R807" s="42" t="str">
        <f aca="true">IF($E807="","",IF($N807="Cancelada","Cancelada",IF(OR($M807&lt;&gt;"",$N807="Concluída"),IF(OR($L807="",$M807="",$M807&lt;=$L807),"Concluída","Concluída com atraso"),IF($L807="","Na carteira",IF($L807&lt;TODAY(),"VENCIDA",IF($N807="Em execução","Em execução",IF($L807=TODAY(),"Hoje","Programada")))))))</f>
        <v/>
      </c>
      <c r="S807" s="34" t="str">
        <f aca="false">IF($E807="","",IF(ISNUMBER(SEARCH("(externo)",$G807&amp;$H807&amp;$I807)),"Terceirizada","Interna"))</f>
        <v/>
      </c>
      <c r="T807" s="40" t="str">
        <f aca="false">IF($L807="","",IF($O807="",$L807,$O807))</f>
        <v/>
      </c>
      <c r="U807" s="34" t="str">
        <f aca="false">IF($E807="","",IF(OR($M807="",$L807=""),0,IF($M807&lt;=$L807,1,0)))</f>
        <v/>
      </c>
      <c r="V807" s="34" t="str">
        <f aca="false">IF($E807="","",IF(OR($M807="",$T807=""),0,IF($M807&lt;=$T807,1,0)))</f>
        <v/>
      </c>
      <c r="W807" s="42" t="str">
        <f aca="false">IF(OR($M807="",$L807=""),"",MAX(0,$M807-$L807))</f>
        <v/>
      </c>
      <c r="X807" s="34" t="str">
        <f aca="false">IF($E807="","",IF(AND($O807&lt;&gt;"",$L807&lt;&gt;"",$O807&lt;&gt;$L807),1,0))</f>
        <v/>
      </c>
      <c r="Y807" s="34" t="str">
        <f aca="false">IF($E807="","",IF($N807="Cancelada",0,IF(OR($M807&lt;&gt;"",$N807="Concluída"),1,0)))</f>
        <v/>
      </c>
    </row>
    <row r="808" customFormat="false" ht="15" hidden="false" customHeight="true" outlineLevel="0" collapsed="false">
      <c r="A808" s="34" t="str">
        <f aca="false">IF($E808="","",COUNTA($E$5:$E808))</f>
        <v/>
      </c>
      <c r="B808" s="35"/>
      <c r="C808" s="35"/>
      <c r="D808" s="35"/>
      <c r="E808" s="35"/>
      <c r="F808" s="36"/>
      <c r="G808" s="37"/>
      <c r="H808" s="37"/>
      <c r="I808" s="37"/>
      <c r="J808" s="38"/>
      <c r="K808" s="39"/>
      <c r="L808" s="40" t="str">
        <f aca="false">IF(OR($J808="",$K808=""),"",$J808+MATCH($K808,Listas!$F$5:$F$11,0)-1)</f>
        <v/>
      </c>
      <c r="M808" s="41"/>
      <c r="N808" s="36"/>
      <c r="O808" s="41"/>
      <c r="P808" s="35"/>
      <c r="Q808" s="35"/>
      <c r="R808" s="42" t="str">
        <f aca="true">IF($E808="","",IF($N808="Cancelada","Cancelada",IF(OR($M808&lt;&gt;"",$N808="Concluída"),IF(OR($L808="",$M808="",$M808&lt;=$L808),"Concluída","Concluída com atraso"),IF($L808="","Na carteira",IF($L808&lt;TODAY(),"VENCIDA",IF($N808="Em execução","Em execução",IF($L808=TODAY(),"Hoje","Programada")))))))</f>
        <v/>
      </c>
      <c r="S808" s="34" t="str">
        <f aca="false">IF($E808="","",IF(ISNUMBER(SEARCH("(externo)",$G808&amp;$H808&amp;$I808)),"Terceirizada","Interna"))</f>
        <v/>
      </c>
      <c r="T808" s="40" t="str">
        <f aca="false">IF($L808="","",IF($O808="",$L808,$O808))</f>
        <v/>
      </c>
      <c r="U808" s="34" t="str">
        <f aca="false">IF($E808="","",IF(OR($M808="",$L808=""),0,IF($M808&lt;=$L808,1,0)))</f>
        <v/>
      </c>
      <c r="V808" s="34" t="str">
        <f aca="false">IF($E808="","",IF(OR($M808="",$T808=""),0,IF($M808&lt;=$T808,1,0)))</f>
        <v/>
      </c>
      <c r="W808" s="42" t="str">
        <f aca="false">IF(OR($M808="",$L808=""),"",MAX(0,$M808-$L808))</f>
        <v/>
      </c>
      <c r="X808" s="34" t="str">
        <f aca="false">IF($E808="","",IF(AND($O808&lt;&gt;"",$L808&lt;&gt;"",$O808&lt;&gt;$L808),1,0))</f>
        <v/>
      </c>
      <c r="Y808" s="34" t="str">
        <f aca="false">IF($E808="","",IF($N808="Cancelada",0,IF(OR($M808&lt;&gt;"",$N808="Concluída"),1,0)))</f>
        <v/>
      </c>
    </row>
    <row r="809" customFormat="false" ht="15" hidden="false" customHeight="true" outlineLevel="0" collapsed="false">
      <c r="A809" s="34" t="str">
        <f aca="false">IF($E809="","",COUNTA($E$5:$E809))</f>
        <v/>
      </c>
      <c r="B809" s="35"/>
      <c r="C809" s="35"/>
      <c r="D809" s="35"/>
      <c r="E809" s="35"/>
      <c r="F809" s="36"/>
      <c r="G809" s="37"/>
      <c r="H809" s="37"/>
      <c r="I809" s="37"/>
      <c r="J809" s="38"/>
      <c r="K809" s="39"/>
      <c r="L809" s="40" t="str">
        <f aca="false">IF(OR($J809="",$K809=""),"",$J809+MATCH($K809,Listas!$F$5:$F$11,0)-1)</f>
        <v/>
      </c>
      <c r="M809" s="41"/>
      <c r="N809" s="36"/>
      <c r="O809" s="41"/>
      <c r="P809" s="35"/>
      <c r="Q809" s="35"/>
      <c r="R809" s="42" t="str">
        <f aca="true">IF($E809="","",IF($N809="Cancelada","Cancelada",IF(OR($M809&lt;&gt;"",$N809="Concluída"),IF(OR($L809="",$M809="",$M809&lt;=$L809),"Concluída","Concluída com atraso"),IF($L809="","Na carteira",IF($L809&lt;TODAY(),"VENCIDA",IF($N809="Em execução","Em execução",IF($L809=TODAY(),"Hoje","Programada")))))))</f>
        <v/>
      </c>
      <c r="S809" s="34" t="str">
        <f aca="false">IF($E809="","",IF(ISNUMBER(SEARCH("(externo)",$G809&amp;$H809&amp;$I809)),"Terceirizada","Interna"))</f>
        <v/>
      </c>
      <c r="T809" s="40" t="str">
        <f aca="false">IF($L809="","",IF($O809="",$L809,$O809))</f>
        <v/>
      </c>
      <c r="U809" s="34" t="str">
        <f aca="false">IF($E809="","",IF(OR($M809="",$L809=""),0,IF($M809&lt;=$L809,1,0)))</f>
        <v/>
      </c>
      <c r="V809" s="34" t="str">
        <f aca="false">IF($E809="","",IF(OR($M809="",$T809=""),0,IF($M809&lt;=$T809,1,0)))</f>
        <v/>
      </c>
      <c r="W809" s="42" t="str">
        <f aca="false">IF(OR($M809="",$L809=""),"",MAX(0,$M809-$L809))</f>
        <v/>
      </c>
      <c r="X809" s="34" t="str">
        <f aca="false">IF($E809="","",IF(AND($O809&lt;&gt;"",$L809&lt;&gt;"",$O809&lt;&gt;$L809),1,0))</f>
        <v/>
      </c>
      <c r="Y809" s="34" t="str">
        <f aca="false">IF($E809="","",IF($N809="Cancelada",0,IF(OR($M809&lt;&gt;"",$N809="Concluída"),1,0)))</f>
        <v/>
      </c>
    </row>
    <row r="810" customFormat="false" ht="15" hidden="false" customHeight="true" outlineLevel="0" collapsed="false">
      <c r="A810" s="34" t="str">
        <f aca="false">IF($E810="","",COUNTA($E$5:$E810))</f>
        <v/>
      </c>
      <c r="B810" s="35"/>
      <c r="C810" s="35"/>
      <c r="D810" s="35"/>
      <c r="E810" s="35"/>
      <c r="F810" s="36"/>
      <c r="G810" s="37"/>
      <c r="H810" s="37"/>
      <c r="I810" s="37"/>
      <c r="J810" s="38"/>
      <c r="K810" s="39"/>
      <c r="L810" s="40" t="str">
        <f aca="false">IF(OR($J810="",$K810=""),"",$J810+MATCH($K810,Listas!$F$5:$F$11,0)-1)</f>
        <v/>
      </c>
      <c r="M810" s="41"/>
      <c r="N810" s="36"/>
      <c r="O810" s="41"/>
      <c r="P810" s="35"/>
      <c r="Q810" s="35"/>
      <c r="R810" s="42" t="str">
        <f aca="true">IF($E810="","",IF($N810="Cancelada","Cancelada",IF(OR($M810&lt;&gt;"",$N810="Concluída"),IF(OR($L810="",$M810="",$M810&lt;=$L810),"Concluída","Concluída com atraso"),IF($L810="","Na carteira",IF($L810&lt;TODAY(),"VENCIDA",IF($N810="Em execução","Em execução",IF($L810=TODAY(),"Hoje","Programada")))))))</f>
        <v/>
      </c>
      <c r="S810" s="34" t="str">
        <f aca="false">IF($E810="","",IF(ISNUMBER(SEARCH("(externo)",$G810&amp;$H810&amp;$I810)),"Terceirizada","Interna"))</f>
        <v/>
      </c>
      <c r="T810" s="40" t="str">
        <f aca="false">IF($L810="","",IF($O810="",$L810,$O810))</f>
        <v/>
      </c>
      <c r="U810" s="34" t="str">
        <f aca="false">IF($E810="","",IF(OR($M810="",$L810=""),0,IF($M810&lt;=$L810,1,0)))</f>
        <v/>
      </c>
      <c r="V810" s="34" t="str">
        <f aca="false">IF($E810="","",IF(OR($M810="",$T810=""),0,IF($M810&lt;=$T810,1,0)))</f>
        <v/>
      </c>
      <c r="W810" s="42" t="str">
        <f aca="false">IF(OR($M810="",$L810=""),"",MAX(0,$M810-$L810))</f>
        <v/>
      </c>
      <c r="X810" s="34" t="str">
        <f aca="false">IF($E810="","",IF(AND($O810&lt;&gt;"",$L810&lt;&gt;"",$O810&lt;&gt;$L810),1,0))</f>
        <v/>
      </c>
      <c r="Y810" s="34" t="str">
        <f aca="false">IF($E810="","",IF($N810="Cancelada",0,IF(OR($M810&lt;&gt;"",$N810="Concluída"),1,0)))</f>
        <v/>
      </c>
    </row>
    <row r="811" customFormat="false" ht="15" hidden="false" customHeight="true" outlineLevel="0" collapsed="false">
      <c r="A811" s="34" t="str">
        <f aca="false">IF($E811="","",COUNTA($E$5:$E811))</f>
        <v/>
      </c>
      <c r="B811" s="35"/>
      <c r="C811" s="35"/>
      <c r="D811" s="35"/>
      <c r="E811" s="35"/>
      <c r="F811" s="36"/>
      <c r="G811" s="37"/>
      <c r="H811" s="37"/>
      <c r="I811" s="37"/>
      <c r="J811" s="38"/>
      <c r="K811" s="39"/>
      <c r="L811" s="40" t="str">
        <f aca="false">IF(OR($J811="",$K811=""),"",$J811+MATCH($K811,Listas!$F$5:$F$11,0)-1)</f>
        <v/>
      </c>
      <c r="M811" s="41"/>
      <c r="N811" s="36"/>
      <c r="O811" s="41"/>
      <c r="P811" s="35"/>
      <c r="Q811" s="35"/>
      <c r="R811" s="42" t="str">
        <f aca="true">IF($E811="","",IF($N811="Cancelada","Cancelada",IF(OR($M811&lt;&gt;"",$N811="Concluída"),IF(OR($L811="",$M811="",$M811&lt;=$L811),"Concluída","Concluída com atraso"),IF($L811="","Na carteira",IF($L811&lt;TODAY(),"VENCIDA",IF($N811="Em execução","Em execução",IF($L811=TODAY(),"Hoje","Programada")))))))</f>
        <v/>
      </c>
      <c r="S811" s="34" t="str">
        <f aca="false">IF($E811="","",IF(ISNUMBER(SEARCH("(externo)",$G811&amp;$H811&amp;$I811)),"Terceirizada","Interna"))</f>
        <v/>
      </c>
      <c r="T811" s="40" t="str">
        <f aca="false">IF($L811="","",IF($O811="",$L811,$O811))</f>
        <v/>
      </c>
      <c r="U811" s="34" t="str">
        <f aca="false">IF($E811="","",IF(OR($M811="",$L811=""),0,IF($M811&lt;=$L811,1,0)))</f>
        <v/>
      </c>
      <c r="V811" s="34" t="str">
        <f aca="false">IF($E811="","",IF(OR($M811="",$T811=""),0,IF($M811&lt;=$T811,1,0)))</f>
        <v/>
      </c>
      <c r="W811" s="42" t="str">
        <f aca="false">IF(OR($M811="",$L811=""),"",MAX(0,$M811-$L811))</f>
        <v/>
      </c>
      <c r="X811" s="34" t="str">
        <f aca="false">IF($E811="","",IF(AND($O811&lt;&gt;"",$L811&lt;&gt;"",$O811&lt;&gt;$L811),1,0))</f>
        <v/>
      </c>
      <c r="Y811" s="34" t="str">
        <f aca="false">IF($E811="","",IF($N811="Cancelada",0,IF(OR($M811&lt;&gt;"",$N811="Concluída"),1,0)))</f>
        <v/>
      </c>
    </row>
    <row r="812" customFormat="false" ht="15" hidden="false" customHeight="true" outlineLevel="0" collapsed="false">
      <c r="A812" s="34" t="str">
        <f aca="false">IF($E812="","",COUNTA($E$5:$E812))</f>
        <v/>
      </c>
      <c r="B812" s="35"/>
      <c r="C812" s="35"/>
      <c r="D812" s="35"/>
      <c r="E812" s="35"/>
      <c r="F812" s="36"/>
      <c r="G812" s="37"/>
      <c r="H812" s="37"/>
      <c r="I812" s="37"/>
      <c r="J812" s="38"/>
      <c r="K812" s="39"/>
      <c r="L812" s="40" t="str">
        <f aca="false">IF(OR($J812="",$K812=""),"",$J812+MATCH($K812,Listas!$F$5:$F$11,0)-1)</f>
        <v/>
      </c>
      <c r="M812" s="41"/>
      <c r="N812" s="36"/>
      <c r="O812" s="41"/>
      <c r="P812" s="35"/>
      <c r="Q812" s="35"/>
      <c r="R812" s="42" t="str">
        <f aca="true">IF($E812="","",IF($N812="Cancelada","Cancelada",IF(OR($M812&lt;&gt;"",$N812="Concluída"),IF(OR($L812="",$M812="",$M812&lt;=$L812),"Concluída","Concluída com atraso"),IF($L812="","Na carteira",IF($L812&lt;TODAY(),"VENCIDA",IF($N812="Em execução","Em execução",IF($L812=TODAY(),"Hoje","Programada")))))))</f>
        <v/>
      </c>
      <c r="S812" s="34" t="str">
        <f aca="false">IF($E812="","",IF(ISNUMBER(SEARCH("(externo)",$G812&amp;$H812&amp;$I812)),"Terceirizada","Interna"))</f>
        <v/>
      </c>
      <c r="T812" s="40" t="str">
        <f aca="false">IF($L812="","",IF($O812="",$L812,$O812))</f>
        <v/>
      </c>
      <c r="U812" s="34" t="str">
        <f aca="false">IF($E812="","",IF(OR($M812="",$L812=""),0,IF($M812&lt;=$L812,1,0)))</f>
        <v/>
      </c>
      <c r="V812" s="34" t="str">
        <f aca="false">IF($E812="","",IF(OR($M812="",$T812=""),0,IF($M812&lt;=$T812,1,0)))</f>
        <v/>
      </c>
      <c r="W812" s="42" t="str">
        <f aca="false">IF(OR($M812="",$L812=""),"",MAX(0,$M812-$L812))</f>
        <v/>
      </c>
      <c r="X812" s="34" t="str">
        <f aca="false">IF($E812="","",IF(AND($O812&lt;&gt;"",$L812&lt;&gt;"",$O812&lt;&gt;$L812),1,0))</f>
        <v/>
      </c>
      <c r="Y812" s="34" t="str">
        <f aca="false">IF($E812="","",IF($N812="Cancelada",0,IF(OR($M812&lt;&gt;"",$N812="Concluída"),1,0)))</f>
        <v/>
      </c>
    </row>
    <row r="813" customFormat="false" ht="15" hidden="false" customHeight="true" outlineLevel="0" collapsed="false">
      <c r="A813" s="34" t="str">
        <f aca="false">IF($E813="","",COUNTA($E$5:$E813))</f>
        <v/>
      </c>
      <c r="B813" s="35"/>
      <c r="C813" s="35"/>
      <c r="D813" s="35"/>
      <c r="E813" s="35"/>
      <c r="F813" s="36"/>
      <c r="G813" s="37"/>
      <c r="H813" s="37"/>
      <c r="I813" s="37"/>
      <c r="J813" s="38"/>
      <c r="K813" s="39"/>
      <c r="L813" s="40" t="str">
        <f aca="false">IF(OR($J813="",$K813=""),"",$J813+MATCH($K813,Listas!$F$5:$F$11,0)-1)</f>
        <v/>
      </c>
      <c r="M813" s="41"/>
      <c r="N813" s="36"/>
      <c r="O813" s="41"/>
      <c r="P813" s="35"/>
      <c r="Q813" s="35"/>
      <c r="R813" s="42" t="str">
        <f aca="true">IF($E813="","",IF($N813="Cancelada","Cancelada",IF(OR($M813&lt;&gt;"",$N813="Concluída"),IF(OR($L813="",$M813="",$M813&lt;=$L813),"Concluída","Concluída com atraso"),IF($L813="","Na carteira",IF($L813&lt;TODAY(),"VENCIDA",IF($N813="Em execução","Em execução",IF($L813=TODAY(),"Hoje","Programada")))))))</f>
        <v/>
      </c>
      <c r="S813" s="34" t="str">
        <f aca="false">IF($E813="","",IF(ISNUMBER(SEARCH("(externo)",$G813&amp;$H813&amp;$I813)),"Terceirizada","Interna"))</f>
        <v/>
      </c>
      <c r="T813" s="40" t="str">
        <f aca="false">IF($L813="","",IF($O813="",$L813,$O813))</f>
        <v/>
      </c>
      <c r="U813" s="34" t="str">
        <f aca="false">IF($E813="","",IF(OR($M813="",$L813=""),0,IF($M813&lt;=$L813,1,0)))</f>
        <v/>
      </c>
      <c r="V813" s="34" t="str">
        <f aca="false">IF($E813="","",IF(OR($M813="",$T813=""),0,IF($M813&lt;=$T813,1,0)))</f>
        <v/>
      </c>
      <c r="W813" s="42" t="str">
        <f aca="false">IF(OR($M813="",$L813=""),"",MAX(0,$M813-$L813))</f>
        <v/>
      </c>
      <c r="X813" s="34" t="str">
        <f aca="false">IF($E813="","",IF(AND($O813&lt;&gt;"",$L813&lt;&gt;"",$O813&lt;&gt;$L813),1,0))</f>
        <v/>
      </c>
      <c r="Y813" s="34" t="str">
        <f aca="false">IF($E813="","",IF($N813="Cancelada",0,IF(OR($M813&lt;&gt;"",$N813="Concluída"),1,0)))</f>
        <v/>
      </c>
    </row>
    <row r="814" customFormat="false" ht="15" hidden="false" customHeight="true" outlineLevel="0" collapsed="false">
      <c r="A814" s="34" t="str">
        <f aca="false">IF($E814="","",COUNTA($E$5:$E814))</f>
        <v/>
      </c>
      <c r="B814" s="35"/>
      <c r="C814" s="35"/>
      <c r="D814" s="35"/>
      <c r="E814" s="35"/>
      <c r="F814" s="36"/>
      <c r="G814" s="37"/>
      <c r="H814" s="37"/>
      <c r="I814" s="37"/>
      <c r="J814" s="38"/>
      <c r="K814" s="39"/>
      <c r="L814" s="40" t="str">
        <f aca="false">IF(OR($J814="",$K814=""),"",$J814+MATCH($K814,Listas!$F$5:$F$11,0)-1)</f>
        <v/>
      </c>
      <c r="M814" s="41"/>
      <c r="N814" s="36"/>
      <c r="O814" s="41"/>
      <c r="P814" s="35"/>
      <c r="Q814" s="35"/>
      <c r="R814" s="42" t="str">
        <f aca="true">IF($E814="","",IF($N814="Cancelada","Cancelada",IF(OR($M814&lt;&gt;"",$N814="Concluída"),IF(OR($L814="",$M814="",$M814&lt;=$L814),"Concluída","Concluída com atraso"),IF($L814="","Na carteira",IF($L814&lt;TODAY(),"VENCIDA",IF($N814="Em execução","Em execução",IF($L814=TODAY(),"Hoje","Programada")))))))</f>
        <v/>
      </c>
      <c r="S814" s="34" t="str">
        <f aca="false">IF($E814="","",IF(ISNUMBER(SEARCH("(externo)",$G814&amp;$H814&amp;$I814)),"Terceirizada","Interna"))</f>
        <v/>
      </c>
      <c r="T814" s="40" t="str">
        <f aca="false">IF($L814="","",IF($O814="",$L814,$O814))</f>
        <v/>
      </c>
      <c r="U814" s="34" t="str">
        <f aca="false">IF($E814="","",IF(OR($M814="",$L814=""),0,IF($M814&lt;=$L814,1,0)))</f>
        <v/>
      </c>
      <c r="V814" s="34" t="str">
        <f aca="false">IF($E814="","",IF(OR($M814="",$T814=""),0,IF($M814&lt;=$T814,1,0)))</f>
        <v/>
      </c>
      <c r="W814" s="42" t="str">
        <f aca="false">IF(OR($M814="",$L814=""),"",MAX(0,$M814-$L814))</f>
        <v/>
      </c>
      <c r="X814" s="34" t="str">
        <f aca="false">IF($E814="","",IF(AND($O814&lt;&gt;"",$L814&lt;&gt;"",$O814&lt;&gt;$L814),1,0))</f>
        <v/>
      </c>
      <c r="Y814" s="34" t="str">
        <f aca="false">IF($E814="","",IF($N814="Cancelada",0,IF(OR($M814&lt;&gt;"",$N814="Concluída"),1,0)))</f>
        <v/>
      </c>
    </row>
    <row r="815" customFormat="false" ht="15" hidden="false" customHeight="true" outlineLevel="0" collapsed="false">
      <c r="A815" s="34" t="str">
        <f aca="false">IF($E815="","",COUNTA($E$5:$E815))</f>
        <v/>
      </c>
      <c r="B815" s="35"/>
      <c r="C815" s="35"/>
      <c r="D815" s="35"/>
      <c r="E815" s="35"/>
      <c r="F815" s="36"/>
      <c r="G815" s="37"/>
      <c r="H815" s="37"/>
      <c r="I815" s="37"/>
      <c r="J815" s="38"/>
      <c r="K815" s="39"/>
      <c r="L815" s="40" t="str">
        <f aca="false">IF(OR($J815="",$K815=""),"",$J815+MATCH($K815,Listas!$F$5:$F$11,0)-1)</f>
        <v/>
      </c>
      <c r="M815" s="41"/>
      <c r="N815" s="36"/>
      <c r="O815" s="41"/>
      <c r="P815" s="35"/>
      <c r="Q815" s="35"/>
      <c r="R815" s="42" t="str">
        <f aca="true">IF($E815="","",IF($N815="Cancelada","Cancelada",IF(OR($M815&lt;&gt;"",$N815="Concluída"),IF(OR($L815="",$M815="",$M815&lt;=$L815),"Concluída","Concluída com atraso"),IF($L815="","Na carteira",IF($L815&lt;TODAY(),"VENCIDA",IF($N815="Em execução","Em execução",IF($L815=TODAY(),"Hoje","Programada")))))))</f>
        <v/>
      </c>
      <c r="S815" s="34" t="str">
        <f aca="false">IF($E815="","",IF(ISNUMBER(SEARCH("(externo)",$G815&amp;$H815&amp;$I815)),"Terceirizada","Interna"))</f>
        <v/>
      </c>
      <c r="T815" s="40" t="str">
        <f aca="false">IF($L815="","",IF($O815="",$L815,$O815))</f>
        <v/>
      </c>
      <c r="U815" s="34" t="str">
        <f aca="false">IF($E815="","",IF(OR($M815="",$L815=""),0,IF($M815&lt;=$L815,1,0)))</f>
        <v/>
      </c>
      <c r="V815" s="34" t="str">
        <f aca="false">IF($E815="","",IF(OR($M815="",$T815=""),0,IF($M815&lt;=$T815,1,0)))</f>
        <v/>
      </c>
      <c r="W815" s="42" t="str">
        <f aca="false">IF(OR($M815="",$L815=""),"",MAX(0,$M815-$L815))</f>
        <v/>
      </c>
      <c r="X815" s="34" t="str">
        <f aca="false">IF($E815="","",IF(AND($O815&lt;&gt;"",$L815&lt;&gt;"",$O815&lt;&gt;$L815),1,0))</f>
        <v/>
      </c>
      <c r="Y815" s="34" t="str">
        <f aca="false">IF($E815="","",IF($N815="Cancelada",0,IF(OR($M815&lt;&gt;"",$N815="Concluída"),1,0)))</f>
        <v/>
      </c>
    </row>
    <row r="816" customFormat="false" ht="15" hidden="false" customHeight="true" outlineLevel="0" collapsed="false">
      <c r="A816" s="34" t="str">
        <f aca="false">IF($E816="","",COUNTA($E$5:$E816))</f>
        <v/>
      </c>
      <c r="B816" s="35"/>
      <c r="C816" s="35"/>
      <c r="D816" s="35"/>
      <c r="E816" s="35"/>
      <c r="F816" s="36"/>
      <c r="G816" s="37"/>
      <c r="H816" s="37"/>
      <c r="I816" s="37"/>
      <c r="J816" s="38"/>
      <c r="K816" s="39"/>
      <c r="L816" s="40" t="str">
        <f aca="false">IF(OR($J816="",$K816=""),"",$J816+MATCH($K816,Listas!$F$5:$F$11,0)-1)</f>
        <v/>
      </c>
      <c r="M816" s="41"/>
      <c r="N816" s="36"/>
      <c r="O816" s="41"/>
      <c r="P816" s="35"/>
      <c r="Q816" s="35"/>
      <c r="R816" s="42" t="str">
        <f aca="true">IF($E816="","",IF($N816="Cancelada","Cancelada",IF(OR($M816&lt;&gt;"",$N816="Concluída"),IF(OR($L816="",$M816="",$M816&lt;=$L816),"Concluída","Concluída com atraso"),IF($L816="","Na carteira",IF($L816&lt;TODAY(),"VENCIDA",IF($N816="Em execução","Em execução",IF($L816=TODAY(),"Hoje","Programada")))))))</f>
        <v/>
      </c>
      <c r="S816" s="34" t="str">
        <f aca="false">IF($E816="","",IF(ISNUMBER(SEARCH("(externo)",$G816&amp;$H816&amp;$I816)),"Terceirizada","Interna"))</f>
        <v/>
      </c>
      <c r="T816" s="40" t="str">
        <f aca="false">IF($L816="","",IF($O816="",$L816,$O816))</f>
        <v/>
      </c>
      <c r="U816" s="34" t="str">
        <f aca="false">IF($E816="","",IF(OR($M816="",$L816=""),0,IF($M816&lt;=$L816,1,0)))</f>
        <v/>
      </c>
      <c r="V816" s="34" t="str">
        <f aca="false">IF($E816="","",IF(OR($M816="",$T816=""),0,IF($M816&lt;=$T816,1,0)))</f>
        <v/>
      </c>
      <c r="W816" s="42" t="str">
        <f aca="false">IF(OR($M816="",$L816=""),"",MAX(0,$M816-$L816))</f>
        <v/>
      </c>
      <c r="X816" s="34" t="str">
        <f aca="false">IF($E816="","",IF(AND($O816&lt;&gt;"",$L816&lt;&gt;"",$O816&lt;&gt;$L816),1,0))</f>
        <v/>
      </c>
      <c r="Y816" s="34" t="str">
        <f aca="false">IF($E816="","",IF($N816="Cancelada",0,IF(OR($M816&lt;&gt;"",$N816="Concluída"),1,0)))</f>
        <v/>
      </c>
    </row>
    <row r="817" customFormat="false" ht="15" hidden="false" customHeight="true" outlineLevel="0" collapsed="false">
      <c r="A817" s="34" t="str">
        <f aca="false">IF($E817="","",COUNTA($E$5:$E817))</f>
        <v/>
      </c>
      <c r="B817" s="35"/>
      <c r="C817" s="35"/>
      <c r="D817" s="35"/>
      <c r="E817" s="35"/>
      <c r="F817" s="36"/>
      <c r="G817" s="37"/>
      <c r="H817" s="37"/>
      <c r="I817" s="37"/>
      <c r="J817" s="38"/>
      <c r="K817" s="39"/>
      <c r="L817" s="40" t="str">
        <f aca="false">IF(OR($J817="",$K817=""),"",$J817+MATCH($K817,Listas!$F$5:$F$11,0)-1)</f>
        <v/>
      </c>
      <c r="M817" s="41"/>
      <c r="N817" s="36"/>
      <c r="O817" s="41"/>
      <c r="P817" s="35"/>
      <c r="Q817" s="35"/>
      <c r="R817" s="42" t="str">
        <f aca="true">IF($E817="","",IF($N817="Cancelada","Cancelada",IF(OR($M817&lt;&gt;"",$N817="Concluída"),IF(OR($L817="",$M817="",$M817&lt;=$L817),"Concluída","Concluída com atraso"),IF($L817="","Na carteira",IF($L817&lt;TODAY(),"VENCIDA",IF($N817="Em execução","Em execução",IF($L817=TODAY(),"Hoje","Programada")))))))</f>
        <v/>
      </c>
      <c r="S817" s="34" t="str">
        <f aca="false">IF($E817="","",IF(ISNUMBER(SEARCH("(externo)",$G817&amp;$H817&amp;$I817)),"Terceirizada","Interna"))</f>
        <v/>
      </c>
      <c r="T817" s="40" t="str">
        <f aca="false">IF($L817="","",IF($O817="",$L817,$O817))</f>
        <v/>
      </c>
      <c r="U817" s="34" t="str">
        <f aca="false">IF($E817="","",IF(OR($M817="",$L817=""),0,IF($M817&lt;=$L817,1,0)))</f>
        <v/>
      </c>
      <c r="V817" s="34" t="str">
        <f aca="false">IF($E817="","",IF(OR($M817="",$T817=""),0,IF($M817&lt;=$T817,1,0)))</f>
        <v/>
      </c>
      <c r="W817" s="42" t="str">
        <f aca="false">IF(OR($M817="",$L817=""),"",MAX(0,$M817-$L817))</f>
        <v/>
      </c>
      <c r="X817" s="34" t="str">
        <f aca="false">IF($E817="","",IF(AND($O817&lt;&gt;"",$L817&lt;&gt;"",$O817&lt;&gt;$L817),1,0))</f>
        <v/>
      </c>
      <c r="Y817" s="34" t="str">
        <f aca="false">IF($E817="","",IF($N817="Cancelada",0,IF(OR($M817&lt;&gt;"",$N817="Concluída"),1,0)))</f>
        <v/>
      </c>
    </row>
    <row r="818" customFormat="false" ht="15" hidden="false" customHeight="true" outlineLevel="0" collapsed="false">
      <c r="A818" s="34" t="str">
        <f aca="false">IF($E818="","",COUNTA($E$5:$E818))</f>
        <v/>
      </c>
      <c r="B818" s="35"/>
      <c r="C818" s="35"/>
      <c r="D818" s="35"/>
      <c r="E818" s="35"/>
      <c r="F818" s="36"/>
      <c r="G818" s="37"/>
      <c r="H818" s="37"/>
      <c r="I818" s="37"/>
      <c r="J818" s="38"/>
      <c r="K818" s="39"/>
      <c r="L818" s="40" t="str">
        <f aca="false">IF(OR($J818="",$K818=""),"",$J818+MATCH($K818,Listas!$F$5:$F$11,0)-1)</f>
        <v/>
      </c>
      <c r="M818" s="41"/>
      <c r="N818" s="36"/>
      <c r="O818" s="41"/>
      <c r="P818" s="35"/>
      <c r="Q818" s="35"/>
      <c r="R818" s="42" t="str">
        <f aca="true">IF($E818="","",IF($N818="Cancelada","Cancelada",IF(OR($M818&lt;&gt;"",$N818="Concluída"),IF(OR($L818="",$M818="",$M818&lt;=$L818),"Concluída","Concluída com atraso"),IF($L818="","Na carteira",IF($L818&lt;TODAY(),"VENCIDA",IF($N818="Em execução","Em execução",IF($L818=TODAY(),"Hoje","Programada")))))))</f>
        <v/>
      </c>
      <c r="S818" s="34" t="str">
        <f aca="false">IF($E818="","",IF(ISNUMBER(SEARCH("(externo)",$G818&amp;$H818&amp;$I818)),"Terceirizada","Interna"))</f>
        <v/>
      </c>
      <c r="T818" s="40" t="str">
        <f aca="false">IF($L818="","",IF($O818="",$L818,$O818))</f>
        <v/>
      </c>
      <c r="U818" s="34" t="str">
        <f aca="false">IF($E818="","",IF(OR($M818="",$L818=""),0,IF($M818&lt;=$L818,1,0)))</f>
        <v/>
      </c>
      <c r="V818" s="34" t="str">
        <f aca="false">IF($E818="","",IF(OR($M818="",$T818=""),0,IF($M818&lt;=$T818,1,0)))</f>
        <v/>
      </c>
      <c r="W818" s="42" t="str">
        <f aca="false">IF(OR($M818="",$L818=""),"",MAX(0,$M818-$L818))</f>
        <v/>
      </c>
      <c r="X818" s="34" t="str">
        <f aca="false">IF($E818="","",IF(AND($O818&lt;&gt;"",$L818&lt;&gt;"",$O818&lt;&gt;$L818),1,0))</f>
        <v/>
      </c>
      <c r="Y818" s="34" t="str">
        <f aca="false">IF($E818="","",IF($N818="Cancelada",0,IF(OR($M818&lt;&gt;"",$N818="Concluída"),1,0)))</f>
        <v/>
      </c>
    </row>
    <row r="819" customFormat="false" ht="15" hidden="false" customHeight="true" outlineLevel="0" collapsed="false">
      <c r="A819" s="34" t="str">
        <f aca="false">IF($E819="","",COUNTA($E$5:$E819))</f>
        <v/>
      </c>
      <c r="B819" s="35"/>
      <c r="C819" s="35"/>
      <c r="D819" s="35"/>
      <c r="E819" s="35"/>
      <c r="F819" s="36"/>
      <c r="G819" s="37"/>
      <c r="H819" s="37"/>
      <c r="I819" s="37"/>
      <c r="J819" s="38"/>
      <c r="K819" s="39"/>
      <c r="L819" s="40" t="str">
        <f aca="false">IF(OR($J819="",$K819=""),"",$J819+MATCH($K819,Listas!$F$5:$F$11,0)-1)</f>
        <v/>
      </c>
      <c r="M819" s="41"/>
      <c r="N819" s="36"/>
      <c r="O819" s="41"/>
      <c r="P819" s="35"/>
      <c r="Q819" s="35"/>
      <c r="R819" s="42" t="str">
        <f aca="true">IF($E819="","",IF($N819="Cancelada","Cancelada",IF(OR($M819&lt;&gt;"",$N819="Concluída"),IF(OR($L819="",$M819="",$M819&lt;=$L819),"Concluída","Concluída com atraso"),IF($L819="","Na carteira",IF($L819&lt;TODAY(),"VENCIDA",IF($N819="Em execução","Em execução",IF($L819=TODAY(),"Hoje","Programada")))))))</f>
        <v/>
      </c>
      <c r="S819" s="34" t="str">
        <f aca="false">IF($E819="","",IF(ISNUMBER(SEARCH("(externo)",$G819&amp;$H819&amp;$I819)),"Terceirizada","Interna"))</f>
        <v/>
      </c>
      <c r="T819" s="40" t="str">
        <f aca="false">IF($L819="","",IF($O819="",$L819,$O819))</f>
        <v/>
      </c>
      <c r="U819" s="34" t="str">
        <f aca="false">IF($E819="","",IF(OR($M819="",$L819=""),0,IF($M819&lt;=$L819,1,0)))</f>
        <v/>
      </c>
      <c r="V819" s="34" t="str">
        <f aca="false">IF($E819="","",IF(OR($M819="",$T819=""),0,IF($M819&lt;=$T819,1,0)))</f>
        <v/>
      </c>
      <c r="W819" s="42" t="str">
        <f aca="false">IF(OR($M819="",$L819=""),"",MAX(0,$M819-$L819))</f>
        <v/>
      </c>
      <c r="X819" s="34" t="str">
        <f aca="false">IF($E819="","",IF(AND($O819&lt;&gt;"",$L819&lt;&gt;"",$O819&lt;&gt;$L819),1,0))</f>
        <v/>
      </c>
      <c r="Y819" s="34" t="str">
        <f aca="false">IF($E819="","",IF($N819="Cancelada",0,IF(OR($M819&lt;&gt;"",$N819="Concluída"),1,0)))</f>
        <v/>
      </c>
    </row>
    <row r="820" customFormat="false" ht="15" hidden="false" customHeight="true" outlineLevel="0" collapsed="false">
      <c r="A820" s="34" t="str">
        <f aca="false">IF($E820="","",COUNTA($E$5:$E820))</f>
        <v/>
      </c>
      <c r="B820" s="35"/>
      <c r="C820" s="35"/>
      <c r="D820" s="35"/>
      <c r="E820" s="35"/>
      <c r="F820" s="36"/>
      <c r="G820" s="37"/>
      <c r="H820" s="37"/>
      <c r="I820" s="37"/>
      <c r="J820" s="38"/>
      <c r="K820" s="39"/>
      <c r="L820" s="40" t="str">
        <f aca="false">IF(OR($J820="",$K820=""),"",$J820+MATCH($K820,Listas!$F$5:$F$11,0)-1)</f>
        <v/>
      </c>
      <c r="M820" s="41"/>
      <c r="N820" s="36"/>
      <c r="O820" s="41"/>
      <c r="P820" s="35"/>
      <c r="Q820" s="35"/>
      <c r="R820" s="42" t="str">
        <f aca="true">IF($E820="","",IF($N820="Cancelada","Cancelada",IF(OR($M820&lt;&gt;"",$N820="Concluída"),IF(OR($L820="",$M820="",$M820&lt;=$L820),"Concluída","Concluída com atraso"),IF($L820="","Na carteira",IF($L820&lt;TODAY(),"VENCIDA",IF($N820="Em execução","Em execução",IF($L820=TODAY(),"Hoje","Programada")))))))</f>
        <v/>
      </c>
      <c r="S820" s="34" t="str">
        <f aca="false">IF($E820="","",IF(ISNUMBER(SEARCH("(externo)",$G820&amp;$H820&amp;$I820)),"Terceirizada","Interna"))</f>
        <v/>
      </c>
      <c r="T820" s="40" t="str">
        <f aca="false">IF($L820="","",IF($O820="",$L820,$O820))</f>
        <v/>
      </c>
      <c r="U820" s="34" t="str">
        <f aca="false">IF($E820="","",IF(OR($M820="",$L820=""),0,IF($M820&lt;=$L820,1,0)))</f>
        <v/>
      </c>
      <c r="V820" s="34" t="str">
        <f aca="false">IF($E820="","",IF(OR($M820="",$T820=""),0,IF($M820&lt;=$T820,1,0)))</f>
        <v/>
      </c>
      <c r="W820" s="42" t="str">
        <f aca="false">IF(OR($M820="",$L820=""),"",MAX(0,$M820-$L820))</f>
        <v/>
      </c>
      <c r="X820" s="34" t="str">
        <f aca="false">IF($E820="","",IF(AND($O820&lt;&gt;"",$L820&lt;&gt;"",$O820&lt;&gt;$L820),1,0))</f>
        <v/>
      </c>
      <c r="Y820" s="34" t="str">
        <f aca="false">IF($E820="","",IF($N820="Cancelada",0,IF(OR($M820&lt;&gt;"",$N820="Concluída"),1,0)))</f>
        <v/>
      </c>
    </row>
    <row r="821" customFormat="false" ht="15" hidden="false" customHeight="true" outlineLevel="0" collapsed="false">
      <c r="A821" s="34" t="str">
        <f aca="false">IF($E821="","",COUNTA($E$5:$E821))</f>
        <v/>
      </c>
      <c r="B821" s="35"/>
      <c r="C821" s="35"/>
      <c r="D821" s="35"/>
      <c r="E821" s="35"/>
      <c r="F821" s="36"/>
      <c r="G821" s="37"/>
      <c r="H821" s="37"/>
      <c r="I821" s="37"/>
      <c r="J821" s="38"/>
      <c r="K821" s="39"/>
      <c r="L821" s="40" t="str">
        <f aca="false">IF(OR($J821="",$K821=""),"",$J821+MATCH($K821,Listas!$F$5:$F$11,0)-1)</f>
        <v/>
      </c>
      <c r="M821" s="41"/>
      <c r="N821" s="36"/>
      <c r="O821" s="41"/>
      <c r="P821" s="35"/>
      <c r="Q821" s="35"/>
      <c r="R821" s="42" t="str">
        <f aca="true">IF($E821="","",IF($N821="Cancelada","Cancelada",IF(OR($M821&lt;&gt;"",$N821="Concluída"),IF(OR($L821="",$M821="",$M821&lt;=$L821),"Concluída","Concluída com atraso"),IF($L821="","Na carteira",IF($L821&lt;TODAY(),"VENCIDA",IF($N821="Em execução","Em execução",IF($L821=TODAY(),"Hoje","Programada")))))))</f>
        <v/>
      </c>
      <c r="S821" s="34" t="str">
        <f aca="false">IF($E821="","",IF(ISNUMBER(SEARCH("(externo)",$G821&amp;$H821&amp;$I821)),"Terceirizada","Interna"))</f>
        <v/>
      </c>
      <c r="T821" s="40" t="str">
        <f aca="false">IF($L821="","",IF($O821="",$L821,$O821))</f>
        <v/>
      </c>
      <c r="U821" s="34" t="str">
        <f aca="false">IF($E821="","",IF(OR($M821="",$L821=""),0,IF($M821&lt;=$L821,1,0)))</f>
        <v/>
      </c>
      <c r="V821" s="34" t="str">
        <f aca="false">IF($E821="","",IF(OR($M821="",$T821=""),0,IF($M821&lt;=$T821,1,0)))</f>
        <v/>
      </c>
      <c r="W821" s="42" t="str">
        <f aca="false">IF(OR($M821="",$L821=""),"",MAX(0,$M821-$L821))</f>
        <v/>
      </c>
      <c r="X821" s="34" t="str">
        <f aca="false">IF($E821="","",IF(AND($O821&lt;&gt;"",$L821&lt;&gt;"",$O821&lt;&gt;$L821),1,0))</f>
        <v/>
      </c>
      <c r="Y821" s="34" t="str">
        <f aca="false">IF($E821="","",IF($N821="Cancelada",0,IF(OR($M821&lt;&gt;"",$N821="Concluída"),1,0)))</f>
        <v/>
      </c>
    </row>
    <row r="822" customFormat="false" ht="15" hidden="false" customHeight="true" outlineLevel="0" collapsed="false">
      <c r="A822" s="34" t="str">
        <f aca="false">IF($E822="","",COUNTA($E$5:$E822))</f>
        <v/>
      </c>
      <c r="B822" s="35"/>
      <c r="C822" s="35"/>
      <c r="D822" s="35"/>
      <c r="E822" s="35"/>
      <c r="F822" s="36"/>
      <c r="G822" s="37"/>
      <c r="H822" s="37"/>
      <c r="I822" s="37"/>
      <c r="J822" s="38"/>
      <c r="K822" s="39"/>
      <c r="L822" s="40" t="str">
        <f aca="false">IF(OR($J822="",$K822=""),"",$J822+MATCH($K822,Listas!$F$5:$F$11,0)-1)</f>
        <v/>
      </c>
      <c r="M822" s="41"/>
      <c r="N822" s="36"/>
      <c r="O822" s="41"/>
      <c r="P822" s="35"/>
      <c r="Q822" s="35"/>
      <c r="R822" s="42" t="str">
        <f aca="true">IF($E822="","",IF($N822="Cancelada","Cancelada",IF(OR($M822&lt;&gt;"",$N822="Concluída"),IF(OR($L822="",$M822="",$M822&lt;=$L822),"Concluída","Concluída com atraso"),IF($L822="","Na carteira",IF($L822&lt;TODAY(),"VENCIDA",IF($N822="Em execução","Em execução",IF($L822=TODAY(),"Hoje","Programada")))))))</f>
        <v/>
      </c>
      <c r="S822" s="34" t="str">
        <f aca="false">IF($E822="","",IF(ISNUMBER(SEARCH("(externo)",$G822&amp;$H822&amp;$I822)),"Terceirizada","Interna"))</f>
        <v/>
      </c>
      <c r="T822" s="40" t="str">
        <f aca="false">IF($L822="","",IF($O822="",$L822,$O822))</f>
        <v/>
      </c>
      <c r="U822" s="34" t="str">
        <f aca="false">IF($E822="","",IF(OR($M822="",$L822=""),0,IF($M822&lt;=$L822,1,0)))</f>
        <v/>
      </c>
      <c r="V822" s="34" t="str">
        <f aca="false">IF($E822="","",IF(OR($M822="",$T822=""),0,IF($M822&lt;=$T822,1,0)))</f>
        <v/>
      </c>
      <c r="W822" s="42" t="str">
        <f aca="false">IF(OR($M822="",$L822=""),"",MAX(0,$M822-$L822))</f>
        <v/>
      </c>
      <c r="X822" s="34" t="str">
        <f aca="false">IF($E822="","",IF(AND($O822&lt;&gt;"",$L822&lt;&gt;"",$O822&lt;&gt;$L822),1,0))</f>
        <v/>
      </c>
      <c r="Y822" s="34" t="str">
        <f aca="false">IF($E822="","",IF($N822="Cancelada",0,IF(OR($M822&lt;&gt;"",$N822="Concluída"),1,0)))</f>
        <v/>
      </c>
    </row>
    <row r="823" customFormat="false" ht="15" hidden="false" customHeight="true" outlineLevel="0" collapsed="false">
      <c r="A823" s="34" t="str">
        <f aca="false">IF($E823="","",COUNTA($E$5:$E823))</f>
        <v/>
      </c>
      <c r="B823" s="35"/>
      <c r="C823" s="35"/>
      <c r="D823" s="35"/>
      <c r="E823" s="35"/>
      <c r="F823" s="36"/>
      <c r="G823" s="37"/>
      <c r="H823" s="37"/>
      <c r="I823" s="37"/>
      <c r="J823" s="38"/>
      <c r="K823" s="39"/>
      <c r="L823" s="40" t="str">
        <f aca="false">IF(OR($J823="",$K823=""),"",$J823+MATCH($K823,Listas!$F$5:$F$11,0)-1)</f>
        <v/>
      </c>
      <c r="M823" s="41"/>
      <c r="N823" s="36"/>
      <c r="O823" s="41"/>
      <c r="P823" s="35"/>
      <c r="Q823" s="35"/>
      <c r="R823" s="42" t="str">
        <f aca="true">IF($E823="","",IF($N823="Cancelada","Cancelada",IF(OR($M823&lt;&gt;"",$N823="Concluída"),IF(OR($L823="",$M823="",$M823&lt;=$L823),"Concluída","Concluída com atraso"),IF($L823="","Na carteira",IF($L823&lt;TODAY(),"VENCIDA",IF($N823="Em execução","Em execução",IF($L823=TODAY(),"Hoje","Programada")))))))</f>
        <v/>
      </c>
      <c r="S823" s="34" t="str">
        <f aca="false">IF($E823="","",IF(ISNUMBER(SEARCH("(externo)",$G823&amp;$H823&amp;$I823)),"Terceirizada","Interna"))</f>
        <v/>
      </c>
      <c r="T823" s="40" t="str">
        <f aca="false">IF($L823="","",IF($O823="",$L823,$O823))</f>
        <v/>
      </c>
      <c r="U823" s="34" t="str">
        <f aca="false">IF($E823="","",IF(OR($M823="",$L823=""),0,IF($M823&lt;=$L823,1,0)))</f>
        <v/>
      </c>
      <c r="V823" s="34" t="str">
        <f aca="false">IF($E823="","",IF(OR($M823="",$T823=""),0,IF($M823&lt;=$T823,1,0)))</f>
        <v/>
      </c>
      <c r="W823" s="42" t="str">
        <f aca="false">IF(OR($M823="",$L823=""),"",MAX(0,$M823-$L823))</f>
        <v/>
      </c>
      <c r="X823" s="34" t="str">
        <f aca="false">IF($E823="","",IF(AND($O823&lt;&gt;"",$L823&lt;&gt;"",$O823&lt;&gt;$L823),1,0))</f>
        <v/>
      </c>
      <c r="Y823" s="34" t="str">
        <f aca="false">IF($E823="","",IF($N823="Cancelada",0,IF(OR($M823&lt;&gt;"",$N823="Concluída"),1,0)))</f>
        <v/>
      </c>
    </row>
    <row r="824" customFormat="false" ht="15" hidden="false" customHeight="true" outlineLevel="0" collapsed="false">
      <c r="A824" s="34" t="str">
        <f aca="false">IF($E824="","",COUNTA($E$5:$E824))</f>
        <v/>
      </c>
      <c r="B824" s="35"/>
      <c r="C824" s="35"/>
      <c r="D824" s="35"/>
      <c r="E824" s="35"/>
      <c r="F824" s="36"/>
      <c r="G824" s="37"/>
      <c r="H824" s="37"/>
      <c r="I824" s="37"/>
      <c r="J824" s="38"/>
      <c r="K824" s="39"/>
      <c r="L824" s="40" t="str">
        <f aca="false">IF(OR($J824="",$K824=""),"",$J824+MATCH($K824,Listas!$F$5:$F$11,0)-1)</f>
        <v/>
      </c>
      <c r="M824" s="41"/>
      <c r="N824" s="36"/>
      <c r="O824" s="41"/>
      <c r="P824" s="35"/>
      <c r="Q824" s="35"/>
      <c r="R824" s="42" t="str">
        <f aca="true">IF($E824="","",IF($N824="Cancelada","Cancelada",IF(OR($M824&lt;&gt;"",$N824="Concluída"),IF(OR($L824="",$M824="",$M824&lt;=$L824),"Concluída","Concluída com atraso"),IF($L824="","Na carteira",IF($L824&lt;TODAY(),"VENCIDA",IF($N824="Em execução","Em execução",IF($L824=TODAY(),"Hoje","Programada")))))))</f>
        <v/>
      </c>
      <c r="S824" s="34" t="str">
        <f aca="false">IF($E824="","",IF(ISNUMBER(SEARCH("(externo)",$G824&amp;$H824&amp;$I824)),"Terceirizada","Interna"))</f>
        <v/>
      </c>
      <c r="T824" s="40" t="str">
        <f aca="false">IF($L824="","",IF($O824="",$L824,$O824))</f>
        <v/>
      </c>
      <c r="U824" s="34" t="str">
        <f aca="false">IF($E824="","",IF(OR($M824="",$L824=""),0,IF($M824&lt;=$L824,1,0)))</f>
        <v/>
      </c>
      <c r="V824" s="34" t="str">
        <f aca="false">IF($E824="","",IF(OR($M824="",$T824=""),0,IF($M824&lt;=$T824,1,0)))</f>
        <v/>
      </c>
      <c r="W824" s="42" t="str">
        <f aca="false">IF(OR($M824="",$L824=""),"",MAX(0,$M824-$L824))</f>
        <v/>
      </c>
      <c r="X824" s="34" t="str">
        <f aca="false">IF($E824="","",IF(AND($O824&lt;&gt;"",$L824&lt;&gt;"",$O824&lt;&gt;$L824),1,0))</f>
        <v/>
      </c>
      <c r="Y824" s="34" t="str">
        <f aca="false">IF($E824="","",IF($N824="Cancelada",0,IF(OR($M824&lt;&gt;"",$N824="Concluída"),1,0)))</f>
        <v/>
      </c>
    </row>
    <row r="825" customFormat="false" ht="15" hidden="false" customHeight="true" outlineLevel="0" collapsed="false">
      <c r="A825" s="34" t="str">
        <f aca="false">IF($E825="","",COUNTA($E$5:$E825))</f>
        <v/>
      </c>
      <c r="B825" s="35"/>
      <c r="C825" s="35"/>
      <c r="D825" s="35"/>
      <c r="E825" s="35"/>
      <c r="F825" s="36"/>
      <c r="G825" s="37"/>
      <c r="H825" s="37"/>
      <c r="I825" s="37"/>
      <c r="J825" s="38"/>
      <c r="K825" s="39"/>
      <c r="L825" s="40" t="str">
        <f aca="false">IF(OR($J825="",$K825=""),"",$J825+MATCH($K825,Listas!$F$5:$F$11,0)-1)</f>
        <v/>
      </c>
      <c r="M825" s="41"/>
      <c r="N825" s="36"/>
      <c r="O825" s="41"/>
      <c r="P825" s="35"/>
      <c r="Q825" s="35"/>
      <c r="R825" s="42" t="str">
        <f aca="true">IF($E825="","",IF($N825="Cancelada","Cancelada",IF(OR($M825&lt;&gt;"",$N825="Concluída"),IF(OR($L825="",$M825="",$M825&lt;=$L825),"Concluída","Concluída com atraso"),IF($L825="","Na carteira",IF($L825&lt;TODAY(),"VENCIDA",IF($N825="Em execução","Em execução",IF($L825=TODAY(),"Hoje","Programada")))))))</f>
        <v/>
      </c>
      <c r="S825" s="34" t="str">
        <f aca="false">IF($E825="","",IF(ISNUMBER(SEARCH("(externo)",$G825&amp;$H825&amp;$I825)),"Terceirizada","Interna"))</f>
        <v/>
      </c>
      <c r="T825" s="40" t="str">
        <f aca="false">IF($L825="","",IF($O825="",$L825,$O825))</f>
        <v/>
      </c>
      <c r="U825" s="34" t="str">
        <f aca="false">IF($E825="","",IF(OR($M825="",$L825=""),0,IF($M825&lt;=$L825,1,0)))</f>
        <v/>
      </c>
      <c r="V825" s="34" t="str">
        <f aca="false">IF($E825="","",IF(OR($M825="",$T825=""),0,IF($M825&lt;=$T825,1,0)))</f>
        <v/>
      </c>
      <c r="W825" s="42" t="str">
        <f aca="false">IF(OR($M825="",$L825=""),"",MAX(0,$M825-$L825))</f>
        <v/>
      </c>
      <c r="X825" s="34" t="str">
        <f aca="false">IF($E825="","",IF(AND($O825&lt;&gt;"",$L825&lt;&gt;"",$O825&lt;&gt;$L825),1,0))</f>
        <v/>
      </c>
      <c r="Y825" s="34" t="str">
        <f aca="false">IF($E825="","",IF($N825="Cancelada",0,IF(OR($M825&lt;&gt;"",$N825="Concluída"),1,0)))</f>
        <v/>
      </c>
    </row>
    <row r="826" customFormat="false" ht="15" hidden="false" customHeight="true" outlineLevel="0" collapsed="false">
      <c r="A826" s="34" t="str">
        <f aca="false">IF($E826="","",COUNTA($E$5:$E826))</f>
        <v/>
      </c>
      <c r="B826" s="35"/>
      <c r="C826" s="35"/>
      <c r="D826" s="35"/>
      <c r="E826" s="35"/>
      <c r="F826" s="36"/>
      <c r="G826" s="37"/>
      <c r="H826" s="37"/>
      <c r="I826" s="37"/>
      <c r="J826" s="38"/>
      <c r="K826" s="39"/>
      <c r="L826" s="40" t="str">
        <f aca="false">IF(OR($J826="",$K826=""),"",$J826+MATCH($K826,Listas!$F$5:$F$11,0)-1)</f>
        <v/>
      </c>
      <c r="M826" s="41"/>
      <c r="N826" s="36"/>
      <c r="O826" s="41"/>
      <c r="P826" s="35"/>
      <c r="Q826" s="35"/>
      <c r="R826" s="42" t="str">
        <f aca="true">IF($E826="","",IF($N826="Cancelada","Cancelada",IF(OR($M826&lt;&gt;"",$N826="Concluída"),IF(OR($L826="",$M826="",$M826&lt;=$L826),"Concluída","Concluída com atraso"),IF($L826="","Na carteira",IF($L826&lt;TODAY(),"VENCIDA",IF($N826="Em execução","Em execução",IF($L826=TODAY(),"Hoje","Programada")))))))</f>
        <v/>
      </c>
      <c r="S826" s="34" t="str">
        <f aca="false">IF($E826="","",IF(ISNUMBER(SEARCH("(externo)",$G826&amp;$H826&amp;$I826)),"Terceirizada","Interna"))</f>
        <v/>
      </c>
      <c r="T826" s="40" t="str">
        <f aca="false">IF($L826="","",IF($O826="",$L826,$O826))</f>
        <v/>
      </c>
      <c r="U826" s="34" t="str">
        <f aca="false">IF($E826="","",IF(OR($M826="",$L826=""),0,IF($M826&lt;=$L826,1,0)))</f>
        <v/>
      </c>
      <c r="V826" s="34" t="str">
        <f aca="false">IF($E826="","",IF(OR($M826="",$T826=""),0,IF($M826&lt;=$T826,1,0)))</f>
        <v/>
      </c>
      <c r="W826" s="42" t="str">
        <f aca="false">IF(OR($M826="",$L826=""),"",MAX(0,$M826-$L826))</f>
        <v/>
      </c>
      <c r="X826" s="34" t="str">
        <f aca="false">IF($E826="","",IF(AND($O826&lt;&gt;"",$L826&lt;&gt;"",$O826&lt;&gt;$L826),1,0))</f>
        <v/>
      </c>
      <c r="Y826" s="34" t="str">
        <f aca="false">IF($E826="","",IF($N826="Cancelada",0,IF(OR($M826&lt;&gt;"",$N826="Concluída"),1,0)))</f>
        <v/>
      </c>
    </row>
    <row r="827" customFormat="false" ht="15" hidden="false" customHeight="true" outlineLevel="0" collapsed="false">
      <c r="A827" s="34" t="str">
        <f aca="false">IF($E827="","",COUNTA($E$5:$E827))</f>
        <v/>
      </c>
      <c r="B827" s="35"/>
      <c r="C827" s="35"/>
      <c r="D827" s="35"/>
      <c r="E827" s="35"/>
      <c r="F827" s="36"/>
      <c r="G827" s="37"/>
      <c r="H827" s="37"/>
      <c r="I827" s="37"/>
      <c r="J827" s="38"/>
      <c r="K827" s="39"/>
      <c r="L827" s="40" t="str">
        <f aca="false">IF(OR($J827="",$K827=""),"",$J827+MATCH($K827,Listas!$F$5:$F$11,0)-1)</f>
        <v/>
      </c>
      <c r="M827" s="41"/>
      <c r="N827" s="36"/>
      <c r="O827" s="41"/>
      <c r="P827" s="35"/>
      <c r="Q827" s="35"/>
      <c r="R827" s="42" t="str">
        <f aca="true">IF($E827="","",IF($N827="Cancelada","Cancelada",IF(OR($M827&lt;&gt;"",$N827="Concluída"),IF(OR($L827="",$M827="",$M827&lt;=$L827),"Concluída","Concluída com atraso"),IF($L827="","Na carteira",IF($L827&lt;TODAY(),"VENCIDA",IF($N827="Em execução","Em execução",IF($L827=TODAY(),"Hoje","Programada")))))))</f>
        <v/>
      </c>
      <c r="S827" s="34" t="str">
        <f aca="false">IF($E827="","",IF(ISNUMBER(SEARCH("(externo)",$G827&amp;$H827&amp;$I827)),"Terceirizada","Interna"))</f>
        <v/>
      </c>
      <c r="T827" s="40" t="str">
        <f aca="false">IF($L827="","",IF($O827="",$L827,$O827))</f>
        <v/>
      </c>
      <c r="U827" s="34" t="str">
        <f aca="false">IF($E827="","",IF(OR($M827="",$L827=""),0,IF($M827&lt;=$L827,1,0)))</f>
        <v/>
      </c>
      <c r="V827" s="34" t="str">
        <f aca="false">IF($E827="","",IF(OR($M827="",$T827=""),0,IF($M827&lt;=$T827,1,0)))</f>
        <v/>
      </c>
      <c r="W827" s="42" t="str">
        <f aca="false">IF(OR($M827="",$L827=""),"",MAX(0,$M827-$L827))</f>
        <v/>
      </c>
      <c r="X827" s="34" t="str">
        <f aca="false">IF($E827="","",IF(AND($O827&lt;&gt;"",$L827&lt;&gt;"",$O827&lt;&gt;$L827),1,0))</f>
        <v/>
      </c>
      <c r="Y827" s="34" t="str">
        <f aca="false">IF($E827="","",IF($N827="Cancelada",0,IF(OR($M827&lt;&gt;"",$N827="Concluída"),1,0)))</f>
        <v/>
      </c>
    </row>
    <row r="828" customFormat="false" ht="15" hidden="false" customHeight="true" outlineLevel="0" collapsed="false">
      <c r="A828" s="34" t="str">
        <f aca="false">IF($E828="","",COUNTA($E$5:$E828))</f>
        <v/>
      </c>
      <c r="B828" s="35"/>
      <c r="C828" s="35"/>
      <c r="D828" s="35"/>
      <c r="E828" s="35"/>
      <c r="F828" s="36"/>
      <c r="G828" s="37"/>
      <c r="H828" s="37"/>
      <c r="I828" s="37"/>
      <c r="J828" s="38"/>
      <c r="K828" s="39"/>
      <c r="L828" s="40" t="str">
        <f aca="false">IF(OR($J828="",$K828=""),"",$J828+MATCH($K828,Listas!$F$5:$F$11,0)-1)</f>
        <v/>
      </c>
      <c r="M828" s="41"/>
      <c r="N828" s="36"/>
      <c r="O828" s="41"/>
      <c r="P828" s="35"/>
      <c r="Q828" s="35"/>
      <c r="R828" s="42" t="str">
        <f aca="true">IF($E828="","",IF($N828="Cancelada","Cancelada",IF(OR($M828&lt;&gt;"",$N828="Concluída"),IF(OR($L828="",$M828="",$M828&lt;=$L828),"Concluída","Concluída com atraso"),IF($L828="","Na carteira",IF($L828&lt;TODAY(),"VENCIDA",IF($N828="Em execução","Em execução",IF($L828=TODAY(),"Hoje","Programada")))))))</f>
        <v/>
      </c>
      <c r="S828" s="34" t="str">
        <f aca="false">IF($E828="","",IF(ISNUMBER(SEARCH("(externo)",$G828&amp;$H828&amp;$I828)),"Terceirizada","Interna"))</f>
        <v/>
      </c>
      <c r="T828" s="40" t="str">
        <f aca="false">IF($L828="","",IF($O828="",$L828,$O828))</f>
        <v/>
      </c>
      <c r="U828" s="34" t="str">
        <f aca="false">IF($E828="","",IF(OR($M828="",$L828=""),0,IF($M828&lt;=$L828,1,0)))</f>
        <v/>
      </c>
      <c r="V828" s="34" t="str">
        <f aca="false">IF($E828="","",IF(OR($M828="",$T828=""),0,IF($M828&lt;=$T828,1,0)))</f>
        <v/>
      </c>
      <c r="W828" s="42" t="str">
        <f aca="false">IF(OR($M828="",$L828=""),"",MAX(0,$M828-$L828))</f>
        <v/>
      </c>
      <c r="X828" s="34" t="str">
        <f aca="false">IF($E828="","",IF(AND($O828&lt;&gt;"",$L828&lt;&gt;"",$O828&lt;&gt;$L828),1,0))</f>
        <v/>
      </c>
      <c r="Y828" s="34" t="str">
        <f aca="false">IF($E828="","",IF($N828="Cancelada",0,IF(OR($M828&lt;&gt;"",$N828="Concluída"),1,0)))</f>
        <v/>
      </c>
    </row>
    <row r="829" customFormat="false" ht="15" hidden="false" customHeight="true" outlineLevel="0" collapsed="false">
      <c r="A829" s="34" t="str">
        <f aca="false">IF($E829="","",COUNTA($E$5:$E829))</f>
        <v/>
      </c>
      <c r="B829" s="35"/>
      <c r="C829" s="35"/>
      <c r="D829" s="35"/>
      <c r="E829" s="35"/>
      <c r="F829" s="36"/>
      <c r="G829" s="37"/>
      <c r="H829" s="37"/>
      <c r="I829" s="37"/>
      <c r="J829" s="38"/>
      <c r="K829" s="39"/>
      <c r="L829" s="40" t="str">
        <f aca="false">IF(OR($J829="",$K829=""),"",$J829+MATCH($K829,Listas!$F$5:$F$11,0)-1)</f>
        <v/>
      </c>
      <c r="M829" s="41"/>
      <c r="N829" s="36"/>
      <c r="O829" s="41"/>
      <c r="P829" s="35"/>
      <c r="Q829" s="35"/>
      <c r="R829" s="42" t="str">
        <f aca="true">IF($E829="","",IF($N829="Cancelada","Cancelada",IF(OR($M829&lt;&gt;"",$N829="Concluída"),IF(OR($L829="",$M829="",$M829&lt;=$L829),"Concluída","Concluída com atraso"),IF($L829="","Na carteira",IF($L829&lt;TODAY(),"VENCIDA",IF($N829="Em execução","Em execução",IF($L829=TODAY(),"Hoje","Programada")))))))</f>
        <v/>
      </c>
      <c r="S829" s="34" t="str">
        <f aca="false">IF($E829="","",IF(ISNUMBER(SEARCH("(externo)",$G829&amp;$H829&amp;$I829)),"Terceirizada","Interna"))</f>
        <v/>
      </c>
      <c r="T829" s="40" t="str">
        <f aca="false">IF($L829="","",IF($O829="",$L829,$O829))</f>
        <v/>
      </c>
      <c r="U829" s="34" t="str">
        <f aca="false">IF($E829="","",IF(OR($M829="",$L829=""),0,IF($M829&lt;=$L829,1,0)))</f>
        <v/>
      </c>
      <c r="V829" s="34" t="str">
        <f aca="false">IF($E829="","",IF(OR($M829="",$T829=""),0,IF($M829&lt;=$T829,1,0)))</f>
        <v/>
      </c>
      <c r="W829" s="42" t="str">
        <f aca="false">IF(OR($M829="",$L829=""),"",MAX(0,$M829-$L829))</f>
        <v/>
      </c>
      <c r="X829" s="34" t="str">
        <f aca="false">IF($E829="","",IF(AND($O829&lt;&gt;"",$L829&lt;&gt;"",$O829&lt;&gt;$L829),1,0))</f>
        <v/>
      </c>
      <c r="Y829" s="34" t="str">
        <f aca="false">IF($E829="","",IF($N829="Cancelada",0,IF(OR($M829&lt;&gt;"",$N829="Concluída"),1,0)))</f>
        <v/>
      </c>
    </row>
    <row r="830" customFormat="false" ht="15" hidden="false" customHeight="true" outlineLevel="0" collapsed="false">
      <c r="A830" s="34" t="str">
        <f aca="false">IF($E830="","",COUNTA($E$5:$E830))</f>
        <v/>
      </c>
      <c r="B830" s="35"/>
      <c r="C830" s="35"/>
      <c r="D830" s="35"/>
      <c r="E830" s="35"/>
      <c r="F830" s="36"/>
      <c r="G830" s="37"/>
      <c r="H830" s="37"/>
      <c r="I830" s="37"/>
      <c r="J830" s="38"/>
      <c r="K830" s="39"/>
      <c r="L830" s="40" t="str">
        <f aca="false">IF(OR($J830="",$K830=""),"",$J830+MATCH($K830,Listas!$F$5:$F$11,0)-1)</f>
        <v/>
      </c>
      <c r="M830" s="41"/>
      <c r="N830" s="36"/>
      <c r="O830" s="41"/>
      <c r="P830" s="35"/>
      <c r="Q830" s="35"/>
      <c r="R830" s="42" t="str">
        <f aca="true">IF($E830="","",IF($N830="Cancelada","Cancelada",IF(OR($M830&lt;&gt;"",$N830="Concluída"),IF(OR($L830="",$M830="",$M830&lt;=$L830),"Concluída","Concluída com atraso"),IF($L830="","Na carteira",IF($L830&lt;TODAY(),"VENCIDA",IF($N830="Em execução","Em execução",IF($L830=TODAY(),"Hoje","Programada")))))))</f>
        <v/>
      </c>
      <c r="S830" s="34" t="str">
        <f aca="false">IF($E830="","",IF(ISNUMBER(SEARCH("(externo)",$G830&amp;$H830&amp;$I830)),"Terceirizada","Interna"))</f>
        <v/>
      </c>
      <c r="T830" s="40" t="str">
        <f aca="false">IF($L830="","",IF($O830="",$L830,$O830))</f>
        <v/>
      </c>
      <c r="U830" s="34" t="str">
        <f aca="false">IF($E830="","",IF(OR($M830="",$L830=""),0,IF($M830&lt;=$L830,1,0)))</f>
        <v/>
      </c>
      <c r="V830" s="34" t="str">
        <f aca="false">IF($E830="","",IF(OR($M830="",$T830=""),0,IF($M830&lt;=$T830,1,0)))</f>
        <v/>
      </c>
      <c r="W830" s="42" t="str">
        <f aca="false">IF(OR($M830="",$L830=""),"",MAX(0,$M830-$L830))</f>
        <v/>
      </c>
      <c r="X830" s="34" t="str">
        <f aca="false">IF($E830="","",IF(AND($O830&lt;&gt;"",$L830&lt;&gt;"",$O830&lt;&gt;$L830),1,0))</f>
        <v/>
      </c>
      <c r="Y830" s="34" t="str">
        <f aca="false">IF($E830="","",IF($N830="Cancelada",0,IF(OR($M830&lt;&gt;"",$N830="Concluída"),1,0)))</f>
        <v/>
      </c>
    </row>
    <row r="831" customFormat="false" ht="15" hidden="false" customHeight="true" outlineLevel="0" collapsed="false">
      <c r="A831" s="34" t="str">
        <f aca="false">IF($E831="","",COUNTA($E$5:$E831))</f>
        <v/>
      </c>
      <c r="B831" s="35"/>
      <c r="C831" s="35"/>
      <c r="D831" s="35"/>
      <c r="E831" s="35"/>
      <c r="F831" s="36"/>
      <c r="G831" s="37"/>
      <c r="H831" s="37"/>
      <c r="I831" s="37"/>
      <c r="J831" s="38"/>
      <c r="K831" s="39"/>
      <c r="L831" s="40" t="str">
        <f aca="false">IF(OR($J831="",$K831=""),"",$J831+MATCH($K831,Listas!$F$5:$F$11,0)-1)</f>
        <v/>
      </c>
      <c r="M831" s="41"/>
      <c r="N831" s="36"/>
      <c r="O831" s="41"/>
      <c r="P831" s="35"/>
      <c r="Q831" s="35"/>
      <c r="R831" s="42" t="str">
        <f aca="true">IF($E831="","",IF($N831="Cancelada","Cancelada",IF(OR($M831&lt;&gt;"",$N831="Concluída"),IF(OR($L831="",$M831="",$M831&lt;=$L831),"Concluída","Concluída com atraso"),IF($L831="","Na carteira",IF($L831&lt;TODAY(),"VENCIDA",IF($N831="Em execução","Em execução",IF($L831=TODAY(),"Hoje","Programada")))))))</f>
        <v/>
      </c>
      <c r="S831" s="34" t="str">
        <f aca="false">IF($E831="","",IF(ISNUMBER(SEARCH("(externo)",$G831&amp;$H831&amp;$I831)),"Terceirizada","Interna"))</f>
        <v/>
      </c>
      <c r="T831" s="40" t="str">
        <f aca="false">IF($L831="","",IF($O831="",$L831,$O831))</f>
        <v/>
      </c>
      <c r="U831" s="34" t="str">
        <f aca="false">IF($E831="","",IF(OR($M831="",$L831=""),0,IF($M831&lt;=$L831,1,0)))</f>
        <v/>
      </c>
      <c r="V831" s="34" t="str">
        <f aca="false">IF($E831="","",IF(OR($M831="",$T831=""),0,IF($M831&lt;=$T831,1,0)))</f>
        <v/>
      </c>
      <c r="W831" s="42" t="str">
        <f aca="false">IF(OR($M831="",$L831=""),"",MAX(0,$M831-$L831))</f>
        <v/>
      </c>
      <c r="X831" s="34" t="str">
        <f aca="false">IF($E831="","",IF(AND($O831&lt;&gt;"",$L831&lt;&gt;"",$O831&lt;&gt;$L831),1,0))</f>
        <v/>
      </c>
      <c r="Y831" s="34" t="str">
        <f aca="false">IF($E831="","",IF($N831="Cancelada",0,IF(OR($M831&lt;&gt;"",$N831="Concluída"),1,0)))</f>
        <v/>
      </c>
    </row>
    <row r="832" customFormat="false" ht="15" hidden="false" customHeight="true" outlineLevel="0" collapsed="false">
      <c r="A832" s="34" t="str">
        <f aca="false">IF($E832="","",COUNTA($E$5:$E832))</f>
        <v/>
      </c>
      <c r="B832" s="35"/>
      <c r="C832" s="35"/>
      <c r="D832" s="35"/>
      <c r="E832" s="35"/>
      <c r="F832" s="36"/>
      <c r="G832" s="37"/>
      <c r="H832" s="37"/>
      <c r="I832" s="37"/>
      <c r="J832" s="38"/>
      <c r="K832" s="39"/>
      <c r="L832" s="40" t="str">
        <f aca="false">IF(OR($J832="",$K832=""),"",$J832+MATCH($K832,Listas!$F$5:$F$11,0)-1)</f>
        <v/>
      </c>
      <c r="M832" s="41"/>
      <c r="N832" s="36"/>
      <c r="O832" s="41"/>
      <c r="P832" s="35"/>
      <c r="Q832" s="35"/>
      <c r="R832" s="42" t="str">
        <f aca="true">IF($E832="","",IF($N832="Cancelada","Cancelada",IF(OR($M832&lt;&gt;"",$N832="Concluída"),IF(OR($L832="",$M832="",$M832&lt;=$L832),"Concluída","Concluída com atraso"),IF($L832="","Na carteira",IF($L832&lt;TODAY(),"VENCIDA",IF($N832="Em execução","Em execução",IF($L832=TODAY(),"Hoje","Programada")))))))</f>
        <v/>
      </c>
      <c r="S832" s="34" t="str">
        <f aca="false">IF($E832="","",IF(ISNUMBER(SEARCH("(externo)",$G832&amp;$H832&amp;$I832)),"Terceirizada","Interna"))</f>
        <v/>
      </c>
      <c r="T832" s="40" t="str">
        <f aca="false">IF($L832="","",IF($O832="",$L832,$O832))</f>
        <v/>
      </c>
      <c r="U832" s="34" t="str">
        <f aca="false">IF($E832="","",IF(OR($M832="",$L832=""),0,IF($M832&lt;=$L832,1,0)))</f>
        <v/>
      </c>
      <c r="V832" s="34" t="str">
        <f aca="false">IF($E832="","",IF(OR($M832="",$T832=""),0,IF($M832&lt;=$T832,1,0)))</f>
        <v/>
      </c>
      <c r="W832" s="42" t="str">
        <f aca="false">IF(OR($M832="",$L832=""),"",MAX(0,$M832-$L832))</f>
        <v/>
      </c>
      <c r="X832" s="34" t="str">
        <f aca="false">IF($E832="","",IF(AND($O832&lt;&gt;"",$L832&lt;&gt;"",$O832&lt;&gt;$L832),1,0))</f>
        <v/>
      </c>
      <c r="Y832" s="34" t="str">
        <f aca="false">IF($E832="","",IF($N832="Cancelada",0,IF(OR($M832&lt;&gt;"",$N832="Concluída"),1,0)))</f>
        <v/>
      </c>
    </row>
    <row r="833" customFormat="false" ht="15" hidden="false" customHeight="true" outlineLevel="0" collapsed="false">
      <c r="A833" s="34" t="str">
        <f aca="false">IF($E833="","",COUNTA($E$5:$E833))</f>
        <v/>
      </c>
      <c r="B833" s="35"/>
      <c r="C833" s="35"/>
      <c r="D833" s="35"/>
      <c r="E833" s="35"/>
      <c r="F833" s="36"/>
      <c r="G833" s="37"/>
      <c r="H833" s="37"/>
      <c r="I833" s="37"/>
      <c r="J833" s="38"/>
      <c r="K833" s="39"/>
      <c r="L833" s="40" t="str">
        <f aca="false">IF(OR($J833="",$K833=""),"",$J833+MATCH($K833,Listas!$F$5:$F$11,0)-1)</f>
        <v/>
      </c>
      <c r="M833" s="41"/>
      <c r="N833" s="36"/>
      <c r="O833" s="41"/>
      <c r="P833" s="35"/>
      <c r="Q833" s="35"/>
      <c r="R833" s="42" t="str">
        <f aca="true">IF($E833="","",IF($N833="Cancelada","Cancelada",IF(OR($M833&lt;&gt;"",$N833="Concluída"),IF(OR($L833="",$M833="",$M833&lt;=$L833),"Concluída","Concluída com atraso"),IF($L833="","Na carteira",IF($L833&lt;TODAY(),"VENCIDA",IF($N833="Em execução","Em execução",IF($L833=TODAY(),"Hoje","Programada")))))))</f>
        <v/>
      </c>
      <c r="S833" s="34" t="str">
        <f aca="false">IF($E833="","",IF(ISNUMBER(SEARCH("(externo)",$G833&amp;$H833&amp;$I833)),"Terceirizada","Interna"))</f>
        <v/>
      </c>
      <c r="T833" s="40" t="str">
        <f aca="false">IF($L833="","",IF($O833="",$L833,$O833))</f>
        <v/>
      </c>
      <c r="U833" s="34" t="str">
        <f aca="false">IF($E833="","",IF(OR($M833="",$L833=""),0,IF($M833&lt;=$L833,1,0)))</f>
        <v/>
      </c>
      <c r="V833" s="34" t="str">
        <f aca="false">IF($E833="","",IF(OR($M833="",$T833=""),0,IF($M833&lt;=$T833,1,0)))</f>
        <v/>
      </c>
      <c r="W833" s="42" t="str">
        <f aca="false">IF(OR($M833="",$L833=""),"",MAX(0,$M833-$L833))</f>
        <v/>
      </c>
      <c r="X833" s="34" t="str">
        <f aca="false">IF($E833="","",IF(AND($O833&lt;&gt;"",$L833&lt;&gt;"",$O833&lt;&gt;$L833),1,0))</f>
        <v/>
      </c>
      <c r="Y833" s="34" t="str">
        <f aca="false">IF($E833="","",IF($N833="Cancelada",0,IF(OR($M833&lt;&gt;"",$N833="Concluída"),1,0)))</f>
        <v/>
      </c>
    </row>
    <row r="834" customFormat="false" ht="15" hidden="false" customHeight="true" outlineLevel="0" collapsed="false">
      <c r="A834" s="34" t="str">
        <f aca="false">IF($E834="","",COUNTA($E$5:$E834))</f>
        <v/>
      </c>
      <c r="B834" s="35"/>
      <c r="C834" s="35"/>
      <c r="D834" s="35"/>
      <c r="E834" s="35"/>
      <c r="F834" s="36"/>
      <c r="G834" s="37"/>
      <c r="H834" s="37"/>
      <c r="I834" s="37"/>
      <c r="J834" s="38"/>
      <c r="K834" s="39"/>
      <c r="L834" s="40" t="str">
        <f aca="false">IF(OR($J834="",$K834=""),"",$J834+MATCH($K834,Listas!$F$5:$F$11,0)-1)</f>
        <v/>
      </c>
      <c r="M834" s="41"/>
      <c r="N834" s="36"/>
      <c r="O834" s="41"/>
      <c r="P834" s="35"/>
      <c r="Q834" s="35"/>
      <c r="R834" s="42" t="str">
        <f aca="true">IF($E834="","",IF($N834="Cancelada","Cancelada",IF(OR($M834&lt;&gt;"",$N834="Concluída"),IF(OR($L834="",$M834="",$M834&lt;=$L834),"Concluída","Concluída com atraso"),IF($L834="","Na carteira",IF($L834&lt;TODAY(),"VENCIDA",IF($N834="Em execução","Em execução",IF($L834=TODAY(),"Hoje","Programada")))))))</f>
        <v/>
      </c>
      <c r="S834" s="34" t="str">
        <f aca="false">IF($E834="","",IF(ISNUMBER(SEARCH("(externo)",$G834&amp;$H834&amp;$I834)),"Terceirizada","Interna"))</f>
        <v/>
      </c>
      <c r="T834" s="40" t="str">
        <f aca="false">IF($L834="","",IF($O834="",$L834,$O834))</f>
        <v/>
      </c>
      <c r="U834" s="34" t="str">
        <f aca="false">IF($E834="","",IF(OR($M834="",$L834=""),0,IF($M834&lt;=$L834,1,0)))</f>
        <v/>
      </c>
      <c r="V834" s="34" t="str">
        <f aca="false">IF($E834="","",IF(OR($M834="",$T834=""),0,IF($M834&lt;=$T834,1,0)))</f>
        <v/>
      </c>
      <c r="W834" s="42" t="str">
        <f aca="false">IF(OR($M834="",$L834=""),"",MAX(0,$M834-$L834))</f>
        <v/>
      </c>
      <c r="X834" s="34" t="str">
        <f aca="false">IF($E834="","",IF(AND($O834&lt;&gt;"",$L834&lt;&gt;"",$O834&lt;&gt;$L834),1,0))</f>
        <v/>
      </c>
      <c r="Y834" s="34" t="str">
        <f aca="false">IF($E834="","",IF($N834="Cancelada",0,IF(OR($M834&lt;&gt;"",$N834="Concluída"),1,0)))</f>
        <v/>
      </c>
    </row>
    <row r="835" customFormat="false" ht="15" hidden="false" customHeight="true" outlineLevel="0" collapsed="false">
      <c r="A835" s="34" t="str">
        <f aca="false">IF($E835="","",COUNTA($E$5:$E835))</f>
        <v/>
      </c>
      <c r="B835" s="35"/>
      <c r="C835" s="35"/>
      <c r="D835" s="35"/>
      <c r="E835" s="35"/>
      <c r="F835" s="36"/>
      <c r="G835" s="37"/>
      <c r="H835" s="37"/>
      <c r="I835" s="37"/>
      <c r="J835" s="38"/>
      <c r="K835" s="39"/>
      <c r="L835" s="40" t="str">
        <f aca="false">IF(OR($J835="",$K835=""),"",$J835+MATCH($K835,Listas!$F$5:$F$11,0)-1)</f>
        <v/>
      </c>
      <c r="M835" s="41"/>
      <c r="N835" s="36"/>
      <c r="O835" s="41"/>
      <c r="P835" s="35"/>
      <c r="Q835" s="35"/>
      <c r="R835" s="42" t="str">
        <f aca="true">IF($E835="","",IF($N835="Cancelada","Cancelada",IF(OR($M835&lt;&gt;"",$N835="Concluída"),IF(OR($L835="",$M835="",$M835&lt;=$L835),"Concluída","Concluída com atraso"),IF($L835="","Na carteira",IF($L835&lt;TODAY(),"VENCIDA",IF($N835="Em execução","Em execução",IF($L835=TODAY(),"Hoje","Programada")))))))</f>
        <v/>
      </c>
      <c r="S835" s="34" t="str">
        <f aca="false">IF($E835="","",IF(ISNUMBER(SEARCH("(externo)",$G835&amp;$H835&amp;$I835)),"Terceirizada","Interna"))</f>
        <v/>
      </c>
      <c r="T835" s="40" t="str">
        <f aca="false">IF($L835="","",IF($O835="",$L835,$O835))</f>
        <v/>
      </c>
      <c r="U835" s="34" t="str">
        <f aca="false">IF($E835="","",IF(OR($M835="",$L835=""),0,IF($M835&lt;=$L835,1,0)))</f>
        <v/>
      </c>
      <c r="V835" s="34" t="str">
        <f aca="false">IF($E835="","",IF(OR($M835="",$T835=""),0,IF($M835&lt;=$T835,1,0)))</f>
        <v/>
      </c>
      <c r="W835" s="42" t="str">
        <f aca="false">IF(OR($M835="",$L835=""),"",MAX(0,$M835-$L835))</f>
        <v/>
      </c>
      <c r="X835" s="34" t="str">
        <f aca="false">IF($E835="","",IF(AND($O835&lt;&gt;"",$L835&lt;&gt;"",$O835&lt;&gt;$L835),1,0))</f>
        <v/>
      </c>
      <c r="Y835" s="34" t="str">
        <f aca="false">IF($E835="","",IF($N835="Cancelada",0,IF(OR($M835&lt;&gt;"",$N835="Concluída"),1,0)))</f>
        <v/>
      </c>
    </row>
    <row r="836" customFormat="false" ht="15" hidden="false" customHeight="true" outlineLevel="0" collapsed="false">
      <c r="A836" s="34" t="str">
        <f aca="false">IF($E836="","",COUNTA($E$5:$E836))</f>
        <v/>
      </c>
      <c r="B836" s="35"/>
      <c r="C836" s="35"/>
      <c r="D836" s="35"/>
      <c r="E836" s="35"/>
      <c r="F836" s="36"/>
      <c r="G836" s="37"/>
      <c r="H836" s="37"/>
      <c r="I836" s="37"/>
      <c r="J836" s="38"/>
      <c r="K836" s="39"/>
      <c r="L836" s="40" t="str">
        <f aca="false">IF(OR($J836="",$K836=""),"",$J836+MATCH($K836,Listas!$F$5:$F$11,0)-1)</f>
        <v/>
      </c>
      <c r="M836" s="41"/>
      <c r="N836" s="36"/>
      <c r="O836" s="41"/>
      <c r="P836" s="35"/>
      <c r="Q836" s="35"/>
      <c r="R836" s="42" t="str">
        <f aca="true">IF($E836="","",IF($N836="Cancelada","Cancelada",IF(OR($M836&lt;&gt;"",$N836="Concluída"),IF(OR($L836="",$M836="",$M836&lt;=$L836),"Concluída","Concluída com atraso"),IF($L836="","Na carteira",IF($L836&lt;TODAY(),"VENCIDA",IF($N836="Em execução","Em execução",IF($L836=TODAY(),"Hoje","Programada")))))))</f>
        <v/>
      </c>
      <c r="S836" s="34" t="str">
        <f aca="false">IF($E836="","",IF(ISNUMBER(SEARCH("(externo)",$G836&amp;$H836&amp;$I836)),"Terceirizada","Interna"))</f>
        <v/>
      </c>
      <c r="T836" s="40" t="str">
        <f aca="false">IF($L836="","",IF($O836="",$L836,$O836))</f>
        <v/>
      </c>
      <c r="U836" s="34" t="str">
        <f aca="false">IF($E836="","",IF(OR($M836="",$L836=""),0,IF($M836&lt;=$L836,1,0)))</f>
        <v/>
      </c>
      <c r="V836" s="34" t="str">
        <f aca="false">IF($E836="","",IF(OR($M836="",$T836=""),0,IF($M836&lt;=$T836,1,0)))</f>
        <v/>
      </c>
      <c r="W836" s="42" t="str">
        <f aca="false">IF(OR($M836="",$L836=""),"",MAX(0,$M836-$L836))</f>
        <v/>
      </c>
      <c r="X836" s="34" t="str">
        <f aca="false">IF($E836="","",IF(AND($O836&lt;&gt;"",$L836&lt;&gt;"",$O836&lt;&gt;$L836),1,0))</f>
        <v/>
      </c>
      <c r="Y836" s="34" t="str">
        <f aca="false">IF($E836="","",IF($N836="Cancelada",0,IF(OR($M836&lt;&gt;"",$N836="Concluída"),1,0)))</f>
        <v/>
      </c>
    </row>
    <row r="837" customFormat="false" ht="15" hidden="false" customHeight="true" outlineLevel="0" collapsed="false">
      <c r="A837" s="34" t="str">
        <f aca="false">IF($E837="","",COUNTA($E$5:$E837))</f>
        <v/>
      </c>
      <c r="B837" s="35"/>
      <c r="C837" s="35"/>
      <c r="D837" s="35"/>
      <c r="E837" s="35"/>
      <c r="F837" s="36"/>
      <c r="G837" s="37"/>
      <c r="H837" s="37"/>
      <c r="I837" s="37"/>
      <c r="J837" s="38"/>
      <c r="K837" s="39"/>
      <c r="L837" s="40" t="str">
        <f aca="false">IF(OR($J837="",$K837=""),"",$J837+MATCH($K837,Listas!$F$5:$F$11,0)-1)</f>
        <v/>
      </c>
      <c r="M837" s="41"/>
      <c r="N837" s="36"/>
      <c r="O837" s="41"/>
      <c r="P837" s="35"/>
      <c r="Q837" s="35"/>
      <c r="R837" s="42" t="str">
        <f aca="true">IF($E837="","",IF($N837="Cancelada","Cancelada",IF(OR($M837&lt;&gt;"",$N837="Concluída"),IF(OR($L837="",$M837="",$M837&lt;=$L837),"Concluída","Concluída com atraso"),IF($L837="","Na carteira",IF($L837&lt;TODAY(),"VENCIDA",IF($N837="Em execução","Em execução",IF($L837=TODAY(),"Hoje","Programada")))))))</f>
        <v/>
      </c>
      <c r="S837" s="34" t="str">
        <f aca="false">IF($E837="","",IF(ISNUMBER(SEARCH("(externo)",$G837&amp;$H837&amp;$I837)),"Terceirizada","Interna"))</f>
        <v/>
      </c>
      <c r="T837" s="40" t="str">
        <f aca="false">IF($L837="","",IF($O837="",$L837,$O837))</f>
        <v/>
      </c>
      <c r="U837" s="34" t="str">
        <f aca="false">IF($E837="","",IF(OR($M837="",$L837=""),0,IF($M837&lt;=$L837,1,0)))</f>
        <v/>
      </c>
      <c r="V837" s="34" t="str">
        <f aca="false">IF($E837="","",IF(OR($M837="",$T837=""),0,IF($M837&lt;=$T837,1,0)))</f>
        <v/>
      </c>
      <c r="W837" s="42" t="str">
        <f aca="false">IF(OR($M837="",$L837=""),"",MAX(0,$M837-$L837))</f>
        <v/>
      </c>
      <c r="X837" s="34" t="str">
        <f aca="false">IF($E837="","",IF(AND($O837&lt;&gt;"",$L837&lt;&gt;"",$O837&lt;&gt;$L837),1,0))</f>
        <v/>
      </c>
      <c r="Y837" s="34" t="str">
        <f aca="false">IF($E837="","",IF($N837="Cancelada",0,IF(OR($M837&lt;&gt;"",$N837="Concluída"),1,0)))</f>
        <v/>
      </c>
    </row>
    <row r="838" customFormat="false" ht="15" hidden="false" customHeight="true" outlineLevel="0" collapsed="false">
      <c r="A838" s="34" t="str">
        <f aca="false">IF($E838="","",COUNTA($E$5:$E838))</f>
        <v/>
      </c>
      <c r="B838" s="35"/>
      <c r="C838" s="35"/>
      <c r="D838" s="35"/>
      <c r="E838" s="35"/>
      <c r="F838" s="36"/>
      <c r="G838" s="37"/>
      <c r="H838" s="37"/>
      <c r="I838" s="37"/>
      <c r="J838" s="38"/>
      <c r="K838" s="39"/>
      <c r="L838" s="40" t="str">
        <f aca="false">IF(OR($J838="",$K838=""),"",$J838+MATCH($K838,Listas!$F$5:$F$11,0)-1)</f>
        <v/>
      </c>
      <c r="M838" s="41"/>
      <c r="N838" s="36"/>
      <c r="O838" s="41"/>
      <c r="P838" s="35"/>
      <c r="Q838" s="35"/>
      <c r="R838" s="42" t="str">
        <f aca="true">IF($E838="","",IF($N838="Cancelada","Cancelada",IF(OR($M838&lt;&gt;"",$N838="Concluída"),IF(OR($L838="",$M838="",$M838&lt;=$L838),"Concluída","Concluída com atraso"),IF($L838="","Na carteira",IF($L838&lt;TODAY(),"VENCIDA",IF($N838="Em execução","Em execução",IF($L838=TODAY(),"Hoje","Programada")))))))</f>
        <v/>
      </c>
      <c r="S838" s="34" t="str">
        <f aca="false">IF($E838="","",IF(ISNUMBER(SEARCH("(externo)",$G838&amp;$H838&amp;$I838)),"Terceirizada","Interna"))</f>
        <v/>
      </c>
      <c r="T838" s="40" t="str">
        <f aca="false">IF($L838="","",IF($O838="",$L838,$O838))</f>
        <v/>
      </c>
      <c r="U838" s="34" t="str">
        <f aca="false">IF($E838="","",IF(OR($M838="",$L838=""),0,IF($M838&lt;=$L838,1,0)))</f>
        <v/>
      </c>
      <c r="V838" s="34" t="str">
        <f aca="false">IF($E838="","",IF(OR($M838="",$T838=""),0,IF($M838&lt;=$T838,1,0)))</f>
        <v/>
      </c>
      <c r="W838" s="42" t="str">
        <f aca="false">IF(OR($M838="",$L838=""),"",MAX(0,$M838-$L838))</f>
        <v/>
      </c>
      <c r="X838" s="34" t="str">
        <f aca="false">IF($E838="","",IF(AND($O838&lt;&gt;"",$L838&lt;&gt;"",$O838&lt;&gt;$L838),1,0))</f>
        <v/>
      </c>
      <c r="Y838" s="34" t="str">
        <f aca="false">IF($E838="","",IF($N838="Cancelada",0,IF(OR($M838&lt;&gt;"",$N838="Concluída"),1,0)))</f>
        <v/>
      </c>
    </row>
    <row r="839" customFormat="false" ht="15" hidden="false" customHeight="true" outlineLevel="0" collapsed="false">
      <c r="A839" s="34" t="str">
        <f aca="false">IF($E839="","",COUNTA($E$5:$E839))</f>
        <v/>
      </c>
      <c r="B839" s="35"/>
      <c r="C839" s="35"/>
      <c r="D839" s="35"/>
      <c r="E839" s="35"/>
      <c r="F839" s="36"/>
      <c r="G839" s="37"/>
      <c r="H839" s="37"/>
      <c r="I839" s="37"/>
      <c r="J839" s="38"/>
      <c r="K839" s="39"/>
      <c r="L839" s="40" t="str">
        <f aca="false">IF(OR($J839="",$K839=""),"",$J839+MATCH($K839,Listas!$F$5:$F$11,0)-1)</f>
        <v/>
      </c>
      <c r="M839" s="41"/>
      <c r="N839" s="36"/>
      <c r="O839" s="41"/>
      <c r="P839" s="35"/>
      <c r="Q839" s="35"/>
      <c r="R839" s="42" t="str">
        <f aca="true">IF($E839="","",IF($N839="Cancelada","Cancelada",IF(OR($M839&lt;&gt;"",$N839="Concluída"),IF(OR($L839="",$M839="",$M839&lt;=$L839),"Concluída","Concluída com atraso"),IF($L839="","Na carteira",IF($L839&lt;TODAY(),"VENCIDA",IF($N839="Em execução","Em execução",IF($L839=TODAY(),"Hoje","Programada")))))))</f>
        <v/>
      </c>
      <c r="S839" s="34" t="str">
        <f aca="false">IF($E839="","",IF(ISNUMBER(SEARCH("(externo)",$G839&amp;$H839&amp;$I839)),"Terceirizada","Interna"))</f>
        <v/>
      </c>
      <c r="T839" s="40" t="str">
        <f aca="false">IF($L839="","",IF($O839="",$L839,$O839))</f>
        <v/>
      </c>
      <c r="U839" s="34" t="str">
        <f aca="false">IF($E839="","",IF(OR($M839="",$L839=""),0,IF($M839&lt;=$L839,1,0)))</f>
        <v/>
      </c>
      <c r="V839" s="34" t="str">
        <f aca="false">IF($E839="","",IF(OR($M839="",$T839=""),0,IF($M839&lt;=$T839,1,0)))</f>
        <v/>
      </c>
      <c r="W839" s="42" t="str">
        <f aca="false">IF(OR($M839="",$L839=""),"",MAX(0,$M839-$L839))</f>
        <v/>
      </c>
      <c r="X839" s="34" t="str">
        <f aca="false">IF($E839="","",IF(AND($O839&lt;&gt;"",$L839&lt;&gt;"",$O839&lt;&gt;$L839),1,0))</f>
        <v/>
      </c>
      <c r="Y839" s="34" t="str">
        <f aca="false">IF($E839="","",IF($N839="Cancelada",0,IF(OR($M839&lt;&gt;"",$N839="Concluída"),1,0)))</f>
        <v/>
      </c>
    </row>
    <row r="840" customFormat="false" ht="15" hidden="false" customHeight="true" outlineLevel="0" collapsed="false">
      <c r="A840" s="34" t="str">
        <f aca="false">IF($E840="","",COUNTA($E$5:$E840))</f>
        <v/>
      </c>
      <c r="B840" s="35"/>
      <c r="C840" s="35"/>
      <c r="D840" s="35"/>
      <c r="E840" s="35"/>
      <c r="F840" s="36"/>
      <c r="G840" s="37"/>
      <c r="H840" s="37"/>
      <c r="I840" s="37"/>
      <c r="J840" s="38"/>
      <c r="K840" s="39"/>
      <c r="L840" s="40" t="str">
        <f aca="false">IF(OR($J840="",$K840=""),"",$J840+MATCH($K840,Listas!$F$5:$F$11,0)-1)</f>
        <v/>
      </c>
      <c r="M840" s="41"/>
      <c r="N840" s="36"/>
      <c r="O840" s="41"/>
      <c r="P840" s="35"/>
      <c r="Q840" s="35"/>
      <c r="R840" s="42" t="str">
        <f aca="true">IF($E840="","",IF($N840="Cancelada","Cancelada",IF(OR($M840&lt;&gt;"",$N840="Concluída"),IF(OR($L840="",$M840="",$M840&lt;=$L840),"Concluída","Concluída com atraso"),IF($L840="","Na carteira",IF($L840&lt;TODAY(),"VENCIDA",IF($N840="Em execução","Em execução",IF($L840=TODAY(),"Hoje","Programada")))))))</f>
        <v/>
      </c>
      <c r="S840" s="34" t="str">
        <f aca="false">IF($E840="","",IF(ISNUMBER(SEARCH("(externo)",$G840&amp;$H840&amp;$I840)),"Terceirizada","Interna"))</f>
        <v/>
      </c>
      <c r="T840" s="40" t="str">
        <f aca="false">IF($L840="","",IF($O840="",$L840,$O840))</f>
        <v/>
      </c>
      <c r="U840" s="34" t="str">
        <f aca="false">IF($E840="","",IF(OR($M840="",$L840=""),0,IF($M840&lt;=$L840,1,0)))</f>
        <v/>
      </c>
      <c r="V840" s="34" t="str">
        <f aca="false">IF($E840="","",IF(OR($M840="",$T840=""),0,IF($M840&lt;=$T840,1,0)))</f>
        <v/>
      </c>
      <c r="W840" s="42" t="str">
        <f aca="false">IF(OR($M840="",$L840=""),"",MAX(0,$M840-$L840))</f>
        <v/>
      </c>
      <c r="X840" s="34" t="str">
        <f aca="false">IF($E840="","",IF(AND($O840&lt;&gt;"",$L840&lt;&gt;"",$O840&lt;&gt;$L840),1,0))</f>
        <v/>
      </c>
      <c r="Y840" s="34" t="str">
        <f aca="false">IF($E840="","",IF($N840="Cancelada",0,IF(OR($M840&lt;&gt;"",$N840="Concluída"),1,0)))</f>
        <v/>
      </c>
    </row>
    <row r="841" customFormat="false" ht="15" hidden="false" customHeight="true" outlineLevel="0" collapsed="false">
      <c r="A841" s="34" t="str">
        <f aca="false">IF($E841="","",COUNTA($E$5:$E841))</f>
        <v/>
      </c>
      <c r="B841" s="35"/>
      <c r="C841" s="35"/>
      <c r="D841" s="35"/>
      <c r="E841" s="35"/>
      <c r="F841" s="36"/>
      <c r="G841" s="37"/>
      <c r="H841" s="37"/>
      <c r="I841" s="37"/>
      <c r="J841" s="38"/>
      <c r="K841" s="39"/>
      <c r="L841" s="40" t="str">
        <f aca="false">IF(OR($J841="",$K841=""),"",$J841+MATCH($K841,Listas!$F$5:$F$11,0)-1)</f>
        <v/>
      </c>
      <c r="M841" s="41"/>
      <c r="N841" s="36"/>
      <c r="O841" s="41"/>
      <c r="P841" s="35"/>
      <c r="Q841" s="35"/>
      <c r="R841" s="42" t="str">
        <f aca="true">IF($E841="","",IF($N841="Cancelada","Cancelada",IF(OR($M841&lt;&gt;"",$N841="Concluída"),IF(OR($L841="",$M841="",$M841&lt;=$L841),"Concluída","Concluída com atraso"),IF($L841="","Na carteira",IF($L841&lt;TODAY(),"VENCIDA",IF($N841="Em execução","Em execução",IF($L841=TODAY(),"Hoje","Programada")))))))</f>
        <v/>
      </c>
      <c r="S841" s="34" t="str">
        <f aca="false">IF($E841="","",IF(ISNUMBER(SEARCH("(externo)",$G841&amp;$H841&amp;$I841)),"Terceirizada","Interna"))</f>
        <v/>
      </c>
      <c r="T841" s="40" t="str">
        <f aca="false">IF($L841="","",IF($O841="",$L841,$O841))</f>
        <v/>
      </c>
      <c r="U841" s="34" t="str">
        <f aca="false">IF($E841="","",IF(OR($M841="",$L841=""),0,IF($M841&lt;=$L841,1,0)))</f>
        <v/>
      </c>
      <c r="V841" s="34" t="str">
        <f aca="false">IF($E841="","",IF(OR($M841="",$T841=""),0,IF($M841&lt;=$T841,1,0)))</f>
        <v/>
      </c>
      <c r="W841" s="42" t="str">
        <f aca="false">IF(OR($M841="",$L841=""),"",MAX(0,$M841-$L841))</f>
        <v/>
      </c>
      <c r="X841" s="34" t="str">
        <f aca="false">IF($E841="","",IF(AND($O841&lt;&gt;"",$L841&lt;&gt;"",$O841&lt;&gt;$L841),1,0))</f>
        <v/>
      </c>
      <c r="Y841" s="34" t="str">
        <f aca="false">IF($E841="","",IF($N841="Cancelada",0,IF(OR($M841&lt;&gt;"",$N841="Concluída"),1,0)))</f>
        <v/>
      </c>
    </row>
    <row r="842" customFormat="false" ht="15" hidden="false" customHeight="true" outlineLevel="0" collapsed="false">
      <c r="A842" s="34" t="str">
        <f aca="false">IF($E842="","",COUNTA($E$5:$E842))</f>
        <v/>
      </c>
      <c r="B842" s="35"/>
      <c r="C842" s="35"/>
      <c r="D842" s="35"/>
      <c r="E842" s="35"/>
      <c r="F842" s="36"/>
      <c r="G842" s="37"/>
      <c r="H842" s="37"/>
      <c r="I842" s="37"/>
      <c r="J842" s="38"/>
      <c r="K842" s="39"/>
      <c r="L842" s="40" t="str">
        <f aca="false">IF(OR($J842="",$K842=""),"",$J842+MATCH($K842,Listas!$F$5:$F$11,0)-1)</f>
        <v/>
      </c>
      <c r="M842" s="41"/>
      <c r="N842" s="36"/>
      <c r="O842" s="41"/>
      <c r="P842" s="35"/>
      <c r="Q842" s="35"/>
      <c r="R842" s="42" t="str">
        <f aca="true">IF($E842="","",IF($N842="Cancelada","Cancelada",IF(OR($M842&lt;&gt;"",$N842="Concluída"),IF(OR($L842="",$M842="",$M842&lt;=$L842),"Concluída","Concluída com atraso"),IF($L842="","Na carteira",IF($L842&lt;TODAY(),"VENCIDA",IF($N842="Em execução","Em execução",IF($L842=TODAY(),"Hoje","Programada")))))))</f>
        <v/>
      </c>
      <c r="S842" s="34" t="str">
        <f aca="false">IF($E842="","",IF(ISNUMBER(SEARCH("(externo)",$G842&amp;$H842&amp;$I842)),"Terceirizada","Interna"))</f>
        <v/>
      </c>
      <c r="T842" s="40" t="str">
        <f aca="false">IF($L842="","",IF($O842="",$L842,$O842))</f>
        <v/>
      </c>
      <c r="U842" s="34" t="str">
        <f aca="false">IF($E842="","",IF(OR($M842="",$L842=""),0,IF($M842&lt;=$L842,1,0)))</f>
        <v/>
      </c>
      <c r="V842" s="34" t="str">
        <f aca="false">IF($E842="","",IF(OR($M842="",$T842=""),0,IF($M842&lt;=$T842,1,0)))</f>
        <v/>
      </c>
      <c r="W842" s="42" t="str">
        <f aca="false">IF(OR($M842="",$L842=""),"",MAX(0,$M842-$L842))</f>
        <v/>
      </c>
      <c r="X842" s="34" t="str">
        <f aca="false">IF($E842="","",IF(AND($O842&lt;&gt;"",$L842&lt;&gt;"",$O842&lt;&gt;$L842),1,0))</f>
        <v/>
      </c>
      <c r="Y842" s="34" t="str">
        <f aca="false">IF($E842="","",IF($N842="Cancelada",0,IF(OR($M842&lt;&gt;"",$N842="Concluída"),1,0)))</f>
        <v/>
      </c>
    </row>
    <row r="843" customFormat="false" ht="15" hidden="false" customHeight="true" outlineLevel="0" collapsed="false">
      <c r="A843" s="34" t="str">
        <f aca="false">IF($E843="","",COUNTA($E$5:$E843))</f>
        <v/>
      </c>
      <c r="B843" s="35"/>
      <c r="C843" s="35"/>
      <c r="D843" s="35"/>
      <c r="E843" s="35"/>
      <c r="F843" s="36"/>
      <c r="G843" s="37"/>
      <c r="H843" s="37"/>
      <c r="I843" s="37"/>
      <c r="J843" s="38"/>
      <c r="K843" s="39"/>
      <c r="L843" s="40" t="str">
        <f aca="false">IF(OR($J843="",$K843=""),"",$J843+MATCH($K843,Listas!$F$5:$F$11,0)-1)</f>
        <v/>
      </c>
      <c r="M843" s="41"/>
      <c r="N843" s="36"/>
      <c r="O843" s="41"/>
      <c r="P843" s="35"/>
      <c r="Q843" s="35"/>
      <c r="R843" s="42" t="str">
        <f aca="true">IF($E843="","",IF($N843="Cancelada","Cancelada",IF(OR($M843&lt;&gt;"",$N843="Concluída"),IF(OR($L843="",$M843="",$M843&lt;=$L843),"Concluída","Concluída com atraso"),IF($L843="","Na carteira",IF($L843&lt;TODAY(),"VENCIDA",IF($N843="Em execução","Em execução",IF($L843=TODAY(),"Hoje","Programada")))))))</f>
        <v/>
      </c>
      <c r="S843" s="34" t="str">
        <f aca="false">IF($E843="","",IF(ISNUMBER(SEARCH("(externo)",$G843&amp;$H843&amp;$I843)),"Terceirizada","Interna"))</f>
        <v/>
      </c>
      <c r="T843" s="40" t="str">
        <f aca="false">IF($L843="","",IF($O843="",$L843,$O843))</f>
        <v/>
      </c>
      <c r="U843" s="34" t="str">
        <f aca="false">IF($E843="","",IF(OR($M843="",$L843=""),0,IF($M843&lt;=$L843,1,0)))</f>
        <v/>
      </c>
      <c r="V843" s="34" t="str">
        <f aca="false">IF($E843="","",IF(OR($M843="",$T843=""),0,IF($M843&lt;=$T843,1,0)))</f>
        <v/>
      </c>
      <c r="W843" s="42" t="str">
        <f aca="false">IF(OR($M843="",$L843=""),"",MAX(0,$M843-$L843))</f>
        <v/>
      </c>
      <c r="X843" s="34" t="str">
        <f aca="false">IF($E843="","",IF(AND($O843&lt;&gt;"",$L843&lt;&gt;"",$O843&lt;&gt;$L843),1,0))</f>
        <v/>
      </c>
      <c r="Y843" s="34" t="str">
        <f aca="false">IF($E843="","",IF($N843="Cancelada",0,IF(OR($M843&lt;&gt;"",$N843="Concluída"),1,0)))</f>
        <v/>
      </c>
    </row>
    <row r="844" customFormat="false" ht="15" hidden="false" customHeight="true" outlineLevel="0" collapsed="false">
      <c r="A844" s="34" t="str">
        <f aca="false">IF($E844="","",COUNTA($E$5:$E844))</f>
        <v/>
      </c>
      <c r="B844" s="35"/>
      <c r="C844" s="35"/>
      <c r="D844" s="35"/>
      <c r="E844" s="35"/>
      <c r="F844" s="36"/>
      <c r="G844" s="37"/>
      <c r="H844" s="37"/>
      <c r="I844" s="37"/>
      <c r="J844" s="38"/>
      <c r="K844" s="39"/>
      <c r="L844" s="40" t="str">
        <f aca="false">IF(OR($J844="",$K844=""),"",$J844+MATCH($K844,Listas!$F$5:$F$11,0)-1)</f>
        <v/>
      </c>
      <c r="M844" s="41"/>
      <c r="N844" s="36"/>
      <c r="O844" s="41"/>
      <c r="P844" s="35"/>
      <c r="Q844" s="35"/>
      <c r="R844" s="42" t="str">
        <f aca="true">IF($E844="","",IF($N844="Cancelada","Cancelada",IF(OR($M844&lt;&gt;"",$N844="Concluída"),IF(OR($L844="",$M844="",$M844&lt;=$L844),"Concluída","Concluída com atraso"),IF($L844="","Na carteira",IF($L844&lt;TODAY(),"VENCIDA",IF($N844="Em execução","Em execução",IF($L844=TODAY(),"Hoje","Programada")))))))</f>
        <v/>
      </c>
      <c r="S844" s="34" t="str">
        <f aca="false">IF($E844="","",IF(ISNUMBER(SEARCH("(externo)",$G844&amp;$H844&amp;$I844)),"Terceirizada","Interna"))</f>
        <v/>
      </c>
      <c r="T844" s="40" t="str">
        <f aca="false">IF($L844="","",IF($O844="",$L844,$O844))</f>
        <v/>
      </c>
      <c r="U844" s="34" t="str">
        <f aca="false">IF($E844="","",IF(OR($M844="",$L844=""),0,IF($M844&lt;=$L844,1,0)))</f>
        <v/>
      </c>
      <c r="V844" s="34" t="str">
        <f aca="false">IF($E844="","",IF(OR($M844="",$T844=""),0,IF($M844&lt;=$T844,1,0)))</f>
        <v/>
      </c>
      <c r="W844" s="42" t="str">
        <f aca="false">IF(OR($M844="",$L844=""),"",MAX(0,$M844-$L844))</f>
        <v/>
      </c>
      <c r="X844" s="34" t="str">
        <f aca="false">IF($E844="","",IF(AND($O844&lt;&gt;"",$L844&lt;&gt;"",$O844&lt;&gt;$L844),1,0))</f>
        <v/>
      </c>
      <c r="Y844" s="34" t="str">
        <f aca="false">IF($E844="","",IF($N844="Cancelada",0,IF(OR($M844&lt;&gt;"",$N844="Concluída"),1,0)))</f>
        <v/>
      </c>
    </row>
    <row r="845" customFormat="false" ht="15" hidden="false" customHeight="true" outlineLevel="0" collapsed="false">
      <c r="A845" s="34" t="str">
        <f aca="false">IF($E845="","",COUNTA($E$5:$E845))</f>
        <v/>
      </c>
      <c r="B845" s="35"/>
      <c r="C845" s="35"/>
      <c r="D845" s="35"/>
      <c r="E845" s="35"/>
      <c r="F845" s="36"/>
      <c r="G845" s="37"/>
      <c r="H845" s="37"/>
      <c r="I845" s="37"/>
      <c r="J845" s="38"/>
      <c r="K845" s="39"/>
      <c r="L845" s="40" t="str">
        <f aca="false">IF(OR($J845="",$K845=""),"",$J845+MATCH($K845,Listas!$F$5:$F$11,0)-1)</f>
        <v/>
      </c>
      <c r="M845" s="41"/>
      <c r="N845" s="36"/>
      <c r="O845" s="41"/>
      <c r="P845" s="35"/>
      <c r="Q845" s="35"/>
      <c r="R845" s="42" t="str">
        <f aca="true">IF($E845="","",IF($N845="Cancelada","Cancelada",IF(OR($M845&lt;&gt;"",$N845="Concluída"),IF(OR($L845="",$M845="",$M845&lt;=$L845),"Concluída","Concluída com atraso"),IF($L845="","Na carteira",IF($L845&lt;TODAY(),"VENCIDA",IF($N845="Em execução","Em execução",IF($L845=TODAY(),"Hoje","Programada")))))))</f>
        <v/>
      </c>
      <c r="S845" s="34" t="str">
        <f aca="false">IF($E845="","",IF(ISNUMBER(SEARCH("(externo)",$G845&amp;$H845&amp;$I845)),"Terceirizada","Interna"))</f>
        <v/>
      </c>
      <c r="T845" s="40" t="str">
        <f aca="false">IF($L845="","",IF($O845="",$L845,$O845))</f>
        <v/>
      </c>
      <c r="U845" s="34" t="str">
        <f aca="false">IF($E845="","",IF(OR($M845="",$L845=""),0,IF($M845&lt;=$L845,1,0)))</f>
        <v/>
      </c>
      <c r="V845" s="34" t="str">
        <f aca="false">IF($E845="","",IF(OR($M845="",$T845=""),0,IF($M845&lt;=$T845,1,0)))</f>
        <v/>
      </c>
      <c r="W845" s="42" t="str">
        <f aca="false">IF(OR($M845="",$L845=""),"",MAX(0,$M845-$L845))</f>
        <v/>
      </c>
      <c r="X845" s="34" t="str">
        <f aca="false">IF($E845="","",IF(AND($O845&lt;&gt;"",$L845&lt;&gt;"",$O845&lt;&gt;$L845),1,0))</f>
        <v/>
      </c>
      <c r="Y845" s="34" t="str">
        <f aca="false">IF($E845="","",IF($N845="Cancelada",0,IF(OR($M845&lt;&gt;"",$N845="Concluída"),1,0)))</f>
        <v/>
      </c>
    </row>
    <row r="846" customFormat="false" ht="15" hidden="false" customHeight="true" outlineLevel="0" collapsed="false">
      <c r="A846" s="34" t="str">
        <f aca="false">IF($E846="","",COUNTA($E$5:$E846))</f>
        <v/>
      </c>
      <c r="B846" s="35"/>
      <c r="C846" s="35"/>
      <c r="D846" s="35"/>
      <c r="E846" s="35"/>
      <c r="F846" s="36"/>
      <c r="G846" s="37"/>
      <c r="H846" s="37"/>
      <c r="I846" s="37"/>
      <c r="J846" s="38"/>
      <c r="K846" s="39"/>
      <c r="L846" s="40" t="str">
        <f aca="false">IF(OR($J846="",$K846=""),"",$J846+MATCH($K846,Listas!$F$5:$F$11,0)-1)</f>
        <v/>
      </c>
      <c r="M846" s="41"/>
      <c r="N846" s="36"/>
      <c r="O846" s="41"/>
      <c r="P846" s="35"/>
      <c r="Q846" s="35"/>
      <c r="R846" s="42" t="str">
        <f aca="true">IF($E846="","",IF($N846="Cancelada","Cancelada",IF(OR($M846&lt;&gt;"",$N846="Concluída"),IF(OR($L846="",$M846="",$M846&lt;=$L846),"Concluída","Concluída com atraso"),IF($L846="","Na carteira",IF($L846&lt;TODAY(),"VENCIDA",IF($N846="Em execução","Em execução",IF($L846=TODAY(),"Hoje","Programada")))))))</f>
        <v/>
      </c>
      <c r="S846" s="34" t="str">
        <f aca="false">IF($E846="","",IF(ISNUMBER(SEARCH("(externo)",$G846&amp;$H846&amp;$I846)),"Terceirizada","Interna"))</f>
        <v/>
      </c>
      <c r="T846" s="40" t="str">
        <f aca="false">IF($L846="","",IF($O846="",$L846,$O846))</f>
        <v/>
      </c>
      <c r="U846" s="34" t="str">
        <f aca="false">IF($E846="","",IF(OR($M846="",$L846=""),0,IF($M846&lt;=$L846,1,0)))</f>
        <v/>
      </c>
      <c r="V846" s="34" t="str">
        <f aca="false">IF($E846="","",IF(OR($M846="",$T846=""),0,IF($M846&lt;=$T846,1,0)))</f>
        <v/>
      </c>
      <c r="W846" s="42" t="str">
        <f aca="false">IF(OR($M846="",$L846=""),"",MAX(0,$M846-$L846))</f>
        <v/>
      </c>
      <c r="X846" s="34" t="str">
        <f aca="false">IF($E846="","",IF(AND($O846&lt;&gt;"",$L846&lt;&gt;"",$O846&lt;&gt;$L846),1,0))</f>
        <v/>
      </c>
      <c r="Y846" s="34" t="str">
        <f aca="false">IF($E846="","",IF($N846="Cancelada",0,IF(OR($M846&lt;&gt;"",$N846="Concluída"),1,0)))</f>
        <v/>
      </c>
    </row>
    <row r="847" customFormat="false" ht="15" hidden="false" customHeight="true" outlineLevel="0" collapsed="false">
      <c r="A847" s="34" t="str">
        <f aca="false">IF($E847="","",COUNTA($E$5:$E847))</f>
        <v/>
      </c>
      <c r="B847" s="35"/>
      <c r="C847" s="35"/>
      <c r="D847" s="35"/>
      <c r="E847" s="35"/>
      <c r="F847" s="36"/>
      <c r="G847" s="37"/>
      <c r="H847" s="37"/>
      <c r="I847" s="37"/>
      <c r="J847" s="38"/>
      <c r="K847" s="39"/>
      <c r="L847" s="40" t="str">
        <f aca="false">IF(OR($J847="",$K847=""),"",$J847+MATCH($K847,Listas!$F$5:$F$11,0)-1)</f>
        <v/>
      </c>
      <c r="M847" s="41"/>
      <c r="N847" s="36"/>
      <c r="O847" s="41"/>
      <c r="P847" s="35"/>
      <c r="Q847" s="35"/>
      <c r="R847" s="42" t="str">
        <f aca="true">IF($E847="","",IF($N847="Cancelada","Cancelada",IF(OR($M847&lt;&gt;"",$N847="Concluída"),IF(OR($L847="",$M847="",$M847&lt;=$L847),"Concluída","Concluída com atraso"),IF($L847="","Na carteira",IF($L847&lt;TODAY(),"VENCIDA",IF($N847="Em execução","Em execução",IF($L847=TODAY(),"Hoje","Programada")))))))</f>
        <v/>
      </c>
      <c r="S847" s="34" t="str">
        <f aca="false">IF($E847="","",IF(ISNUMBER(SEARCH("(externo)",$G847&amp;$H847&amp;$I847)),"Terceirizada","Interna"))</f>
        <v/>
      </c>
      <c r="T847" s="40" t="str">
        <f aca="false">IF($L847="","",IF($O847="",$L847,$O847))</f>
        <v/>
      </c>
      <c r="U847" s="34" t="str">
        <f aca="false">IF($E847="","",IF(OR($M847="",$L847=""),0,IF($M847&lt;=$L847,1,0)))</f>
        <v/>
      </c>
      <c r="V847" s="34" t="str">
        <f aca="false">IF($E847="","",IF(OR($M847="",$T847=""),0,IF($M847&lt;=$T847,1,0)))</f>
        <v/>
      </c>
      <c r="W847" s="42" t="str">
        <f aca="false">IF(OR($M847="",$L847=""),"",MAX(0,$M847-$L847))</f>
        <v/>
      </c>
      <c r="X847" s="34" t="str">
        <f aca="false">IF($E847="","",IF(AND($O847&lt;&gt;"",$L847&lt;&gt;"",$O847&lt;&gt;$L847),1,0))</f>
        <v/>
      </c>
      <c r="Y847" s="34" t="str">
        <f aca="false">IF($E847="","",IF($N847="Cancelada",0,IF(OR($M847&lt;&gt;"",$N847="Concluída"),1,0)))</f>
        <v/>
      </c>
    </row>
    <row r="848" customFormat="false" ht="15" hidden="false" customHeight="true" outlineLevel="0" collapsed="false">
      <c r="A848" s="34" t="str">
        <f aca="false">IF($E848="","",COUNTA($E$5:$E848))</f>
        <v/>
      </c>
      <c r="B848" s="35"/>
      <c r="C848" s="35"/>
      <c r="D848" s="35"/>
      <c r="E848" s="35"/>
      <c r="F848" s="36"/>
      <c r="G848" s="37"/>
      <c r="H848" s="37"/>
      <c r="I848" s="37"/>
      <c r="J848" s="38"/>
      <c r="K848" s="39"/>
      <c r="L848" s="40" t="str">
        <f aca="false">IF(OR($J848="",$K848=""),"",$J848+MATCH($K848,Listas!$F$5:$F$11,0)-1)</f>
        <v/>
      </c>
      <c r="M848" s="41"/>
      <c r="N848" s="36"/>
      <c r="O848" s="41"/>
      <c r="P848" s="35"/>
      <c r="Q848" s="35"/>
      <c r="R848" s="42" t="str">
        <f aca="true">IF($E848="","",IF($N848="Cancelada","Cancelada",IF(OR($M848&lt;&gt;"",$N848="Concluída"),IF(OR($L848="",$M848="",$M848&lt;=$L848),"Concluída","Concluída com atraso"),IF($L848="","Na carteira",IF($L848&lt;TODAY(),"VENCIDA",IF($N848="Em execução","Em execução",IF($L848=TODAY(),"Hoje","Programada")))))))</f>
        <v/>
      </c>
      <c r="S848" s="34" t="str">
        <f aca="false">IF($E848="","",IF(ISNUMBER(SEARCH("(externo)",$G848&amp;$H848&amp;$I848)),"Terceirizada","Interna"))</f>
        <v/>
      </c>
      <c r="T848" s="40" t="str">
        <f aca="false">IF($L848="","",IF($O848="",$L848,$O848))</f>
        <v/>
      </c>
      <c r="U848" s="34" t="str">
        <f aca="false">IF($E848="","",IF(OR($M848="",$L848=""),0,IF($M848&lt;=$L848,1,0)))</f>
        <v/>
      </c>
      <c r="V848" s="34" t="str">
        <f aca="false">IF($E848="","",IF(OR($M848="",$T848=""),0,IF($M848&lt;=$T848,1,0)))</f>
        <v/>
      </c>
      <c r="W848" s="42" t="str">
        <f aca="false">IF(OR($M848="",$L848=""),"",MAX(0,$M848-$L848))</f>
        <v/>
      </c>
      <c r="X848" s="34" t="str">
        <f aca="false">IF($E848="","",IF(AND($O848&lt;&gt;"",$L848&lt;&gt;"",$O848&lt;&gt;$L848),1,0))</f>
        <v/>
      </c>
      <c r="Y848" s="34" t="str">
        <f aca="false">IF($E848="","",IF($N848="Cancelada",0,IF(OR($M848&lt;&gt;"",$N848="Concluída"),1,0)))</f>
        <v/>
      </c>
    </row>
    <row r="849" customFormat="false" ht="15" hidden="false" customHeight="true" outlineLevel="0" collapsed="false">
      <c r="A849" s="34" t="str">
        <f aca="false">IF($E849="","",COUNTA($E$5:$E849))</f>
        <v/>
      </c>
      <c r="B849" s="35"/>
      <c r="C849" s="35"/>
      <c r="D849" s="35"/>
      <c r="E849" s="35"/>
      <c r="F849" s="36"/>
      <c r="G849" s="37"/>
      <c r="H849" s="37"/>
      <c r="I849" s="37"/>
      <c r="J849" s="38"/>
      <c r="K849" s="39"/>
      <c r="L849" s="40" t="str">
        <f aca="false">IF(OR($J849="",$K849=""),"",$J849+MATCH($K849,Listas!$F$5:$F$11,0)-1)</f>
        <v/>
      </c>
      <c r="M849" s="41"/>
      <c r="N849" s="36"/>
      <c r="O849" s="41"/>
      <c r="P849" s="35"/>
      <c r="Q849" s="35"/>
      <c r="R849" s="42" t="str">
        <f aca="true">IF($E849="","",IF($N849="Cancelada","Cancelada",IF(OR($M849&lt;&gt;"",$N849="Concluída"),IF(OR($L849="",$M849="",$M849&lt;=$L849),"Concluída","Concluída com atraso"),IF($L849="","Na carteira",IF($L849&lt;TODAY(),"VENCIDA",IF($N849="Em execução","Em execução",IF($L849=TODAY(),"Hoje","Programada")))))))</f>
        <v/>
      </c>
      <c r="S849" s="34" t="str">
        <f aca="false">IF($E849="","",IF(ISNUMBER(SEARCH("(externo)",$G849&amp;$H849&amp;$I849)),"Terceirizada","Interna"))</f>
        <v/>
      </c>
      <c r="T849" s="40" t="str">
        <f aca="false">IF($L849="","",IF($O849="",$L849,$O849))</f>
        <v/>
      </c>
      <c r="U849" s="34" t="str">
        <f aca="false">IF($E849="","",IF(OR($M849="",$L849=""),0,IF($M849&lt;=$L849,1,0)))</f>
        <v/>
      </c>
      <c r="V849" s="34" t="str">
        <f aca="false">IF($E849="","",IF(OR($M849="",$T849=""),0,IF($M849&lt;=$T849,1,0)))</f>
        <v/>
      </c>
      <c r="W849" s="42" t="str">
        <f aca="false">IF(OR($M849="",$L849=""),"",MAX(0,$M849-$L849))</f>
        <v/>
      </c>
      <c r="X849" s="34" t="str">
        <f aca="false">IF($E849="","",IF(AND($O849&lt;&gt;"",$L849&lt;&gt;"",$O849&lt;&gt;$L849),1,0))</f>
        <v/>
      </c>
      <c r="Y849" s="34" t="str">
        <f aca="false">IF($E849="","",IF($N849="Cancelada",0,IF(OR($M849&lt;&gt;"",$N849="Concluída"),1,0)))</f>
        <v/>
      </c>
    </row>
    <row r="850" customFormat="false" ht="15" hidden="false" customHeight="true" outlineLevel="0" collapsed="false">
      <c r="A850" s="34" t="str">
        <f aca="false">IF($E850="","",COUNTA($E$5:$E850))</f>
        <v/>
      </c>
      <c r="B850" s="35"/>
      <c r="C850" s="35"/>
      <c r="D850" s="35"/>
      <c r="E850" s="35"/>
      <c r="F850" s="36"/>
      <c r="G850" s="37"/>
      <c r="H850" s="37"/>
      <c r="I850" s="37"/>
      <c r="J850" s="38"/>
      <c r="K850" s="39"/>
      <c r="L850" s="40" t="str">
        <f aca="false">IF(OR($J850="",$K850=""),"",$J850+MATCH($K850,Listas!$F$5:$F$11,0)-1)</f>
        <v/>
      </c>
      <c r="M850" s="41"/>
      <c r="N850" s="36"/>
      <c r="O850" s="41"/>
      <c r="P850" s="35"/>
      <c r="Q850" s="35"/>
      <c r="R850" s="42" t="str">
        <f aca="true">IF($E850="","",IF($N850="Cancelada","Cancelada",IF(OR($M850&lt;&gt;"",$N850="Concluída"),IF(OR($L850="",$M850="",$M850&lt;=$L850),"Concluída","Concluída com atraso"),IF($L850="","Na carteira",IF($L850&lt;TODAY(),"VENCIDA",IF($N850="Em execução","Em execução",IF($L850=TODAY(),"Hoje","Programada")))))))</f>
        <v/>
      </c>
      <c r="S850" s="34" t="str">
        <f aca="false">IF($E850="","",IF(ISNUMBER(SEARCH("(externo)",$G850&amp;$H850&amp;$I850)),"Terceirizada","Interna"))</f>
        <v/>
      </c>
      <c r="T850" s="40" t="str">
        <f aca="false">IF($L850="","",IF($O850="",$L850,$O850))</f>
        <v/>
      </c>
      <c r="U850" s="34" t="str">
        <f aca="false">IF($E850="","",IF(OR($M850="",$L850=""),0,IF($M850&lt;=$L850,1,0)))</f>
        <v/>
      </c>
      <c r="V850" s="34" t="str">
        <f aca="false">IF($E850="","",IF(OR($M850="",$T850=""),0,IF($M850&lt;=$T850,1,0)))</f>
        <v/>
      </c>
      <c r="W850" s="42" t="str">
        <f aca="false">IF(OR($M850="",$L850=""),"",MAX(0,$M850-$L850))</f>
        <v/>
      </c>
      <c r="X850" s="34" t="str">
        <f aca="false">IF($E850="","",IF(AND($O850&lt;&gt;"",$L850&lt;&gt;"",$O850&lt;&gt;$L850),1,0))</f>
        <v/>
      </c>
      <c r="Y850" s="34" t="str">
        <f aca="false">IF($E850="","",IF($N850="Cancelada",0,IF(OR($M850&lt;&gt;"",$N850="Concluída"),1,0)))</f>
        <v/>
      </c>
    </row>
    <row r="851" customFormat="false" ht="15" hidden="false" customHeight="true" outlineLevel="0" collapsed="false">
      <c r="A851" s="34" t="str">
        <f aca="false">IF($E851="","",COUNTA($E$5:$E851))</f>
        <v/>
      </c>
      <c r="B851" s="35"/>
      <c r="C851" s="35"/>
      <c r="D851" s="35"/>
      <c r="E851" s="35"/>
      <c r="F851" s="36"/>
      <c r="G851" s="37"/>
      <c r="H851" s="37"/>
      <c r="I851" s="37"/>
      <c r="J851" s="38"/>
      <c r="K851" s="39"/>
      <c r="L851" s="40" t="str">
        <f aca="false">IF(OR($J851="",$K851=""),"",$J851+MATCH($K851,Listas!$F$5:$F$11,0)-1)</f>
        <v/>
      </c>
      <c r="M851" s="41"/>
      <c r="N851" s="36"/>
      <c r="O851" s="41"/>
      <c r="P851" s="35"/>
      <c r="Q851" s="35"/>
      <c r="R851" s="42" t="str">
        <f aca="true">IF($E851="","",IF($N851="Cancelada","Cancelada",IF(OR($M851&lt;&gt;"",$N851="Concluída"),IF(OR($L851="",$M851="",$M851&lt;=$L851),"Concluída","Concluída com atraso"),IF($L851="","Na carteira",IF($L851&lt;TODAY(),"VENCIDA",IF($N851="Em execução","Em execução",IF($L851=TODAY(),"Hoje","Programada")))))))</f>
        <v/>
      </c>
      <c r="S851" s="34" t="str">
        <f aca="false">IF($E851="","",IF(ISNUMBER(SEARCH("(externo)",$G851&amp;$H851&amp;$I851)),"Terceirizada","Interna"))</f>
        <v/>
      </c>
      <c r="T851" s="40" t="str">
        <f aca="false">IF($L851="","",IF($O851="",$L851,$O851))</f>
        <v/>
      </c>
      <c r="U851" s="34" t="str">
        <f aca="false">IF($E851="","",IF(OR($M851="",$L851=""),0,IF($M851&lt;=$L851,1,0)))</f>
        <v/>
      </c>
      <c r="V851" s="34" t="str">
        <f aca="false">IF($E851="","",IF(OR($M851="",$T851=""),0,IF($M851&lt;=$T851,1,0)))</f>
        <v/>
      </c>
      <c r="W851" s="42" t="str">
        <f aca="false">IF(OR($M851="",$L851=""),"",MAX(0,$M851-$L851))</f>
        <v/>
      </c>
      <c r="X851" s="34" t="str">
        <f aca="false">IF($E851="","",IF(AND($O851&lt;&gt;"",$L851&lt;&gt;"",$O851&lt;&gt;$L851),1,0))</f>
        <v/>
      </c>
      <c r="Y851" s="34" t="str">
        <f aca="false">IF($E851="","",IF($N851="Cancelada",0,IF(OR($M851&lt;&gt;"",$N851="Concluída"),1,0)))</f>
        <v/>
      </c>
    </row>
    <row r="852" customFormat="false" ht="15" hidden="false" customHeight="true" outlineLevel="0" collapsed="false">
      <c r="A852" s="34" t="str">
        <f aca="false">IF($E852="","",COUNTA($E$5:$E852))</f>
        <v/>
      </c>
      <c r="B852" s="35"/>
      <c r="C852" s="35"/>
      <c r="D852" s="35"/>
      <c r="E852" s="35"/>
      <c r="F852" s="36"/>
      <c r="G852" s="37"/>
      <c r="H852" s="37"/>
      <c r="I852" s="37"/>
      <c r="J852" s="38"/>
      <c r="K852" s="39"/>
      <c r="L852" s="40" t="str">
        <f aca="false">IF(OR($J852="",$K852=""),"",$J852+MATCH($K852,Listas!$F$5:$F$11,0)-1)</f>
        <v/>
      </c>
      <c r="M852" s="41"/>
      <c r="N852" s="36"/>
      <c r="O852" s="41"/>
      <c r="P852" s="35"/>
      <c r="Q852" s="35"/>
      <c r="R852" s="42" t="str">
        <f aca="true">IF($E852="","",IF($N852="Cancelada","Cancelada",IF(OR($M852&lt;&gt;"",$N852="Concluída"),IF(OR($L852="",$M852="",$M852&lt;=$L852),"Concluída","Concluída com atraso"),IF($L852="","Na carteira",IF($L852&lt;TODAY(),"VENCIDA",IF($N852="Em execução","Em execução",IF($L852=TODAY(),"Hoje","Programada")))))))</f>
        <v/>
      </c>
      <c r="S852" s="34" t="str">
        <f aca="false">IF($E852="","",IF(ISNUMBER(SEARCH("(externo)",$G852&amp;$H852&amp;$I852)),"Terceirizada","Interna"))</f>
        <v/>
      </c>
      <c r="T852" s="40" t="str">
        <f aca="false">IF($L852="","",IF($O852="",$L852,$O852))</f>
        <v/>
      </c>
      <c r="U852" s="34" t="str">
        <f aca="false">IF($E852="","",IF(OR($M852="",$L852=""),0,IF($M852&lt;=$L852,1,0)))</f>
        <v/>
      </c>
      <c r="V852" s="34" t="str">
        <f aca="false">IF($E852="","",IF(OR($M852="",$T852=""),0,IF($M852&lt;=$T852,1,0)))</f>
        <v/>
      </c>
      <c r="W852" s="42" t="str">
        <f aca="false">IF(OR($M852="",$L852=""),"",MAX(0,$M852-$L852))</f>
        <v/>
      </c>
      <c r="X852" s="34" t="str">
        <f aca="false">IF($E852="","",IF(AND($O852&lt;&gt;"",$L852&lt;&gt;"",$O852&lt;&gt;$L852),1,0))</f>
        <v/>
      </c>
      <c r="Y852" s="34" t="str">
        <f aca="false">IF($E852="","",IF($N852="Cancelada",0,IF(OR($M852&lt;&gt;"",$N852="Concluída"),1,0)))</f>
        <v/>
      </c>
    </row>
    <row r="853" customFormat="false" ht="15" hidden="false" customHeight="true" outlineLevel="0" collapsed="false">
      <c r="A853" s="34" t="str">
        <f aca="false">IF($E853="","",COUNTA($E$5:$E853))</f>
        <v/>
      </c>
      <c r="B853" s="35"/>
      <c r="C853" s="35"/>
      <c r="D853" s="35"/>
      <c r="E853" s="35"/>
      <c r="F853" s="36"/>
      <c r="G853" s="37"/>
      <c r="H853" s="37"/>
      <c r="I853" s="37"/>
      <c r="J853" s="38"/>
      <c r="K853" s="39"/>
      <c r="L853" s="40" t="str">
        <f aca="false">IF(OR($J853="",$K853=""),"",$J853+MATCH($K853,Listas!$F$5:$F$11,0)-1)</f>
        <v/>
      </c>
      <c r="M853" s="41"/>
      <c r="N853" s="36"/>
      <c r="O853" s="41"/>
      <c r="P853" s="35"/>
      <c r="Q853" s="35"/>
      <c r="R853" s="42" t="str">
        <f aca="true">IF($E853="","",IF($N853="Cancelada","Cancelada",IF(OR($M853&lt;&gt;"",$N853="Concluída"),IF(OR($L853="",$M853="",$M853&lt;=$L853),"Concluída","Concluída com atraso"),IF($L853="","Na carteira",IF($L853&lt;TODAY(),"VENCIDA",IF($N853="Em execução","Em execução",IF($L853=TODAY(),"Hoje","Programada")))))))</f>
        <v/>
      </c>
      <c r="S853" s="34" t="str">
        <f aca="false">IF($E853="","",IF(ISNUMBER(SEARCH("(externo)",$G853&amp;$H853&amp;$I853)),"Terceirizada","Interna"))</f>
        <v/>
      </c>
      <c r="T853" s="40" t="str">
        <f aca="false">IF($L853="","",IF($O853="",$L853,$O853))</f>
        <v/>
      </c>
      <c r="U853" s="34" t="str">
        <f aca="false">IF($E853="","",IF(OR($M853="",$L853=""),0,IF($M853&lt;=$L853,1,0)))</f>
        <v/>
      </c>
      <c r="V853" s="34" t="str">
        <f aca="false">IF($E853="","",IF(OR($M853="",$T853=""),0,IF($M853&lt;=$T853,1,0)))</f>
        <v/>
      </c>
      <c r="W853" s="42" t="str">
        <f aca="false">IF(OR($M853="",$L853=""),"",MAX(0,$M853-$L853))</f>
        <v/>
      </c>
      <c r="X853" s="34" t="str">
        <f aca="false">IF($E853="","",IF(AND($O853&lt;&gt;"",$L853&lt;&gt;"",$O853&lt;&gt;$L853),1,0))</f>
        <v/>
      </c>
      <c r="Y853" s="34" t="str">
        <f aca="false">IF($E853="","",IF($N853="Cancelada",0,IF(OR($M853&lt;&gt;"",$N853="Concluída"),1,0)))</f>
        <v/>
      </c>
    </row>
    <row r="854" customFormat="false" ht="15" hidden="false" customHeight="true" outlineLevel="0" collapsed="false">
      <c r="A854" s="34" t="str">
        <f aca="false">IF($E854="","",COUNTA($E$5:$E854))</f>
        <v/>
      </c>
      <c r="B854" s="35"/>
      <c r="C854" s="35"/>
      <c r="D854" s="35"/>
      <c r="E854" s="35"/>
      <c r="F854" s="36"/>
      <c r="G854" s="37"/>
      <c r="H854" s="37"/>
      <c r="I854" s="37"/>
      <c r="J854" s="38"/>
      <c r="K854" s="39"/>
      <c r="L854" s="40" t="str">
        <f aca="false">IF(OR($J854="",$K854=""),"",$J854+MATCH($K854,Listas!$F$5:$F$11,0)-1)</f>
        <v/>
      </c>
      <c r="M854" s="41"/>
      <c r="N854" s="36"/>
      <c r="O854" s="41"/>
      <c r="P854" s="35"/>
      <c r="Q854" s="35"/>
      <c r="R854" s="42" t="str">
        <f aca="true">IF($E854="","",IF($N854="Cancelada","Cancelada",IF(OR($M854&lt;&gt;"",$N854="Concluída"),IF(OR($L854="",$M854="",$M854&lt;=$L854),"Concluída","Concluída com atraso"),IF($L854="","Na carteira",IF($L854&lt;TODAY(),"VENCIDA",IF($N854="Em execução","Em execução",IF($L854=TODAY(),"Hoje","Programada")))))))</f>
        <v/>
      </c>
      <c r="S854" s="34" t="str">
        <f aca="false">IF($E854="","",IF(ISNUMBER(SEARCH("(externo)",$G854&amp;$H854&amp;$I854)),"Terceirizada","Interna"))</f>
        <v/>
      </c>
      <c r="T854" s="40" t="str">
        <f aca="false">IF($L854="","",IF($O854="",$L854,$O854))</f>
        <v/>
      </c>
      <c r="U854" s="34" t="str">
        <f aca="false">IF($E854="","",IF(OR($M854="",$L854=""),0,IF($M854&lt;=$L854,1,0)))</f>
        <v/>
      </c>
      <c r="V854" s="34" t="str">
        <f aca="false">IF($E854="","",IF(OR($M854="",$T854=""),0,IF($M854&lt;=$T854,1,0)))</f>
        <v/>
      </c>
      <c r="W854" s="42" t="str">
        <f aca="false">IF(OR($M854="",$L854=""),"",MAX(0,$M854-$L854))</f>
        <v/>
      </c>
      <c r="X854" s="34" t="str">
        <f aca="false">IF($E854="","",IF(AND($O854&lt;&gt;"",$L854&lt;&gt;"",$O854&lt;&gt;$L854),1,0))</f>
        <v/>
      </c>
      <c r="Y854" s="34" t="str">
        <f aca="false">IF($E854="","",IF($N854="Cancelada",0,IF(OR($M854&lt;&gt;"",$N854="Concluída"),1,0)))</f>
        <v/>
      </c>
    </row>
    <row r="855" customFormat="false" ht="15" hidden="false" customHeight="true" outlineLevel="0" collapsed="false">
      <c r="A855" s="34" t="str">
        <f aca="false">IF($E855="","",COUNTA($E$5:$E855))</f>
        <v/>
      </c>
      <c r="B855" s="35"/>
      <c r="C855" s="35"/>
      <c r="D855" s="35"/>
      <c r="E855" s="35"/>
      <c r="F855" s="36"/>
      <c r="G855" s="37"/>
      <c r="H855" s="37"/>
      <c r="I855" s="37"/>
      <c r="J855" s="38"/>
      <c r="K855" s="39"/>
      <c r="L855" s="40" t="str">
        <f aca="false">IF(OR($J855="",$K855=""),"",$J855+MATCH($K855,Listas!$F$5:$F$11,0)-1)</f>
        <v/>
      </c>
      <c r="M855" s="41"/>
      <c r="N855" s="36"/>
      <c r="O855" s="41"/>
      <c r="P855" s="35"/>
      <c r="Q855" s="35"/>
      <c r="R855" s="42" t="str">
        <f aca="true">IF($E855="","",IF($N855="Cancelada","Cancelada",IF(OR($M855&lt;&gt;"",$N855="Concluída"),IF(OR($L855="",$M855="",$M855&lt;=$L855),"Concluída","Concluída com atraso"),IF($L855="","Na carteira",IF($L855&lt;TODAY(),"VENCIDA",IF($N855="Em execução","Em execução",IF($L855=TODAY(),"Hoje","Programada")))))))</f>
        <v/>
      </c>
      <c r="S855" s="34" t="str">
        <f aca="false">IF($E855="","",IF(ISNUMBER(SEARCH("(externo)",$G855&amp;$H855&amp;$I855)),"Terceirizada","Interna"))</f>
        <v/>
      </c>
      <c r="T855" s="40" t="str">
        <f aca="false">IF($L855="","",IF($O855="",$L855,$O855))</f>
        <v/>
      </c>
      <c r="U855" s="34" t="str">
        <f aca="false">IF($E855="","",IF(OR($M855="",$L855=""),0,IF($M855&lt;=$L855,1,0)))</f>
        <v/>
      </c>
      <c r="V855" s="34" t="str">
        <f aca="false">IF($E855="","",IF(OR($M855="",$T855=""),0,IF($M855&lt;=$T855,1,0)))</f>
        <v/>
      </c>
      <c r="W855" s="42" t="str">
        <f aca="false">IF(OR($M855="",$L855=""),"",MAX(0,$M855-$L855))</f>
        <v/>
      </c>
      <c r="X855" s="34" t="str">
        <f aca="false">IF($E855="","",IF(AND($O855&lt;&gt;"",$L855&lt;&gt;"",$O855&lt;&gt;$L855),1,0))</f>
        <v/>
      </c>
      <c r="Y855" s="34" t="str">
        <f aca="false">IF($E855="","",IF($N855="Cancelada",0,IF(OR($M855&lt;&gt;"",$N855="Concluída"),1,0)))</f>
        <v/>
      </c>
    </row>
    <row r="856" customFormat="false" ht="15" hidden="false" customHeight="true" outlineLevel="0" collapsed="false">
      <c r="A856" s="34" t="str">
        <f aca="false">IF($E856="","",COUNTA($E$5:$E856))</f>
        <v/>
      </c>
      <c r="B856" s="35"/>
      <c r="C856" s="35"/>
      <c r="D856" s="35"/>
      <c r="E856" s="35"/>
      <c r="F856" s="36"/>
      <c r="G856" s="37"/>
      <c r="H856" s="37"/>
      <c r="I856" s="37"/>
      <c r="J856" s="38"/>
      <c r="K856" s="39"/>
      <c r="L856" s="40" t="str">
        <f aca="false">IF(OR($J856="",$K856=""),"",$J856+MATCH($K856,Listas!$F$5:$F$11,0)-1)</f>
        <v/>
      </c>
      <c r="M856" s="41"/>
      <c r="N856" s="36"/>
      <c r="O856" s="41"/>
      <c r="P856" s="35"/>
      <c r="Q856" s="35"/>
      <c r="R856" s="42" t="str">
        <f aca="true">IF($E856="","",IF($N856="Cancelada","Cancelada",IF(OR($M856&lt;&gt;"",$N856="Concluída"),IF(OR($L856="",$M856="",$M856&lt;=$L856),"Concluída","Concluída com atraso"),IF($L856="","Na carteira",IF($L856&lt;TODAY(),"VENCIDA",IF($N856="Em execução","Em execução",IF($L856=TODAY(),"Hoje","Programada")))))))</f>
        <v/>
      </c>
      <c r="S856" s="34" t="str">
        <f aca="false">IF($E856="","",IF(ISNUMBER(SEARCH("(externo)",$G856&amp;$H856&amp;$I856)),"Terceirizada","Interna"))</f>
        <v/>
      </c>
      <c r="T856" s="40" t="str">
        <f aca="false">IF($L856="","",IF($O856="",$L856,$O856))</f>
        <v/>
      </c>
      <c r="U856" s="34" t="str">
        <f aca="false">IF($E856="","",IF(OR($M856="",$L856=""),0,IF($M856&lt;=$L856,1,0)))</f>
        <v/>
      </c>
      <c r="V856" s="34" t="str">
        <f aca="false">IF($E856="","",IF(OR($M856="",$T856=""),0,IF($M856&lt;=$T856,1,0)))</f>
        <v/>
      </c>
      <c r="W856" s="42" t="str">
        <f aca="false">IF(OR($M856="",$L856=""),"",MAX(0,$M856-$L856))</f>
        <v/>
      </c>
      <c r="X856" s="34" t="str">
        <f aca="false">IF($E856="","",IF(AND($O856&lt;&gt;"",$L856&lt;&gt;"",$O856&lt;&gt;$L856),1,0))</f>
        <v/>
      </c>
      <c r="Y856" s="34" t="str">
        <f aca="false">IF($E856="","",IF($N856="Cancelada",0,IF(OR($M856&lt;&gt;"",$N856="Concluída"),1,0)))</f>
        <v/>
      </c>
    </row>
    <row r="857" customFormat="false" ht="15" hidden="false" customHeight="true" outlineLevel="0" collapsed="false">
      <c r="A857" s="34" t="str">
        <f aca="false">IF($E857="","",COUNTA($E$5:$E857))</f>
        <v/>
      </c>
      <c r="B857" s="35"/>
      <c r="C857" s="35"/>
      <c r="D857" s="35"/>
      <c r="E857" s="35"/>
      <c r="F857" s="36"/>
      <c r="G857" s="37"/>
      <c r="H857" s="37"/>
      <c r="I857" s="37"/>
      <c r="J857" s="38"/>
      <c r="K857" s="39"/>
      <c r="L857" s="40" t="str">
        <f aca="false">IF(OR($J857="",$K857=""),"",$J857+MATCH($K857,Listas!$F$5:$F$11,0)-1)</f>
        <v/>
      </c>
      <c r="M857" s="41"/>
      <c r="N857" s="36"/>
      <c r="O857" s="41"/>
      <c r="P857" s="35"/>
      <c r="Q857" s="35"/>
      <c r="R857" s="42" t="str">
        <f aca="true">IF($E857="","",IF($N857="Cancelada","Cancelada",IF(OR($M857&lt;&gt;"",$N857="Concluída"),IF(OR($L857="",$M857="",$M857&lt;=$L857),"Concluída","Concluída com atraso"),IF($L857="","Na carteira",IF($L857&lt;TODAY(),"VENCIDA",IF($N857="Em execução","Em execução",IF($L857=TODAY(),"Hoje","Programada")))))))</f>
        <v/>
      </c>
      <c r="S857" s="34" t="str">
        <f aca="false">IF($E857="","",IF(ISNUMBER(SEARCH("(externo)",$G857&amp;$H857&amp;$I857)),"Terceirizada","Interna"))</f>
        <v/>
      </c>
      <c r="T857" s="40" t="str">
        <f aca="false">IF($L857="","",IF($O857="",$L857,$O857))</f>
        <v/>
      </c>
      <c r="U857" s="34" t="str">
        <f aca="false">IF($E857="","",IF(OR($M857="",$L857=""),0,IF($M857&lt;=$L857,1,0)))</f>
        <v/>
      </c>
      <c r="V857" s="34" t="str">
        <f aca="false">IF($E857="","",IF(OR($M857="",$T857=""),0,IF($M857&lt;=$T857,1,0)))</f>
        <v/>
      </c>
      <c r="W857" s="42" t="str">
        <f aca="false">IF(OR($M857="",$L857=""),"",MAX(0,$M857-$L857))</f>
        <v/>
      </c>
      <c r="X857" s="34" t="str">
        <f aca="false">IF($E857="","",IF(AND($O857&lt;&gt;"",$L857&lt;&gt;"",$O857&lt;&gt;$L857),1,0))</f>
        <v/>
      </c>
      <c r="Y857" s="34" t="str">
        <f aca="false">IF($E857="","",IF($N857="Cancelada",0,IF(OR($M857&lt;&gt;"",$N857="Concluída"),1,0)))</f>
        <v/>
      </c>
    </row>
    <row r="858" customFormat="false" ht="15" hidden="false" customHeight="true" outlineLevel="0" collapsed="false">
      <c r="A858" s="34" t="str">
        <f aca="false">IF($E858="","",COUNTA($E$5:$E858))</f>
        <v/>
      </c>
      <c r="B858" s="35"/>
      <c r="C858" s="35"/>
      <c r="D858" s="35"/>
      <c r="E858" s="35"/>
      <c r="F858" s="36"/>
      <c r="G858" s="37"/>
      <c r="H858" s="37"/>
      <c r="I858" s="37"/>
      <c r="J858" s="38"/>
      <c r="K858" s="39"/>
      <c r="L858" s="40" t="str">
        <f aca="false">IF(OR($J858="",$K858=""),"",$J858+MATCH($K858,Listas!$F$5:$F$11,0)-1)</f>
        <v/>
      </c>
      <c r="M858" s="41"/>
      <c r="N858" s="36"/>
      <c r="O858" s="41"/>
      <c r="P858" s="35"/>
      <c r="Q858" s="35"/>
      <c r="R858" s="42" t="str">
        <f aca="true">IF($E858="","",IF($N858="Cancelada","Cancelada",IF(OR($M858&lt;&gt;"",$N858="Concluída"),IF(OR($L858="",$M858="",$M858&lt;=$L858),"Concluída","Concluída com atraso"),IF($L858="","Na carteira",IF($L858&lt;TODAY(),"VENCIDA",IF($N858="Em execução","Em execução",IF($L858=TODAY(),"Hoje","Programada")))))))</f>
        <v/>
      </c>
      <c r="S858" s="34" t="str">
        <f aca="false">IF($E858="","",IF(ISNUMBER(SEARCH("(externo)",$G858&amp;$H858&amp;$I858)),"Terceirizada","Interna"))</f>
        <v/>
      </c>
      <c r="T858" s="40" t="str">
        <f aca="false">IF($L858="","",IF($O858="",$L858,$O858))</f>
        <v/>
      </c>
      <c r="U858" s="34" t="str">
        <f aca="false">IF($E858="","",IF(OR($M858="",$L858=""),0,IF($M858&lt;=$L858,1,0)))</f>
        <v/>
      </c>
      <c r="V858" s="34" t="str">
        <f aca="false">IF($E858="","",IF(OR($M858="",$T858=""),0,IF($M858&lt;=$T858,1,0)))</f>
        <v/>
      </c>
      <c r="W858" s="42" t="str">
        <f aca="false">IF(OR($M858="",$L858=""),"",MAX(0,$M858-$L858))</f>
        <v/>
      </c>
      <c r="X858" s="34" t="str">
        <f aca="false">IF($E858="","",IF(AND($O858&lt;&gt;"",$L858&lt;&gt;"",$O858&lt;&gt;$L858),1,0))</f>
        <v/>
      </c>
      <c r="Y858" s="34" t="str">
        <f aca="false">IF($E858="","",IF($N858="Cancelada",0,IF(OR($M858&lt;&gt;"",$N858="Concluída"),1,0)))</f>
        <v/>
      </c>
    </row>
    <row r="859" customFormat="false" ht="15" hidden="false" customHeight="true" outlineLevel="0" collapsed="false">
      <c r="A859" s="34" t="str">
        <f aca="false">IF($E859="","",COUNTA($E$5:$E859))</f>
        <v/>
      </c>
      <c r="B859" s="35"/>
      <c r="C859" s="35"/>
      <c r="D859" s="35"/>
      <c r="E859" s="35"/>
      <c r="F859" s="36"/>
      <c r="G859" s="37"/>
      <c r="H859" s="37"/>
      <c r="I859" s="37"/>
      <c r="J859" s="38"/>
      <c r="K859" s="39"/>
      <c r="L859" s="40" t="str">
        <f aca="false">IF(OR($J859="",$K859=""),"",$J859+MATCH($K859,Listas!$F$5:$F$11,0)-1)</f>
        <v/>
      </c>
      <c r="M859" s="41"/>
      <c r="N859" s="36"/>
      <c r="O859" s="41"/>
      <c r="P859" s="35"/>
      <c r="Q859" s="35"/>
      <c r="R859" s="42" t="str">
        <f aca="true">IF($E859="","",IF($N859="Cancelada","Cancelada",IF(OR($M859&lt;&gt;"",$N859="Concluída"),IF(OR($L859="",$M859="",$M859&lt;=$L859),"Concluída","Concluída com atraso"),IF($L859="","Na carteira",IF($L859&lt;TODAY(),"VENCIDA",IF($N859="Em execução","Em execução",IF($L859=TODAY(),"Hoje","Programada")))))))</f>
        <v/>
      </c>
      <c r="S859" s="34" t="str">
        <f aca="false">IF($E859="","",IF(ISNUMBER(SEARCH("(externo)",$G859&amp;$H859&amp;$I859)),"Terceirizada","Interna"))</f>
        <v/>
      </c>
      <c r="T859" s="40" t="str">
        <f aca="false">IF($L859="","",IF($O859="",$L859,$O859))</f>
        <v/>
      </c>
      <c r="U859" s="34" t="str">
        <f aca="false">IF($E859="","",IF(OR($M859="",$L859=""),0,IF($M859&lt;=$L859,1,0)))</f>
        <v/>
      </c>
      <c r="V859" s="34" t="str">
        <f aca="false">IF($E859="","",IF(OR($M859="",$T859=""),0,IF($M859&lt;=$T859,1,0)))</f>
        <v/>
      </c>
      <c r="W859" s="42" t="str">
        <f aca="false">IF(OR($M859="",$L859=""),"",MAX(0,$M859-$L859))</f>
        <v/>
      </c>
      <c r="X859" s="34" t="str">
        <f aca="false">IF($E859="","",IF(AND($O859&lt;&gt;"",$L859&lt;&gt;"",$O859&lt;&gt;$L859),1,0))</f>
        <v/>
      </c>
      <c r="Y859" s="34" t="str">
        <f aca="false">IF($E859="","",IF($N859="Cancelada",0,IF(OR($M859&lt;&gt;"",$N859="Concluída"),1,0)))</f>
        <v/>
      </c>
    </row>
    <row r="860" customFormat="false" ht="15" hidden="false" customHeight="true" outlineLevel="0" collapsed="false">
      <c r="A860" s="34" t="str">
        <f aca="false">IF($E860="","",COUNTA($E$5:$E860))</f>
        <v/>
      </c>
      <c r="B860" s="35"/>
      <c r="C860" s="35"/>
      <c r="D860" s="35"/>
      <c r="E860" s="35"/>
      <c r="F860" s="36"/>
      <c r="G860" s="37"/>
      <c r="H860" s="37"/>
      <c r="I860" s="37"/>
      <c r="J860" s="38"/>
      <c r="K860" s="39"/>
      <c r="L860" s="40" t="str">
        <f aca="false">IF(OR($J860="",$K860=""),"",$J860+MATCH($K860,Listas!$F$5:$F$11,0)-1)</f>
        <v/>
      </c>
      <c r="M860" s="41"/>
      <c r="N860" s="36"/>
      <c r="O860" s="41"/>
      <c r="P860" s="35"/>
      <c r="Q860" s="35"/>
      <c r="R860" s="42" t="str">
        <f aca="true">IF($E860="","",IF($N860="Cancelada","Cancelada",IF(OR($M860&lt;&gt;"",$N860="Concluída"),IF(OR($L860="",$M860="",$M860&lt;=$L860),"Concluída","Concluída com atraso"),IF($L860="","Na carteira",IF($L860&lt;TODAY(),"VENCIDA",IF($N860="Em execução","Em execução",IF($L860=TODAY(),"Hoje","Programada")))))))</f>
        <v/>
      </c>
      <c r="S860" s="34" t="str">
        <f aca="false">IF($E860="","",IF(ISNUMBER(SEARCH("(externo)",$G860&amp;$H860&amp;$I860)),"Terceirizada","Interna"))</f>
        <v/>
      </c>
      <c r="T860" s="40" t="str">
        <f aca="false">IF($L860="","",IF($O860="",$L860,$O860))</f>
        <v/>
      </c>
      <c r="U860" s="34" t="str">
        <f aca="false">IF($E860="","",IF(OR($M860="",$L860=""),0,IF($M860&lt;=$L860,1,0)))</f>
        <v/>
      </c>
      <c r="V860" s="34" t="str">
        <f aca="false">IF($E860="","",IF(OR($M860="",$T860=""),0,IF($M860&lt;=$T860,1,0)))</f>
        <v/>
      </c>
      <c r="W860" s="42" t="str">
        <f aca="false">IF(OR($M860="",$L860=""),"",MAX(0,$M860-$L860))</f>
        <v/>
      </c>
      <c r="X860" s="34" t="str">
        <f aca="false">IF($E860="","",IF(AND($O860&lt;&gt;"",$L860&lt;&gt;"",$O860&lt;&gt;$L860),1,0))</f>
        <v/>
      </c>
      <c r="Y860" s="34" t="str">
        <f aca="false">IF($E860="","",IF($N860="Cancelada",0,IF(OR($M860&lt;&gt;"",$N860="Concluída"),1,0)))</f>
        <v/>
      </c>
    </row>
    <row r="861" customFormat="false" ht="15" hidden="false" customHeight="true" outlineLevel="0" collapsed="false">
      <c r="A861" s="34" t="str">
        <f aca="false">IF($E861="","",COUNTA($E$5:$E861))</f>
        <v/>
      </c>
      <c r="B861" s="35"/>
      <c r="C861" s="35"/>
      <c r="D861" s="35"/>
      <c r="E861" s="35"/>
      <c r="F861" s="36"/>
      <c r="G861" s="37"/>
      <c r="H861" s="37"/>
      <c r="I861" s="37"/>
      <c r="J861" s="38"/>
      <c r="K861" s="39"/>
      <c r="L861" s="40" t="str">
        <f aca="false">IF(OR($J861="",$K861=""),"",$J861+MATCH($K861,Listas!$F$5:$F$11,0)-1)</f>
        <v/>
      </c>
      <c r="M861" s="41"/>
      <c r="N861" s="36"/>
      <c r="O861" s="41"/>
      <c r="P861" s="35"/>
      <c r="Q861" s="35"/>
      <c r="R861" s="42" t="str">
        <f aca="true">IF($E861="","",IF($N861="Cancelada","Cancelada",IF(OR($M861&lt;&gt;"",$N861="Concluída"),IF(OR($L861="",$M861="",$M861&lt;=$L861),"Concluída","Concluída com atraso"),IF($L861="","Na carteira",IF($L861&lt;TODAY(),"VENCIDA",IF($N861="Em execução","Em execução",IF($L861=TODAY(),"Hoje","Programada")))))))</f>
        <v/>
      </c>
      <c r="S861" s="34" t="str">
        <f aca="false">IF($E861="","",IF(ISNUMBER(SEARCH("(externo)",$G861&amp;$H861&amp;$I861)),"Terceirizada","Interna"))</f>
        <v/>
      </c>
      <c r="T861" s="40" t="str">
        <f aca="false">IF($L861="","",IF($O861="",$L861,$O861))</f>
        <v/>
      </c>
      <c r="U861" s="34" t="str">
        <f aca="false">IF($E861="","",IF(OR($M861="",$L861=""),0,IF($M861&lt;=$L861,1,0)))</f>
        <v/>
      </c>
      <c r="V861" s="34" t="str">
        <f aca="false">IF($E861="","",IF(OR($M861="",$T861=""),0,IF($M861&lt;=$T861,1,0)))</f>
        <v/>
      </c>
      <c r="W861" s="42" t="str">
        <f aca="false">IF(OR($M861="",$L861=""),"",MAX(0,$M861-$L861))</f>
        <v/>
      </c>
      <c r="X861" s="34" t="str">
        <f aca="false">IF($E861="","",IF(AND($O861&lt;&gt;"",$L861&lt;&gt;"",$O861&lt;&gt;$L861),1,0))</f>
        <v/>
      </c>
      <c r="Y861" s="34" t="str">
        <f aca="false">IF($E861="","",IF($N861="Cancelada",0,IF(OR($M861&lt;&gt;"",$N861="Concluída"),1,0)))</f>
        <v/>
      </c>
    </row>
    <row r="862" customFormat="false" ht="15" hidden="false" customHeight="true" outlineLevel="0" collapsed="false">
      <c r="A862" s="34" t="str">
        <f aca="false">IF($E862="","",COUNTA($E$5:$E862))</f>
        <v/>
      </c>
      <c r="B862" s="35"/>
      <c r="C862" s="35"/>
      <c r="D862" s="35"/>
      <c r="E862" s="35"/>
      <c r="F862" s="36"/>
      <c r="G862" s="37"/>
      <c r="H862" s="37"/>
      <c r="I862" s="37"/>
      <c r="J862" s="38"/>
      <c r="K862" s="39"/>
      <c r="L862" s="40" t="str">
        <f aca="false">IF(OR($J862="",$K862=""),"",$J862+MATCH($K862,Listas!$F$5:$F$11,0)-1)</f>
        <v/>
      </c>
      <c r="M862" s="41"/>
      <c r="N862" s="36"/>
      <c r="O862" s="41"/>
      <c r="P862" s="35"/>
      <c r="Q862" s="35"/>
      <c r="R862" s="42" t="str">
        <f aca="true">IF($E862="","",IF($N862="Cancelada","Cancelada",IF(OR($M862&lt;&gt;"",$N862="Concluída"),IF(OR($L862="",$M862="",$M862&lt;=$L862),"Concluída","Concluída com atraso"),IF($L862="","Na carteira",IF($L862&lt;TODAY(),"VENCIDA",IF($N862="Em execução","Em execução",IF($L862=TODAY(),"Hoje","Programada")))))))</f>
        <v/>
      </c>
      <c r="S862" s="34" t="str">
        <f aca="false">IF($E862="","",IF(ISNUMBER(SEARCH("(externo)",$G862&amp;$H862&amp;$I862)),"Terceirizada","Interna"))</f>
        <v/>
      </c>
      <c r="T862" s="40" t="str">
        <f aca="false">IF($L862="","",IF($O862="",$L862,$O862))</f>
        <v/>
      </c>
      <c r="U862" s="34" t="str">
        <f aca="false">IF($E862="","",IF(OR($M862="",$L862=""),0,IF($M862&lt;=$L862,1,0)))</f>
        <v/>
      </c>
      <c r="V862" s="34" t="str">
        <f aca="false">IF($E862="","",IF(OR($M862="",$T862=""),0,IF($M862&lt;=$T862,1,0)))</f>
        <v/>
      </c>
      <c r="W862" s="42" t="str">
        <f aca="false">IF(OR($M862="",$L862=""),"",MAX(0,$M862-$L862))</f>
        <v/>
      </c>
      <c r="X862" s="34" t="str">
        <f aca="false">IF($E862="","",IF(AND($O862&lt;&gt;"",$L862&lt;&gt;"",$O862&lt;&gt;$L862),1,0))</f>
        <v/>
      </c>
      <c r="Y862" s="34" t="str">
        <f aca="false">IF($E862="","",IF($N862="Cancelada",0,IF(OR($M862&lt;&gt;"",$N862="Concluída"),1,0)))</f>
        <v/>
      </c>
    </row>
    <row r="863" customFormat="false" ht="15" hidden="false" customHeight="true" outlineLevel="0" collapsed="false">
      <c r="A863" s="34" t="str">
        <f aca="false">IF($E863="","",COUNTA($E$5:$E863))</f>
        <v/>
      </c>
      <c r="B863" s="35"/>
      <c r="C863" s="35"/>
      <c r="D863" s="35"/>
      <c r="E863" s="35"/>
      <c r="F863" s="36"/>
      <c r="G863" s="37"/>
      <c r="H863" s="37"/>
      <c r="I863" s="37"/>
      <c r="J863" s="38"/>
      <c r="K863" s="39"/>
      <c r="L863" s="40" t="str">
        <f aca="false">IF(OR($J863="",$K863=""),"",$J863+MATCH($K863,Listas!$F$5:$F$11,0)-1)</f>
        <v/>
      </c>
      <c r="M863" s="41"/>
      <c r="N863" s="36"/>
      <c r="O863" s="41"/>
      <c r="P863" s="35"/>
      <c r="Q863" s="35"/>
      <c r="R863" s="42" t="str">
        <f aca="true">IF($E863="","",IF($N863="Cancelada","Cancelada",IF(OR($M863&lt;&gt;"",$N863="Concluída"),IF(OR($L863="",$M863="",$M863&lt;=$L863),"Concluída","Concluída com atraso"),IF($L863="","Na carteira",IF($L863&lt;TODAY(),"VENCIDA",IF($N863="Em execução","Em execução",IF($L863=TODAY(),"Hoje","Programada")))))))</f>
        <v/>
      </c>
      <c r="S863" s="34" t="str">
        <f aca="false">IF($E863="","",IF(ISNUMBER(SEARCH("(externo)",$G863&amp;$H863&amp;$I863)),"Terceirizada","Interna"))</f>
        <v/>
      </c>
      <c r="T863" s="40" t="str">
        <f aca="false">IF($L863="","",IF($O863="",$L863,$O863))</f>
        <v/>
      </c>
      <c r="U863" s="34" t="str">
        <f aca="false">IF($E863="","",IF(OR($M863="",$L863=""),0,IF($M863&lt;=$L863,1,0)))</f>
        <v/>
      </c>
      <c r="V863" s="34" t="str">
        <f aca="false">IF($E863="","",IF(OR($M863="",$T863=""),0,IF($M863&lt;=$T863,1,0)))</f>
        <v/>
      </c>
      <c r="W863" s="42" t="str">
        <f aca="false">IF(OR($M863="",$L863=""),"",MAX(0,$M863-$L863))</f>
        <v/>
      </c>
      <c r="X863" s="34" t="str">
        <f aca="false">IF($E863="","",IF(AND($O863&lt;&gt;"",$L863&lt;&gt;"",$O863&lt;&gt;$L863),1,0))</f>
        <v/>
      </c>
      <c r="Y863" s="34" t="str">
        <f aca="false">IF($E863="","",IF($N863="Cancelada",0,IF(OR($M863&lt;&gt;"",$N863="Concluída"),1,0)))</f>
        <v/>
      </c>
    </row>
    <row r="864" customFormat="false" ht="15" hidden="false" customHeight="true" outlineLevel="0" collapsed="false">
      <c r="A864" s="34" t="str">
        <f aca="false">IF($E864="","",COUNTA($E$5:$E864))</f>
        <v/>
      </c>
      <c r="B864" s="35"/>
      <c r="C864" s="35"/>
      <c r="D864" s="35"/>
      <c r="E864" s="35"/>
      <c r="F864" s="36"/>
      <c r="G864" s="37"/>
      <c r="H864" s="37"/>
      <c r="I864" s="37"/>
      <c r="J864" s="38"/>
      <c r="K864" s="39"/>
      <c r="L864" s="40" t="str">
        <f aca="false">IF(OR($J864="",$K864=""),"",$J864+MATCH($K864,Listas!$F$5:$F$11,0)-1)</f>
        <v/>
      </c>
      <c r="M864" s="41"/>
      <c r="N864" s="36"/>
      <c r="O864" s="41"/>
      <c r="P864" s="35"/>
      <c r="Q864" s="35"/>
      <c r="R864" s="42" t="str">
        <f aca="true">IF($E864="","",IF($N864="Cancelada","Cancelada",IF(OR($M864&lt;&gt;"",$N864="Concluída"),IF(OR($L864="",$M864="",$M864&lt;=$L864),"Concluída","Concluída com atraso"),IF($L864="","Na carteira",IF($L864&lt;TODAY(),"VENCIDA",IF($N864="Em execução","Em execução",IF($L864=TODAY(),"Hoje","Programada")))))))</f>
        <v/>
      </c>
      <c r="S864" s="34" t="str">
        <f aca="false">IF($E864="","",IF(ISNUMBER(SEARCH("(externo)",$G864&amp;$H864&amp;$I864)),"Terceirizada","Interna"))</f>
        <v/>
      </c>
      <c r="T864" s="40" t="str">
        <f aca="false">IF($L864="","",IF($O864="",$L864,$O864))</f>
        <v/>
      </c>
      <c r="U864" s="34" t="str">
        <f aca="false">IF($E864="","",IF(OR($M864="",$L864=""),0,IF($M864&lt;=$L864,1,0)))</f>
        <v/>
      </c>
      <c r="V864" s="34" t="str">
        <f aca="false">IF($E864="","",IF(OR($M864="",$T864=""),0,IF($M864&lt;=$T864,1,0)))</f>
        <v/>
      </c>
      <c r="W864" s="42" t="str">
        <f aca="false">IF(OR($M864="",$L864=""),"",MAX(0,$M864-$L864))</f>
        <v/>
      </c>
      <c r="X864" s="34" t="str">
        <f aca="false">IF($E864="","",IF(AND($O864&lt;&gt;"",$L864&lt;&gt;"",$O864&lt;&gt;$L864),1,0))</f>
        <v/>
      </c>
      <c r="Y864" s="34" t="str">
        <f aca="false">IF($E864="","",IF($N864="Cancelada",0,IF(OR($M864&lt;&gt;"",$N864="Concluída"),1,0)))</f>
        <v/>
      </c>
    </row>
    <row r="865" customFormat="false" ht="15" hidden="false" customHeight="true" outlineLevel="0" collapsed="false">
      <c r="A865" s="34" t="str">
        <f aca="false">IF($E865="","",COUNTA($E$5:$E865))</f>
        <v/>
      </c>
      <c r="B865" s="35"/>
      <c r="C865" s="35"/>
      <c r="D865" s="35"/>
      <c r="E865" s="35"/>
      <c r="F865" s="36"/>
      <c r="G865" s="37"/>
      <c r="H865" s="37"/>
      <c r="I865" s="37"/>
      <c r="J865" s="38"/>
      <c r="K865" s="39"/>
      <c r="L865" s="40" t="str">
        <f aca="false">IF(OR($J865="",$K865=""),"",$J865+MATCH($K865,Listas!$F$5:$F$11,0)-1)</f>
        <v/>
      </c>
      <c r="M865" s="41"/>
      <c r="N865" s="36"/>
      <c r="O865" s="41"/>
      <c r="P865" s="35"/>
      <c r="Q865" s="35"/>
      <c r="R865" s="42" t="str">
        <f aca="true">IF($E865="","",IF($N865="Cancelada","Cancelada",IF(OR($M865&lt;&gt;"",$N865="Concluída"),IF(OR($L865="",$M865="",$M865&lt;=$L865),"Concluída","Concluída com atraso"),IF($L865="","Na carteira",IF($L865&lt;TODAY(),"VENCIDA",IF($N865="Em execução","Em execução",IF($L865=TODAY(),"Hoje","Programada")))))))</f>
        <v/>
      </c>
      <c r="S865" s="34" t="str">
        <f aca="false">IF($E865="","",IF(ISNUMBER(SEARCH("(externo)",$G865&amp;$H865&amp;$I865)),"Terceirizada","Interna"))</f>
        <v/>
      </c>
      <c r="T865" s="40" t="str">
        <f aca="false">IF($L865="","",IF($O865="",$L865,$O865))</f>
        <v/>
      </c>
      <c r="U865" s="34" t="str">
        <f aca="false">IF($E865="","",IF(OR($M865="",$L865=""),0,IF($M865&lt;=$L865,1,0)))</f>
        <v/>
      </c>
      <c r="V865" s="34" t="str">
        <f aca="false">IF($E865="","",IF(OR($M865="",$T865=""),0,IF($M865&lt;=$T865,1,0)))</f>
        <v/>
      </c>
      <c r="W865" s="42" t="str">
        <f aca="false">IF(OR($M865="",$L865=""),"",MAX(0,$M865-$L865))</f>
        <v/>
      </c>
      <c r="X865" s="34" t="str">
        <f aca="false">IF($E865="","",IF(AND($O865&lt;&gt;"",$L865&lt;&gt;"",$O865&lt;&gt;$L865),1,0))</f>
        <v/>
      </c>
      <c r="Y865" s="34" t="str">
        <f aca="false">IF($E865="","",IF($N865="Cancelada",0,IF(OR($M865&lt;&gt;"",$N865="Concluída"),1,0)))</f>
        <v/>
      </c>
    </row>
    <row r="866" customFormat="false" ht="15" hidden="false" customHeight="true" outlineLevel="0" collapsed="false">
      <c r="A866" s="34" t="str">
        <f aca="false">IF($E866="","",COUNTA($E$5:$E866))</f>
        <v/>
      </c>
      <c r="B866" s="35"/>
      <c r="C866" s="35"/>
      <c r="D866" s="35"/>
      <c r="E866" s="35"/>
      <c r="F866" s="36"/>
      <c r="G866" s="37"/>
      <c r="H866" s="37"/>
      <c r="I866" s="37"/>
      <c r="J866" s="38"/>
      <c r="K866" s="39"/>
      <c r="L866" s="40" t="str">
        <f aca="false">IF(OR($J866="",$K866=""),"",$J866+MATCH($K866,Listas!$F$5:$F$11,0)-1)</f>
        <v/>
      </c>
      <c r="M866" s="41"/>
      <c r="N866" s="36"/>
      <c r="O866" s="41"/>
      <c r="P866" s="35"/>
      <c r="Q866" s="35"/>
      <c r="R866" s="42" t="str">
        <f aca="true">IF($E866="","",IF($N866="Cancelada","Cancelada",IF(OR($M866&lt;&gt;"",$N866="Concluída"),IF(OR($L866="",$M866="",$M866&lt;=$L866),"Concluída","Concluída com atraso"),IF($L866="","Na carteira",IF($L866&lt;TODAY(),"VENCIDA",IF($N866="Em execução","Em execução",IF($L866=TODAY(),"Hoje","Programada")))))))</f>
        <v/>
      </c>
      <c r="S866" s="34" t="str">
        <f aca="false">IF($E866="","",IF(ISNUMBER(SEARCH("(externo)",$G866&amp;$H866&amp;$I866)),"Terceirizada","Interna"))</f>
        <v/>
      </c>
      <c r="T866" s="40" t="str">
        <f aca="false">IF($L866="","",IF($O866="",$L866,$O866))</f>
        <v/>
      </c>
      <c r="U866" s="34" t="str">
        <f aca="false">IF($E866="","",IF(OR($M866="",$L866=""),0,IF($M866&lt;=$L866,1,0)))</f>
        <v/>
      </c>
      <c r="V866" s="34" t="str">
        <f aca="false">IF($E866="","",IF(OR($M866="",$T866=""),0,IF($M866&lt;=$T866,1,0)))</f>
        <v/>
      </c>
      <c r="W866" s="42" t="str">
        <f aca="false">IF(OR($M866="",$L866=""),"",MAX(0,$M866-$L866))</f>
        <v/>
      </c>
      <c r="X866" s="34" t="str">
        <f aca="false">IF($E866="","",IF(AND($O866&lt;&gt;"",$L866&lt;&gt;"",$O866&lt;&gt;$L866),1,0))</f>
        <v/>
      </c>
      <c r="Y866" s="34" t="str">
        <f aca="false">IF($E866="","",IF($N866="Cancelada",0,IF(OR($M866&lt;&gt;"",$N866="Concluída"),1,0)))</f>
        <v/>
      </c>
    </row>
    <row r="867" customFormat="false" ht="15" hidden="false" customHeight="true" outlineLevel="0" collapsed="false">
      <c r="A867" s="34" t="str">
        <f aca="false">IF($E867="","",COUNTA($E$5:$E867))</f>
        <v/>
      </c>
      <c r="B867" s="35"/>
      <c r="C867" s="35"/>
      <c r="D867" s="35"/>
      <c r="E867" s="35"/>
      <c r="F867" s="36"/>
      <c r="G867" s="37"/>
      <c r="H867" s="37"/>
      <c r="I867" s="37"/>
      <c r="J867" s="38"/>
      <c r="K867" s="39"/>
      <c r="L867" s="40" t="str">
        <f aca="false">IF(OR($J867="",$K867=""),"",$J867+MATCH($K867,Listas!$F$5:$F$11,0)-1)</f>
        <v/>
      </c>
      <c r="M867" s="41"/>
      <c r="N867" s="36"/>
      <c r="O867" s="41"/>
      <c r="P867" s="35"/>
      <c r="Q867" s="35"/>
      <c r="R867" s="42" t="str">
        <f aca="true">IF($E867="","",IF($N867="Cancelada","Cancelada",IF(OR($M867&lt;&gt;"",$N867="Concluída"),IF(OR($L867="",$M867="",$M867&lt;=$L867),"Concluída","Concluída com atraso"),IF($L867="","Na carteira",IF($L867&lt;TODAY(),"VENCIDA",IF($N867="Em execução","Em execução",IF($L867=TODAY(),"Hoje","Programada")))))))</f>
        <v/>
      </c>
      <c r="S867" s="34" t="str">
        <f aca="false">IF($E867="","",IF(ISNUMBER(SEARCH("(externo)",$G867&amp;$H867&amp;$I867)),"Terceirizada","Interna"))</f>
        <v/>
      </c>
      <c r="T867" s="40" t="str">
        <f aca="false">IF($L867="","",IF($O867="",$L867,$O867))</f>
        <v/>
      </c>
      <c r="U867" s="34" t="str">
        <f aca="false">IF($E867="","",IF(OR($M867="",$L867=""),0,IF($M867&lt;=$L867,1,0)))</f>
        <v/>
      </c>
      <c r="V867" s="34" t="str">
        <f aca="false">IF($E867="","",IF(OR($M867="",$T867=""),0,IF($M867&lt;=$T867,1,0)))</f>
        <v/>
      </c>
      <c r="W867" s="42" t="str">
        <f aca="false">IF(OR($M867="",$L867=""),"",MAX(0,$M867-$L867))</f>
        <v/>
      </c>
      <c r="X867" s="34" t="str">
        <f aca="false">IF($E867="","",IF(AND($O867&lt;&gt;"",$L867&lt;&gt;"",$O867&lt;&gt;$L867),1,0))</f>
        <v/>
      </c>
      <c r="Y867" s="34" t="str">
        <f aca="false">IF($E867="","",IF($N867="Cancelada",0,IF(OR($M867&lt;&gt;"",$N867="Concluída"),1,0)))</f>
        <v/>
      </c>
    </row>
    <row r="868" customFormat="false" ht="15" hidden="false" customHeight="true" outlineLevel="0" collapsed="false">
      <c r="A868" s="34" t="str">
        <f aca="false">IF($E868="","",COUNTA($E$5:$E868))</f>
        <v/>
      </c>
      <c r="B868" s="35"/>
      <c r="C868" s="35"/>
      <c r="D868" s="35"/>
      <c r="E868" s="35"/>
      <c r="F868" s="36"/>
      <c r="G868" s="37"/>
      <c r="H868" s="37"/>
      <c r="I868" s="37"/>
      <c r="J868" s="38"/>
      <c r="K868" s="39"/>
      <c r="L868" s="40" t="str">
        <f aca="false">IF(OR($J868="",$K868=""),"",$J868+MATCH($K868,Listas!$F$5:$F$11,0)-1)</f>
        <v/>
      </c>
      <c r="M868" s="41"/>
      <c r="N868" s="36"/>
      <c r="O868" s="41"/>
      <c r="P868" s="35"/>
      <c r="Q868" s="35"/>
      <c r="R868" s="42" t="str">
        <f aca="true">IF($E868="","",IF($N868="Cancelada","Cancelada",IF(OR($M868&lt;&gt;"",$N868="Concluída"),IF(OR($L868="",$M868="",$M868&lt;=$L868),"Concluída","Concluída com atraso"),IF($L868="","Na carteira",IF($L868&lt;TODAY(),"VENCIDA",IF($N868="Em execução","Em execução",IF($L868=TODAY(),"Hoje","Programada")))))))</f>
        <v/>
      </c>
      <c r="S868" s="34" t="str">
        <f aca="false">IF($E868="","",IF(ISNUMBER(SEARCH("(externo)",$G868&amp;$H868&amp;$I868)),"Terceirizada","Interna"))</f>
        <v/>
      </c>
      <c r="T868" s="40" t="str">
        <f aca="false">IF($L868="","",IF($O868="",$L868,$O868))</f>
        <v/>
      </c>
      <c r="U868" s="34" t="str">
        <f aca="false">IF($E868="","",IF(OR($M868="",$L868=""),0,IF($M868&lt;=$L868,1,0)))</f>
        <v/>
      </c>
      <c r="V868" s="34" t="str">
        <f aca="false">IF($E868="","",IF(OR($M868="",$T868=""),0,IF($M868&lt;=$T868,1,0)))</f>
        <v/>
      </c>
      <c r="W868" s="42" t="str">
        <f aca="false">IF(OR($M868="",$L868=""),"",MAX(0,$M868-$L868))</f>
        <v/>
      </c>
      <c r="X868" s="34" t="str">
        <f aca="false">IF($E868="","",IF(AND($O868&lt;&gt;"",$L868&lt;&gt;"",$O868&lt;&gt;$L868),1,0))</f>
        <v/>
      </c>
      <c r="Y868" s="34" t="str">
        <f aca="false">IF($E868="","",IF($N868="Cancelada",0,IF(OR($M868&lt;&gt;"",$N868="Concluída"),1,0)))</f>
        <v/>
      </c>
    </row>
    <row r="869" customFormat="false" ht="15" hidden="false" customHeight="true" outlineLevel="0" collapsed="false">
      <c r="A869" s="34" t="str">
        <f aca="false">IF($E869="","",COUNTA($E$5:$E869))</f>
        <v/>
      </c>
      <c r="B869" s="35"/>
      <c r="C869" s="35"/>
      <c r="D869" s="35"/>
      <c r="E869" s="35"/>
      <c r="F869" s="36"/>
      <c r="G869" s="37"/>
      <c r="H869" s="37"/>
      <c r="I869" s="37"/>
      <c r="J869" s="38"/>
      <c r="K869" s="39"/>
      <c r="L869" s="40" t="str">
        <f aca="false">IF(OR($J869="",$K869=""),"",$J869+MATCH($K869,Listas!$F$5:$F$11,0)-1)</f>
        <v/>
      </c>
      <c r="M869" s="41"/>
      <c r="N869" s="36"/>
      <c r="O869" s="41"/>
      <c r="P869" s="35"/>
      <c r="Q869" s="35"/>
      <c r="R869" s="42" t="str">
        <f aca="true">IF($E869="","",IF($N869="Cancelada","Cancelada",IF(OR($M869&lt;&gt;"",$N869="Concluída"),IF(OR($L869="",$M869="",$M869&lt;=$L869),"Concluída","Concluída com atraso"),IF($L869="","Na carteira",IF($L869&lt;TODAY(),"VENCIDA",IF($N869="Em execução","Em execução",IF($L869=TODAY(),"Hoje","Programada")))))))</f>
        <v/>
      </c>
      <c r="S869" s="34" t="str">
        <f aca="false">IF($E869="","",IF(ISNUMBER(SEARCH("(externo)",$G869&amp;$H869&amp;$I869)),"Terceirizada","Interna"))</f>
        <v/>
      </c>
      <c r="T869" s="40" t="str">
        <f aca="false">IF($L869="","",IF($O869="",$L869,$O869))</f>
        <v/>
      </c>
      <c r="U869" s="34" t="str">
        <f aca="false">IF($E869="","",IF(OR($M869="",$L869=""),0,IF($M869&lt;=$L869,1,0)))</f>
        <v/>
      </c>
      <c r="V869" s="34" t="str">
        <f aca="false">IF($E869="","",IF(OR($M869="",$T869=""),0,IF($M869&lt;=$T869,1,0)))</f>
        <v/>
      </c>
      <c r="W869" s="42" t="str">
        <f aca="false">IF(OR($M869="",$L869=""),"",MAX(0,$M869-$L869))</f>
        <v/>
      </c>
      <c r="X869" s="34" t="str">
        <f aca="false">IF($E869="","",IF(AND($O869&lt;&gt;"",$L869&lt;&gt;"",$O869&lt;&gt;$L869),1,0))</f>
        <v/>
      </c>
      <c r="Y869" s="34" t="str">
        <f aca="false">IF($E869="","",IF($N869="Cancelada",0,IF(OR($M869&lt;&gt;"",$N869="Concluída"),1,0)))</f>
        <v/>
      </c>
    </row>
    <row r="870" customFormat="false" ht="15" hidden="false" customHeight="true" outlineLevel="0" collapsed="false">
      <c r="A870" s="34" t="str">
        <f aca="false">IF($E870="","",COUNTA($E$5:$E870))</f>
        <v/>
      </c>
      <c r="B870" s="35"/>
      <c r="C870" s="35"/>
      <c r="D870" s="35"/>
      <c r="E870" s="35"/>
      <c r="F870" s="36"/>
      <c r="G870" s="37"/>
      <c r="H870" s="37"/>
      <c r="I870" s="37"/>
      <c r="J870" s="38"/>
      <c r="K870" s="39"/>
      <c r="L870" s="40" t="str">
        <f aca="false">IF(OR($J870="",$K870=""),"",$J870+MATCH($K870,Listas!$F$5:$F$11,0)-1)</f>
        <v/>
      </c>
      <c r="M870" s="41"/>
      <c r="N870" s="36"/>
      <c r="O870" s="41"/>
      <c r="P870" s="35"/>
      <c r="Q870" s="35"/>
      <c r="R870" s="42" t="str">
        <f aca="true">IF($E870="","",IF($N870="Cancelada","Cancelada",IF(OR($M870&lt;&gt;"",$N870="Concluída"),IF(OR($L870="",$M870="",$M870&lt;=$L870),"Concluída","Concluída com atraso"),IF($L870="","Na carteira",IF($L870&lt;TODAY(),"VENCIDA",IF($N870="Em execução","Em execução",IF($L870=TODAY(),"Hoje","Programada")))))))</f>
        <v/>
      </c>
      <c r="S870" s="34" t="str">
        <f aca="false">IF($E870="","",IF(ISNUMBER(SEARCH("(externo)",$G870&amp;$H870&amp;$I870)),"Terceirizada","Interna"))</f>
        <v/>
      </c>
      <c r="T870" s="40" t="str">
        <f aca="false">IF($L870="","",IF($O870="",$L870,$O870))</f>
        <v/>
      </c>
      <c r="U870" s="34" t="str">
        <f aca="false">IF($E870="","",IF(OR($M870="",$L870=""),0,IF($M870&lt;=$L870,1,0)))</f>
        <v/>
      </c>
      <c r="V870" s="34" t="str">
        <f aca="false">IF($E870="","",IF(OR($M870="",$T870=""),0,IF($M870&lt;=$T870,1,0)))</f>
        <v/>
      </c>
      <c r="W870" s="42" t="str">
        <f aca="false">IF(OR($M870="",$L870=""),"",MAX(0,$M870-$L870))</f>
        <v/>
      </c>
      <c r="X870" s="34" t="str">
        <f aca="false">IF($E870="","",IF(AND($O870&lt;&gt;"",$L870&lt;&gt;"",$O870&lt;&gt;$L870),1,0))</f>
        <v/>
      </c>
      <c r="Y870" s="34" t="str">
        <f aca="false">IF($E870="","",IF($N870="Cancelada",0,IF(OR($M870&lt;&gt;"",$N870="Concluída"),1,0)))</f>
        <v/>
      </c>
    </row>
    <row r="871" customFormat="false" ht="15" hidden="false" customHeight="true" outlineLevel="0" collapsed="false">
      <c r="A871" s="34" t="str">
        <f aca="false">IF($E871="","",COUNTA($E$5:$E871))</f>
        <v/>
      </c>
      <c r="B871" s="35"/>
      <c r="C871" s="35"/>
      <c r="D871" s="35"/>
      <c r="E871" s="35"/>
      <c r="F871" s="36"/>
      <c r="G871" s="37"/>
      <c r="H871" s="37"/>
      <c r="I871" s="37"/>
      <c r="J871" s="38"/>
      <c r="K871" s="39"/>
      <c r="L871" s="40" t="str">
        <f aca="false">IF(OR($J871="",$K871=""),"",$J871+MATCH($K871,Listas!$F$5:$F$11,0)-1)</f>
        <v/>
      </c>
      <c r="M871" s="41"/>
      <c r="N871" s="36"/>
      <c r="O871" s="41"/>
      <c r="P871" s="35"/>
      <c r="Q871" s="35"/>
      <c r="R871" s="42" t="str">
        <f aca="true">IF($E871="","",IF($N871="Cancelada","Cancelada",IF(OR($M871&lt;&gt;"",$N871="Concluída"),IF(OR($L871="",$M871="",$M871&lt;=$L871),"Concluída","Concluída com atraso"),IF($L871="","Na carteira",IF($L871&lt;TODAY(),"VENCIDA",IF($N871="Em execução","Em execução",IF($L871=TODAY(),"Hoje","Programada")))))))</f>
        <v/>
      </c>
      <c r="S871" s="34" t="str">
        <f aca="false">IF($E871="","",IF(ISNUMBER(SEARCH("(externo)",$G871&amp;$H871&amp;$I871)),"Terceirizada","Interna"))</f>
        <v/>
      </c>
      <c r="T871" s="40" t="str">
        <f aca="false">IF($L871="","",IF($O871="",$L871,$O871))</f>
        <v/>
      </c>
      <c r="U871" s="34" t="str">
        <f aca="false">IF($E871="","",IF(OR($M871="",$L871=""),0,IF($M871&lt;=$L871,1,0)))</f>
        <v/>
      </c>
      <c r="V871" s="34" t="str">
        <f aca="false">IF($E871="","",IF(OR($M871="",$T871=""),0,IF($M871&lt;=$T871,1,0)))</f>
        <v/>
      </c>
      <c r="W871" s="42" t="str">
        <f aca="false">IF(OR($M871="",$L871=""),"",MAX(0,$M871-$L871))</f>
        <v/>
      </c>
      <c r="X871" s="34" t="str">
        <f aca="false">IF($E871="","",IF(AND($O871&lt;&gt;"",$L871&lt;&gt;"",$O871&lt;&gt;$L871),1,0))</f>
        <v/>
      </c>
      <c r="Y871" s="34" t="str">
        <f aca="false">IF($E871="","",IF($N871="Cancelada",0,IF(OR($M871&lt;&gt;"",$N871="Concluída"),1,0)))</f>
        <v/>
      </c>
    </row>
    <row r="872" customFormat="false" ht="15" hidden="false" customHeight="true" outlineLevel="0" collapsed="false">
      <c r="A872" s="34" t="str">
        <f aca="false">IF($E872="","",COUNTA($E$5:$E872))</f>
        <v/>
      </c>
      <c r="B872" s="35"/>
      <c r="C872" s="35"/>
      <c r="D872" s="35"/>
      <c r="E872" s="35"/>
      <c r="F872" s="36"/>
      <c r="G872" s="37"/>
      <c r="H872" s="37"/>
      <c r="I872" s="37"/>
      <c r="J872" s="38"/>
      <c r="K872" s="39"/>
      <c r="L872" s="40" t="str">
        <f aca="false">IF(OR($J872="",$K872=""),"",$J872+MATCH($K872,Listas!$F$5:$F$11,0)-1)</f>
        <v/>
      </c>
      <c r="M872" s="41"/>
      <c r="N872" s="36"/>
      <c r="O872" s="41"/>
      <c r="P872" s="35"/>
      <c r="Q872" s="35"/>
      <c r="R872" s="42" t="str">
        <f aca="true">IF($E872="","",IF($N872="Cancelada","Cancelada",IF(OR($M872&lt;&gt;"",$N872="Concluída"),IF(OR($L872="",$M872="",$M872&lt;=$L872),"Concluída","Concluída com atraso"),IF($L872="","Na carteira",IF($L872&lt;TODAY(),"VENCIDA",IF($N872="Em execução","Em execução",IF($L872=TODAY(),"Hoje","Programada")))))))</f>
        <v/>
      </c>
      <c r="S872" s="34" t="str">
        <f aca="false">IF($E872="","",IF(ISNUMBER(SEARCH("(externo)",$G872&amp;$H872&amp;$I872)),"Terceirizada","Interna"))</f>
        <v/>
      </c>
      <c r="T872" s="40" t="str">
        <f aca="false">IF($L872="","",IF($O872="",$L872,$O872))</f>
        <v/>
      </c>
      <c r="U872" s="34" t="str">
        <f aca="false">IF($E872="","",IF(OR($M872="",$L872=""),0,IF($M872&lt;=$L872,1,0)))</f>
        <v/>
      </c>
      <c r="V872" s="34" t="str">
        <f aca="false">IF($E872="","",IF(OR($M872="",$T872=""),0,IF($M872&lt;=$T872,1,0)))</f>
        <v/>
      </c>
      <c r="W872" s="42" t="str">
        <f aca="false">IF(OR($M872="",$L872=""),"",MAX(0,$M872-$L872))</f>
        <v/>
      </c>
      <c r="X872" s="34" t="str">
        <f aca="false">IF($E872="","",IF(AND($O872&lt;&gt;"",$L872&lt;&gt;"",$O872&lt;&gt;$L872),1,0))</f>
        <v/>
      </c>
      <c r="Y872" s="34" t="str">
        <f aca="false">IF($E872="","",IF($N872="Cancelada",0,IF(OR($M872&lt;&gt;"",$N872="Concluída"),1,0)))</f>
        <v/>
      </c>
    </row>
    <row r="873" customFormat="false" ht="15" hidden="false" customHeight="true" outlineLevel="0" collapsed="false">
      <c r="A873" s="34" t="str">
        <f aca="false">IF($E873="","",COUNTA($E$5:$E873))</f>
        <v/>
      </c>
      <c r="B873" s="35"/>
      <c r="C873" s="35"/>
      <c r="D873" s="35"/>
      <c r="E873" s="35"/>
      <c r="F873" s="36"/>
      <c r="G873" s="37"/>
      <c r="H873" s="37"/>
      <c r="I873" s="37"/>
      <c r="J873" s="38"/>
      <c r="K873" s="39"/>
      <c r="L873" s="40" t="str">
        <f aca="false">IF(OR($J873="",$K873=""),"",$J873+MATCH($K873,Listas!$F$5:$F$11,0)-1)</f>
        <v/>
      </c>
      <c r="M873" s="41"/>
      <c r="N873" s="36"/>
      <c r="O873" s="41"/>
      <c r="P873" s="35"/>
      <c r="Q873" s="35"/>
      <c r="R873" s="42" t="str">
        <f aca="true">IF($E873="","",IF($N873="Cancelada","Cancelada",IF(OR($M873&lt;&gt;"",$N873="Concluída"),IF(OR($L873="",$M873="",$M873&lt;=$L873),"Concluída","Concluída com atraso"),IF($L873="","Na carteira",IF($L873&lt;TODAY(),"VENCIDA",IF($N873="Em execução","Em execução",IF($L873=TODAY(),"Hoje","Programada")))))))</f>
        <v/>
      </c>
      <c r="S873" s="34" t="str">
        <f aca="false">IF($E873="","",IF(ISNUMBER(SEARCH("(externo)",$G873&amp;$H873&amp;$I873)),"Terceirizada","Interna"))</f>
        <v/>
      </c>
      <c r="T873" s="40" t="str">
        <f aca="false">IF($L873="","",IF($O873="",$L873,$O873))</f>
        <v/>
      </c>
      <c r="U873" s="34" t="str">
        <f aca="false">IF($E873="","",IF(OR($M873="",$L873=""),0,IF($M873&lt;=$L873,1,0)))</f>
        <v/>
      </c>
      <c r="V873" s="34" t="str">
        <f aca="false">IF($E873="","",IF(OR($M873="",$T873=""),0,IF($M873&lt;=$T873,1,0)))</f>
        <v/>
      </c>
      <c r="W873" s="42" t="str">
        <f aca="false">IF(OR($M873="",$L873=""),"",MAX(0,$M873-$L873))</f>
        <v/>
      </c>
      <c r="X873" s="34" t="str">
        <f aca="false">IF($E873="","",IF(AND($O873&lt;&gt;"",$L873&lt;&gt;"",$O873&lt;&gt;$L873),1,0))</f>
        <v/>
      </c>
      <c r="Y873" s="34" t="str">
        <f aca="false">IF($E873="","",IF($N873="Cancelada",0,IF(OR($M873&lt;&gt;"",$N873="Concluída"),1,0)))</f>
        <v/>
      </c>
    </row>
    <row r="874" customFormat="false" ht="15" hidden="false" customHeight="true" outlineLevel="0" collapsed="false">
      <c r="A874" s="34" t="str">
        <f aca="false">IF($E874="","",COUNTA($E$5:$E874))</f>
        <v/>
      </c>
      <c r="B874" s="35"/>
      <c r="C874" s="35"/>
      <c r="D874" s="35"/>
      <c r="E874" s="35"/>
      <c r="F874" s="36"/>
      <c r="G874" s="37"/>
      <c r="H874" s="37"/>
      <c r="I874" s="37"/>
      <c r="J874" s="38"/>
      <c r="K874" s="39"/>
      <c r="L874" s="40" t="str">
        <f aca="false">IF(OR($J874="",$K874=""),"",$J874+MATCH($K874,Listas!$F$5:$F$11,0)-1)</f>
        <v/>
      </c>
      <c r="M874" s="41"/>
      <c r="N874" s="36"/>
      <c r="O874" s="41"/>
      <c r="P874" s="35"/>
      <c r="Q874" s="35"/>
      <c r="R874" s="42" t="str">
        <f aca="true">IF($E874="","",IF($N874="Cancelada","Cancelada",IF(OR($M874&lt;&gt;"",$N874="Concluída"),IF(OR($L874="",$M874="",$M874&lt;=$L874),"Concluída","Concluída com atraso"),IF($L874="","Na carteira",IF($L874&lt;TODAY(),"VENCIDA",IF($N874="Em execução","Em execução",IF($L874=TODAY(),"Hoje","Programada")))))))</f>
        <v/>
      </c>
      <c r="S874" s="34" t="str">
        <f aca="false">IF($E874="","",IF(ISNUMBER(SEARCH("(externo)",$G874&amp;$H874&amp;$I874)),"Terceirizada","Interna"))</f>
        <v/>
      </c>
      <c r="T874" s="40" t="str">
        <f aca="false">IF($L874="","",IF($O874="",$L874,$O874))</f>
        <v/>
      </c>
      <c r="U874" s="34" t="str">
        <f aca="false">IF($E874="","",IF(OR($M874="",$L874=""),0,IF($M874&lt;=$L874,1,0)))</f>
        <v/>
      </c>
      <c r="V874" s="34" t="str">
        <f aca="false">IF($E874="","",IF(OR($M874="",$T874=""),0,IF($M874&lt;=$T874,1,0)))</f>
        <v/>
      </c>
      <c r="W874" s="42" t="str">
        <f aca="false">IF(OR($M874="",$L874=""),"",MAX(0,$M874-$L874))</f>
        <v/>
      </c>
      <c r="X874" s="34" t="str">
        <f aca="false">IF($E874="","",IF(AND($O874&lt;&gt;"",$L874&lt;&gt;"",$O874&lt;&gt;$L874),1,0))</f>
        <v/>
      </c>
      <c r="Y874" s="34" t="str">
        <f aca="false">IF($E874="","",IF($N874="Cancelada",0,IF(OR($M874&lt;&gt;"",$N874="Concluída"),1,0)))</f>
        <v/>
      </c>
    </row>
    <row r="875" customFormat="false" ht="15" hidden="false" customHeight="true" outlineLevel="0" collapsed="false">
      <c r="A875" s="34" t="str">
        <f aca="false">IF($E875="","",COUNTA($E$5:$E875))</f>
        <v/>
      </c>
      <c r="B875" s="35"/>
      <c r="C875" s="35"/>
      <c r="D875" s="35"/>
      <c r="E875" s="35"/>
      <c r="F875" s="36"/>
      <c r="G875" s="37"/>
      <c r="H875" s="37"/>
      <c r="I875" s="37"/>
      <c r="J875" s="38"/>
      <c r="K875" s="39"/>
      <c r="L875" s="40" t="str">
        <f aca="false">IF(OR($J875="",$K875=""),"",$J875+MATCH($K875,Listas!$F$5:$F$11,0)-1)</f>
        <v/>
      </c>
      <c r="M875" s="41"/>
      <c r="N875" s="36"/>
      <c r="O875" s="41"/>
      <c r="P875" s="35"/>
      <c r="Q875" s="35"/>
      <c r="R875" s="42" t="str">
        <f aca="true">IF($E875="","",IF($N875="Cancelada","Cancelada",IF(OR($M875&lt;&gt;"",$N875="Concluída"),IF(OR($L875="",$M875="",$M875&lt;=$L875),"Concluída","Concluída com atraso"),IF($L875="","Na carteira",IF($L875&lt;TODAY(),"VENCIDA",IF($N875="Em execução","Em execução",IF($L875=TODAY(),"Hoje","Programada")))))))</f>
        <v/>
      </c>
      <c r="S875" s="34" t="str">
        <f aca="false">IF($E875="","",IF(ISNUMBER(SEARCH("(externo)",$G875&amp;$H875&amp;$I875)),"Terceirizada","Interna"))</f>
        <v/>
      </c>
      <c r="T875" s="40" t="str">
        <f aca="false">IF($L875="","",IF($O875="",$L875,$O875))</f>
        <v/>
      </c>
      <c r="U875" s="34" t="str">
        <f aca="false">IF($E875="","",IF(OR($M875="",$L875=""),0,IF($M875&lt;=$L875,1,0)))</f>
        <v/>
      </c>
      <c r="V875" s="34" t="str">
        <f aca="false">IF($E875="","",IF(OR($M875="",$T875=""),0,IF($M875&lt;=$T875,1,0)))</f>
        <v/>
      </c>
      <c r="W875" s="42" t="str">
        <f aca="false">IF(OR($M875="",$L875=""),"",MAX(0,$M875-$L875))</f>
        <v/>
      </c>
      <c r="X875" s="34" t="str">
        <f aca="false">IF($E875="","",IF(AND($O875&lt;&gt;"",$L875&lt;&gt;"",$O875&lt;&gt;$L875),1,0))</f>
        <v/>
      </c>
      <c r="Y875" s="34" t="str">
        <f aca="false">IF($E875="","",IF($N875="Cancelada",0,IF(OR($M875&lt;&gt;"",$N875="Concluída"),1,0)))</f>
        <v/>
      </c>
    </row>
    <row r="876" customFormat="false" ht="15" hidden="false" customHeight="true" outlineLevel="0" collapsed="false">
      <c r="A876" s="34" t="str">
        <f aca="false">IF($E876="","",COUNTA($E$5:$E876))</f>
        <v/>
      </c>
      <c r="B876" s="35"/>
      <c r="C876" s="35"/>
      <c r="D876" s="35"/>
      <c r="E876" s="35"/>
      <c r="F876" s="36"/>
      <c r="G876" s="37"/>
      <c r="H876" s="37"/>
      <c r="I876" s="37"/>
      <c r="J876" s="38"/>
      <c r="K876" s="39"/>
      <c r="L876" s="40" t="str">
        <f aca="false">IF(OR($J876="",$K876=""),"",$J876+MATCH($K876,Listas!$F$5:$F$11,0)-1)</f>
        <v/>
      </c>
      <c r="M876" s="41"/>
      <c r="N876" s="36"/>
      <c r="O876" s="41"/>
      <c r="P876" s="35"/>
      <c r="Q876" s="35"/>
      <c r="R876" s="42" t="str">
        <f aca="true">IF($E876="","",IF($N876="Cancelada","Cancelada",IF(OR($M876&lt;&gt;"",$N876="Concluída"),IF(OR($L876="",$M876="",$M876&lt;=$L876),"Concluída","Concluída com atraso"),IF($L876="","Na carteira",IF($L876&lt;TODAY(),"VENCIDA",IF($N876="Em execução","Em execução",IF($L876=TODAY(),"Hoje","Programada")))))))</f>
        <v/>
      </c>
      <c r="S876" s="34" t="str">
        <f aca="false">IF($E876="","",IF(ISNUMBER(SEARCH("(externo)",$G876&amp;$H876&amp;$I876)),"Terceirizada","Interna"))</f>
        <v/>
      </c>
      <c r="T876" s="40" t="str">
        <f aca="false">IF($L876="","",IF($O876="",$L876,$O876))</f>
        <v/>
      </c>
      <c r="U876" s="34" t="str">
        <f aca="false">IF($E876="","",IF(OR($M876="",$L876=""),0,IF($M876&lt;=$L876,1,0)))</f>
        <v/>
      </c>
      <c r="V876" s="34" t="str">
        <f aca="false">IF($E876="","",IF(OR($M876="",$T876=""),0,IF($M876&lt;=$T876,1,0)))</f>
        <v/>
      </c>
      <c r="W876" s="42" t="str">
        <f aca="false">IF(OR($M876="",$L876=""),"",MAX(0,$M876-$L876))</f>
        <v/>
      </c>
      <c r="X876" s="34" t="str">
        <f aca="false">IF($E876="","",IF(AND($O876&lt;&gt;"",$L876&lt;&gt;"",$O876&lt;&gt;$L876),1,0))</f>
        <v/>
      </c>
      <c r="Y876" s="34" t="str">
        <f aca="false">IF($E876="","",IF($N876="Cancelada",0,IF(OR($M876&lt;&gt;"",$N876="Concluída"),1,0)))</f>
        <v/>
      </c>
    </row>
    <row r="877" customFormat="false" ht="15" hidden="false" customHeight="true" outlineLevel="0" collapsed="false">
      <c r="A877" s="34" t="str">
        <f aca="false">IF($E877="","",COUNTA($E$5:$E877))</f>
        <v/>
      </c>
      <c r="B877" s="35"/>
      <c r="C877" s="35"/>
      <c r="D877" s="35"/>
      <c r="E877" s="35"/>
      <c r="F877" s="36"/>
      <c r="G877" s="37"/>
      <c r="H877" s="37"/>
      <c r="I877" s="37"/>
      <c r="J877" s="38"/>
      <c r="K877" s="39"/>
      <c r="L877" s="40" t="str">
        <f aca="false">IF(OR($J877="",$K877=""),"",$J877+MATCH($K877,Listas!$F$5:$F$11,0)-1)</f>
        <v/>
      </c>
      <c r="M877" s="41"/>
      <c r="N877" s="36"/>
      <c r="O877" s="41"/>
      <c r="P877" s="35"/>
      <c r="Q877" s="35"/>
      <c r="R877" s="42" t="str">
        <f aca="true">IF($E877="","",IF($N877="Cancelada","Cancelada",IF(OR($M877&lt;&gt;"",$N877="Concluída"),IF(OR($L877="",$M877="",$M877&lt;=$L877),"Concluída","Concluída com atraso"),IF($L877="","Na carteira",IF($L877&lt;TODAY(),"VENCIDA",IF($N877="Em execução","Em execução",IF($L877=TODAY(),"Hoje","Programada")))))))</f>
        <v/>
      </c>
      <c r="S877" s="34" t="str">
        <f aca="false">IF($E877="","",IF(ISNUMBER(SEARCH("(externo)",$G877&amp;$H877&amp;$I877)),"Terceirizada","Interna"))</f>
        <v/>
      </c>
      <c r="T877" s="40" t="str">
        <f aca="false">IF($L877="","",IF($O877="",$L877,$O877))</f>
        <v/>
      </c>
      <c r="U877" s="34" t="str">
        <f aca="false">IF($E877="","",IF(OR($M877="",$L877=""),0,IF($M877&lt;=$L877,1,0)))</f>
        <v/>
      </c>
      <c r="V877" s="34" t="str">
        <f aca="false">IF($E877="","",IF(OR($M877="",$T877=""),0,IF($M877&lt;=$T877,1,0)))</f>
        <v/>
      </c>
      <c r="W877" s="42" t="str">
        <f aca="false">IF(OR($M877="",$L877=""),"",MAX(0,$M877-$L877))</f>
        <v/>
      </c>
      <c r="X877" s="34" t="str">
        <f aca="false">IF($E877="","",IF(AND($O877&lt;&gt;"",$L877&lt;&gt;"",$O877&lt;&gt;$L877),1,0))</f>
        <v/>
      </c>
      <c r="Y877" s="34" t="str">
        <f aca="false">IF($E877="","",IF($N877="Cancelada",0,IF(OR($M877&lt;&gt;"",$N877="Concluída"),1,0)))</f>
        <v/>
      </c>
    </row>
    <row r="878" customFormat="false" ht="15" hidden="false" customHeight="true" outlineLevel="0" collapsed="false">
      <c r="A878" s="34" t="str">
        <f aca="false">IF($E878="","",COUNTA($E$5:$E878))</f>
        <v/>
      </c>
      <c r="B878" s="35"/>
      <c r="C878" s="35"/>
      <c r="D878" s="35"/>
      <c r="E878" s="35"/>
      <c r="F878" s="36"/>
      <c r="G878" s="37"/>
      <c r="H878" s="37"/>
      <c r="I878" s="37"/>
      <c r="J878" s="38"/>
      <c r="K878" s="39"/>
      <c r="L878" s="40" t="str">
        <f aca="false">IF(OR($J878="",$K878=""),"",$J878+MATCH($K878,Listas!$F$5:$F$11,0)-1)</f>
        <v/>
      </c>
      <c r="M878" s="41"/>
      <c r="N878" s="36"/>
      <c r="O878" s="41"/>
      <c r="P878" s="35"/>
      <c r="Q878" s="35"/>
      <c r="R878" s="42" t="str">
        <f aca="true">IF($E878="","",IF($N878="Cancelada","Cancelada",IF(OR($M878&lt;&gt;"",$N878="Concluída"),IF(OR($L878="",$M878="",$M878&lt;=$L878),"Concluída","Concluída com atraso"),IF($L878="","Na carteira",IF($L878&lt;TODAY(),"VENCIDA",IF($N878="Em execução","Em execução",IF($L878=TODAY(),"Hoje","Programada")))))))</f>
        <v/>
      </c>
      <c r="S878" s="34" t="str">
        <f aca="false">IF($E878="","",IF(ISNUMBER(SEARCH("(externo)",$G878&amp;$H878&amp;$I878)),"Terceirizada","Interna"))</f>
        <v/>
      </c>
      <c r="T878" s="40" t="str">
        <f aca="false">IF($L878="","",IF($O878="",$L878,$O878))</f>
        <v/>
      </c>
      <c r="U878" s="34" t="str">
        <f aca="false">IF($E878="","",IF(OR($M878="",$L878=""),0,IF($M878&lt;=$L878,1,0)))</f>
        <v/>
      </c>
      <c r="V878" s="34" t="str">
        <f aca="false">IF($E878="","",IF(OR($M878="",$T878=""),0,IF($M878&lt;=$T878,1,0)))</f>
        <v/>
      </c>
      <c r="W878" s="42" t="str">
        <f aca="false">IF(OR($M878="",$L878=""),"",MAX(0,$M878-$L878))</f>
        <v/>
      </c>
      <c r="X878" s="34" t="str">
        <f aca="false">IF($E878="","",IF(AND($O878&lt;&gt;"",$L878&lt;&gt;"",$O878&lt;&gt;$L878),1,0))</f>
        <v/>
      </c>
      <c r="Y878" s="34" t="str">
        <f aca="false">IF($E878="","",IF($N878="Cancelada",0,IF(OR($M878&lt;&gt;"",$N878="Concluída"),1,0)))</f>
        <v/>
      </c>
    </row>
    <row r="879" customFormat="false" ht="15" hidden="false" customHeight="true" outlineLevel="0" collapsed="false">
      <c r="A879" s="34" t="str">
        <f aca="false">IF($E879="","",COUNTA($E$5:$E879))</f>
        <v/>
      </c>
      <c r="B879" s="35"/>
      <c r="C879" s="35"/>
      <c r="D879" s="35"/>
      <c r="E879" s="35"/>
      <c r="F879" s="36"/>
      <c r="G879" s="37"/>
      <c r="H879" s="37"/>
      <c r="I879" s="37"/>
      <c r="J879" s="38"/>
      <c r="K879" s="39"/>
      <c r="L879" s="40" t="str">
        <f aca="false">IF(OR($J879="",$K879=""),"",$J879+MATCH($K879,Listas!$F$5:$F$11,0)-1)</f>
        <v/>
      </c>
      <c r="M879" s="41"/>
      <c r="N879" s="36"/>
      <c r="O879" s="41"/>
      <c r="P879" s="35"/>
      <c r="Q879" s="35"/>
      <c r="R879" s="42" t="str">
        <f aca="true">IF($E879="","",IF($N879="Cancelada","Cancelada",IF(OR($M879&lt;&gt;"",$N879="Concluída"),IF(OR($L879="",$M879="",$M879&lt;=$L879),"Concluída","Concluída com atraso"),IF($L879="","Na carteira",IF($L879&lt;TODAY(),"VENCIDA",IF($N879="Em execução","Em execução",IF($L879=TODAY(),"Hoje","Programada")))))))</f>
        <v/>
      </c>
      <c r="S879" s="34" t="str">
        <f aca="false">IF($E879="","",IF(ISNUMBER(SEARCH("(externo)",$G879&amp;$H879&amp;$I879)),"Terceirizada","Interna"))</f>
        <v/>
      </c>
      <c r="T879" s="40" t="str">
        <f aca="false">IF($L879="","",IF($O879="",$L879,$O879))</f>
        <v/>
      </c>
      <c r="U879" s="34" t="str">
        <f aca="false">IF($E879="","",IF(OR($M879="",$L879=""),0,IF($M879&lt;=$L879,1,0)))</f>
        <v/>
      </c>
      <c r="V879" s="34" t="str">
        <f aca="false">IF($E879="","",IF(OR($M879="",$T879=""),0,IF($M879&lt;=$T879,1,0)))</f>
        <v/>
      </c>
      <c r="W879" s="42" t="str">
        <f aca="false">IF(OR($M879="",$L879=""),"",MAX(0,$M879-$L879))</f>
        <v/>
      </c>
      <c r="X879" s="34" t="str">
        <f aca="false">IF($E879="","",IF(AND($O879&lt;&gt;"",$L879&lt;&gt;"",$O879&lt;&gt;$L879),1,0))</f>
        <v/>
      </c>
      <c r="Y879" s="34" t="str">
        <f aca="false">IF($E879="","",IF($N879="Cancelada",0,IF(OR($M879&lt;&gt;"",$N879="Concluída"),1,0)))</f>
        <v/>
      </c>
    </row>
    <row r="880" customFormat="false" ht="15" hidden="false" customHeight="true" outlineLevel="0" collapsed="false">
      <c r="A880" s="34" t="str">
        <f aca="false">IF($E880="","",COUNTA($E$5:$E880))</f>
        <v/>
      </c>
      <c r="B880" s="35"/>
      <c r="C880" s="35"/>
      <c r="D880" s="35"/>
      <c r="E880" s="35"/>
      <c r="F880" s="36"/>
      <c r="G880" s="37"/>
      <c r="H880" s="37"/>
      <c r="I880" s="37"/>
      <c r="J880" s="38"/>
      <c r="K880" s="39"/>
      <c r="L880" s="40" t="str">
        <f aca="false">IF(OR($J880="",$K880=""),"",$J880+MATCH($K880,Listas!$F$5:$F$11,0)-1)</f>
        <v/>
      </c>
      <c r="M880" s="41"/>
      <c r="N880" s="36"/>
      <c r="O880" s="41"/>
      <c r="P880" s="35"/>
      <c r="Q880" s="35"/>
      <c r="R880" s="42" t="str">
        <f aca="true">IF($E880="","",IF($N880="Cancelada","Cancelada",IF(OR($M880&lt;&gt;"",$N880="Concluída"),IF(OR($L880="",$M880="",$M880&lt;=$L880),"Concluída","Concluída com atraso"),IF($L880="","Na carteira",IF($L880&lt;TODAY(),"VENCIDA",IF($N880="Em execução","Em execução",IF($L880=TODAY(),"Hoje","Programada")))))))</f>
        <v/>
      </c>
      <c r="S880" s="34" t="str">
        <f aca="false">IF($E880="","",IF(ISNUMBER(SEARCH("(externo)",$G880&amp;$H880&amp;$I880)),"Terceirizada","Interna"))</f>
        <v/>
      </c>
      <c r="T880" s="40" t="str">
        <f aca="false">IF($L880="","",IF($O880="",$L880,$O880))</f>
        <v/>
      </c>
      <c r="U880" s="34" t="str">
        <f aca="false">IF($E880="","",IF(OR($M880="",$L880=""),0,IF($M880&lt;=$L880,1,0)))</f>
        <v/>
      </c>
      <c r="V880" s="34" t="str">
        <f aca="false">IF($E880="","",IF(OR($M880="",$T880=""),0,IF($M880&lt;=$T880,1,0)))</f>
        <v/>
      </c>
      <c r="W880" s="42" t="str">
        <f aca="false">IF(OR($M880="",$L880=""),"",MAX(0,$M880-$L880))</f>
        <v/>
      </c>
      <c r="X880" s="34" t="str">
        <f aca="false">IF($E880="","",IF(AND($O880&lt;&gt;"",$L880&lt;&gt;"",$O880&lt;&gt;$L880),1,0))</f>
        <v/>
      </c>
      <c r="Y880" s="34" t="str">
        <f aca="false">IF($E880="","",IF($N880="Cancelada",0,IF(OR($M880&lt;&gt;"",$N880="Concluída"),1,0)))</f>
        <v/>
      </c>
    </row>
    <row r="881" customFormat="false" ht="15" hidden="false" customHeight="true" outlineLevel="0" collapsed="false">
      <c r="A881" s="34" t="str">
        <f aca="false">IF($E881="","",COUNTA($E$5:$E881))</f>
        <v/>
      </c>
      <c r="B881" s="35"/>
      <c r="C881" s="35"/>
      <c r="D881" s="35"/>
      <c r="E881" s="35"/>
      <c r="F881" s="36"/>
      <c r="G881" s="37"/>
      <c r="H881" s="37"/>
      <c r="I881" s="37"/>
      <c r="J881" s="38"/>
      <c r="K881" s="39"/>
      <c r="L881" s="40" t="str">
        <f aca="false">IF(OR($J881="",$K881=""),"",$J881+MATCH($K881,Listas!$F$5:$F$11,0)-1)</f>
        <v/>
      </c>
      <c r="M881" s="41"/>
      <c r="N881" s="36"/>
      <c r="O881" s="41"/>
      <c r="P881" s="35"/>
      <c r="Q881" s="35"/>
      <c r="R881" s="42" t="str">
        <f aca="true">IF($E881="","",IF($N881="Cancelada","Cancelada",IF(OR($M881&lt;&gt;"",$N881="Concluída"),IF(OR($L881="",$M881="",$M881&lt;=$L881),"Concluída","Concluída com atraso"),IF($L881="","Na carteira",IF($L881&lt;TODAY(),"VENCIDA",IF($N881="Em execução","Em execução",IF($L881=TODAY(),"Hoje","Programada")))))))</f>
        <v/>
      </c>
      <c r="S881" s="34" t="str">
        <f aca="false">IF($E881="","",IF(ISNUMBER(SEARCH("(externo)",$G881&amp;$H881&amp;$I881)),"Terceirizada","Interna"))</f>
        <v/>
      </c>
      <c r="T881" s="40" t="str">
        <f aca="false">IF($L881="","",IF($O881="",$L881,$O881))</f>
        <v/>
      </c>
      <c r="U881" s="34" t="str">
        <f aca="false">IF($E881="","",IF(OR($M881="",$L881=""),0,IF($M881&lt;=$L881,1,0)))</f>
        <v/>
      </c>
      <c r="V881" s="34" t="str">
        <f aca="false">IF($E881="","",IF(OR($M881="",$T881=""),0,IF($M881&lt;=$T881,1,0)))</f>
        <v/>
      </c>
      <c r="W881" s="42" t="str">
        <f aca="false">IF(OR($M881="",$L881=""),"",MAX(0,$M881-$L881))</f>
        <v/>
      </c>
      <c r="X881" s="34" t="str">
        <f aca="false">IF($E881="","",IF(AND($O881&lt;&gt;"",$L881&lt;&gt;"",$O881&lt;&gt;$L881),1,0))</f>
        <v/>
      </c>
      <c r="Y881" s="34" t="str">
        <f aca="false">IF($E881="","",IF($N881="Cancelada",0,IF(OR($M881&lt;&gt;"",$N881="Concluída"),1,0)))</f>
        <v/>
      </c>
    </row>
    <row r="882" customFormat="false" ht="15" hidden="false" customHeight="true" outlineLevel="0" collapsed="false">
      <c r="A882" s="34" t="str">
        <f aca="false">IF($E882="","",COUNTA($E$5:$E882))</f>
        <v/>
      </c>
      <c r="B882" s="35"/>
      <c r="C882" s="35"/>
      <c r="D882" s="35"/>
      <c r="E882" s="35"/>
      <c r="F882" s="36"/>
      <c r="G882" s="37"/>
      <c r="H882" s="37"/>
      <c r="I882" s="37"/>
      <c r="J882" s="38"/>
      <c r="K882" s="39"/>
      <c r="L882" s="40" t="str">
        <f aca="false">IF(OR($J882="",$K882=""),"",$J882+MATCH($K882,Listas!$F$5:$F$11,0)-1)</f>
        <v/>
      </c>
      <c r="M882" s="41"/>
      <c r="N882" s="36"/>
      <c r="O882" s="41"/>
      <c r="P882" s="35"/>
      <c r="Q882" s="35"/>
      <c r="R882" s="42" t="str">
        <f aca="true">IF($E882="","",IF($N882="Cancelada","Cancelada",IF(OR($M882&lt;&gt;"",$N882="Concluída"),IF(OR($L882="",$M882="",$M882&lt;=$L882),"Concluída","Concluída com atraso"),IF($L882="","Na carteira",IF($L882&lt;TODAY(),"VENCIDA",IF($N882="Em execução","Em execução",IF($L882=TODAY(),"Hoje","Programada")))))))</f>
        <v/>
      </c>
      <c r="S882" s="34" t="str">
        <f aca="false">IF($E882="","",IF(ISNUMBER(SEARCH("(externo)",$G882&amp;$H882&amp;$I882)),"Terceirizada","Interna"))</f>
        <v/>
      </c>
      <c r="T882" s="40" t="str">
        <f aca="false">IF($L882="","",IF($O882="",$L882,$O882))</f>
        <v/>
      </c>
      <c r="U882" s="34" t="str">
        <f aca="false">IF($E882="","",IF(OR($M882="",$L882=""),0,IF($M882&lt;=$L882,1,0)))</f>
        <v/>
      </c>
      <c r="V882" s="34" t="str">
        <f aca="false">IF($E882="","",IF(OR($M882="",$T882=""),0,IF($M882&lt;=$T882,1,0)))</f>
        <v/>
      </c>
      <c r="W882" s="42" t="str">
        <f aca="false">IF(OR($M882="",$L882=""),"",MAX(0,$M882-$L882))</f>
        <v/>
      </c>
      <c r="X882" s="34" t="str">
        <f aca="false">IF($E882="","",IF(AND($O882&lt;&gt;"",$L882&lt;&gt;"",$O882&lt;&gt;$L882),1,0))</f>
        <v/>
      </c>
      <c r="Y882" s="34" t="str">
        <f aca="false">IF($E882="","",IF($N882="Cancelada",0,IF(OR($M882&lt;&gt;"",$N882="Concluída"),1,0)))</f>
        <v/>
      </c>
    </row>
    <row r="883" customFormat="false" ht="15" hidden="false" customHeight="true" outlineLevel="0" collapsed="false">
      <c r="A883" s="34" t="str">
        <f aca="false">IF($E883="","",COUNTA($E$5:$E883))</f>
        <v/>
      </c>
      <c r="B883" s="35"/>
      <c r="C883" s="35"/>
      <c r="D883" s="35"/>
      <c r="E883" s="35"/>
      <c r="F883" s="36"/>
      <c r="G883" s="37"/>
      <c r="H883" s="37"/>
      <c r="I883" s="37"/>
      <c r="J883" s="38"/>
      <c r="K883" s="39"/>
      <c r="L883" s="40" t="str">
        <f aca="false">IF(OR($J883="",$K883=""),"",$J883+MATCH($K883,Listas!$F$5:$F$11,0)-1)</f>
        <v/>
      </c>
      <c r="M883" s="41"/>
      <c r="N883" s="36"/>
      <c r="O883" s="41"/>
      <c r="P883" s="35"/>
      <c r="Q883" s="35"/>
      <c r="R883" s="42" t="str">
        <f aca="true">IF($E883="","",IF($N883="Cancelada","Cancelada",IF(OR($M883&lt;&gt;"",$N883="Concluída"),IF(OR($L883="",$M883="",$M883&lt;=$L883),"Concluída","Concluída com atraso"),IF($L883="","Na carteira",IF($L883&lt;TODAY(),"VENCIDA",IF($N883="Em execução","Em execução",IF($L883=TODAY(),"Hoje","Programada")))))))</f>
        <v/>
      </c>
      <c r="S883" s="34" t="str">
        <f aca="false">IF($E883="","",IF(ISNUMBER(SEARCH("(externo)",$G883&amp;$H883&amp;$I883)),"Terceirizada","Interna"))</f>
        <v/>
      </c>
      <c r="T883" s="40" t="str">
        <f aca="false">IF($L883="","",IF($O883="",$L883,$O883))</f>
        <v/>
      </c>
      <c r="U883" s="34" t="str">
        <f aca="false">IF($E883="","",IF(OR($M883="",$L883=""),0,IF($M883&lt;=$L883,1,0)))</f>
        <v/>
      </c>
      <c r="V883" s="34" t="str">
        <f aca="false">IF($E883="","",IF(OR($M883="",$T883=""),0,IF($M883&lt;=$T883,1,0)))</f>
        <v/>
      </c>
      <c r="W883" s="42" t="str">
        <f aca="false">IF(OR($M883="",$L883=""),"",MAX(0,$M883-$L883))</f>
        <v/>
      </c>
      <c r="X883" s="34" t="str">
        <f aca="false">IF($E883="","",IF(AND($O883&lt;&gt;"",$L883&lt;&gt;"",$O883&lt;&gt;$L883),1,0))</f>
        <v/>
      </c>
      <c r="Y883" s="34" t="str">
        <f aca="false">IF($E883="","",IF($N883="Cancelada",0,IF(OR($M883&lt;&gt;"",$N883="Concluída"),1,0)))</f>
        <v/>
      </c>
    </row>
    <row r="884" customFormat="false" ht="15" hidden="false" customHeight="true" outlineLevel="0" collapsed="false">
      <c r="A884" s="34" t="str">
        <f aca="false">IF($E884="","",COUNTA($E$5:$E884))</f>
        <v/>
      </c>
      <c r="B884" s="35"/>
      <c r="C884" s="35"/>
      <c r="D884" s="35"/>
      <c r="E884" s="35"/>
      <c r="F884" s="36"/>
      <c r="G884" s="37"/>
      <c r="H884" s="37"/>
      <c r="I884" s="37"/>
      <c r="J884" s="38"/>
      <c r="K884" s="39"/>
      <c r="L884" s="40" t="str">
        <f aca="false">IF(OR($J884="",$K884=""),"",$J884+MATCH($K884,Listas!$F$5:$F$11,0)-1)</f>
        <v/>
      </c>
      <c r="M884" s="41"/>
      <c r="N884" s="36"/>
      <c r="O884" s="41"/>
      <c r="P884" s="35"/>
      <c r="Q884" s="35"/>
      <c r="R884" s="42" t="str">
        <f aca="true">IF($E884="","",IF($N884="Cancelada","Cancelada",IF(OR($M884&lt;&gt;"",$N884="Concluída"),IF(OR($L884="",$M884="",$M884&lt;=$L884),"Concluída","Concluída com atraso"),IF($L884="","Na carteira",IF($L884&lt;TODAY(),"VENCIDA",IF($N884="Em execução","Em execução",IF($L884=TODAY(),"Hoje","Programada")))))))</f>
        <v/>
      </c>
      <c r="S884" s="34" t="str">
        <f aca="false">IF($E884="","",IF(ISNUMBER(SEARCH("(externo)",$G884&amp;$H884&amp;$I884)),"Terceirizada","Interna"))</f>
        <v/>
      </c>
      <c r="T884" s="40" t="str">
        <f aca="false">IF($L884="","",IF($O884="",$L884,$O884))</f>
        <v/>
      </c>
      <c r="U884" s="34" t="str">
        <f aca="false">IF($E884="","",IF(OR($M884="",$L884=""),0,IF($M884&lt;=$L884,1,0)))</f>
        <v/>
      </c>
      <c r="V884" s="34" t="str">
        <f aca="false">IF($E884="","",IF(OR($M884="",$T884=""),0,IF($M884&lt;=$T884,1,0)))</f>
        <v/>
      </c>
      <c r="W884" s="42" t="str">
        <f aca="false">IF(OR($M884="",$L884=""),"",MAX(0,$M884-$L884))</f>
        <v/>
      </c>
      <c r="X884" s="34" t="str">
        <f aca="false">IF($E884="","",IF(AND($O884&lt;&gt;"",$L884&lt;&gt;"",$O884&lt;&gt;$L884),1,0))</f>
        <v/>
      </c>
      <c r="Y884" s="34" t="str">
        <f aca="false">IF($E884="","",IF($N884="Cancelada",0,IF(OR($M884&lt;&gt;"",$N884="Concluída"),1,0)))</f>
        <v/>
      </c>
    </row>
    <row r="885" customFormat="false" ht="15" hidden="false" customHeight="true" outlineLevel="0" collapsed="false">
      <c r="A885" s="34" t="str">
        <f aca="false">IF($E885="","",COUNTA($E$5:$E885))</f>
        <v/>
      </c>
      <c r="B885" s="35"/>
      <c r="C885" s="35"/>
      <c r="D885" s="35"/>
      <c r="E885" s="35"/>
      <c r="F885" s="36"/>
      <c r="G885" s="37"/>
      <c r="H885" s="37"/>
      <c r="I885" s="37"/>
      <c r="J885" s="38"/>
      <c r="K885" s="39"/>
      <c r="L885" s="40" t="str">
        <f aca="false">IF(OR($J885="",$K885=""),"",$J885+MATCH($K885,Listas!$F$5:$F$11,0)-1)</f>
        <v/>
      </c>
      <c r="M885" s="41"/>
      <c r="N885" s="36"/>
      <c r="O885" s="41"/>
      <c r="P885" s="35"/>
      <c r="Q885" s="35"/>
      <c r="R885" s="42" t="str">
        <f aca="true">IF($E885="","",IF($N885="Cancelada","Cancelada",IF(OR($M885&lt;&gt;"",$N885="Concluída"),IF(OR($L885="",$M885="",$M885&lt;=$L885),"Concluída","Concluída com atraso"),IF($L885="","Na carteira",IF($L885&lt;TODAY(),"VENCIDA",IF($N885="Em execução","Em execução",IF($L885=TODAY(),"Hoje","Programada")))))))</f>
        <v/>
      </c>
      <c r="S885" s="34" t="str">
        <f aca="false">IF($E885="","",IF(ISNUMBER(SEARCH("(externo)",$G885&amp;$H885&amp;$I885)),"Terceirizada","Interna"))</f>
        <v/>
      </c>
      <c r="T885" s="40" t="str">
        <f aca="false">IF($L885="","",IF($O885="",$L885,$O885))</f>
        <v/>
      </c>
      <c r="U885" s="34" t="str">
        <f aca="false">IF($E885="","",IF(OR($M885="",$L885=""),0,IF($M885&lt;=$L885,1,0)))</f>
        <v/>
      </c>
      <c r="V885" s="34" t="str">
        <f aca="false">IF($E885="","",IF(OR($M885="",$T885=""),0,IF($M885&lt;=$T885,1,0)))</f>
        <v/>
      </c>
      <c r="W885" s="42" t="str">
        <f aca="false">IF(OR($M885="",$L885=""),"",MAX(0,$M885-$L885))</f>
        <v/>
      </c>
      <c r="X885" s="34" t="str">
        <f aca="false">IF($E885="","",IF(AND($O885&lt;&gt;"",$L885&lt;&gt;"",$O885&lt;&gt;$L885),1,0))</f>
        <v/>
      </c>
      <c r="Y885" s="34" t="str">
        <f aca="false">IF($E885="","",IF($N885="Cancelada",0,IF(OR($M885&lt;&gt;"",$N885="Concluída"),1,0)))</f>
        <v/>
      </c>
    </row>
    <row r="886" customFormat="false" ht="15" hidden="false" customHeight="true" outlineLevel="0" collapsed="false">
      <c r="A886" s="34" t="str">
        <f aca="false">IF($E886="","",COUNTA($E$5:$E886))</f>
        <v/>
      </c>
      <c r="B886" s="35"/>
      <c r="C886" s="35"/>
      <c r="D886" s="35"/>
      <c r="E886" s="35"/>
      <c r="F886" s="36"/>
      <c r="G886" s="37"/>
      <c r="H886" s="37"/>
      <c r="I886" s="37"/>
      <c r="J886" s="38"/>
      <c r="K886" s="39"/>
      <c r="L886" s="40" t="str">
        <f aca="false">IF(OR($J886="",$K886=""),"",$J886+MATCH($K886,Listas!$F$5:$F$11,0)-1)</f>
        <v/>
      </c>
      <c r="M886" s="41"/>
      <c r="N886" s="36"/>
      <c r="O886" s="41"/>
      <c r="P886" s="35"/>
      <c r="Q886" s="35"/>
      <c r="R886" s="42" t="str">
        <f aca="true">IF($E886="","",IF($N886="Cancelada","Cancelada",IF(OR($M886&lt;&gt;"",$N886="Concluída"),IF(OR($L886="",$M886="",$M886&lt;=$L886),"Concluída","Concluída com atraso"),IF($L886="","Na carteira",IF($L886&lt;TODAY(),"VENCIDA",IF($N886="Em execução","Em execução",IF($L886=TODAY(),"Hoje","Programada")))))))</f>
        <v/>
      </c>
      <c r="S886" s="34" t="str">
        <f aca="false">IF($E886="","",IF(ISNUMBER(SEARCH("(externo)",$G886&amp;$H886&amp;$I886)),"Terceirizada","Interna"))</f>
        <v/>
      </c>
      <c r="T886" s="40" t="str">
        <f aca="false">IF($L886="","",IF($O886="",$L886,$O886))</f>
        <v/>
      </c>
      <c r="U886" s="34" t="str">
        <f aca="false">IF($E886="","",IF(OR($M886="",$L886=""),0,IF($M886&lt;=$L886,1,0)))</f>
        <v/>
      </c>
      <c r="V886" s="34" t="str">
        <f aca="false">IF($E886="","",IF(OR($M886="",$T886=""),0,IF($M886&lt;=$T886,1,0)))</f>
        <v/>
      </c>
      <c r="W886" s="42" t="str">
        <f aca="false">IF(OR($M886="",$L886=""),"",MAX(0,$M886-$L886))</f>
        <v/>
      </c>
      <c r="X886" s="34" t="str">
        <f aca="false">IF($E886="","",IF(AND($O886&lt;&gt;"",$L886&lt;&gt;"",$O886&lt;&gt;$L886),1,0))</f>
        <v/>
      </c>
      <c r="Y886" s="34" t="str">
        <f aca="false">IF($E886="","",IF($N886="Cancelada",0,IF(OR($M886&lt;&gt;"",$N886="Concluída"),1,0)))</f>
        <v/>
      </c>
    </row>
    <row r="887" customFormat="false" ht="15" hidden="false" customHeight="true" outlineLevel="0" collapsed="false">
      <c r="A887" s="34" t="str">
        <f aca="false">IF($E887="","",COUNTA($E$5:$E887))</f>
        <v/>
      </c>
      <c r="B887" s="35"/>
      <c r="C887" s="35"/>
      <c r="D887" s="35"/>
      <c r="E887" s="35"/>
      <c r="F887" s="36"/>
      <c r="G887" s="37"/>
      <c r="H887" s="37"/>
      <c r="I887" s="37"/>
      <c r="J887" s="38"/>
      <c r="K887" s="39"/>
      <c r="L887" s="40" t="str">
        <f aca="false">IF(OR($J887="",$K887=""),"",$J887+MATCH($K887,Listas!$F$5:$F$11,0)-1)</f>
        <v/>
      </c>
      <c r="M887" s="41"/>
      <c r="N887" s="36"/>
      <c r="O887" s="41"/>
      <c r="P887" s="35"/>
      <c r="Q887" s="35"/>
      <c r="R887" s="42" t="str">
        <f aca="true">IF($E887="","",IF($N887="Cancelada","Cancelada",IF(OR($M887&lt;&gt;"",$N887="Concluída"),IF(OR($L887="",$M887="",$M887&lt;=$L887),"Concluída","Concluída com atraso"),IF($L887="","Na carteira",IF($L887&lt;TODAY(),"VENCIDA",IF($N887="Em execução","Em execução",IF($L887=TODAY(),"Hoje","Programada")))))))</f>
        <v/>
      </c>
      <c r="S887" s="34" t="str">
        <f aca="false">IF($E887="","",IF(ISNUMBER(SEARCH("(externo)",$G887&amp;$H887&amp;$I887)),"Terceirizada","Interna"))</f>
        <v/>
      </c>
      <c r="T887" s="40" t="str">
        <f aca="false">IF($L887="","",IF($O887="",$L887,$O887))</f>
        <v/>
      </c>
      <c r="U887" s="34" t="str">
        <f aca="false">IF($E887="","",IF(OR($M887="",$L887=""),0,IF($M887&lt;=$L887,1,0)))</f>
        <v/>
      </c>
      <c r="V887" s="34" t="str">
        <f aca="false">IF($E887="","",IF(OR($M887="",$T887=""),0,IF($M887&lt;=$T887,1,0)))</f>
        <v/>
      </c>
      <c r="W887" s="42" t="str">
        <f aca="false">IF(OR($M887="",$L887=""),"",MAX(0,$M887-$L887))</f>
        <v/>
      </c>
      <c r="X887" s="34" t="str">
        <f aca="false">IF($E887="","",IF(AND($O887&lt;&gt;"",$L887&lt;&gt;"",$O887&lt;&gt;$L887),1,0))</f>
        <v/>
      </c>
      <c r="Y887" s="34" t="str">
        <f aca="false">IF($E887="","",IF($N887="Cancelada",0,IF(OR($M887&lt;&gt;"",$N887="Concluída"),1,0)))</f>
        <v/>
      </c>
    </row>
    <row r="888" customFormat="false" ht="15" hidden="false" customHeight="true" outlineLevel="0" collapsed="false">
      <c r="A888" s="34" t="str">
        <f aca="false">IF($E888="","",COUNTA($E$5:$E888))</f>
        <v/>
      </c>
      <c r="B888" s="35"/>
      <c r="C888" s="35"/>
      <c r="D888" s="35"/>
      <c r="E888" s="35"/>
      <c r="F888" s="36"/>
      <c r="G888" s="37"/>
      <c r="H888" s="37"/>
      <c r="I888" s="37"/>
      <c r="J888" s="38"/>
      <c r="K888" s="39"/>
      <c r="L888" s="40" t="str">
        <f aca="false">IF(OR($J888="",$K888=""),"",$J888+MATCH($K888,Listas!$F$5:$F$11,0)-1)</f>
        <v/>
      </c>
      <c r="M888" s="41"/>
      <c r="N888" s="36"/>
      <c r="O888" s="41"/>
      <c r="P888" s="35"/>
      <c r="Q888" s="35"/>
      <c r="R888" s="42" t="str">
        <f aca="true">IF($E888="","",IF($N888="Cancelada","Cancelada",IF(OR($M888&lt;&gt;"",$N888="Concluída"),IF(OR($L888="",$M888="",$M888&lt;=$L888),"Concluída","Concluída com atraso"),IF($L888="","Na carteira",IF($L888&lt;TODAY(),"VENCIDA",IF($N888="Em execução","Em execução",IF($L888=TODAY(),"Hoje","Programada")))))))</f>
        <v/>
      </c>
      <c r="S888" s="34" t="str">
        <f aca="false">IF($E888="","",IF(ISNUMBER(SEARCH("(externo)",$G888&amp;$H888&amp;$I888)),"Terceirizada","Interna"))</f>
        <v/>
      </c>
      <c r="T888" s="40" t="str">
        <f aca="false">IF($L888="","",IF($O888="",$L888,$O888))</f>
        <v/>
      </c>
      <c r="U888" s="34" t="str">
        <f aca="false">IF($E888="","",IF(OR($M888="",$L888=""),0,IF($M888&lt;=$L888,1,0)))</f>
        <v/>
      </c>
      <c r="V888" s="34" t="str">
        <f aca="false">IF($E888="","",IF(OR($M888="",$T888=""),0,IF($M888&lt;=$T888,1,0)))</f>
        <v/>
      </c>
      <c r="W888" s="42" t="str">
        <f aca="false">IF(OR($M888="",$L888=""),"",MAX(0,$M888-$L888))</f>
        <v/>
      </c>
      <c r="X888" s="34" t="str">
        <f aca="false">IF($E888="","",IF(AND($O888&lt;&gt;"",$L888&lt;&gt;"",$O888&lt;&gt;$L888),1,0))</f>
        <v/>
      </c>
      <c r="Y888" s="34" t="str">
        <f aca="false">IF($E888="","",IF($N888="Cancelada",0,IF(OR($M888&lt;&gt;"",$N888="Concluída"),1,0)))</f>
        <v/>
      </c>
    </row>
    <row r="889" customFormat="false" ht="15" hidden="false" customHeight="true" outlineLevel="0" collapsed="false">
      <c r="A889" s="34" t="str">
        <f aca="false">IF($E889="","",COUNTA($E$5:$E889))</f>
        <v/>
      </c>
      <c r="B889" s="35"/>
      <c r="C889" s="35"/>
      <c r="D889" s="35"/>
      <c r="E889" s="35"/>
      <c r="F889" s="36"/>
      <c r="G889" s="37"/>
      <c r="H889" s="37"/>
      <c r="I889" s="37"/>
      <c r="J889" s="38"/>
      <c r="K889" s="39"/>
      <c r="L889" s="40" t="str">
        <f aca="false">IF(OR($J889="",$K889=""),"",$J889+MATCH($K889,Listas!$F$5:$F$11,0)-1)</f>
        <v/>
      </c>
      <c r="M889" s="41"/>
      <c r="N889" s="36"/>
      <c r="O889" s="41"/>
      <c r="P889" s="35"/>
      <c r="Q889" s="35"/>
      <c r="R889" s="42" t="str">
        <f aca="true">IF($E889="","",IF($N889="Cancelada","Cancelada",IF(OR($M889&lt;&gt;"",$N889="Concluída"),IF(OR($L889="",$M889="",$M889&lt;=$L889),"Concluída","Concluída com atraso"),IF($L889="","Na carteira",IF($L889&lt;TODAY(),"VENCIDA",IF($N889="Em execução","Em execução",IF($L889=TODAY(),"Hoje","Programada")))))))</f>
        <v/>
      </c>
      <c r="S889" s="34" t="str">
        <f aca="false">IF($E889="","",IF(ISNUMBER(SEARCH("(externo)",$G889&amp;$H889&amp;$I889)),"Terceirizada","Interna"))</f>
        <v/>
      </c>
      <c r="T889" s="40" t="str">
        <f aca="false">IF($L889="","",IF($O889="",$L889,$O889))</f>
        <v/>
      </c>
      <c r="U889" s="34" t="str">
        <f aca="false">IF($E889="","",IF(OR($M889="",$L889=""),0,IF($M889&lt;=$L889,1,0)))</f>
        <v/>
      </c>
      <c r="V889" s="34" t="str">
        <f aca="false">IF($E889="","",IF(OR($M889="",$T889=""),0,IF($M889&lt;=$T889,1,0)))</f>
        <v/>
      </c>
      <c r="W889" s="42" t="str">
        <f aca="false">IF(OR($M889="",$L889=""),"",MAX(0,$M889-$L889))</f>
        <v/>
      </c>
      <c r="X889" s="34" t="str">
        <f aca="false">IF($E889="","",IF(AND($O889&lt;&gt;"",$L889&lt;&gt;"",$O889&lt;&gt;$L889),1,0))</f>
        <v/>
      </c>
      <c r="Y889" s="34" t="str">
        <f aca="false">IF($E889="","",IF($N889="Cancelada",0,IF(OR($M889&lt;&gt;"",$N889="Concluída"),1,0)))</f>
        <v/>
      </c>
    </row>
    <row r="890" customFormat="false" ht="15" hidden="false" customHeight="true" outlineLevel="0" collapsed="false">
      <c r="A890" s="34" t="str">
        <f aca="false">IF($E890="","",COUNTA($E$5:$E890))</f>
        <v/>
      </c>
      <c r="B890" s="35"/>
      <c r="C890" s="35"/>
      <c r="D890" s="35"/>
      <c r="E890" s="35"/>
      <c r="F890" s="36"/>
      <c r="G890" s="37"/>
      <c r="H890" s="37"/>
      <c r="I890" s="37"/>
      <c r="J890" s="38"/>
      <c r="K890" s="39"/>
      <c r="L890" s="40" t="str">
        <f aca="false">IF(OR($J890="",$K890=""),"",$J890+MATCH($K890,Listas!$F$5:$F$11,0)-1)</f>
        <v/>
      </c>
      <c r="M890" s="41"/>
      <c r="N890" s="36"/>
      <c r="O890" s="41"/>
      <c r="P890" s="35"/>
      <c r="Q890" s="35"/>
      <c r="R890" s="42" t="str">
        <f aca="true">IF($E890="","",IF($N890="Cancelada","Cancelada",IF(OR($M890&lt;&gt;"",$N890="Concluída"),IF(OR($L890="",$M890="",$M890&lt;=$L890),"Concluída","Concluída com atraso"),IF($L890="","Na carteira",IF($L890&lt;TODAY(),"VENCIDA",IF($N890="Em execução","Em execução",IF($L890=TODAY(),"Hoje","Programada")))))))</f>
        <v/>
      </c>
      <c r="S890" s="34" t="str">
        <f aca="false">IF($E890="","",IF(ISNUMBER(SEARCH("(externo)",$G890&amp;$H890&amp;$I890)),"Terceirizada","Interna"))</f>
        <v/>
      </c>
      <c r="T890" s="40" t="str">
        <f aca="false">IF($L890="","",IF($O890="",$L890,$O890))</f>
        <v/>
      </c>
      <c r="U890" s="34" t="str">
        <f aca="false">IF($E890="","",IF(OR($M890="",$L890=""),0,IF($M890&lt;=$L890,1,0)))</f>
        <v/>
      </c>
      <c r="V890" s="34" t="str">
        <f aca="false">IF($E890="","",IF(OR($M890="",$T890=""),0,IF($M890&lt;=$T890,1,0)))</f>
        <v/>
      </c>
      <c r="W890" s="42" t="str">
        <f aca="false">IF(OR($M890="",$L890=""),"",MAX(0,$M890-$L890))</f>
        <v/>
      </c>
      <c r="X890" s="34" t="str">
        <f aca="false">IF($E890="","",IF(AND($O890&lt;&gt;"",$L890&lt;&gt;"",$O890&lt;&gt;$L890),1,0))</f>
        <v/>
      </c>
      <c r="Y890" s="34" t="str">
        <f aca="false">IF($E890="","",IF($N890="Cancelada",0,IF(OR($M890&lt;&gt;"",$N890="Concluída"),1,0)))</f>
        <v/>
      </c>
    </row>
    <row r="891" customFormat="false" ht="15" hidden="false" customHeight="true" outlineLevel="0" collapsed="false">
      <c r="A891" s="34" t="str">
        <f aca="false">IF($E891="","",COUNTA($E$5:$E891))</f>
        <v/>
      </c>
      <c r="B891" s="35"/>
      <c r="C891" s="35"/>
      <c r="D891" s="35"/>
      <c r="E891" s="35"/>
      <c r="F891" s="36"/>
      <c r="G891" s="37"/>
      <c r="H891" s="37"/>
      <c r="I891" s="37"/>
      <c r="J891" s="38"/>
      <c r="K891" s="39"/>
      <c r="L891" s="40" t="str">
        <f aca="false">IF(OR($J891="",$K891=""),"",$J891+MATCH($K891,Listas!$F$5:$F$11,0)-1)</f>
        <v/>
      </c>
      <c r="M891" s="41"/>
      <c r="N891" s="36"/>
      <c r="O891" s="41"/>
      <c r="P891" s="35"/>
      <c r="Q891" s="35"/>
      <c r="R891" s="42" t="str">
        <f aca="true">IF($E891="","",IF($N891="Cancelada","Cancelada",IF(OR($M891&lt;&gt;"",$N891="Concluída"),IF(OR($L891="",$M891="",$M891&lt;=$L891),"Concluída","Concluída com atraso"),IF($L891="","Na carteira",IF($L891&lt;TODAY(),"VENCIDA",IF($N891="Em execução","Em execução",IF($L891=TODAY(),"Hoje","Programada")))))))</f>
        <v/>
      </c>
      <c r="S891" s="34" t="str">
        <f aca="false">IF($E891="","",IF(ISNUMBER(SEARCH("(externo)",$G891&amp;$H891&amp;$I891)),"Terceirizada","Interna"))</f>
        <v/>
      </c>
      <c r="T891" s="40" t="str">
        <f aca="false">IF($L891="","",IF($O891="",$L891,$O891))</f>
        <v/>
      </c>
      <c r="U891" s="34" t="str">
        <f aca="false">IF($E891="","",IF(OR($M891="",$L891=""),0,IF($M891&lt;=$L891,1,0)))</f>
        <v/>
      </c>
      <c r="V891" s="34" t="str">
        <f aca="false">IF($E891="","",IF(OR($M891="",$T891=""),0,IF($M891&lt;=$T891,1,0)))</f>
        <v/>
      </c>
      <c r="W891" s="42" t="str">
        <f aca="false">IF(OR($M891="",$L891=""),"",MAX(0,$M891-$L891))</f>
        <v/>
      </c>
      <c r="X891" s="34" t="str">
        <f aca="false">IF($E891="","",IF(AND($O891&lt;&gt;"",$L891&lt;&gt;"",$O891&lt;&gt;$L891),1,0))</f>
        <v/>
      </c>
      <c r="Y891" s="34" t="str">
        <f aca="false">IF($E891="","",IF($N891="Cancelada",0,IF(OR($M891&lt;&gt;"",$N891="Concluída"),1,0)))</f>
        <v/>
      </c>
    </row>
    <row r="892" customFormat="false" ht="15" hidden="false" customHeight="true" outlineLevel="0" collapsed="false">
      <c r="A892" s="34" t="str">
        <f aca="false">IF($E892="","",COUNTA($E$5:$E892))</f>
        <v/>
      </c>
      <c r="B892" s="35"/>
      <c r="C892" s="35"/>
      <c r="D892" s="35"/>
      <c r="E892" s="35"/>
      <c r="F892" s="36"/>
      <c r="G892" s="37"/>
      <c r="H892" s="37"/>
      <c r="I892" s="37"/>
      <c r="J892" s="38"/>
      <c r="K892" s="39"/>
      <c r="L892" s="40" t="str">
        <f aca="false">IF(OR($J892="",$K892=""),"",$J892+MATCH($K892,Listas!$F$5:$F$11,0)-1)</f>
        <v/>
      </c>
      <c r="M892" s="41"/>
      <c r="N892" s="36"/>
      <c r="O892" s="41"/>
      <c r="P892" s="35"/>
      <c r="Q892" s="35"/>
      <c r="R892" s="42" t="str">
        <f aca="true">IF($E892="","",IF($N892="Cancelada","Cancelada",IF(OR($M892&lt;&gt;"",$N892="Concluída"),IF(OR($L892="",$M892="",$M892&lt;=$L892),"Concluída","Concluída com atraso"),IF($L892="","Na carteira",IF($L892&lt;TODAY(),"VENCIDA",IF($N892="Em execução","Em execução",IF($L892=TODAY(),"Hoje","Programada")))))))</f>
        <v/>
      </c>
      <c r="S892" s="34" t="str">
        <f aca="false">IF($E892="","",IF(ISNUMBER(SEARCH("(externo)",$G892&amp;$H892&amp;$I892)),"Terceirizada","Interna"))</f>
        <v/>
      </c>
      <c r="T892" s="40" t="str">
        <f aca="false">IF($L892="","",IF($O892="",$L892,$O892))</f>
        <v/>
      </c>
      <c r="U892" s="34" t="str">
        <f aca="false">IF($E892="","",IF(OR($M892="",$L892=""),0,IF($M892&lt;=$L892,1,0)))</f>
        <v/>
      </c>
      <c r="V892" s="34" t="str">
        <f aca="false">IF($E892="","",IF(OR($M892="",$T892=""),0,IF($M892&lt;=$T892,1,0)))</f>
        <v/>
      </c>
      <c r="W892" s="42" t="str">
        <f aca="false">IF(OR($M892="",$L892=""),"",MAX(0,$M892-$L892))</f>
        <v/>
      </c>
      <c r="X892" s="34" t="str">
        <f aca="false">IF($E892="","",IF(AND($O892&lt;&gt;"",$L892&lt;&gt;"",$O892&lt;&gt;$L892),1,0))</f>
        <v/>
      </c>
      <c r="Y892" s="34" t="str">
        <f aca="false">IF($E892="","",IF($N892="Cancelada",0,IF(OR($M892&lt;&gt;"",$N892="Concluída"),1,0)))</f>
        <v/>
      </c>
    </row>
    <row r="893" customFormat="false" ht="15" hidden="false" customHeight="true" outlineLevel="0" collapsed="false">
      <c r="A893" s="34" t="str">
        <f aca="false">IF($E893="","",COUNTA($E$5:$E893))</f>
        <v/>
      </c>
      <c r="B893" s="35"/>
      <c r="C893" s="35"/>
      <c r="D893" s="35"/>
      <c r="E893" s="35"/>
      <c r="F893" s="36"/>
      <c r="G893" s="37"/>
      <c r="H893" s="37"/>
      <c r="I893" s="37"/>
      <c r="J893" s="38"/>
      <c r="K893" s="39"/>
      <c r="L893" s="40" t="str">
        <f aca="false">IF(OR($J893="",$K893=""),"",$J893+MATCH($K893,Listas!$F$5:$F$11,0)-1)</f>
        <v/>
      </c>
      <c r="M893" s="41"/>
      <c r="N893" s="36"/>
      <c r="O893" s="41"/>
      <c r="P893" s="35"/>
      <c r="Q893" s="35"/>
      <c r="R893" s="42" t="str">
        <f aca="true">IF($E893="","",IF($N893="Cancelada","Cancelada",IF(OR($M893&lt;&gt;"",$N893="Concluída"),IF(OR($L893="",$M893="",$M893&lt;=$L893),"Concluída","Concluída com atraso"),IF($L893="","Na carteira",IF($L893&lt;TODAY(),"VENCIDA",IF($N893="Em execução","Em execução",IF($L893=TODAY(),"Hoje","Programada")))))))</f>
        <v/>
      </c>
      <c r="S893" s="34" t="str">
        <f aca="false">IF($E893="","",IF(ISNUMBER(SEARCH("(externo)",$G893&amp;$H893&amp;$I893)),"Terceirizada","Interna"))</f>
        <v/>
      </c>
      <c r="T893" s="40" t="str">
        <f aca="false">IF($L893="","",IF($O893="",$L893,$O893))</f>
        <v/>
      </c>
      <c r="U893" s="34" t="str">
        <f aca="false">IF($E893="","",IF(OR($M893="",$L893=""),0,IF($M893&lt;=$L893,1,0)))</f>
        <v/>
      </c>
      <c r="V893" s="34" t="str">
        <f aca="false">IF($E893="","",IF(OR($M893="",$T893=""),0,IF($M893&lt;=$T893,1,0)))</f>
        <v/>
      </c>
      <c r="W893" s="42" t="str">
        <f aca="false">IF(OR($M893="",$L893=""),"",MAX(0,$M893-$L893))</f>
        <v/>
      </c>
      <c r="X893" s="34" t="str">
        <f aca="false">IF($E893="","",IF(AND($O893&lt;&gt;"",$L893&lt;&gt;"",$O893&lt;&gt;$L893),1,0))</f>
        <v/>
      </c>
      <c r="Y893" s="34" t="str">
        <f aca="false">IF($E893="","",IF($N893="Cancelada",0,IF(OR($M893&lt;&gt;"",$N893="Concluída"),1,0)))</f>
        <v/>
      </c>
    </row>
    <row r="894" customFormat="false" ht="15" hidden="false" customHeight="true" outlineLevel="0" collapsed="false">
      <c r="A894" s="34" t="str">
        <f aca="false">IF($E894="","",COUNTA($E$5:$E894))</f>
        <v/>
      </c>
      <c r="B894" s="35"/>
      <c r="C894" s="35"/>
      <c r="D894" s="35"/>
      <c r="E894" s="35"/>
      <c r="F894" s="36"/>
      <c r="G894" s="37"/>
      <c r="H894" s="37"/>
      <c r="I894" s="37"/>
      <c r="J894" s="38"/>
      <c r="K894" s="39"/>
      <c r="L894" s="40" t="str">
        <f aca="false">IF(OR($J894="",$K894=""),"",$J894+MATCH($K894,Listas!$F$5:$F$11,0)-1)</f>
        <v/>
      </c>
      <c r="M894" s="41"/>
      <c r="N894" s="36"/>
      <c r="O894" s="41"/>
      <c r="P894" s="35"/>
      <c r="Q894" s="35"/>
      <c r="R894" s="42" t="str">
        <f aca="true">IF($E894="","",IF($N894="Cancelada","Cancelada",IF(OR($M894&lt;&gt;"",$N894="Concluída"),IF(OR($L894="",$M894="",$M894&lt;=$L894),"Concluída","Concluída com atraso"),IF($L894="","Na carteira",IF($L894&lt;TODAY(),"VENCIDA",IF($N894="Em execução","Em execução",IF($L894=TODAY(),"Hoje","Programada")))))))</f>
        <v/>
      </c>
      <c r="S894" s="34" t="str">
        <f aca="false">IF($E894="","",IF(ISNUMBER(SEARCH("(externo)",$G894&amp;$H894&amp;$I894)),"Terceirizada","Interna"))</f>
        <v/>
      </c>
      <c r="T894" s="40" t="str">
        <f aca="false">IF($L894="","",IF($O894="",$L894,$O894))</f>
        <v/>
      </c>
      <c r="U894" s="34" t="str">
        <f aca="false">IF($E894="","",IF(OR($M894="",$L894=""),0,IF($M894&lt;=$L894,1,0)))</f>
        <v/>
      </c>
      <c r="V894" s="34" t="str">
        <f aca="false">IF($E894="","",IF(OR($M894="",$T894=""),0,IF($M894&lt;=$T894,1,0)))</f>
        <v/>
      </c>
      <c r="W894" s="42" t="str">
        <f aca="false">IF(OR($M894="",$L894=""),"",MAX(0,$M894-$L894))</f>
        <v/>
      </c>
      <c r="X894" s="34" t="str">
        <f aca="false">IF($E894="","",IF(AND($O894&lt;&gt;"",$L894&lt;&gt;"",$O894&lt;&gt;$L894),1,0))</f>
        <v/>
      </c>
      <c r="Y894" s="34" t="str">
        <f aca="false">IF($E894="","",IF($N894="Cancelada",0,IF(OR($M894&lt;&gt;"",$N894="Concluída"),1,0)))</f>
        <v/>
      </c>
    </row>
    <row r="895" customFormat="false" ht="15" hidden="false" customHeight="true" outlineLevel="0" collapsed="false">
      <c r="A895" s="34" t="str">
        <f aca="false">IF($E895="","",COUNTA($E$5:$E895))</f>
        <v/>
      </c>
      <c r="B895" s="35"/>
      <c r="C895" s="35"/>
      <c r="D895" s="35"/>
      <c r="E895" s="35"/>
      <c r="F895" s="36"/>
      <c r="G895" s="37"/>
      <c r="H895" s="37"/>
      <c r="I895" s="37"/>
      <c r="J895" s="38"/>
      <c r="K895" s="39"/>
      <c r="L895" s="40" t="str">
        <f aca="false">IF(OR($J895="",$K895=""),"",$J895+MATCH($K895,Listas!$F$5:$F$11,0)-1)</f>
        <v/>
      </c>
      <c r="M895" s="41"/>
      <c r="N895" s="36"/>
      <c r="O895" s="41"/>
      <c r="P895" s="35"/>
      <c r="Q895" s="35"/>
      <c r="R895" s="42" t="str">
        <f aca="true">IF($E895="","",IF($N895="Cancelada","Cancelada",IF(OR($M895&lt;&gt;"",$N895="Concluída"),IF(OR($L895="",$M895="",$M895&lt;=$L895),"Concluída","Concluída com atraso"),IF($L895="","Na carteira",IF($L895&lt;TODAY(),"VENCIDA",IF($N895="Em execução","Em execução",IF($L895=TODAY(),"Hoje","Programada")))))))</f>
        <v/>
      </c>
      <c r="S895" s="34" t="str">
        <f aca="false">IF($E895="","",IF(ISNUMBER(SEARCH("(externo)",$G895&amp;$H895&amp;$I895)),"Terceirizada","Interna"))</f>
        <v/>
      </c>
      <c r="T895" s="40" t="str">
        <f aca="false">IF($L895="","",IF($O895="",$L895,$O895))</f>
        <v/>
      </c>
      <c r="U895" s="34" t="str">
        <f aca="false">IF($E895="","",IF(OR($M895="",$L895=""),0,IF($M895&lt;=$L895,1,0)))</f>
        <v/>
      </c>
      <c r="V895" s="34" t="str">
        <f aca="false">IF($E895="","",IF(OR($M895="",$T895=""),0,IF($M895&lt;=$T895,1,0)))</f>
        <v/>
      </c>
      <c r="W895" s="42" t="str">
        <f aca="false">IF(OR($M895="",$L895=""),"",MAX(0,$M895-$L895))</f>
        <v/>
      </c>
      <c r="X895" s="34" t="str">
        <f aca="false">IF($E895="","",IF(AND($O895&lt;&gt;"",$L895&lt;&gt;"",$O895&lt;&gt;$L895),1,0))</f>
        <v/>
      </c>
      <c r="Y895" s="34" t="str">
        <f aca="false">IF($E895="","",IF($N895="Cancelada",0,IF(OR($M895&lt;&gt;"",$N895="Concluída"),1,0)))</f>
        <v/>
      </c>
    </row>
    <row r="896" customFormat="false" ht="15" hidden="false" customHeight="true" outlineLevel="0" collapsed="false">
      <c r="A896" s="34" t="str">
        <f aca="false">IF($E896="","",COUNTA($E$5:$E896))</f>
        <v/>
      </c>
      <c r="B896" s="35"/>
      <c r="C896" s="35"/>
      <c r="D896" s="35"/>
      <c r="E896" s="35"/>
      <c r="F896" s="36"/>
      <c r="G896" s="37"/>
      <c r="H896" s="37"/>
      <c r="I896" s="37"/>
      <c r="J896" s="38"/>
      <c r="K896" s="39"/>
      <c r="L896" s="40" t="str">
        <f aca="false">IF(OR($J896="",$K896=""),"",$J896+MATCH($K896,Listas!$F$5:$F$11,0)-1)</f>
        <v/>
      </c>
      <c r="M896" s="41"/>
      <c r="N896" s="36"/>
      <c r="O896" s="41"/>
      <c r="P896" s="35"/>
      <c r="Q896" s="35"/>
      <c r="R896" s="42" t="str">
        <f aca="true">IF($E896="","",IF($N896="Cancelada","Cancelada",IF(OR($M896&lt;&gt;"",$N896="Concluída"),IF(OR($L896="",$M896="",$M896&lt;=$L896),"Concluída","Concluída com atraso"),IF($L896="","Na carteira",IF($L896&lt;TODAY(),"VENCIDA",IF($N896="Em execução","Em execução",IF($L896=TODAY(),"Hoje","Programada")))))))</f>
        <v/>
      </c>
      <c r="S896" s="34" t="str">
        <f aca="false">IF($E896="","",IF(ISNUMBER(SEARCH("(externo)",$G896&amp;$H896&amp;$I896)),"Terceirizada","Interna"))</f>
        <v/>
      </c>
      <c r="T896" s="40" t="str">
        <f aca="false">IF($L896="","",IF($O896="",$L896,$O896))</f>
        <v/>
      </c>
      <c r="U896" s="34" t="str">
        <f aca="false">IF($E896="","",IF(OR($M896="",$L896=""),0,IF($M896&lt;=$L896,1,0)))</f>
        <v/>
      </c>
      <c r="V896" s="34" t="str">
        <f aca="false">IF($E896="","",IF(OR($M896="",$T896=""),0,IF($M896&lt;=$T896,1,0)))</f>
        <v/>
      </c>
      <c r="W896" s="42" t="str">
        <f aca="false">IF(OR($M896="",$L896=""),"",MAX(0,$M896-$L896))</f>
        <v/>
      </c>
      <c r="X896" s="34" t="str">
        <f aca="false">IF($E896="","",IF(AND($O896&lt;&gt;"",$L896&lt;&gt;"",$O896&lt;&gt;$L896),1,0))</f>
        <v/>
      </c>
      <c r="Y896" s="34" t="str">
        <f aca="false">IF($E896="","",IF($N896="Cancelada",0,IF(OR($M896&lt;&gt;"",$N896="Concluída"),1,0)))</f>
        <v/>
      </c>
    </row>
    <row r="897" customFormat="false" ht="15" hidden="false" customHeight="true" outlineLevel="0" collapsed="false">
      <c r="A897" s="34" t="str">
        <f aca="false">IF($E897="","",COUNTA($E$5:$E897))</f>
        <v/>
      </c>
      <c r="B897" s="35"/>
      <c r="C897" s="35"/>
      <c r="D897" s="35"/>
      <c r="E897" s="35"/>
      <c r="F897" s="36"/>
      <c r="G897" s="37"/>
      <c r="H897" s="37"/>
      <c r="I897" s="37"/>
      <c r="J897" s="38"/>
      <c r="K897" s="39"/>
      <c r="L897" s="40" t="str">
        <f aca="false">IF(OR($J897="",$K897=""),"",$J897+MATCH($K897,Listas!$F$5:$F$11,0)-1)</f>
        <v/>
      </c>
      <c r="M897" s="41"/>
      <c r="N897" s="36"/>
      <c r="O897" s="41"/>
      <c r="P897" s="35"/>
      <c r="Q897" s="35"/>
      <c r="R897" s="42" t="str">
        <f aca="true">IF($E897="","",IF($N897="Cancelada","Cancelada",IF(OR($M897&lt;&gt;"",$N897="Concluída"),IF(OR($L897="",$M897="",$M897&lt;=$L897),"Concluída","Concluída com atraso"),IF($L897="","Na carteira",IF($L897&lt;TODAY(),"VENCIDA",IF($N897="Em execução","Em execução",IF($L897=TODAY(),"Hoje","Programada")))))))</f>
        <v/>
      </c>
      <c r="S897" s="34" t="str">
        <f aca="false">IF($E897="","",IF(ISNUMBER(SEARCH("(externo)",$G897&amp;$H897&amp;$I897)),"Terceirizada","Interna"))</f>
        <v/>
      </c>
      <c r="T897" s="40" t="str">
        <f aca="false">IF($L897="","",IF($O897="",$L897,$O897))</f>
        <v/>
      </c>
      <c r="U897" s="34" t="str">
        <f aca="false">IF($E897="","",IF(OR($M897="",$L897=""),0,IF($M897&lt;=$L897,1,0)))</f>
        <v/>
      </c>
      <c r="V897" s="34" t="str">
        <f aca="false">IF($E897="","",IF(OR($M897="",$T897=""),0,IF($M897&lt;=$T897,1,0)))</f>
        <v/>
      </c>
      <c r="W897" s="42" t="str">
        <f aca="false">IF(OR($M897="",$L897=""),"",MAX(0,$M897-$L897))</f>
        <v/>
      </c>
      <c r="X897" s="34" t="str">
        <f aca="false">IF($E897="","",IF(AND($O897&lt;&gt;"",$L897&lt;&gt;"",$O897&lt;&gt;$L897),1,0))</f>
        <v/>
      </c>
      <c r="Y897" s="34" t="str">
        <f aca="false">IF($E897="","",IF($N897="Cancelada",0,IF(OR($M897&lt;&gt;"",$N897="Concluída"),1,0)))</f>
        <v/>
      </c>
    </row>
    <row r="898" customFormat="false" ht="15" hidden="false" customHeight="true" outlineLevel="0" collapsed="false">
      <c r="A898" s="34" t="str">
        <f aca="false">IF($E898="","",COUNTA($E$5:$E898))</f>
        <v/>
      </c>
      <c r="B898" s="35"/>
      <c r="C898" s="35"/>
      <c r="D898" s="35"/>
      <c r="E898" s="35"/>
      <c r="F898" s="36"/>
      <c r="G898" s="37"/>
      <c r="H898" s="37"/>
      <c r="I898" s="37"/>
      <c r="J898" s="38"/>
      <c r="K898" s="39"/>
      <c r="L898" s="40" t="str">
        <f aca="false">IF(OR($J898="",$K898=""),"",$J898+MATCH($K898,Listas!$F$5:$F$11,0)-1)</f>
        <v/>
      </c>
      <c r="M898" s="41"/>
      <c r="N898" s="36"/>
      <c r="O898" s="41"/>
      <c r="P898" s="35"/>
      <c r="Q898" s="35"/>
      <c r="R898" s="42" t="str">
        <f aca="true">IF($E898="","",IF($N898="Cancelada","Cancelada",IF(OR($M898&lt;&gt;"",$N898="Concluída"),IF(OR($L898="",$M898="",$M898&lt;=$L898),"Concluída","Concluída com atraso"),IF($L898="","Na carteira",IF($L898&lt;TODAY(),"VENCIDA",IF($N898="Em execução","Em execução",IF($L898=TODAY(),"Hoje","Programada")))))))</f>
        <v/>
      </c>
      <c r="S898" s="34" t="str">
        <f aca="false">IF($E898="","",IF(ISNUMBER(SEARCH("(externo)",$G898&amp;$H898&amp;$I898)),"Terceirizada","Interna"))</f>
        <v/>
      </c>
      <c r="T898" s="40" t="str">
        <f aca="false">IF($L898="","",IF($O898="",$L898,$O898))</f>
        <v/>
      </c>
      <c r="U898" s="34" t="str">
        <f aca="false">IF($E898="","",IF(OR($M898="",$L898=""),0,IF($M898&lt;=$L898,1,0)))</f>
        <v/>
      </c>
      <c r="V898" s="34" t="str">
        <f aca="false">IF($E898="","",IF(OR($M898="",$T898=""),0,IF($M898&lt;=$T898,1,0)))</f>
        <v/>
      </c>
      <c r="W898" s="42" t="str">
        <f aca="false">IF(OR($M898="",$L898=""),"",MAX(0,$M898-$L898))</f>
        <v/>
      </c>
      <c r="X898" s="34" t="str">
        <f aca="false">IF($E898="","",IF(AND($O898&lt;&gt;"",$L898&lt;&gt;"",$O898&lt;&gt;$L898),1,0))</f>
        <v/>
      </c>
      <c r="Y898" s="34" t="str">
        <f aca="false">IF($E898="","",IF($N898="Cancelada",0,IF(OR($M898&lt;&gt;"",$N898="Concluída"),1,0)))</f>
        <v/>
      </c>
    </row>
    <row r="899" customFormat="false" ht="15" hidden="false" customHeight="true" outlineLevel="0" collapsed="false">
      <c r="A899" s="34" t="str">
        <f aca="false">IF($E899="","",COUNTA($E$5:$E899))</f>
        <v/>
      </c>
      <c r="B899" s="35"/>
      <c r="C899" s="35"/>
      <c r="D899" s="35"/>
      <c r="E899" s="35"/>
      <c r="F899" s="36"/>
      <c r="G899" s="37"/>
      <c r="H899" s="37"/>
      <c r="I899" s="37"/>
      <c r="J899" s="38"/>
      <c r="K899" s="39"/>
      <c r="L899" s="40" t="str">
        <f aca="false">IF(OR($J899="",$K899=""),"",$J899+MATCH($K899,Listas!$F$5:$F$11,0)-1)</f>
        <v/>
      </c>
      <c r="M899" s="41"/>
      <c r="N899" s="36"/>
      <c r="O899" s="41"/>
      <c r="P899" s="35"/>
      <c r="Q899" s="35"/>
      <c r="R899" s="42" t="str">
        <f aca="true">IF($E899="","",IF($N899="Cancelada","Cancelada",IF(OR($M899&lt;&gt;"",$N899="Concluída"),IF(OR($L899="",$M899="",$M899&lt;=$L899),"Concluída","Concluída com atraso"),IF($L899="","Na carteira",IF($L899&lt;TODAY(),"VENCIDA",IF($N899="Em execução","Em execução",IF($L899=TODAY(),"Hoje","Programada")))))))</f>
        <v/>
      </c>
      <c r="S899" s="34" t="str">
        <f aca="false">IF($E899="","",IF(ISNUMBER(SEARCH("(externo)",$G899&amp;$H899&amp;$I899)),"Terceirizada","Interna"))</f>
        <v/>
      </c>
      <c r="T899" s="40" t="str">
        <f aca="false">IF($L899="","",IF($O899="",$L899,$O899))</f>
        <v/>
      </c>
      <c r="U899" s="34" t="str">
        <f aca="false">IF($E899="","",IF(OR($M899="",$L899=""),0,IF($M899&lt;=$L899,1,0)))</f>
        <v/>
      </c>
      <c r="V899" s="34" t="str">
        <f aca="false">IF($E899="","",IF(OR($M899="",$T899=""),0,IF($M899&lt;=$T899,1,0)))</f>
        <v/>
      </c>
      <c r="W899" s="42" t="str">
        <f aca="false">IF(OR($M899="",$L899=""),"",MAX(0,$M899-$L899))</f>
        <v/>
      </c>
      <c r="X899" s="34" t="str">
        <f aca="false">IF($E899="","",IF(AND($O899&lt;&gt;"",$L899&lt;&gt;"",$O899&lt;&gt;$L899),1,0))</f>
        <v/>
      </c>
      <c r="Y899" s="34" t="str">
        <f aca="false">IF($E899="","",IF($N899="Cancelada",0,IF(OR($M899&lt;&gt;"",$N899="Concluída"),1,0)))</f>
        <v/>
      </c>
    </row>
    <row r="900" customFormat="false" ht="15" hidden="false" customHeight="true" outlineLevel="0" collapsed="false">
      <c r="A900" s="34" t="str">
        <f aca="false">IF($E900="","",COUNTA($E$5:$E900))</f>
        <v/>
      </c>
      <c r="B900" s="35"/>
      <c r="C900" s="35"/>
      <c r="D900" s="35"/>
      <c r="E900" s="35"/>
      <c r="F900" s="36"/>
      <c r="G900" s="37"/>
      <c r="H900" s="37"/>
      <c r="I900" s="37"/>
      <c r="J900" s="38"/>
      <c r="K900" s="39"/>
      <c r="L900" s="40" t="str">
        <f aca="false">IF(OR($J900="",$K900=""),"",$J900+MATCH($K900,Listas!$F$5:$F$11,0)-1)</f>
        <v/>
      </c>
      <c r="M900" s="41"/>
      <c r="N900" s="36"/>
      <c r="O900" s="41"/>
      <c r="P900" s="35"/>
      <c r="Q900" s="35"/>
      <c r="R900" s="42" t="str">
        <f aca="true">IF($E900="","",IF($N900="Cancelada","Cancelada",IF(OR($M900&lt;&gt;"",$N900="Concluída"),IF(OR($L900="",$M900="",$M900&lt;=$L900),"Concluída","Concluída com atraso"),IF($L900="","Na carteira",IF($L900&lt;TODAY(),"VENCIDA",IF($N900="Em execução","Em execução",IF($L900=TODAY(),"Hoje","Programada")))))))</f>
        <v/>
      </c>
      <c r="S900" s="34" t="str">
        <f aca="false">IF($E900="","",IF(ISNUMBER(SEARCH("(externo)",$G900&amp;$H900&amp;$I900)),"Terceirizada","Interna"))</f>
        <v/>
      </c>
      <c r="T900" s="40" t="str">
        <f aca="false">IF($L900="","",IF($O900="",$L900,$O900))</f>
        <v/>
      </c>
      <c r="U900" s="34" t="str">
        <f aca="false">IF($E900="","",IF(OR($M900="",$L900=""),0,IF($M900&lt;=$L900,1,0)))</f>
        <v/>
      </c>
      <c r="V900" s="34" t="str">
        <f aca="false">IF($E900="","",IF(OR($M900="",$T900=""),0,IF($M900&lt;=$T900,1,0)))</f>
        <v/>
      </c>
      <c r="W900" s="42" t="str">
        <f aca="false">IF(OR($M900="",$L900=""),"",MAX(0,$M900-$L900))</f>
        <v/>
      </c>
      <c r="X900" s="34" t="str">
        <f aca="false">IF($E900="","",IF(AND($O900&lt;&gt;"",$L900&lt;&gt;"",$O900&lt;&gt;$L900),1,0))</f>
        <v/>
      </c>
      <c r="Y900" s="34" t="str">
        <f aca="false">IF($E900="","",IF($N900="Cancelada",0,IF(OR($M900&lt;&gt;"",$N900="Concluída"),1,0)))</f>
        <v/>
      </c>
    </row>
    <row r="901" customFormat="false" ht="15" hidden="false" customHeight="true" outlineLevel="0" collapsed="false">
      <c r="A901" s="34" t="str">
        <f aca="false">IF($E901="","",COUNTA($E$5:$E901))</f>
        <v/>
      </c>
      <c r="B901" s="35"/>
      <c r="C901" s="35"/>
      <c r="D901" s="35"/>
      <c r="E901" s="35"/>
      <c r="F901" s="36"/>
      <c r="G901" s="37"/>
      <c r="H901" s="37"/>
      <c r="I901" s="37"/>
      <c r="J901" s="38"/>
      <c r="K901" s="39"/>
      <c r="L901" s="40" t="str">
        <f aca="false">IF(OR($J901="",$K901=""),"",$J901+MATCH($K901,Listas!$F$5:$F$11,0)-1)</f>
        <v/>
      </c>
      <c r="M901" s="41"/>
      <c r="N901" s="36"/>
      <c r="O901" s="41"/>
      <c r="P901" s="35"/>
      <c r="Q901" s="35"/>
      <c r="R901" s="42" t="str">
        <f aca="true">IF($E901="","",IF($N901="Cancelada","Cancelada",IF(OR($M901&lt;&gt;"",$N901="Concluída"),IF(OR($L901="",$M901="",$M901&lt;=$L901),"Concluída","Concluída com atraso"),IF($L901="","Na carteira",IF($L901&lt;TODAY(),"VENCIDA",IF($N901="Em execução","Em execução",IF($L901=TODAY(),"Hoje","Programada")))))))</f>
        <v/>
      </c>
      <c r="S901" s="34" t="str">
        <f aca="false">IF($E901="","",IF(ISNUMBER(SEARCH("(externo)",$G901&amp;$H901&amp;$I901)),"Terceirizada","Interna"))</f>
        <v/>
      </c>
      <c r="T901" s="40" t="str">
        <f aca="false">IF($L901="","",IF($O901="",$L901,$O901))</f>
        <v/>
      </c>
      <c r="U901" s="34" t="str">
        <f aca="false">IF($E901="","",IF(OR($M901="",$L901=""),0,IF($M901&lt;=$L901,1,0)))</f>
        <v/>
      </c>
      <c r="V901" s="34" t="str">
        <f aca="false">IF($E901="","",IF(OR($M901="",$T901=""),0,IF($M901&lt;=$T901,1,0)))</f>
        <v/>
      </c>
      <c r="W901" s="42" t="str">
        <f aca="false">IF(OR($M901="",$L901=""),"",MAX(0,$M901-$L901))</f>
        <v/>
      </c>
      <c r="X901" s="34" t="str">
        <f aca="false">IF($E901="","",IF(AND($O901&lt;&gt;"",$L901&lt;&gt;"",$O901&lt;&gt;$L901),1,0))</f>
        <v/>
      </c>
      <c r="Y901" s="34" t="str">
        <f aca="false">IF($E901="","",IF($N901="Cancelada",0,IF(OR($M901&lt;&gt;"",$N901="Concluída"),1,0)))</f>
        <v/>
      </c>
    </row>
    <row r="902" customFormat="false" ht="15" hidden="false" customHeight="true" outlineLevel="0" collapsed="false">
      <c r="A902" s="34" t="str">
        <f aca="false">IF($E902="","",COUNTA($E$5:$E902))</f>
        <v/>
      </c>
      <c r="B902" s="35"/>
      <c r="C902" s="35"/>
      <c r="D902" s="35"/>
      <c r="E902" s="35"/>
      <c r="F902" s="36"/>
      <c r="G902" s="37"/>
      <c r="H902" s="37"/>
      <c r="I902" s="37"/>
      <c r="J902" s="38"/>
      <c r="K902" s="39"/>
      <c r="L902" s="40" t="str">
        <f aca="false">IF(OR($J902="",$K902=""),"",$J902+MATCH($K902,Listas!$F$5:$F$11,0)-1)</f>
        <v/>
      </c>
      <c r="M902" s="41"/>
      <c r="N902" s="36"/>
      <c r="O902" s="41"/>
      <c r="P902" s="35"/>
      <c r="Q902" s="35"/>
      <c r="R902" s="42" t="str">
        <f aca="true">IF($E902="","",IF($N902="Cancelada","Cancelada",IF(OR($M902&lt;&gt;"",$N902="Concluída"),IF(OR($L902="",$M902="",$M902&lt;=$L902),"Concluída","Concluída com atraso"),IF($L902="","Na carteira",IF($L902&lt;TODAY(),"VENCIDA",IF($N902="Em execução","Em execução",IF($L902=TODAY(),"Hoje","Programada")))))))</f>
        <v/>
      </c>
      <c r="S902" s="34" t="str">
        <f aca="false">IF($E902="","",IF(ISNUMBER(SEARCH("(externo)",$G902&amp;$H902&amp;$I902)),"Terceirizada","Interna"))</f>
        <v/>
      </c>
      <c r="T902" s="40" t="str">
        <f aca="false">IF($L902="","",IF($O902="",$L902,$O902))</f>
        <v/>
      </c>
      <c r="U902" s="34" t="str">
        <f aca="false">IF($E902="","",IF(OR($M902="",$L902=""),0,IF($M902&lt;=$L902,1,0)))</f>
        <v/>
      </c>
      <c r="V902" s="34" t="str">
        <f aca="false">IF($E902="","",IF(OR($M902="",$T902=""),0,IF($M902&lt;=$T902,1,0)))</f>
        <v/>
      </c>
      <c r="W902" s="42" t="str">
        <f aca="false">IF(OR($M902="",$L902=""),"",MAX(0,$M902-$L902))</f>
        <v/>
      </c>
      <c r="X902" s="34" t="str">
        <f aca="false">IF($E902="","",IF(AND($O902&lt;&gt;"",$L902&lt;&gt;"",$O902&lt;&gt;$L902),1,0))</f>
        <v/>
      </c>
      <c r="Y902" s="34" t="str">
        <f aca="false">IF($E902="","",IF($N902="Cancelada",0,IF(OR($M902&lt;&gt;"",$N902="Concluída"),1,0)))</f>
        <v/>
      </c>
    </row>
    <row r="903" customFormat="false" ht="15" hidden="false" customHeight="true" outlineLevel="0" collapsed="false">
      <c r="A903" s="34" t="str">
        <f aca="false">IF($E903="","",COUNTA($E$5:$E903))</f>
        <v/>
      </c>
      <c r="B903" s="35"/>
      <c r="C903" s="35"/>
      <c r="D903" s="35"/>
      <c r="E903" s="35"/>
      <c r="F903" s="36"/>
      <c r="G903" s="37"/>
      <c r="H903" s="37"/>
      <c r="I903" s="37"/>
      <c r="J903" s="38"/>
      <c r="K903" s="39"/>
      <c r="L903" s="40" t="str">
        <f aca="false">IF(OR($J903="",$K903=""),"",$J903+MATCH($K903,Listas!$F$5:$F$11,0)-1)</f>
        <v/>
      </c>
      <c r="M903" s="41"/>
      <c r="N903" s="36"/>
      <c r="O903" s="41"/>
      <c r="P903" s="35"/>
      <c r="Q903" s="35"/>
      <c r="R903" s="42" t="str">
        <f aca="true">IF($E903="","",IF($N903="Cancelada","Cancelada",IF(OR($M903&lt;&gt;"",$N903="Concluída"),IF(OR($L903="",$M903="",$M903&lt;=$L903),"Concluída","Concluída com atraso"),IF($L903="","Na carteira",IF($L903&lt;TODAY(),"VENCIDA",IF($N903="Em execução","Em execução",IF($L903=TODAY(),"Hoje","Programada")))))))</f>
        <v/>
      </c>
      <c r="S903" s="34" t="str">
        <f aca="false">IF($E903="","",IF(ISNUMBER(SEARCH("(externo)",$G903&amp;$H903&amp;$I903)),"Terceirizada","Interna"))</f>
        <v/>
      </c>
      <c r="T903" s="40" t="str">
        <f aca="false">IF($L903="","",IF($O903="",$L903,$O903))</f>
        <v/>
      </c>
      <c r="U903" s="34" t="str">
        <f aca="false">IF($E903="","",IF(OR($M903="",$L903=""),0,IF($M903&lt;=$L903,1,0)))</f>
        <v/>
      </c>
      <c r="V903" s="34" t="str">
        <f aca="false">IF($E903="","",IF(OR($M903="",$T903=""),0,IF($M903&lt;=$T903,1,0)))</f>
        <v/>
      </c>
      <c r="W903" s="42" t="str">
        <f aca="false">IF(OR($M903="",$L903=""),"",MAX(0,$M903-$L903))</f>
        <v/>
      </c>
      <c r="X903" s="34" t="str">
        <f aca="false">IF($E903="","",IF(AND($O903&lt;&gt;"",$L903&lt;&gt;"",$O903&lt;&gt;$L903),1,0))</f>
        <v/>
      </c>
      <c r="Y903" s="34" t="str">
        <f aca="false">IF($E903="","",IF($N903="Cancelada",0,IF(OR($M903&lt;&gt;"",$N903="Concluída"),1,0)))</f>
        <v/>
      </c>
    </row>
    <row r="904" customFormat="false" ht="15" hidden="false" customHeight="true" outlineLevel="0" collapsed="false">
      <c r="A904" s="34" t="str">
        <f aca="false">IF($E904="","",COUNTA($E$5:$E904))</f>
        <v/>
      </c>
      <c r="B904" s="35"/>
      <c r="C904" s="35"/>
      <c r="D904" s="35"/>
      <c r="E904" s="35"/>
      <c r="F904" s="36"/>
      <c r="G904" s="37"/>
      <c r="H904" s="37"/>
      <c r="I904" s="37"/>
      <c r="J904" s="38"/>
      <c r="K904" s="39"/>
      <c r="L904" s="40" t="str">
        <f aca="false">IF(OR($J904="",$K904=""),"",$J904+MATCH($K904,Listas!$F$5:$F$11,0)-1)</f>
        <v/>
      </c>
      <c r="M904" s="41"/>
      <c r="N904" s="36"/>
      <c r="O904" s="41"/>
      <c r="P904" s="35"/>
      <c r="Q904" s="35"/>
      <c r="R904" s="42" t="str">
        <f aca="true">IF($E904="","",IF($N904="Cancelada","Cancelada",IF(OR($M904&lt;&gt;"",$N904="Concluída"),IF(OR($L904="",$M904="",$M904&lt;=$L904),"Concluída","Concluída com atraso"),IF($L904="","Na carteira",IF($L904&lt;TODAY(),"VENCIDA",IF($N904="Em execução","Em execução",IF($L904=TODAY(),"Hoje","Programada")))))))</f>
        <v/>
      </c>
      <c r="S904" s="34" t="str">
        <f aca="false">IF($E904="","",IF(ISNUMBER(SEARCH("(externo)",$G904&amp;$H904&amp;$I904)),"Terceirizada","Interna"))</f>
        <v/>
      </c>
      <c r="T904" s="40" t="str">
        <f aca="false">IF($L904="","",IF($O904="",$L904,$O904))</f>
        <v/>
      </c>
      <c r="U904" s="34" t="str">
        <f aca="false">IF($E904="","",IF(OR($M904="",$L904=""),0,IF($M904&lt;=$L904,1,0)))</f>
        <v/>
      </c>
      <c r="V904" s="34" t="str">
        <f aca="false">IF($E904="","",IF(OR($M904="",$T904=""),0,IF($M904&lt;=$T904,1,0)))</f>
        <v/>
      </c>
      <c r="W904" s="42" t="str">
        <f aca="false">IF(OR($M904="",$L904=""),"",MAX(0,$M904-$L904))</f>
        <v/>
      </c>
      <c r="X904" s="34" t="str">
        <f aca="false">IF($E904="","",IF(AND($O904&lt;&gt;"",$L904&lt;&gt;"",$O904&lt;&gt;$L904),1,0))</f>
        <v/>
      </c>
      <c r="Y904" s="34" t="str">
        <f aca="false">IF($E904="","",IF($N904="Cancelada",0,IF(OR($M904&lt;&gt;"",$N904="Concluída"),1,0)))</f>
        <v/>
      </c>
    </row>
    <row r="905" customFormat="false" ht="15" hidden="false" customHeight="true" outlineLevel="0" collapsed="false">
      <c r="A905" s="34" t="str">
        <f aca="false">IF($E905="","",COUNTA($E$5:$E905))</f>
        <v/>
      </c>
      <c r="B905" s="35"/>
      <c r="C905" s="35"/>
      <c r="D905" s="35"/>
      <c r="E905" s="35"/>
      <c r="F905" s="36"/>
      <c r="G905" s="37"/>
      <c r="H905" s="37"/>
      <c r="I905" s="37"/>
      <c r="J905" s="38"/>
      <c r="K905" s="39"/>
      <c r="L905" s="40" t="str">
        <f aca="false">IF(OR($J905="",$K905=""),"",$J905+MATCH($K905,Listas!$F$5:$F$11,0)-1)</f>
        <v/>
      </c>
      <c r="M905" s="41"/>
      <c r="N905" s="36"/>
      <c r="O905" s="41"/>
      <c r="P905" s="35"/>
      <c r="Q905" s="35"/>
      <c r="R905" s="42" t="str">
        <f aca="true">IF($E905="","",IF($N905="Cancelada","Cancelada",IF(OR($M905&lt;&gt;"",$N905="Concluída"),IF(OR($L905="",$M905="",$M905&lt;=$L905),"Concluída","Concluída com atraso"),IF($L905="","Na carteira",IF($L905&lt;TODAY(),"VENCIDA",IF($N905="Em execução","Em execução",IF($L905=TODAY(),"Hoje","Programada")))))))</f>
        <v/>
      </c>
      <c r="S905" s="34" t="str">
        <f aca="false">IF($E905="","",IF(ISNUMBER(SEARCH("(externo)",$G905&amp;$H905&amp;$I905)),"Terceirizada","Interna"))</f>
        <v/>
      </c>
      <c r="T905" s="40" t="str">
        <f aca="false">IF($L905="","",IF($O905="",$L905,$O905))</f>
        <v/>
      </c>
      <c r="U905" s="34" t="str">
        <f aca="false">IF($E905="","",IF(OR($M905="",$L905=""),0,IF($M905&lt;=$L905,1,0)))</f>
        <v/>
      </c>
      <c r="V905" s="34" t="str">
        <f aca="false">IF($E905="","",IF(OR($M905="",$T905=""),0,IF($M905&lt;=$T905,1,0)))</f>
        <v/>
      </c>
      <c r="W905" s="42" t="str">
        <f aca="false">IF(OR($M905="",$L905=""),"",MAX(0,$M905-$L905))</f>
        <v/>
      </c>
      <c r="X905" s="34" t="str">
        <f aca="false">IF($E905="","",IF(AND($O905&lt;&gt;"",$L905&lt;&gt;"",$O905&lt;&gt;$L905),1,0))</f>
        <v/>
      </c>
      <c r="Y905" s="34" t="str">
        <f aca="false">IF($E905="","",IF($N905="Cancelada",0,IF(OR($M905&lt;&gt;"",$N905="Concluída"),1,0)))</f>
        <v/>
      </c>
    </row>
    <row r="906" customFormat="false" ht="15" hidden="false" customHeight="true" outlineLevel="0" collapsed="false">
      <c r="A906" s="34" t="str">
        <f aca="false">IF($E906="","",COUNTA($E$5:$E906))</f>
        <v/>
      </c>
      <c r="B906" s="35"/>
      <c r="C906" s="35"/>
      <c r="D906" s="35"/>
      <c r="E906" s="35"/>
      <c r="F906" s="36"/>
      <c r="G906" s="37"/>
      <c r="H906" s="37"/>
      <c r="I906" s="37"/>
      <c r="J906" s="38"/>
      <c r="K906" s="39"/>
      <c r="L906" s="40" t="str">
        <f aca="false">IF(OR($J906="",$K906=""),"",$J906+MATCH($K906,Listas!$F$5:$F$11,0)-1)</f>
        <v/>
      </c>
      <c r="M906" s="41"/>
      <c r="N906" s="36"/>
      <c r="O906" s="41"/>
      <c r="P906" s="35"/>
      <c r="Q906" s="35"/>
      <c r="R906" s="42" t="str">
        <f aca="true">IF($E906="","",IF($N906="Cancelada","Cancelada",IF(OR($M906&lt;&gt;"",$N906="Concluída"),IF(OR($L906="",$M906="",$M906&lt;=$L906),"Concluída","Concluída com atraso"),IF($L906="","Na carteira",IF($L906&lt;TODAY(),"VENCIDA",IF($N906="Em execução","Em execução",IF($L906=TODAY(),"Hoje","Programada")))))))</f>
        <v/>
      </c>
      <c r="S906" s="34" t="str">
        <f aca="false">IF($E906="","",IF(ISNUMBER(SEARCH("(externo)",$G906&amp;$H906&amp;$I906)),"Terceirizada","Interna"))</f>
        <v/>
      </c>
      <c r="T906" s="40" t="str">
        <f aca="false">IF($L906="","",IF($O906="",$L906,$O906))</f>
        <v/>
      </c>
      <c r="U906" s="34" t="str">
        <f aca="false">IF($E906="","",IF(OR($M906="",$L906=""),0,IF($M906&lt;=$L906,1,0)))</f>
        <v/>
      </c>
      <c r="V906" s="34" t="str">
        <f aca="false">IF($E906="","",IF(OR($M906="",$T906=""),0,IF($M906&lt;=$T906,1,0)))</f>
        <v/>
      </c>
      <c r="W906" s="42" t="str">
        <f aca="false">IF(OR($M906="",$L906=""),"",MAX(0,$M906-$L906))</f>
        <v/>
      </c>
      <c r="X906" s="34" t="str">
        <f aca="false">IF($E906="","",IF(AND($O906&lt;&gt;"",$L906&lt;&gt;"",$O906&lt;&gt;$L906),1,0))</f>
        <v/>
      </c>
      <c r="Y906" s="34" t="str">
        <f aca="false">IF($E906="","",IF($N906="Cancelada",0,IF(OR($M906&lt;&gt;"",$N906="Concluída"),1,0)))</f>
        <v/>
      </c>
    </row>
    <row r="907" customFormat="false" ht="15" hidden="false" customHeight="true" outlineLevel="0" collapsed="false">
      <c r="A907" s="34" t="str">
        <f aca="false">IF($E907="","",COUNTA($E$5:$E907))</f>
        <v/>
      </c>
      <c r="B907" s="35"/>
      <c r="C907" s="35"/>
      <c r="D907" s="35"/>
      <c r="E907" s="35"/>
      <c r="F907" s="36"/>
      <c r="G907" s="37"/>
      <c r="H907" s="37"/>
      <c r="I907" s="37"/>
      <c r="J907" s="38"/>
      <c r="K907" s="39"/>
      <c r="L907" s="40" t="str">
        <f aca="false">IF(OR($J907="",$K907=""),"",$J907+MATCH($K907,Listas!$F$5:$F$11,0)-1)</f>
        <v/>
      </c>
      <c r="M907" s="41"/>
      <c r="N907" s="36"/>
      <c r="O907" s="41"/>
      <c r="P907" s="35"/>
      <c r="Q907" s="35"/>
      <c r="R907" s="42" t="str">
        <f aca="true">IF($E907="","",IF($N907="Cancelada","Cancelada",IF(OR($M907&lt;&gt;"",$N907="Concluída"),IF(OR($L907="",$M907="",$M907&lt;=$L907),"Concluída","Concluída com atraso"),IF($L907="","Na carteira",IF($L907&lt;TODAY(),"VENCIDA",IF($N907="Em execução","Em execução",IF($L907=TODAY(),"Hoje","Programada")))))))</f>
        <v/>
      </c>
      <c r="S907" s="34" t="str">
        <f aca="false">IF($E907="","",IF(ISNUMBER(SEARCH("(externo)",$G907&amp;$H907&amp;$I907)),"Terceirizada","Interna"))</f>
        <v/>
      </c>
      <c r="T907" s="40" t="str">
        <f aca="false">IF($L907="","",IF($O907="",$L907,$O907))</f>
        <v/>
      </c>
      <c r="U907" s="34" t="str">
        <f aca="false">IF($E907="","",IF(OR($M907="",$L907=""),0,IF($M907&lt;=$L907,1,0)))</f>
        <v/>
      </c>
      <c r="V907" s="34" t="str">
        <f aca="false">IF($E907="","",IF(OR($M907="",$T907=""),0,IF($M907&lt;=$T907,1,0)))</f>
        <v/>
      </c>
      <c r="W907" s="42" t="str">
        <f aca="false">IF(OR($M907="",$L907=""),"",MAX(0,$M907-$L907))</f>
        <v/>
      </c>
      <c r="X907" s="34" t="str">
        <f aca="false">IF($E907="","",IF(AND($O907&lt;&gt;"",$L907&lt;&gt;"",$O907&lt;&gt;$L907),1,0))</f>
        <v/>
      </c>
      <c r="Y907" s="34" t="str">
        <f aca="false">IF($E907="","",IF($N907="Cancelada",0,IF(OR($M907&lt;&gt;"",$N907="Concluída"),1,0)))</f>
        <v/>
      </c>
    </row>
    <row r="908" customFormat="false" ht="15" hidden="false" customHeight="true" outlineLevel="0" collapsed="false">
      <c r="A908" s="34" t="str">
        <f aca="false">IF($E908="","",COUNTA($E$5:$E908))</f>
        <v/>
      </c>
      <c r="B908" s="35"/>
      <c r="C908" s="35"/>
      <c r="D908" s="35"/>
      <c r="E908" s="35"/>
      <c r="F908" s="36"/>
      <c r="G908" s="37"/>
      <c r="H908" s="37"/>
      <c r="I908" s="37"/>
      <c r="J908" s="38"/>
      <c r="K908" s="39"/>
      <c r="L908" s="40" t="str">
        <f aca="false">IF(OR($J908="",$K908=""),"",$J908+MATCH($K908,Listas!$F$5:$F$11,0)-1)</f>
        <v/>
      </c>
      <c r="M908" s="41"/>
      <c r="N908" s="36"/>
      <c r="O908" s="41"/>
      <c r="P908" s="35"/>
      <c r="Q908" s="35"/>
      <c r="R908" s="42" t="str">
        <f aca="true">IF($E908="","",IF($N908="Cancelada","Cancelada",IF(OR($M908&lt;&gt;"",$N908="Concluída"),IF(OR($L908="",$M908="",$M908&lt;=$L908),"Concluída","Concluída com atraso"),IF($L908="","Na carteira",IF($L908&lt;TODAY(),"VENCIDA",IF($N908="Em execução","Em execução",IF($L908=TODAY(),"Hoje","Programada")))))))</f>
        <v/>
      </c>
      <c r="S908" s="34" t="str">
        <f aca="false">IF($E908="","",IF(ISNUMBER(SEARCH("(externo)",$G908&amp;$H908&amp;$I908)),"Terceirizada","Interna"))</f>
        <v/>
      </c>
      <c r="T908" s="40" t="str">
        <f aca="false">IF($L908="","",IF($O908="",$L908,$O908))</f>
        <v/>
      </c>
      <c r="U908" s="34" t="str">
        <f aca="false">IF($E908="","",IF(OR($M908="",$L908=""),0,IF($M908&lt;=$L908,1,0)))</f>
        <v/>
      </c>
      <c r="V908" s="34" t="str">
        <f aca="false">IF($E908="","",IF(OR($M908="",$T908=""),0,IF($M908&lt;=$T908,1,0)))</f>
        <v/>
      </c>
      <c r="W908" s="42" t="str">
        <f aca="false">IF(OR($M908="",$L908=""),"",MAX(0,$M908-$L908))</f>
        <v/>
      </c>
      <c r="X908" s="34" t="str">
        <f aca="false">IF($E908="","",IF(AND($O908&lt;&gt;"",$L908&lt;&gt;"",$O908&lt;&gt;$L908),1,0))</f>
        <v/>
      </c>
      <c r="Y908" s="34" t="str">
        <f aca="false">IF($E908="","",IF($N908="Cancelada",0,IF(OR($M908&lt;&gt;"",$N908="Concluída"),1,0)))</f>
        <v/>
      </c>
    </row>
    <row r="909" customFormat="false" ht="15" hidden="false" customHeight="true" outlineLevel="0" collapsed="false">
      <c r="A909" s="34" t="str">
        <f aca="false">IF($E909="","",COUNTA($E$5:$E909))</f>
        <v/>
      </c>
      <c r="B909" s="35"/>
      <c r="C909" s="35"/>
      <c r="D909" s="35"/>
      <c r="E909" s="35"/>
      <c r="F909" s="36"/>
      <c r="G909" s="37"/>
      <c r="H909" s="37"/>
      <c r="I909" s="37"/>
      <c r="J909" s="38"/>
      <c r="K909" s="39"/>
      <c r="L909" s="40" t="str">
        <f aca="false">IF(OR($J909="",$K909=""),"",$J909+MATCH($K909,Listas!$F$5:$F$11,0)-1)</f>
        <v/>
      </c>
      <c r="M909" s="41"/>
      <c r="N909" s="36"/>
      <c r="O909" s="41"/>
      <c r="P909" s="35"/>
      <c r="Q909" s="35"/>
      <c r="R909" s="42" t="str">
        <f aca="true">IF($E909="","",IF($N909="Cancelada","Cancelada",IF(OR($M909&lt;&gt;"",$N909="Concluída"),IF(OR($L909="",$M909="",$M909&lt;=$L909),"Concluída","Concluída com atraso"),IF($L909="","Na carteira",IF($L909&lt;TODAY(),"VENCIDA",IF($N909="Em execução","Em execução",IF($L909=TODAY(),"Hoje","Programada")))))))</f>
        <v/>
      </c>
      <c r="S909" s="34" t="str">
        <f aca="false">IF($E909="","",IF(ISNUMBER(SEARCH("(externo)",$G909&amp;$H909&amp;$I909)),"Terceirizada","Interna"))</f>
        <v/>
      </c>
      <c r="T909" s="40" t="str">
        <f aca="false">IF($L909="","",IF($O909="",$L909,$O909))</f>
        <v/>
      </c>
      <c r="U909" s="34" t="str">
        <f aca="false">IF($E909="","",IF(OR($M909="",$L909=""),0,IF($M909&lt;=$L909,1,0)))</f>
        <v/>
      </c>
      <c r="V909" s="34" t="str">
        <f aca="false">IF($E909="","",IF(OR($M909="",$T909=""),0,IF($M909&lt;=$T909,1,0)))</f>
        <v/>
      </c>
      <c r="W909" s="42" t="str">
        <f aca="false">IF(OR($M909="",$L909=""),"",MAX(0,$M909-$L909))</f>
        <v/>
      </c>
      <c r="X909" s="34" t="str">
        <f aca="false">IF($E909="","",IF(AND($O909&lt;&gt;"",$L909&lt;&gt;"",$O909&lt;&gt;$L909),1,0))</f>
        <v/>
      </c>
      <c r="Y909" s="34" t="str">
        <f aca="false">IF($E909="","",IF($N909="Cancelada",0,IF(OR($M909&lt;&gt;"",$N909="Concluída"),1,0)))</f>
        <v/>
      </c>
    </row>
    <row r="910" customFormat="false" ht="15" hidden="false" customHeight="true" outlineLevel="0" collapsed="false">
      <c r="A910" s="34" t="str">
        <f aca="false">IF($E910="","",COUNTA($E$5:$E910))</f>
        <v/>
      </c>
      <c r="B910" s="35"/>
      <c r="C910" s="35"/>
      <c r="D910" s="35"/>
      <c r="E910" s="35"/>
      <c r="F910" s="36"/>
      <c r="G910" s="37"/>
      <c r="H910" s="37"/>
      <c r="I910" s="37"/>
      <c r="J910" s="38"/>
      <c r="K910" s="39"/>
      <c r="L910" s="40" t="str">
        <f aca="false">IF(OR($J910="",$K910=""),"",$J910+MATCH($K910,Listas!$F$5:$F$11,0)-1)</f>
        <v/>
      </c>
      <c r="M910" s="41"/>
      <c r="N910" s="36"/>
      <c r="O910" s="41"/>
      <c r="P910" s="35"/>
      <c r="Q910" s="35"/>
      <c r="R910" s="42" t="str">
        <f aca="true">IF($E910="","",IF($N910="Cancelada","Cancelada",IF(OR($M910&lt;&gt;"",$N910="Concluída"),IF(OR($L910="",$M910="",$M910&lt;=$L910),"Concluída","Concluída com atraso"),IF($L910="","Na carteira",IF($L910&lt;TODAY(),"VENCIDA",IF($N910="Em execução","Em execução",IF($L910=TODAY(),"Hoje","Programada")))))))</f>
        <v/>
      </c>
      <c r="S910" s="34" t="str">
        <f aca="false">IF($E910="","",IF(ISNUMBER(SEARCH("(externo)",$G910&amp;$H910&amp;$I910)),"Terceirizada","Interna"))</f>
        <v/>
      </c>
      <c r="T910" s="40" t="str">
        <f aca="false">IF($L910="","",IF($O910="",$L910,$O910))</f>
        <v/>
      </c>
      <c r="U910" s="34" t="str">
        <f aca="false">IF($E910="","",IF(OR($M910="",$L910=""),0,IF($M910&lt;=$L910,1,0)))</f>
        <v/>
      </c>
      <c r="V910" s="34" t="str">
        <f aca="false">IF($E910="","",IF(OR($M910="",$T910=""),0,IF($M910&lt;=$T910,1,0)))</f>
        <v/>
      </c>
      <c r="W910" s="42" t="str">
        <f aca="false">IF(OR($M910="",$L910=""),"",MAX(0,$M910-$L910))</f>
        <v/>
      </c>
      <c r="X910" s="34" t="str">
        <f aca="false">IF($E910="","",IF(AND($O910&lt;&gt;"",$L910&lt;&gt;"",$O910&lt;&gt;$L910),1,0))</f>
        <v/>
      </c>
      <c r="Y910" s="34" t="str">
        <f aca="false">IF($E910="","",IF($N910="Cancelada",0,IF(OR($M910&lt;&gt;"",$N910="Concluída"),1,0)))</f>
        <v/>
      </c>
    </row>
    <row r="911" customFormat="false" ht="15" hidden="false" customHeight="true" outlineLevel="0" collapsed="false">
      <c r="A911" s="34" t="str">
        <f aca="false">IF($E911="","",COUNTA($E$5:$E911))</f>
        <v/>
      </c>
      <c r="B911" s="35"/>
      <c r="C911" s="35"/>
      <c r="D911" s="35"/>
      <c r="E911" s="35"/>
      <c r="F911" s="36"/>
      <c r="G911" s="37"/>
      <c r="H911" s="37"/>
      <c r="I911" s="37"/>
      <c r="J911" s="38"/>
      <c r="K911" s="39"/>
      <c r="L911" s="40" t="str">
        <f aca="false">IF(OR($J911="",$K911=""),"",$J911+MATCH($K911,Listas!$F$5:$F$11,0)-1)</f>
        <v/>
      </c>
      <c r="M911" s="41"/>
      <c r="N911" s="36"/>
      <c r="O911" s="41"/>
      <c r="P911" s="35"/>
      <c r="Q911" s="35"/>
      <c r="R911" s="42" t="str">
        <f aca="true">IF($E911="","",IF($N911="Cancelada","Cancelada",IF(OR($M911&lt;&gt;"",$N911="Concluída"),IF(OR($L911="",$M911="",$M911&lt;=$L911),"Concluída","Concluída com atraso"),IF($L911="","Na carteira",IF($L911&lt;TODAY(),"VENCIDA",IF($N911="Em execução","Em execução",IF($L911=TODAY(),"Hoje","Programada")))))))</f>
        <v/>
      </c>
      <c r="S911" s="34" t="str">
        <f aca="false">IF($E911="","",IF(ISNUMBER(SEARCH("(externo)",$G911&amp;$H911&amp;$I911)),"Terceirizada","Interna"))</f>
        <v/>
      </c>
      <c r="T911" s="40" t="str">
        <f aca="false">IF($L911="","",IF($O911="",$L911,$O911))</f>
        <v/>
      </c>
      <c r="U911" s="34" t="str">
        <f aca="false">IF($E911="","",IF(OR($M911="",$L911=""),0,IF($M911&lt;=$L911,1,0)))</f>
        <v/>
      </c>
      <c r="V911" s="34" t="str">
        <f aca="false">IF($E911="","",IF(OR($M911="",$T911=""),0,IF($M911&lt;=$T911,1,0)))</f>
        <v/>
      </c>
      <c r="W911" s="42" t="str">
        <f aca="false">IF(OR($M911="",$L911=""),"",MAX(0,$M911-$L911))</f>
        <v/>
      </c>
      <c r="X911" s="34" t="str">
        <f aca="false">IF($E911="","",IF(AND($O911&lt;&gt;"",$L911&lt;&gt;"",$O911&lt;&gt;$L911),1,0))</f>
        <v/>
      </c>
      <c r="Y911" s="34" t="str">
        <f aca="false">IF($E911="","",IF($N911="Cancelada",0,IF(OR($M911&lt;&gt;"",$N911="Concluída"),1,0)))</f>
        <v/>
      </c>
    </row>
    <row r="912" customFormat="false" ht="15" hidden="false" customHeight="true" outlineLevel="0" collapsed="false">
      <c r="A912" s="34" t="str">
        <f aca="false">IF($E912="","",COUNTA($E$5:$E912))</f>
        <v/>
      </c>
      <c r="B912" s="35"/>
      <c r="C912" s="35"/>
      <c r="D912" s="35"/>
      <c r="E912" s="35"/>
      <c r="F912" s="36"/>
      <c r="G912" s="37"/>
      <c r="H912" s="37"/>
      <c r="I912" s="37"/>
      <c r="J912" s="38"/>
      <c r="K912" s="39"/>
      <c r="L912" s="40" t="str">
        <f aca="false">IF(OR($J912="",$K912=""),"",$J912+MATCH($K912,Listas!$F$5:$F$11,0)-1)</f>
        <v/>
      </c>
      <c r="M912" s="41"/>
      <c r="N912" s="36"/>
      <c r="O912" s="41"/>
      <c r="P912" s="35"/>
      <c r="Q912" s="35"/>
      <c r="R912" s="42" t="str">
        <f aca="true">IF($E912="","",IF($N912="Cancelada","Cancelada",IF(OR($M912&lt;&gt;"",$N912="Concluída"),IF(OR($L912="",$M912="",$M912&lt;=$L912),"Concluída","Concluída com atraso"),IF($L912="","Na carteira",IF($L912&lt;TODAY(),"VENCIDA",IF($N912="Em execução","Em execução",IF($L912=TODAY(),"Hoje","Programada")))))))</f>
        <v/>
      </c>
      <c r="S912" s="34" t="str">
        <f aca="false">IF($E912="","",IF(ISNUMBER(SEARCH("(externo)",$G912&amp;$H912&amp;$I912)),"Terceirizada","Interna"))</f>
        <v/>
      </c>
      <c r="T912" s="40" t="str">
        <f aca="false">IF($L912="","",IF($O912="",$L912,$O912))</f>
        <v/>
      </c>
      <c r="U912" s="34" t="str">
        <f aca="false">IF($E912="","",IF(OR($M912="",$L912=""),0,IF($M912&lt;=$L912,1,0)))</f>
        <v/>
      </c>
      <c r="V912" s="34" t="str">
        <f aca="false">IF($E912="","",IF(OR($M912="",$T912=""),0,IF($M912&lt;=$T912,1,0)))</f>
        <v/>
      </c>
      <c r="W912" s="42" t="str">
        <f aca="false">IF(OR($M912="",$L912=""),"",MAX(0,$M912-$L912))</f>
        <v/>
      </c>
      <c r="X912" s="34" t="str">
        <f aca="false">IF($E912="","",IF(AND($O912&lt;&gt;"",$L912&lt;&gt;"",$O912&lt;&gt;$L912),1,0))</f>
        <v/>
      </c>
      <c r="Y912" s="34" t="str">
        <f aca="false">IF($E912="","",IF($N912="Cancelada",0,IF(OR($M912&lt;&gt;"",$N912="Concluída"),1,0)))</f>
        <v/>
      </c>
    </row>
    <row r="913" customFormat="false" ht="15" hidden="false" customHeight="true" outlineLevel="0" collapsed="false">
      <c r="A913" s="34" t="str">
        <f aca="false">IF($E913="","",COUNTA($E$5:$E913))</f>
        <v/>
      </c>
      <c r="B913" s="35"/>
      <c r="C913" s="35"/>
      <c r="D913" s="35"/>
      <c r="E913" s="35"/>
      <c r="F913" s="36"/>
      <c r="G913" s="37"/>
      <c r="H913" s="37"/>
      <c r="I913" s="37"/>
      <c r="J913" s="38"/>
      <c r="K913" s="39"/>
      <c r="L913" s="40" t="str">
        <f aca="false">IF(OR($J913="",$K913=""),"",$J913+MATCH($K913,Listas!$F$5:$F$11,0)-1)</f>
        <v/>
      </c>
      <c r="M913" s="41"/>
      <c r="N913" s="36"/>
      <c r="O913" s="41"/>
      <c r="P913" s="35"/>
      <c r="Q913" s="35"/>
      <c r="R913" s="42" t="str">
        <f aca="true">IF($E913="","",IF($N913="Cancelada","Cancelada",IF(OR($M913&lt;&gt;"",$N913="Concluída"),IF(OR($L913="",$M913="",$M913&lt;=$L913),"Concluída","Concluída com atraso"),IF($L913="","Na carteira",IF($L913&lt;TODAY(),"VENCIDA",IF($N913="Em execução","Em execução",IF($L913=TODAY(),"Hoje","Programada")))))))</f>
        <v/>
      </c>
      <c r="S913" s="34" t="str">
        <f aca="false">IF($E913="","",IF(ISNUMBER(SEARCH("(externo)",$G913&amp;$H913&amp;$I913)),"Terceirizada","Interna"))</f>
        <v/>
      </c>
      <c r="T913" s="40" t="str">
        <f aca="false">IF($L913="","",IF($O913="",$L913,$O913))</f>
        <v/>
      </c>
      <c r="U913" s="34" t="str">
        <f aca="false">IF($E913="","",IF(OR($M913="",$L913=""),0,IF($M913&lt;=$L913,1,0)))</f>
        <v/>
      </c>
      <c r="V913" s="34" t="str">
        <f aca="false">IF($E913="","",IF(OR($M913="",$T913=""),0,IF($M913&lt;=$T913,1,0)))</f>
        <v/>
      </c>
      <c r="W913" s="42" t="str">
        <f aca="false">IF(OR($M913="",$L913=""),"",MAX(0,$M913-$L913))</f>
        <v/>
      </c>
      <c r="X913" s="34" t="str">
        <f aca="false">IF($E913="","",IF(AND($O913&lt;&gt;"",$L913&lt;&gt;"",$O913&lt;&gt;$L913),1,0))</f>
        <v/>
      </c>
      <c r="Y913" s="34" t="str">
        <f aca="false">IF($E913="","",IF($N913="Cancelada",0,IF(OR($M913&lt;&gt;"",$N913="Concluída"),1,0)))</f>
        <v/>
      </c>
    </row>
    <row r="914" customFormat="false" ht="15" hidden="false" customHeight="true" outlineLevel="0" collapsed="false">
      <c r="A914" s="34" t="str">
        <f aca="false">IF($E914="","",COUNTA($E$5:$E914))</f>
        <v/>
      </c>
      <c r="B914" s="35"/>
      <c r="C914" s="35"/>
      <c r="D914" s="35"/>
      <c r="E914" s="35"/>
      <c r="F914" s="36"/>
      <c r="G914" s="37"/>
      <c r="H914" s="37"/>
      <c r="I914" s="37"/>
      <c r="J914" s="38"/>
      <c r="K914" s="39"/>
      <c r="L914" s="40" t="str">
        <f aca="false">IF(OR($J914="",$K914=""),"",$J914+MATCH($K914,Listas!$F$5:$F$11,0)-1)</f>
        <v/>
      </c>
      <c r="M914" s="41"/>
      <c r="N914" s="36"/>
      <c r="O914" s="41"/>
      <c r="P914" s="35"/>
      <c r="Q914" s="35"/>
      <c r="R914" s="42" t="str">
        <f aca="true">IF($E914="","",IF($N914="Cancelada","Cancelada",IF(OR($M914&lt;&gt;"",$N914="Concluída"),IF(OR($L914="",$M914="",$M914&lt;=$L914),"Concluída","Concluída com atraso"),IF($L914="","Na carteira",IF($L914&lt;TODAY(),"VENCIDA",IF($N914="Em execução","Em execução",IF($L914=TODAY(),"Hoje","Programada")))))))</f>
        <v/>
      </c>
      <c r="S914" s="34" t="str">
        <f aca="false">IF($E914="","",IF(ISNUMBER(SEARCH("(externo)",$G914&amp;$H914&amp;$I914)),"Terceirizada","Interna"))</f>
        <v/>
      </c>
      <c r="T914" s="40" t="str">
        <f aca="false">IF($L914="","",IF($O914="",$L914,$O914))</f>
        <v/>
      </c>
      <c r="U914" s="34" t="str">
        <f aca="false">IF($E914="","",IF(OR($M914="",$L914=""),0,IF($M914&lt;=$L914,1,0)))</f>
        <v/>
      </c>
      <c r="V914" s="34" t="str">
        <f aca="false">IF($E914="","",IF(OR($M914="",$T914=""),0,IF($M914&lt;=$T914,1,0)))</f>
        <v/>
      </c>
      <c r="W914" s="42" t="str">
        <f aca="false">IF(OR($M914="",$L914=""),"",MAX(0,$M914-$L914))</f>
        <v/>
      </c>
      <c r="X914" s="34" t="str">
        <f aca="false">IF($E914="","",IF(AND($O914&lt;&gt;"",$L914&lt;&gt;"",$O914&lt;&gt;$L914),1,0))</f>
        <v/>
      </c>
      <c r="Y914" s="34" t="str">
        <f aca="false">IF($E914="","",IF($N914="Cancelada",0,IF(OR($M914&lt;&gt;"",$N914="Concluída"),1,0)))</f>
        <v/>
      </c>
    </row>
    <row r="915" customFormat="false" ht="15" hidden="false" customHeight="true" outlineLevel="0" collapsed="false">
      <c r="A915" s="34" t="str">
        <f aca="false">IF($E915="","",COUNTA($E$5:$E915))</f>
        <v/>
      </c>
      <c r="B915" s="35"/>
      <c r="C915" s="35"/>
      <c r="D915" s="35"/>
      <c r="E915" s="35"/>
      <c r="F915" s="36"/>
      <c r="G915" s="37"/>
      <c r="H915" s="37"/>
      <c r="I915" s="37"/>
      <c r="J915" s="38"/>
      <c r="K915" s="39"/>
      <c r="L915" s="40" t="str">
        <f aca="false">IF(OR($J915="",$K915=""),"",$J915+MATCH($K915,Listas!$F$5:$F$11,0)-1)</f>
        <v/>
      </c>
      <c r="M915" s="41"/>
      <c r="N915" s="36"/>
      <c r="O915" s="41"/>
      <c r="P915" s="35"/>
      <c r="Q915" s="35"/>
      <c r="R915" s="42" t="str">
        <f aca="true">IF($E915="","",IF($N915="Cancelada","Cancelada",IF(OR($M915&lt;&gt;"",$N915="Concluída"),IF(OR($L915="",$M915="",$M915&lt;=$L915),"Concluída","Concluída com atraso"),IF($L915="","Na carteira",IF($L915&lt;TODAY(),"VENCIDA",IF($N915="Em execução","Em execução",IF($L915=TODAY(),"Hoje","Programada")))))))</f>
        <v/>
      </c>
      <c r="S915" s="34" t="str">
        <f aca="false">IF($E915="","",IF(ISNUMBER(SEARCH("(externo)",$G915&amp;$H915&amp;$I915)),"Terceirizada","Interna"))</f>
        <v/>
      </c>
      <c r="T915" s="40" t="str">
        <f aca="false">IF($L915="","",IF($O915="",$L915,$O915))</f>
        <v/>
      </c>
      <c r="U915" s="34" t="str">
        <f aca="false">IF($E915="","",IF(OR($M915="",$L915=""),0,IF($M915&lt;=$L915,1,0)))</f>
        <v/>
      </c>
      <c r="V915" s="34" t="str">
        <f aca="false">IF($E915="","",IF(OR($M915="",$T915=""),0,IF($M915&lt;=$T915,1,0)))</f>
        <v/>
      </c>
      <c r="W915" s="42" t="str">
        <f aca="false">IF(OR($M915="",$L915=""),"",MAX(0,$M915-$L915))</f>
        <v/>
      </c>
      <c r="X915" s="34" t="str">
        <f aca="false">IF($E915="","",IF(AND($O915&lt;&gt;"",$L915&lt;&gt;"",$O915&lt;&gt;$L915),1,0))</f>
        <v/>
      </c>
      <c r="Y915" s="34" t="str">
        <f aca="false">IF($E915="","",IF($N915="Cancelada",0,IF(OR($M915&lt;&gt;"",$N915="Concluída"),1,0)))</f>
        <v/>
      </c>
    </row>
    <row r="916" customFormat="false" ht="15" hidden="false" customHeight="true" outlineLevel="0" collapsed="false">
      <c r="A916" s="34" t="str">
        <f aca="false">IF($E916="","",COUNTA($E$5:$E916))</f>
        <v/>
      </c>
      <c r="B916" s="35"/>
      <c r="C916" s="35"/>
      <c r="D916" s="35"/>
      <c r="E916" s="35"/>
      <c r="F916" s="36"/>
      <c r="G916" s="37"/>
      <c r="H916" s="37"/>
      <c r="I916" s="37"/>
      <c r="J916" s="38"/>
      <c r="K916" s="39"/>
      <c r="L916" s="40" t="str">
        <f aca="false">IF(OR($J916="",$K916=""),"",$J916+MATCH($K916,Listas!$F$5:$F$11,0)-1)</f>
        <v/>
      </c>
      <c r="M916" s="41"/>
      <c r="N916" s="36"/>
      <c r="O916" s="41"/>
      <c r="P916" s="35"/>
      <c r="Q916" s="35"/>
      <c r="R916" s="42" t="str">
        <f aca="true">IF($E916="","",IF($N916="Cancelada","Cancelada",IF(OR($M916&lt;&gt;"",$N916="Concluída"),IF(OR($L916="",$M916="",$M916&lt;=$L916),"Concluída","Concluída com atraso"),IF($L916="","Na carteira",IF($L916&lt;TODAY(),"VENCIDA",IF($N916="Em execução","Em execução",IF($L916=TODAY(),"Hoje","Programada")))))))</f>
        <v/>
      </c>
      <c r="S916" s="34" t="str">
        <f aca="false">IF($E916="","",IF(ISNUMBER(SEARCH("(externo)",$G916&amp;$H916&amp;$I916)),"Terceirizada","Interna"))</f>
        <v/>
      </c>
      <c r="T916" s="40" t="str">
        <f aca="false">IF($L916="","",IF($O916="",$L916,$O916))</f>
        <v/>
      </c>
      <c r="U916" s="34" t="str">
        <f aca="false">IF($E916="","",IF(OR($M916="",$L916=""),0,IF($M916&lt;=$L916,1,0)))</f>
        <v/>
      </c>
      <c r="V916" s="34" t="str">
        <f aca="false">IF($E916="","",IF(OR($M916="",$T916=""),0,IF($M916&lt;=$T916,1,0)))</f>
        <v/>
      </c>
      <c r="W916" s="42" t="str">
        <f aca="false">IF(OR($M916="",$L916=""),"",MAX(0,$M916-$L916))</f>
        <v/>
      </c>
      <c r="X916" s="34" t="str">
        <f aca="false">IF($E916="","",IF(AND($O916&lt;&gt;"",$L916&lt;&gt;"",$O916&lt;&gt;$L916),1,0))</f>
        <v/>
      </c>
      <c r="Y916" s="34" t="str">
        <f aca="false">IF($E916="","",IF($N916="Cancelada",0,IF(OR($M916&lt;&gt;"",$N916="Concluída"),1,0)))</f>
        <v/>
      </c>
    </row>
    <row r="917" customFormat="false" ht="15" hidden="false" customHeight="true" outlineLevel="0" collapsed="false">
      <c r="A917" s="34" t="str">
        <f aca="false">IF($E917="","",COUNTA($E$5:$E917))</f>
        <v/>
      </c>
      <c r="B917" s="35"/>
      <c r="C917" s="35"/>
      <c r="D917" s="35"/>
      <c r="E917" s="35"/>
      <c r="F917" s="36"/>
      <c r="G917" s="37"/>
      <c r="H917" s="37"/>
      <c r="I917" s="37"/>
      <c r="J917" s="38"/>
      <c r="K917" s="39"/>
      <c r="L917" s="40" t="str">
        <f aca="false">IF(OR($J917="",$K917=""),"",$J917+MATCH($K917,Listas!$F$5:$F$11,0)-1)</f>
        <v/>
      </c>
      <c r="M917" s="41"/>
      <c r="N917" s="36"/>
      <c r="O917" s="41"/>
      <c r="P917" s="35"/>
      <c r="Q917" s="35"/>
      <c r="R917" s="42" t="str">
        <f aca="true">IF($E917="","",IF($N917="Cancelada","Cancelada",IF(OR($M917&lt;&gt;"",$N917="Concluída"),IF(OR($L917="",$M917="",$M917&lt;=$L917),"Concluída","Concluída com atraso"),IF($L917="","Na carteira",IF($L917&lt;TODAY(),"VENCIDA",IF($N917="Em execução","Em execução",IF($L917=TODAY(),"Hoje","Programada")))))))</f>
        <v/>
      </c>
      <c r="S917" s="34" t="str">
        <f aca="false">IF($E917="","",IF(ISNUMBER(SEARCH("(externo)",$G917&amp;$H917&amp;$I917)),"Terceirizada","Interna"))</f>
        <v/>
      </c>
      <c r="T917" s="40" t="str">
        <f aca="false">IF($L917="","",IF($O917="",$L917,$O917))</f>
        <v/>
      </c>
      <c r="U917" s="34" t="str">
        <f aca="false">IF($E917="","",IF(OR($M917="",$L917=""),0,IF($M917&lt;=$L917,1,0)))</f>
        <v/>
      </c>
      <c r="V917" s="34" t="str">
        <f aca="false">IF($E917="","",IF(OR($M917="",$T917=""),0,IF($M917&lt;=$T917,1,0)))</f>
        <v/>
      </c>
      <c r="W917" s="42" t="str">
        <f aca="false">IF(OR($M917="",$L917=""),"",MAX(0,$M917-$L917))</f>
        <v/>
      </c>
      <c r="X917" s="34" t="str">
        <f aca="false">IF($E917="","",IF(AND($O917&lt;&gt;"",$L917&lt;&gt;"",$O917&lt;&gt;$L917),1,0))</f>
        <v/>
      </c>
      <c r="Y917" s="34" t="str">
        <f aca="false">IF($E917="","",IF($N917="Cancelada",0,IF(OR($M917&lt;&gt;"",$N917="Concluída"),1,0)))</f>
        <v/>
      </c>
    </row>
    <row r="918" customFormat="false" ht="15" hidden="false" customHeight="true" outlineLevel="0" collapsed="false">
      <c r="A918" s="34" t="str">
        <f aca="false">IF($E918="","",COUNTA($E$5:$E918))</f>
        <v/>
      </c>
      <c r="B918" s="35"/>
      <c r="C918" s="35"/>
      <c r="D918" s="35"/>
      <c r="E918" s="35"/>
      <c r="F918" s="36"/>
      <c r="G918" s="37"/>
      <c r="H918" s="37"/>
      <c r="I918" s="37"/>
      <c r="J918" s="38"/>
      <c r="K918" s="39"/>
      <c r="L918" s="40" t="str">
        <f aca="false">IF(OR($J918="",$K918=""),"",$J918+MATCH($K918,Listas!$F$5:$F$11,0)-1)</f>
        <v/>
      </c>
      <c r="M918" s="41"/>
      <c r="N918" s="36"/>
      <c r="O918" s="41"/>
      <c r="P918" s="35"/>
      <c r="Q918" s="35"/>
      <c r="R918" s="42" t="str">
        <f aca="true">IF($E918="","",IF($N918="Cancelada","Cancelada",IF(OR($M918&lt;&gt;"",$N918="Concluída"),IF(OR($L918="",$M918="",$M918&lt;=$L918),"Concluída","Concluída com atraso"),IF($L918="","Na carteira",IF($L918&lt;TODAY(),"VENCIDA",IF($N918="Em execução","Em execução",IF($L918=TODAY(),"Hoje","Programada")))))))</f>
        <v/>
      </c>
      <c r="S918" s="34" t="str">
        <f aca="false">IF($E918="","",IF(ISNUMBER(SEARCH("(externo)",$G918&amp;$H918&amp;$I918)),"Terceirizada","Interna"))</f>
        <v/>
      </c>
      <c r="T918" s="40" t="str">
        <f aca="false">IF($L918="","",IF($O918="",$L918,$O918))</f>
        <v/>
      </c>
      <c r="U918" s="34" t="str">
        <f aca="false">IF($E918="","",IF(OR($M918="",$L918=""),0,IF($M918&lt;=$L918,1,0)))</f>
        <v/>
      </c>
      <c r="V918" s="34" t="str">
        <f aca="false">IF($E918="","",IF(OR($M918="",$T918=""),0,IF($M918&lt;=$T918,1,0)))</f>
        <v/>
      </c>
      <c r="W918" s="42" t="str">
        <f aca="false">IF(OR($M918="",$L918=""),"",MAX(0,$M918-$L918))</f>
        <v/>
      </c>
      <c r="X918" s="34" t="str">
        <f aca="false">IF($E918="","",IF(AND($O918&lt;&gt;"",$L918&lt;&gt;"",$O918&lt;&gt;$L918),1,0))</f>
        <v/>
      </c>
      <c r="Y918" s="34" t="str">
        <f aca="false">IF($E918="","",IF($N918="Cancelada",0,IF(OR($M918&lt;&gt;"",$N918="Concluída"),1,0)))</f>
        <v/>
      </c>
    </row>
    <row r="919" customFormat="false" ht="15" hidden="false" customHeight="true" outlineLevel="0" collapsed="false">
      <c r="A919" s="34" t="str">
        <f aca="false">IF($E919="","",COUNTA($E$5:$E919))</f>
        <v/>
      </c>
      <c r="B919" s="35"/>
      <c r="C919" s="35"/>
      <c r="D919" s="35"/>
      <c r="E919" s="35"/>
      <c r="F919" s="36"/>
      <c r="G919" s="37"/>
      <c r="H919" s="37"/>
      <c r="I919" s="37"/>
      <c r="J919" s="38"/>
      <c r="K919" s="39"/>
      <c r="L919" s="40" t="str">
        <f aca="false">IF(OR($J919="",$K919=""),"",$J919+MATCH($K919,Listas!$F$5:$F$11,0)-1)</f>
        <v/>
      </c>
      <c r="M919" s="41"/>
      <c r="N919" s="36"/>
      <c r="O919" s="41"/>
      <c r="P919" s="35"/>
      <c r="Q919" s="35"/>
      <c r="R919" s="42" t="str">
        <f aca="true">IF($E919="","",IF($N919="Cancelada","Cancelada",IF(OR($M919&lt;&gt;"",$N919="Concluída"),IF(OR($L919="",$M919="",$M919&lt;=$L919),"Concluída","Concluída com atraso"),IF($L919="","Na carteira",IF($L919&lt;TODAY(),"VENCIDA",IF($N919="Em execução","Em execução",IF($L919=TODAY(),"Hoje","Programada")))))))</f>
        <v/>
      </c>
      <c r="S919" s="34" t="str">
        <f aca="false">IF($E919="","",IF(ISNUMBER(SEARCH("(externo)",$G919&amp;$H919&amp;$I919)),"Terceirizada","Interna"))</f>
        <v/>
      </c>
      <c r="T919" s="40" t="str">
        <f aca="false">IF($L919="","",IF($O919="",$L919,$O919))</f>
        <v/>
      </c>
      <c r="U919" s="34" t="str">
        <f aca="false">IF($E919="","",IF(OR($M919="",$L919=""),0,IF($M919&lt;=$L919,1,0)))</f>
        <v/>
      </c>
      <c r="V919" s="34" t="str">
        <f aca="false">IF($E919="","",IF(OR($M919="",$T919=""),0,IF($M919&lt;=$T919,1,0)))</f>
        <v/>
      </c>
      <c r="W919" s="42" t="str">
        <f aca="false">IF(OR($M919="",$L919=""),"",MAX(0,$M919-$L919))</f>
        <v/>
      </c>
      <c r="X919" s="34" t="str">
        <f aca="false">IF($E919="","",IF(AND($O919&lt;&gt;"",$L919&lt;&gt;"",$O919&lt;&gt;$L919),1,0))</f>
        <v/>
      </c>
      <c r="Y919" s="34" t="str">
        <f aca="false">IF($E919="","",IF($N919="Cancelada",0,IF(OR($M919&lt;&gt;"",$N919="Concluída"),1,0)))</f>
        <v/>
      </c>
    </row>
    <row r="920" customFormat="false" ht="15" hidden="false" customHeight="true" outlineLevel="0" collapsed="false">
      <c r="A920" s="34" t="str">
        <f aca="false">IF($E920="","",COUNTA($E$5:$E920))</f>
        <v/>
      </c>
      <c r="B920" s="35"/>
      <c r="C920" s="35"/>
      <c r="D920" s="35"/>
      <c r="E920" s="35"/>
      <c r="F920" s="36"/>
      <c r="G920" s="37"/>
      <c r="H920" s="37"/>
      <c r="I920" s="37"/>
      <c r="J920" s="38"/>
      <c r="K920" s="39"/>
      <c r="L920" s="40" t="str">
        <f aca="false">IF(OR($J920="",$K920=""),"",$J920+MATCH($K920,Listas!$F$5:$F$11,0)-1)</f>
        <v/>
      </c>
      <c r="M920" s="41"/>
      <c r="N920" s="36"/>
      <c r="O920" s="41"/>
      <c r="P920" s="35"/>
      <c r="Q920" s="35"/>
      <c r="R920" s="42" t="str">
        <f aca="true">IF($E920="","",IF($N920="Cancelada","Cancelada",IF(OR($M920&lt;&gt;"",$N920="Concluída"),IF(OR($L920="",$M920="",$M920&lt;=$L920),"Concluída","Concluída com atraso"),IF($L920="","Na carteira",IF($L920&lt;TODAY(),"VENCIDA",IF($N920="Em execução","Em execução",IF($L920=TODAY(),"Hoje","Programada")))))))</f>
        <v/>
      </c>
      <c r="S920" s="34" t="str">
        <f aca="false">IF($E920="","",IF(ISNUMBER(SEARCH("(externo)",$G920&amp;$H920&amp;$I920)),"Terceirizada","Interna"))</f>
        <v/>
      </c>
      <c r="T920" s="40" t="str">
        <f aca="false">IF($L920="","",IF($O920="",$L920,$O920))</f>
        <v/>
      </c>
      <c r="U920" s="34" t="str">
        <f aca="false">IF($E920="","",IF(OR($M920="",$L920=""),0,IF($M920&lt;=$L920,1,0)))</f>
        <v/>
      </c>
      <c r="V920" s="34" t="str">
        <f aca="false">IF($E920="","",IF(OR($M920="",$T920=""),0,IF($M920&lt;=$T920,1,0)))</f>
        <v/>
      </c>
      <c r="W920" s="42" t="str">
        <f aca="false">IF(OR($M920="",$L920=""),"",MAX(0,$M920-$L920))</f>
        <v/>
      </c>
      <c r="X920" s="34" t="str">
        <f aca="false">IF($E920="","",IF(AND($O920&lt;&gt;"",$L920&lt;&gt;"",$O920&lt;&gt;$L920),1,0))</f>
        <v/>
      </c>
      <c r="Y920" s="34" t="str">
        <f aca="false">IF($E920="","",IF($N920="Cancelada",0,IF(OR($M920&lt;&gt;"",$N920="Concluída"),1,0)))</f>
        <v/>
      </c>
    </row>
    <row r="921" customFormat="false" ht="15" hidden="false" customHeight="true" outlineLevel="0" collapsed="false">
      <c r="A921" s="34" t="str">
        <f aca="false">IF($E921="","",COUNTA($E$5:$E921))</f>
        <v/>
      </c>
      <c r="B921" s="35"/>
      <c r="C921" s="35"/>
      <c r="D921" s="35"/>
      <c r="E921" s="35"/>
      <c r="F921" s="36"/>
      <c r="G921" s="37"/>
      <c r="H921" s="37"/>
      <c r="I921" s="37"/>
      <c r="J921" s="38"/>
      <c r="K921" s="39"/>
      <c r="L921" s="40" t="str">
        <f aca="false">IF(OR($J921="",$K921=""),"",$J921+MATCH($K921,Listas!$F$5:$F$11,0)-1)</f>
        <v/>
      </c>
      <c r="M921" s="41"/>
      <c r="N921" s="36"/>
      <c r="O921" s="41"/>
      <c r="P921" s="35"/>
      <c r="Q921" s="35"/>
      <c r="R921" s="42" t="str">
        <f aca="true">IF($E921="","",IF($N921="Cancelada","Cancelada",IF(OR($M921&lt;&gt;"",$N921="Concluída"),IF(OR($L921="",$M921="",$M921&lt;=$L921),"Concluída","Concluída com atraso"),IF($L921="","Na carteira",IF($L921&lt;TODAY(),"VENCIDA",IF($N921="Em execução","Em execução",IF($L921=TODAY(),"Hoje","Programada")))))))</f>
        <v/>
      </c>
      <c r="S921" s="34" t="str">
        <f aca="false">IF($E921="","",IF(ISNUMBER(SEARCH("(externo)",$G921&amp;$H921&amp;$I921)),"Terceirizada","Interna"))</f>
        <v/>
      </c>
      <c r="T921" s="40" t="str">
        <f aca="false">IF($L921="","",IF($O921="",$L921,$O921))</f>
        <v/>
      </c>
      <c r="U921" s="34" t="str">
        <f aca="false">IF($E921="","",IF(OR($M921="",$L921=""),0,IF($M921&lt;=$L921,1,0)))</f>
        <v/>
      </c>
      <c r="V921" s="34" t="str">
        <f aca="false">IF($E921="","",IF(OR($M921="",$T921=""),0,IF($M921&lt;=$T921,1,0)))</f>
        <v/>
      </c>
      <c r="W921" s="42" t="str">
        <f aca="false">IF(OR($M921="",$L921=""),"",MAX(0,$M921-$L921))</f>
        <v/>
      </c>
      <c r="X921" s="34" t="str">
        <f aca="false">IF($E921="","",IF(AND($O921&lt;&gt;"",$L921&lt;&gt;"",$O921&lt;&gt;$L921),1,0))</f>
        <v/>
      </c>
      <c r="Y921" s="34" t="str">
        <f aca="false">IF($E921="","",IF($N921="Cancelada",0,IF(OR($M921&lt;&gt;"",$N921="Concluída"),1,0)))</f>
        <v/>
      </c>
    </row>
    <row r="922" customFormat="false" ht="15" hidden="false" customHeight="true" outlineLevel="0" collapsed="false">
      <c r="A922" s="34" t="str">
        <f aca="false">IF($E922="","",COUNTA($E$5:$E922))</f>
        <v/>
      </c>
      <c r="B922" s="35"/>
      <c r="C922" s="35"/>
      <c r="D922" s="35"/>
      <c r="E922" s="35"/>
      <c r="F922" s="36"/>
      <c r="G922" s="37"/>
      <c r="H922" s="37"/>
      <c r="I922" s="37"/>
      <c r="J922" s="38"/>
      <c r="K922" s="39"/>
      <c r="L922" s="40" t="str">
        <f aca="false">IF(OR($J922="",$K922=""),"",$J922+MATCH($K922,Listas!$F$5:$F$11,0)-1)</f>
        <v/>
      </c>
      <c r="M922" s="41"/>
      <c r="N922" s="36"/>
      <c r="O922" s="41"/>
      <c r="P922" s="35"/>
      <c r="Q922" s="35"/>
      <c r="R922" s="42" t="str">
        <f aca="true">IF($E922="","",IF($N922="Cancelada","Cancelada",IF(OR($M922&lt;&gt;"",$N922="Concluída"),IF(OR($L922="",$M922="",$M922&lt;=$L922),"Concluída","Concluída com atraso"),IF($L922="","Na carteira",IF($L922&lt;TODAY(),"VENCIDA",IF($N922="Em execução","Em execução",IF($L922=TODAY(),"Hoje","Programada")))))))</f>
        <v/>
      </c>
      <c r="S922" s="34" t="str">
        <f aca="false">IF($E922="","",IF(ISNUMBER(SEARCH("(externo)",$G922&amp;$H922&amp;$I922)),"Terceirizada","Interna"))</f>
        <v/>
      </c>
      <c r="T922" s="40" t="str">
        <f aca="false">IF($L922="","",IF($O922="",$L922,$O922))</f>
        <v/>
      </c>
      <c r="U922" s="34" t="str">
        <f aca="false">IF($E922="","",IF(OR($M922="",$L922=""),0,IF($M922&lt;=$L922,1,0)))</f>
        <v/>
      </c>
      <c r="V922" s="34" t="str">
        <f aca="false">IF($E922="","",IF(OR($M922="",$T922=""),0,IF($M922&lt;=$T922,1,0)))</f>
        <v/>
      </c>
      <c r="W922" s="42" t="str">
        <f aca="false">IF(OR($M922="",$L922=""),"",MAX(0,$M922-$L922))</f>
        <v/>
      </c>
      <c r="X922" s="34" t="str">
        <f aca="false">IF($E922="","",IF(AND($O922&lt;&gt;"",$L922&lt;&gt;"",$O922&lt;&gt;$L922),1,0))</f>
        <v/>
      </c>
      <c r="Y922" s="34" t="str">
        <f aca="false">IF($E922="","",IF($N922="Cancelada",0,IF(OR($M922&lt;&gt;"",$N922="Concluída"),1,0)))</f>
        <v/>
      </c>
    </row>
    <row r="923" customFormat="false" ht="15" hidden="false" customHeight="true" outlineLevel="0" collapsed="false">
      <c r="A923" s="34" t="str">
        <f aca="false">IF($E923="","",COUNTA($E$5:$E923))</f>
        <v/>
      </c>
      <c r="B923" s="35"/>
      <c r="C923" s="35"/>
      <c r="D923" s="35"/>
      <c r="E923" s="35"/>
      <c r="F923" s="36"/>
      <c r="G923" s="37"/>
      <c r="H923" s="37"/>
      <c r="I923" s="37"/>
      <c r="J923" s="38"/>
      <c r="K923" s="39"/>
      <c r="L923" s="40" t="str">
        <f aca="false">IF(OR($J923="",$K923=""),"",$J923+MATCH($K923,Listas!$F$5:$F$11,0)-1)</f>
        <v/>
      </c>
      <c r="M923" s="41"/>
      <c r="N923" s="36"/>
      <c r="O923" s="41"/>
      <c r="P923" s="35"/>
      <c r="Q923" s="35"/>
      <c r="R923" s="42" t="str">
        <f aca="true">IF($E923="","",IF($N923="Cancelada","Cancelada",IF(OR($M923&lt;&gt;"",$N923="Concluída"),IF(OR($L923="",$M923="",$M923&lt;=$L923),"Concluída","Concluída com atraso"),IF($L923="","Na carteira",IF($L923&lt;TODAY(),"VENCIDA",IF($N923="Em execução","Em execução",IF($L923=TODAY(),"Hoje","Programada")))))))</f>
        <v/>
      </c>
      <c r="S923" s="34" t="str">
        <f aca="false">IF($E923="","",IF(ISNUMBER(SEARCH("(externo)",$G923&amp;$H923&amp;$I923)),"Terceirizada","Interna"))</f>
        <v/>
      </c>
      <c r="T923" s="40" t="str">
        <f aca="false">IF($L923="","",IF($O923="",$L923,$O923))</f>
        <v/>
      </c>
      <c r="U923" s="34" t="str">
        <f aca="false">IF($E923="","",IF(OR($M923="",$L923=""),0,IF($M923&lt;=$L923,1,0)))</f>
        <v/>
      </c>
      <c r="V923" s="34" t="str">
        <f aca="false">IF($E923="","",IF(OR($M923="",$T923=""),0,IF($M923&lt;=$T923,1,0)))</f>
        <v/>
      </c>
      <c r="W923" s="42" t="str">
        <f aca="false">IF(OR($M923="",$L923=""),"",MAX(0,$M923-$L923))</f>
        <v/>
      </c>
      <c r="X923" s="34" t="str">
        <f aca="false">IF($E923="","",IF(AND($O923&lt;&gt;"",$L923&lt;&gt;"",$O923&lt;&gt;$L923),1,0))</f>
        <v/>
      </c>
      <c r="Y923" s="34" t="str">
        <f aca="false">IF($E923="","",IF($N923="Cancelada",0,IF(OR($M923&lt;&gt;"",$N923="Concluída"),1,0)))</f>
        <v/>
      </c>
    </row>
    <row r="924" customFormat="false" ht="15" hidden="false" customHeight="true" outlineLevel="0" collapsed="false">
      <c r="A924" s="34" t="str">
        <f aca="false">IF($E924="","",COUNTA($E$5:$E924))</f>
        <v/>
      </c>
      <c r="B924" s="35"/>
      <c r="C924" s="35"/>
      <c r="D924" s="35"/>
      <c r="E924" s="35"/>
      <c r="F924" s="36"/>
      <c r="G924" s="37"/>
      <c r="H924" s="37"/>
      <c r="I924" s="37"/>
      <c r="J924" s="38"/>
      <c r="K924" s="39"/>
      <c r="L924" s="40" t="str">
        <f aca="false">IF(OR($J924="",$K924=""),"",$J924+MATCH($K924,Listas!$F$5:$F$11,0)-1)</f>
        <v/>
      </c>
      <c r="M924" s="41"/>
      <c r="N924" s="36"/>
      <c r="O924" s="41"/>
      <c r="P924" s="35"/>
      <c r="Q924" s="35"/>
      <c r="R924" s="42" t="str">
        <f aca="true">IF($E924="","",IF($N924="Cancelada","Cancelada",IF(OR($M924&lt;&gt;"",$N924="Concluída"),IF(OR($L924="",$M924="",$M924&lt;=$L924),"Concluída","Concluída com atraso"),IF($L924="","Na carteira",IF($L924&lt;TODAY(),"VENCIDA",IF($N924="Em execução","Em execução",IF($L924=TODAY(),"Hoje","Programada")))))))</f>
        <v/>
      </c>
      <c r="S924" s="34" t="str">
        <f aca="false">IF($E924="","",IF(ISNUMBER(SEARCH("(externo)",$G924&amp;$H924&amp;$I924)),"Terceirizada","Interna"))</f>
        <v/>
      </c>
      <c r="T924" s="40" t="str">
        <f aca="false">IF($L924="","",IF($O924="",$L924,$O924))</f>
        <v/>
      </c>
      <c r="U924" s="34" t="str">
        <f aca="false">IF($E924="","",IF(OR($M924="",$L924=""),0,IF($M924&lt;=$L924,1,0)))</f>
        <v/>
      </c>
      <c r="V924" s="34" t="str">
        <f aca="false">IF($E924="","",IF(OR($M924="",$T924=""),0,IF($M924&lt;=$T924,1,0)))</f>
        <v/>
      </c>
      <c r="W924" s="42" t="str">
        <f aca="false">IF(OR($M924="",$L924=""),"",MAX(0,$M924-$L924))</f>
        <v/>
      </c>
      <c r="X924" s="34" t="str">
        <f aca="false">IF($E924="","",IF(AND($O924&lt;&gt;"",$L924&lt;&gt;"",$O924&lt;&gt;$L924),1,0))</f>
        <v/>
      </c>
      <c r="Y924" s="34" t="str">
        <f aca="false">IF($E924="","",IF($N924="Cancelada",0,IF(OR($M924&lt;&gt;"",$N924="Concluída"),1,0)))</f>
        <v/>
      </c>
    </row>
    <row r="925" customFormat="false" ht="15" hidden="false" customHeight="true" outlineLevel="0" collapsed="false">
      <c r="A925" s="34" t="str">
        <f aca="false">IF($E925="","",COUNTA($E$5:$E925))</f>
        <v/>
      </c>
      <c r="B925" s="35"/>
      <c r="C925" s="35"/>
      <c r="D925" s="35"/>
      <c r="E925" s="35"/>
      <c r="F925" s="36"/>
      <c r="G925" s="37"/>
      <c r="H925" s="37"/>
      <c r="I925" s="37"/>
      <c r="J925" s="38"/>
      <c r="K925" s="39"/>
      <c r="L925" s="40" t="str">
        <f aca="false">IF(OR($J925="",$K925=""),"",$J925+MATCH($K925,Listas!$F$5:$F$11,0)-1)</f>
        <v/>
      </c>
      <c r="M925" s="41"/>
      <c r="N925" s="36"/>
      <c r="O925" s="41"/>
      <c r="P925" s="35"/>
      <c r="Q925" s="35"/>
      <c r="R925" s="42" t="str">
        <f aca="true">IF($E925="","",IF($N925="Cancelada","Cancelada",IF(OR($M925&lt;&gt;"",$N925="Concluída"),IF(OR($L925="",$M925="",$M925&lt;=$L925),"Concluída","Concluída com atraso"),IF($L925="","Na carteira",IF($L925&lt;TODAY(),"VENCIDA",IF($N925="Em execução","Em execução",IF($L925=TODAY(),"Hoje","Programada")))))))</f>
        <v/>
      </c>
      <c r="S925" s="34" t="str">
        <f aca="false">IF($E925="","",IF(ISNUMBER(SEARCH("(externo)",$G925&amp;$H925&amp;$I925)),"Terceirizada","Interna"))</f>
        <v/>
      </c>
      <c r="T925" s="40" t="str">
        <f aca="false">IF($L925="","",IF($O925="",$L925,$O925))</f>
        <v/>
      </c>
      <c r="U925" s="34" t="str">
        <f aca="false">IF($E925="","",IF(OR($M925="",$L925=""),0,IF($M925&lt;=$L925,1,0)))</f>
        <v/>
      </c>
      <c r="V925" s="34" t="str">
        <f aca="false">IF($E925="","",IF(OR($M925="",$T925=""),0,IF($M925&lt;=$T925,1,0)))</f>
        <v/>
      </c>
      <c r="W925" s="42" t="str">
        <f aca="false">IF(OR($M925="",$L925=""),"",MAX(0,$M925-$L925))</f>
        <v/>
      </c>
      <c r="X925" s="34" t="str">
        <f aca="false">IF($E925="","",IF(AND($O925&lt;&gt;"",$L925&lt;&gt;"",$O925&lt;&gt;$L925),1,0))</f>
        <v/>
      </c>
      <c r="Y925" s="34" t="str">
        <f aca="false">IF($E925="","",IF($N925="Cancelada",0,IF(OR($M925&lt;&gt;"",$N925="Concluída"),1,0)))</f>
        <v/>
      </c>
    </row>
    <row r="926" customFormat="false" ht="15" hidden="false" customHeight="true" outlineLevel="0" collapsed="false">
      <c r="A926" s="34" t="str">
        <f aca="false">IF($E926="","",COUNTA($E$5:$E926))</f>
        <v/>
      </c>
      <c r="B926" s="35"/>
      <c r="C926" s="35"/>
      <c r="D926" s="35"/>
      <c r="E926" s="35"/>
      <c r="F926" s="36"/>
      <c r="G926" s="37"/>
      <c r="H926" s="37"/>
      <c r="I926" s="37"/>
      <c r="J926" s="38"/>
      <c r="K926" s="39"/>
      <c r="L926" s="40" t="str">
        <f aca="false">IF(OR($J926="",$K926=""),"",$J926+MATCH($K926,Listas!$F$5:$F$11,0)-1)</f>
        <v/>
      </c>
      <c r="M926" s="41"/>
      <c r="N926" s="36"/>
      <c r="O926" s="41"/>
      <c r="P926" s="35"/>
      <c r="Q926" s="35"/>
      <c r="R926" s="42" t="str">
        <f aca="true">IF($E926="","",IF($N926="Cancelada","Cancelada",IF(OR($M926&lt;&gt;"",$N926="Concluída"),IF(OR($L926="",$M926="",$M926&lt;=$L926),"Concluída","Concluída com atraso"),IF($L926="","Na carteira",IF($L926&lt;TODAY(),"VENCIDA",IF($N926="Em execução","Em execução",IF($L926=TODAY(),"Hoje","Programada")))))))</f>
        <v/>
      </c>
      <c r="S926" s="34" t="str">
        <f aca="false">IF($E926="","",IF(ISNUMBER(SEARCH("(externo)",$G926&amp;$H926&amp;$I926)),"Terceirizada","Interna"))</f>
        <v/>
      </c>
      <c r="T926" s="40" t="str">
        <f aca="false">IF($L926="","",IF($O926="",$L926,$O926))</f>
        <v/>
      </c>
      <c r="U926" s="34" t="str">
        <f aca="false">IF($E926="","",IF(OR($M926="",$L926=""),0,IF($M926&lt;=$L926,1,0)))</f>
        <v/>
      </c>
      <c r="V926" s="34" t="str">
        <f aca="false">IF($E926="","",IF(OR($M926="",$T926=""),0,IF($M926&lt;=$T926,1,0)))</f>
        <v/>
      </c>
      <c r="W926" s="42" t="str">
        <f aca="false">IF(OR($M926="",$L926=""),"",MAX(0,$M926-$L926))</f>
        <v/>
      </c>
      <c r="X926" s="34" t="str">
        <f aca="false">IF($E926="","",IF(AND($O926&lt;&gt;"",$L926&lt;&gt;"",$O926&lt;&gt;$L926),1,0))</f>
        <v/>
      </c>
      <c r="Y926" s="34" t="str">
        <f aca="false">IF($E926="","",IF($N926="Cancelada",0,IF(OR($M926&lt;&gt;"",$N926="Concluída"),1,0)))</f>
        <v/>
      </c>
    </row>
    <row r="927" customFormat="false" ht="15" hidden="false" customHeight="true" outlineLevel="0" collapsed="false">
      <c r="A927" s="34" t="str">
        <f aca="false">IF($E927="","",COUNTA($E$5:$E927))</f>
        <v/>
      </c>
      <c r="B927" s="35"/>
      <c r="C927" s="35"/>
      <c r="D927" s="35"/>
      <c r="E927" s="35"/>
      <c r="F927" s="36"/>
      <c r="G927" s="37"/>
      <c r="H927" s="37"/>
      <c r="I927" s="37"/>
      <c r="J927" s="38"/>
      <c r="K927" s="39"/>
      <c r="L927" s="40" t="str">
        <f aca="false">IF(OR($J927="",$K927=""),"",$J927+MATCH($K927,Listas!$F$5:$F$11,0)-1)</f>
        <v/>
      </c>
      <c r="M927" s="41"/>
      <c r="N927" s="36"/>
      <c r="O927" s="41"/>
      <c r="P927" s="35"/>
      <c r="Q927" s="35"/>
      <c r="R927" s="42" t="str">
        <f aca="true">IF($E927="","",IF($N927="Cancelada","Cancelada",IF(OR($M927&lt;&gt;"",$N927="Concluída"),IF(OR($L927="",$M927="",$M927&lt;=$L927),"Concluída","Concluída com atraso"),IF($L927="","Na carteira",IF($L927&lt;TODAY(),"VENCIDA",IF($N927="Em execução","Em execução",IF($L927=TODAY(),"Hoje","Programada")))))))</f>
        <v/>
      </c>
      <c r="S927" s="34" t="str">
        <f aca="false">IF($E927="","",IF(ISNUMBER(SEARCH("(externo)",$G927&amp;$H927&amp;$I927)),"Terceirizada","Interna"))</f>
        <v/>
      </c>
      <c r="T927" s="40" t="str">
        <f aca="false">IF($L927="","",IF($O927="",$L927,$O927))</f>
        <v/>
      </c>
      <c r="U927" s="34" t="str">
        <f aca="false">IF($E927="","",IF(OR($M927="",$L927=""),0,IF($M927&lt;=$L927,1,0)))</f>
        <v/>
      </c>
      <c r="V927" s="34" t="str">
        <f aca="false">IF($E927="","",IF(OR($M927="",$T927=""),0,IF($M927&lt;=$T927,1,0)))</f>
        <v/>
      </c>
      <c r="W927" s="42" t="str">
        <f aca="false">IF(OR($M927="",$L927=""),"",MAX(0,$M927-$L927))</f>
        <v/>
      </c>
      <c r="X927" s="34" t="str">
        <f aca="false">IF($E927="","",IF(AND($O927&lt;&gt;"",$L927&lt;&gt;"",$O927&lt;&gt;$L927),1,0))</f>
        <v/>
      </c>
      <c r="Y927" s="34" t="str">
        <f aca="false">IF($E927="","",IF($N927="Cancelada",0,IF(OR($M927&lt;&gt;"",$N927="Concluída"),1,0)))</f>
        <v/>
      </c>
    </row>
    <row r="928" customFormat="false" ht="15" hidden="false" customHeight="true" outlineLevel="0" collapsed="false">
      <c r="A928" s="34" t="str">
        <f aca="false">IF($E928="","",COUNTA($E$5:$E928))</f>
        <v/>
      </c>
      <c r="B928" s="35"/>
      <c r="C928" s="35"/>
      <c r="D928" s="35"/>
      <c r="E928" s="35"/>
      <c r="F928" s="36"/>
      <c r="G928" s="37"/>
      <c r="H928" s="37"/>
      <c r="I928" s="37"/>
      <c r="J928" s="38"/>
      <c r="K928" s="39"/>
      <c r="L928" s="40" t="str">
        <f aca="false">IF(OR($J928="",$K928=""),"",$J928+MATCH($K928,Listas!$F$5:$F$11,0)-1)</f>
        <v/>
      </c>
      <c r="M928" s="41"/>
      <c r="N928" s="36"/>
      <c r="O928" s="41"/>
      <c r="P928" s="35"/>
      <c r="Q928" s="35"/>
      <c r="R928" s="42" t="str">
        <f aca="true">IF($E928="","",IF($N928="Cancelada","Cancelada",IF(OR($M928&lt;&gt;"",$N928="Concluída"),IF(OR($L928="",$M928="",$M928&lt;=$L928),"Concluída","Concluída com atraso"),IF($L928="","Na carteira",IF($L928&lt;TODAY(),"VENCIDA",IF($N928="Em execução","Em execução",IF($L928=TODAY(),"Hoje","Programada")))))))</f>
        <v/>
      </c>
      <c r="S928" s="34" t="str">
        <f aca="false">IF($E928="","",IF(ISNUMBER(SEARCH("(externo)",$G928&amp;$H928&amp;$I928)),"Terceirizada","Interna"))</f>
        <v/>
      </c>
      <c r="T928" s="40" t="str">
        <f aca="false">IF($L928="","",IF($O928="",$L928,$O928))</f>
        <v/>
      </c>
      <c r="U928" s="34" t="str">
        <f aca="false">IF($E928="","",IF(OR($M928="",$L928=""),0,IF($M928&lt;=$L928,1,0)))</f>
        <v/>
      </c>
      <c r="V928" s="34" t="str">
        <f aca="false">IF($E928="","",IF(OR($M928="",$T928=""),0,IF($M928&lt;=$T928,1,0)))</f>
        <v/>
      </c>
      <c r="W928" s="42" t="str">
        <f aca="false">IF(OR($M928="",$L928=""),"",MAX(0,$M928-$L928))</f>
        <v/>
      </c>
      <c r="X928" s="34" t="str">
        <f aca="false">IF($E928="","",IF(AND($O928&lt;&gt;"",$L928&lt;&gt;"",$O928&lt;&gt;$L928),1,0))</f>
        <v/>
      </c>
      <c r="Y928" s="34" t="str">
        <f aca="false">IF($E928="","",IF($N928="Cancelada",0,IF(OR($M928&lt;&gt;"",$N928="Concluída"),1,0)))</f>
        <v/>
      </c>
    </row>
    <row r="929" customFormat="false" ht="15" hidden="false" customHeight="true" outlineLevel="0" collapsed="false">
      <c r="A929" s="34" t="str">
        <f aca="false">IF($E929="","",COUNTA($E$5:$E929))</f>
        <v/>
      </c>
      <c r="B929" s="35"/>
      <c r="C929" s="35"/>
      <c r="D929" s="35"/>
      <c r="E929" s="35"/>
      <c r="F929" s="36"/>
      <c r="G929" s="37"/>
      <c r="H929" s="37"/>
      <c r="I929" s="37"/>
      <c r="J929" s="38"/>
      <c r="K929" s="39"/>
      <c r="L929" s="40" t="str">
        <f aca="false">IF(OR($J929="",$K929=""),"",$J929+MATCH($K929,Listas!$F$5:$F$11,0)-1)</f>
        <v/>
      </c>
      <c r="M929" s="41"/>
      <c r="N929" s="36"/>
      <c r="O929" s="41"/>
      <c r="P929" s="35"/>
      <c r="Q929" s="35"/>
      <c r="R929" s="42" t="str">
        <f aca="true">IF($E929="","",IF($N929="Cancelada","Cancelada",IF(OR($M929&lt;&gt;"",$N929="Concluída"),IF(OR($L929="",$M929="",$M929&lt;=$L929),"Concluída","Concluída com atraso"),IF($L929="","Na carteira",IF($L929&lt;TODAY(),"VENCIDA",IF($N929="Em execução","Em execução",IF($L929=TODAY(),"Hoje","Programada")))))))</f>
        <v/>
      </c>
      <c r="S929" s="34" t="str">
        <f aca="false">IF($E929="","",IF(ISNUMBER(SEARCH("(externo)",$G929&amp;$H929&amp;$I929)),"Terceirizada","Interna"))</f>
        <v/>
      </c>
      <c r="T929" s="40" t="str">
        <f aca="false">IF($L929="","",IF($O929="",$L929,$O929))</f>
        <v/>
      </c>
      <c r="U929" s="34" t="str">
        <f aca="false">IF($E929="","",IF(OR($M929="",$L929=""),0,IF($M929&lt;=$L929,1,0)))</f>
        <v/>
      </c>
      <c r="V929" s="34" t="str">
        <f aca="false">IF($E929="","",IF(OR($M929="",$T929=""),0,IF($M929&lt;=$T929,1,0)))</f>
        <v/>
      </c>
      <c r="W929" s="42" t="str">
        <f aca="false">IF(OR($M929="",$L929=""),"",MAX(0,$M929-$L929))</f>
        <v/>
      </c>
      <c r="X929" s="34" t="str">
        <f aca="false">IF($E929="","",IF(AND($O929&lt;&gt;"",$L929&lt;&gt;"",$O929&lt;&gt;$L929),1,0))</f>
        <v/>
      </c>
      <c r="Y929" s="34" t="str">
        <f aca="false">IF($E929="","",IF($N929="Cancelada",0,IF(OR($M929&lt;&gt;"",$N929="Concluída"),1,0)))</f>
        <v/>
      </c>
    </row>
    <row r="930" customFormat="false" ht="15" hidden="false" customHeight="true" outlineLevel="0" collapsed="false">
      <c r="A930" s="34" t="str">
        <f aca="false">IF($E930="","",COUNTA($E$5:$E930))</f>
        <v/>
      </c>
      <c r="B930" s="35"/>
      <c r="C930" s="35"/>
      <c r="D930" s="35"/>
      <c r="E930" s="35"/>
      <c r="F930" s="36"/>
      <c r="G930" s="37"/>
      <c r="H930" s="37"/>
      <c r="I930" s="37"/>
      <c r="J930" s="38"/>
      <c r="K930" s="39"/>
      <c r="L930" s="40" t="str">
        <f aca="false">IF(OR($J930="",$K930=""),"",$J930+MATCH($K930,Listas!$F$5:$F$11,0)-1)</f>
        <v/>
      </c>
      <c r="M930" s="41"/>
      <c r="N930" s="36"/>
      <c r="O930" s="41"/>
      <c r="P930" s="35"/>
      <c r="Q930" s="35"/>
      <c r="R930" s="42" t="str">
        <f aca="true">IF($E930="","",IF($N930="Cancelada","Cancelada",IF(OR($M930&lt;&gt;"",$N930="Concluída"),IF(OR($L930="",$M930="",$M930&lt;=$L930),"Concluída","Concluída com atraso"),IF($L930="","Na carteira",IF($L930&lt;TODAY(),"VENCIDA",IF($N930="Em execução","Em execução",IF($L930=TODAY(),"Hoje","Programada")))))))</f>
        <v/>
      </c>
      <c r="S930" s="34" t="str">
        <f aca="false">IF($E930="","",IF(ISNUMBER(SEARCH("(externo)",$G930&amp;$H930&amp;$I930)),"Terceirizada","Interna"))</f>
        <v/>
      </c>
      <c r="T930" s="40" t="str">
        <f aca="false">IF($L930="","",IF($O930="",$L930,$O930))</f>
        <v/>
      </c>
      <c r="U930" s="34" t="str">
        <f aca="false">IF($E930="","",IF(OR($M930="",$L930=""),0,IF($M930&lt;=$L930,1,0)))</f>
        <v/>
      </c>
      <c r="V930" s="34" t="str">
        <f aca="false">IF($E930="","",IF(OR($M930="",$T930=""),0,IF($M930&lt;=$T930,1,0)))</f>
        <v/>
      </c>
      <c r="W930" s="42" t="str">
        <f aca="false">IF(OR($M930="",$L930=""),"",MAX(0,$M930-$L930))</f>
        <v/>
      </c>
      <c r="X930" s="34" t="str">
        <f aca="false">IF($E930="","",IF(AND($O930&lt;&gt;"",$L930&lt;&gt;"",$O930&lt;&gt;$L930),1,0))</f>
        <v/>
      </c>
      <c r="Y930" s="34" t="str">
        <f aca="false">IF($E930="","",IF($N930="Cancelada",0,IF(OR($M930&lt;&gt;"",$N930="Concluída"),1,0)))</f>
        <v/>
      </c>
    </row>
    <row r="931" customFormat="false" ht="15" hidden="false" customHeight="true" outlineLevel="0" collapsed="false">
      <c r="A931" s="34" t="str">
        <f aca="false">IF($E931="","",COUNTA($E$5:$E931))</f>
        <v/>
      </c>
      <c r="B931" s="35"/>
      <c r="C931" s="35"/>
      <c r="D931" s="35"/>
      <c r="E931" s="35"/>
      <c r="F931" s="36"/>
      <c r="G931" s="37"/>
      <c r="H931" s="37"/>
      <c r="I931" s="37"/>
      <c r="J931" s="38"/>
      <c r="K931" s="39"/>
      <c r="L931" s="40" t="str">
        <f aca="false">IF(OR($J931="",$K931=""),"",$J931+MATCH($K931,Listas!$F$5:$F$11,0)-1)</f>
        <v/>
      </c>
      <c r="M931" s="41"/>
      <c r="N931" s="36"/>
      <c r="O931" s="41"/>
      <c r="P931" s="35"/>
      <c r="Q931" s="35"/>
      <c r="R931" s="42" t="str">
        <f aca="true">IF($E931="","",IF($N931="Cancelada","Cancelada",IF(OR($M931&lt;&gt;"",$N931="Concluída"),IF(OR($L931="",$M931="",$M931&lt;=$L931),"Concluída","Concluída com atraso"),IF($L931="","Na carteira",IF($L931&lt;TODAY(),"VENCIDA",IF($N931="Em execução","Em execução",IF($L931=TODAY(),"Hoje","Programada")))))))</f>
        <v/>
      </c>
      <c r="S931" s="34" t="str">
        <f aca="false">IF($E931="","",IF(ISNUMBER(SEARCH("(externo)",$G931&amp;$H931&amp;$I931)),"Terceirizada","Interna"))</f>
        <v/>
      </c>
      <c r="T931" s="40" t="str">
        <f aca="false">IF($L931="","",IF($O931="",$L931,$O931))</f>
        <v/>
      </c>
      <c r="U931" s="34" t="str">
        <f aca="false">IF($E931="","",IF(OR($M931="",$L931=""),0,IF($M931&lt;=$L931,1,0)))</f>
        <v/>
      </c>
      <c r="V931" s="34" t="str">
        <f aca="false">IF($E931="","",IF(OR($M931="",$T931=""),0,IF($M931&lt;=$T931,1,0)))</f>
        <v/>
      </c>
      <c r="W931" s="42" t="str">
        <f aca="false">IF(OR($M931="",$L931=""),"",MAX(0,$M931-$L931))</f>
        <v/>
      </c>
      <c r="X931" s="34" t="str">
        <f aca="false">IF($E931="","",IF(AND($O931&lt;&gt;"",$L931&lt;&gt;"",$O931&lt;&gt;$L931),1,0))</f>
        <v/>
      </c>
      <c r="Y931" s="34" t="str">
        <f aca="false">IF($E931="","",IF($N931="Cancelada",0,IF(OR($M931&lt;&gt;"",$N931="Concluída"),1,0)))</f>
        <v/>
      </c>
    </row>
    <row r="932" customFormat="false" ht="15" hidden="false" customHeight="true" outlineLevel="0" collapsed="false">
      <c r="A932" s="34" t="str">
        <f aca="false">IF($E932="","",COUNTA($E$5:$E932))</f>
        <v/>
      </c>
      <c r="B932" s="35"/>
      <c r="C932" s="35"/>
      <c r="D932" s="35"/>
      <c r="E932" s="35"/>
      <c r="F932" s="36"/>
      <c r="G932" s="37"/>
      <c r="H932" s="37"/>
      <c r="I932" s="37"/>
      <c r="J932" s="38"/>
      <c r="K932" s="39"/>
      <c r="L932" s="40" t="str">
        <f aca="false">IF(OR($J932="",$K932=""),"",$J932+MATCH($K932,Listas!$F$5:$F$11,0)-1)</f>
        <v/>
      </c>
      <c r="M932" s="41"/>
      <c r="N932" s="36"/>
      <c r="O932" s="41"/>
      <c r="P932" s="35"/>
      <c r="Q932" s="35"/>
      <c r="R932" s="42" t="str">
        <f aca="true">IF($E932="","",IF($N932="Cancelada","Cancelada",IF(OR($M932&lt;&gt;"",$N932="Concluída"),IF(OR($L932="",$M932="",$M932&lt;=$L932),"Concluída","Concluída com atraso"),IF($L932="","Na carteira",IF($L932&lt;TODAY(),"VENCIDA",IF($N932="Em execução","Em execução",IF($L932=TODAY(),"Hoje","Programada")))))))</f>
        <v/>
      </c>
      <c r="S932" s="34" t="str">
        <f aca="false">IF($E932="","",IF(ISNUMBER(SEARCH("(externo)",$G932&amp;$H932&amp;$I932)),"Terceirizada","Interna"))</f>
        <v/>
      </c>
      <c r="T932" s="40" t="str">
        <f aca="false">IF($L932="","",IF($O932="",$L932,$O932))</f>
        <v/>
      </c>
      <c r="U932" s="34" t="str">
        <f aca="false">IF($E932="","",IF(OR($M932="",$L932=""),0,IF($M932&lt;=$L932,1,0)))</f>
        <v/>
      </c>
      <c r="V932" s="34" t="str">
        <f aca="false">IF($E932="","",IF(OR($M932="",$T932=""),0,IF($M932&lt;=$T932,1,0)))</f>
        <v/>
      </c>
      <c r="W932" s="42" t="str">
        <f aca="false">IF(OR($M932="",$L932=""),"",MAX(0,$M932-$L932))</f>
        <v/>
      </c>
      <c r="X932" s="34" t="str">
        <f aca="false">IF($E932="","",IF(AND($O932&lt;&gt;"",$L932&lt;&gt;"",$O932&lt;&gt;$L932),1,0))</f>
        <v/>
      </c>
      <c r="Y932" s="34" t="str">
        <f aca="false">IF($E932="","",IF($N932="Cancelada",0,IF(OR($M932&lt;&gt;"",$N932="Concluída"),1,0)))</f>
        <v/>
      </c>
    </row>
    <row r="933" customFormat="false" ht="15" hidden="false" customHeight="true" outlineLevel="0" collapsed="false">
      <c r="A933" s="34" t="str">
        <f aca="false">IF($E933="","",COUNTA($E$5:$E933))</f>
        <v/>
      </c>
      <c r="B933" s="35"/>
      <c r="C933" s="35"/>
      <c r="D933" s="35"/>
      <c r="E933" s="35"/>
      <c r="F933" s="36"/>
      <c r="G933" s="37"/>
      <c r="H933" s="37"/>
      <c r="I933" s="37"/>
      <c r="J933" s="38"/>
      <c r="K933" s="39"/>
      <c r="L933" s="40" t="str">
        <f aca="false">IF(OR($J933="",$K933=""),"",$J933+MATCH($K933,Listas!$F$5:$F$11,0)-1)</f>
        <v/>
      </c>
      <c r="M933" s="41"/>
      <c r="N933" s="36"/>
      <c r="O933" s="41"/>
      <c r="P933" s="35"/>
      <c r="Q933" s="35"/>
      <c r="R933" s="42" t="str">
        <f aca="true">IF($E933="","",IF($N933="Cancelada","Cancelada",IF(OR($M933&lt;&gt;"",$N933="Concluída"),IF(OR($L933="",$M933="",$M933&lt;=$L933),"Concluída","Concluída com atraso"),IF($L933="","Na carteira",IF($L933&lt;TODAY(),"VENCIDA",IF($N933="Em execução","Em execução",IF($L933=TODAY(),"Hoje","Programada")))))))</f>
        <v/>
      </c>
      <c r="S933" s="34" t="str">
        <f aca="false">IF($E933="","",IF(ISNUMBER(SEARCH("(externo)",$G933&amp;$H933&amp;$I933)),"Terceirizada","Interna"))</f>
        <v/>
      </c>
      <c r="T933" s="40" t="str">
        <f aca="false">IF($L933="","",IF($O933="",$L933,$O933))</f>
        <v/>
      </c>
      <c r="U933" s="34" t="str">
        <f aca="false">IF($E933="","",IF(OR($M933="",$L933=""),0,IF($M933&lt;=$L933,1,0)))</f>
        <v/>
      </c>
      <c r="V933" s="34" t="str">
        <f aca="false">IF($E933="","",IF(OR($M933="",$T933=""),0,IF($M933&lt;=$T933,1,0)))</f>
        <v/>
      </c>
      <c r="W933" s="42" t="str">
        <f aca="false">IF(OR($M933="",$L933=""),"",MAX(0,$M933-$L933))</f>
        <v/>
      </c>
      <c r="X933" s="34" t="str">
        <f aca="false">IF($E933="","",IF(AND($O933&lt;&gt;"",$L933&lt;&gt;"",$O933&lt;&gt;$L933),1,0))</f>
        <v/>
      </c>
      <c r="Y933" s="34" t="str">
        <f aca="false">IF($E933="","",IF($N933="Cancelada",0,IF(OR($M933&lt;&gt;"",$N933="Concluída"),1,0)))</f>
        <v/>
      </c>
    </row>
    <row r="934" customFormat="false" ht="15" hidden="false" customHeight="true" outlineLevel="0" collapsed="false">
      <c r="A934" s="34" t="str">
        <f aca="false">IF($E934="","",COUNTA($E$5:$E934))</f>
        <v/>
      </c>
      <c r="B934" s="35"/>
      <c r="C934" s="35"/>
      <c r="D934" s="35"/>
      <c r="E934" s="35"/>
      <c r="F934" s="36"/>
      <c r="G934" s="37"/>
      <c r="H934" s="37"/>
      <c r="I934" s="37"/>
      <c r="J934" s="38"/>
      <c r="K934" s="39"/>
      <c r="L934" s="40" t="str">
        <f aca="false">IF(OR($J934="",$K934=""),"",$J934+MATCH($K934,Listas!$F$5:$F$11,0)-1)</f>
        <v/>
      </c>
      <c r="M934" s="41"/>
      <c r="N934" s="36"/>
      <c r="O934" s="41"/>
      <c r="P934" s="35"/>
      <c r="Q934" s="35"/>
      <c r="R934" s="42" t="str">
        <f aca="true">IF($E934="","",IF($N934="Cancelada","Cancelada",IF(OR($M934&lt;&gt;"",$N934="Concluída"),IF(OR($L934="",$M934="",$M934&lt;=$L934),"Concluída","Concluída com atraso"),IF($L934="","Na carteira",IF($L934&lt;TODAY(),"VENCIDA",IF($N934="Em execução","Em execução",IF($L934=TODAY(),"Hoje","Programada")))))))</f>
        <v/>
      </c>
      <c r="S934" s="34" t="str">
        <f aca="false">IF($E934="","",IF(ISNUMBER(SEARCH("(externo)",$G934&amp;$H934&amp;$I934)),"Terceirizada","Interna"))</f>
        <v/>
      </c>
      <c r="T934" s="40" t="str">
        <f aca="false">IF($L934="","",IF($O934="",$L934,$O934))</f>
        <v/>
      </c>
      <c r="U934" s="34" t="str">
        <f aca="false">IF($E934="","",IF(OR($M934="",$L934=""),0,IF($M934&lt;=$L934,1,0)))</f>
        <v/>
      </c>
      <c r="V934" s="34" t="str">
        <f aca="false">IF($E934="","",IF(OR($M934="",$T934=""),0,IF($M934&lt;=$T934,1,0)))</f>
        <v/>
      </c>
      <c r="W934" s="42" t="str">
        <f aca="false">IF(OR($M934="",$L934=""),"",MAX(0,$M934-$L934))</f>
        <v/>
      </c>
      <c r="X934" s="34" t="str">
        <f aca="false">IF($E934="","",IF(AND($O934&lt;&gt;"",$L934&lt;&gt;"",$O934&lt;&gt;$L934),1,0))</f>
        <v/>
      </c>
      <c r="Y934" s="34" t="str">
        <f aca="false">IF($E934="","",IF($N934="Cancelada",0,IF(OR($M934&lt;&gt;"",$N934="Concluída"),1,0)))</f>
        <v/>
      </c>
    </row>
    <row r="935" customFormat="false" ht="15" hidden="false" customHeight="true" outlineLevel="0" collapsed="false">
      <c r="A935" s="34" t="str">
        <f aca="false">IF($E935="","",COUNTA($E$5:$E935))</f>
        <v/>
      </c>
      <c r="B935" s="35"/>
      <c r="C935" s="35"/>
      <c r="D935" s="35"/>
      <c r="E935" s="35"/>
      <c r="F935" s="36"/>
      <c r="G935" s="37"/>
      <c r="H935" s="37"/>
      <c r="I935" s="37"/>
      <c r="J935" s="38"/>
      <c r="K935" s="39"/>
      <c r="L935" s="40" t="str">
        <f aca="false">IF(OR($J935="",$K935=""),"",$J935+MATCH($K935,Listas!$F$5:$F$11,0)-1)</f>
        <v/>
      </c>
      <c r="M935" s="41"/>
      <c r="N935" s="36"/>
      <c r="O935" s="41"/>
      <c r="P935" s="35"/>
      <c r="Q935" s="35"/>
      <c r="R935" s="42" t="str">
        <f aca="true">IF($E935="","",IF($N935="Cancelada","Cancelada",IF(OR($M935&lt;&gt;"",$N935="Concluída"),IF(OR($L935="",$M935="",$M935&lt;=$L935),"Concluída","Concluída com atraso"),IF($L935="","Na carteira",IF($L935&lt;TODAY(),"VENCIDA",IF($N935="Em execução","Em execução",IF($L935=TODAY(),"Hoje","Programada")))))))</f>
        <v/>
      </c>
      <c r="S935" s="34" t="str">
        <f aca="false">IF($E935="","",IF(ISNUMBER(SEARCH("(externo)",$G935&amp;$H935&amp;$I935)),"Terceirizada","Interna"))</f>
        <v/>
      </c>
      <c r="T935" s="40" t="str">
        <f aca="false">IF($L935="","",IF($O935="",$L935,$O935))</f>
        <v/>
      </c>
      <c r="U935" s="34" t="str">
        <f aca="false">IF($E935="","",IF(OR($M935="",$L935=""),0,IF($M935&lt;=$L935,1,0)))</f>
        <v/>
      </c>
      <c r="V935" s="34" t="str">
        <f aca="false">IF($E935="","",IF(OR($M935="",$T935=""),0,IF($M935&lt;=$T935,1,0)))</f>
        <v/>
      </c>
      <c r="W935" s="42" t="str">
        <f aca="false">IF(OR($M935="",$L935=""),"",MAX(0,$M935-$L935))</f>
        <v/>
      </c>
      <c r="X935" s="34" t="str">
        <f aca="false">IF($E935="","",IF(AND($O935&lt;&gt;"",$L935&lt;&gt;"",$O935&lt;&gt;$L935),1,0))</f>
        <v/>
      </c>
      <c r="Y935" s="34" t="str">
        <f aca="false">IF($E935="","",IF($N935="Cancelada",0,IF(OR($M935&lt;&gt;"",$N935="Concluída"),1,0)))</f>
        <v/>
      </c>
    </row>
    <row r="936" customFormat="false" ht="15" hidden="false" customHeight="true" outlineLevel="0" collapsed="false">
      <c r="A936" s="34" t="str">
        <f aca="false">IF($E936="","",COUNTA($E$5:$E936))</f>
        <v/>
      </c>
      <c r="B936" s="35"/>
      <c r="C936" s="35"/>
      <c r="D936" s="35"/>
      <c r="E936" s="35"/>
      <c r="F936" s="36"/>
      <c r="G936" s="37"/>
      <c r="H936" s="37"/>
      <c r="I936" s="37"/>
      <c r="J936" s="38"/>
      <c r="K936" s="39"/>
      <c r="L936" s="40" t="str">
        <f aca="false">IF(OR($J936="",$K936=""),"",$J936+MATCH($K936,Listas!$F$5:$F$11,0)-1)</f>
        <v/>
      </c>
      <c r="M936" s="41"/>
      <c r="N936" s="36"/>
      <c r="O936" s="41"/>
      <c r="P936" s="35"/>
      <c r="Q936" s="35"/>
      <c r="R936" s="42" t="str">
        <f aca="true">IF($E936="","",IF($N936="Cancelada","Cancelada",IF(OR($M936&lt;&gt;"",$N936="Concluída"),IF(OR($L936="",$M936="",$M936&lt;=$L936),"Concluída","Concluída com atraso"),IF($L936="","Na carteira",IF($L936&lt;TODAY(),"VENCIDA",IF($N936="Em execução","Em execução",IF($L936=TODAY(),"Hoje","Programada")))))))</f>
        <v/>
      </c>
      <c r="S936" s="34" t="str">
        <f aca="false">IF($E936="","",IF(ISNUMBER(SEARCH("(externo)",$G936&amp;$H936&amp;$I936)),"Terceirizada","Interna"))</f>
        <v/>
      </c>
      <c r="T936" s="40" t="str">
        <f aca="false">IF($L936="","",IF($O936="",$L936,$O936))</f>
        <v/>
      </c>
      <c r="U936" s="34" t="str">
        <f aca="false">IF($E936="","",IF(OR($M936="",$L936=""),0,IF($M936&lt;=$L936,1,0)))</f>
        <v/>
      </c>
      <c r="V936" s="34" t="str">
        <f aca="false">IF($E936="","",IF(OR($M936="",$T936=""),0,IF($M936&lt;=$T936,1,0)))</f>
        <v/>
      </c>
      <c r="W936" s="42" t="str">
        <f aca="false">IF(OR($M936="",$L936=""),"",MAX(0,$M936-$L936))</f>
        <v/>
      </c>
      <c r="X936" s="34" t="str">
        <f aca="false">IF($E936="","",IF(AND($O936&lt;&gt;"",$L936&lt;&gt;"",$O936&lt;&gt;$L936),1,0))</f>
        <v/>
      </c>
      <c r="Y936" s="34" t="str">
        <f aca="false">IF($E936="","",IF($N936="Cancelada",0,IF(OR($M936&lt;&gt;"",$N936="Concluída"),1,0)))</f>
        <v/>
      </c>
    </row>
    <row r="937" customFormat="false" ht="15" hidden="false" customHeight="true" outlineLevel="0" collapsed="false">
      <c r="A937" s="34" t="str">
        <f aca="false">IF($E937="","",COUNTA($E$5:$E937))</f>
        <v/>
      </c>
      <c r="B937" s="35"/>
      <c r="C937" s="35"/>
      <c r="D937" s="35"/>
      <c r="E937" s="35"/>
      <c r="F937" s="36"/>
      <c r="G937" s="37"/>
      <c r="H937" s="37"/>
      <c r="I937" s="37"/>
      <c r="J937" s="38"/>
      <c r="K937" s="39"/>
      <c r="L937" s="40" t="str">
        <f aca="false">IF(OR($J937="",$K937=""),"",$J937+MATCH($K937,Listas!$F$5:$F$11,0)-1)</f>
        <v/>
      </c>
      <c r="M937" s="41"/>
      <c r="N937" s="36"/>
      <c r="O937" s="41"/>
      <c r="P937" s="35"/>
      <c r="Q937" s="35"/>
      <c r="R937" s="42" t="str">
        <f aca="true">IF($E937="","",IF($N937="Cancelada","Cancelada",IF(OR($M937&lt;&gt;"",$N937="Concluída"),IF(OR($L937="",$M937="",$M937&lt;=$L937),"Concluída","Concluída com atraso"),IF($L937="","Na carteira",IF($L937&lt;TODAY(),"VENCIDA",IF($N937="Em execução","Em execução",IF($L937=TODAY(),"Hoje","Programada")))))))</f>
        <v/>
      </c>
      <c r="S937" s="34" t="str">
        <f aca="false">IF($E937="","",IF(ISNUMBER(SEARCH("(externo)",$G937&amp;$H937&amp;$I937)),"Terceirizada","Interna"))</f>
        <v/>
      </c>
      <c r="T937" s="40" t="str">
        <f aca="false">IF($L937="","",IF($O937="",$L937,$O937))</f>
        <v/>
      </c>
      <c r="U937" s="34" t="str">
        <f aca="false">IF($E937="","",IF(OR($M937="",$L937=""),0,IF($M937&lt;=$L937,1,0)))</f>
        <v/>
      </c>
      <c r="V937" s="34" t="str">
        <f aca="false">IF($E937="","",IF(OR($M937="",$T937=""),0,IF($M937&lt;=$T937,1,0)))</f>
        <v/>
      </c>
      <c r="W937" s="42" t="str">
        <f aca="false">IF(OR($M937="",$L937=""),"",MAX(0,$M937-$L937))</f>
        <v/>
      </c>
      <c r="X937" s="34" t="str">
        <f aca="false">IF($E937="","",IF(AND($O937&lt;&gt;"",$L937&lt;&gt;"",$O937&lt;&gt;$L937),1,0))</f>
        <v/>
      </c>
      <c r="Y937" s="34" t="str">
        <f aca="false">IF($E937="","",IF($N937="Cancelada",0,IF(OR($M937&lt;&gt;"",$N937="Concluída"),1,0)))</f>
        <v/>
      </c>
    </row>
    <row r="938" customFormat="false" ht="15" hidden="false" customHeight="true" outlineLevel="0" collapsed="false">
      <c r="A938" s="34" t="str">
        <f aca="false">IF($E938="","",COUNTA($E$5:$E938))</f>
        <v/>
      </c>
      <c r="B938" s="35"/>
      <c r="C938" s="35"/>
      <c r="D938" s="35"/>
      <c r="E938" s="35"/>
      <c r="F938" s="36"/>
      <c r="G938" s="37"/>
      <c r="H938" s="37"/>
      <c r="I938" s="37"/>
      <c r="J938" s="38"/>
      <c r="K938" s="39"/>
      <c r="L938" s="40" t="str">
        <f aca="false">IF(OR($J938="",$K938=""),"",$J938+MATCH($K938,Listas!$F$5:$F$11,0)-1)</f>
        <v/>
      </c>
      <c r="M938" s="41"/>
      <c r="N938" s="36"/>
      <c r="O938" s="41"/>
      <c r="P938" s="35"/>
      <c r="Q938" s="35"/>
      <c r="R938" s="42" t="str">
        <f aca="true">IF($E938="","",IF($N938="Cancelada","Cancelada",IF(OR($M938&lt;&gt;"",$N938="Concluída"),IF(OR($L938="",$M938="",$M938&lt;=$L938),"Concluída","Concluída com atraso"),IF($L938="","Na carteira",IF($L938&lt;TODAY(),"VENCIDA",IF($N938="Em execução","Em execução",IF($L938=TODAY(),"Hoje","Programada")))))))</f>
        <v/>
      </c>
      <c r="S938" s="34" t="str">
        <f aca="false">IF($E938="","",IF(ISNUMBER(SEARCH("(externo)",$G938&amp;$H938&amp;$I938)),"Terceirizada","Interna"))</f>
        <v/>
      </c>
      <c r="T938" s="40" t="str">
        <f aca="false">IF($L938="","",IF($O938="",$L938,$O938))</f>
        <v/>
      </c>
      <c r="U938" s="34" t="str">
        <f aca="false">IF($E938="","",IF(OR($M938="",$L938=""),0,IF($M938&lt;=$L938,1,0)))</f>
        <v/>
      </c>
      <c r="V938" s="34" t="str">
        <f aca="false">IF($E938="","",IF(OR($M938="",$T938=""),0,IF($M938&lt;=$T938,1,0)))</f>
        <v/>
      </c>
      <c r="W938" s="42" t="str">
        <f aca="false">IF(OR($M938="",$L938=""),"",MAX(0,$M938-$L938))</f>
        <v/>
      </c>
      <c r="X938" s="34" t="str">
        <f aca="false">IF($E938="","",IF(AND($O938&lt;&gt;"",$L938&lt;&gt;"",$O938&lt;&gt;$L938),1,0))</f>
        <v/>
      </c>
      <c r="Y938" s="34" t="str">
        <f aca="false">IF($E938="","",IF($N938="Cancelada",0,IF(OR($M938&lt;&gt;"",$N938="Concluída"),1,0)))</f>
        <v/>
      </c>
    </row>
    <row r="939" customFormat="false" ht="15" hidden="false" customHeight="true" outlineLevel="0" collapsed="false">
      <c r="A939" s="34" t="str">
        <f aca="false">IF($E939="","",COUNTA($E$5:$E939))</f>
        <v/>
      </c>
      <c r="B939" s="35"/>
      <c r="C939" s="35"/>
      <c r="D939" s="35"/>
      <c r="E939" s="35"/>
      <c r="F939" s="36"/>
      <c r="G939" s="37"/>
      <c r="H939" s="37"/>
      <c r="I939" s="37"/>
      <c r="J939" s="38"/>
      <c r="K939" s="39"/>
      <c r="L939" s="40" t="str">
        <f aca="false">IF(OR($J939="",$K939=""),"",$J939+MATCH($K939,Listas!$F$5:$F$11,0)-1)</f>
        <v/>
      </c>
      <c r="M939" s="41"/>
      <c r="N939" s="36"/>
      <c r="O939" s="41"/>
      <c r="P939" s="35"/>
      <c r="Q939" s="35"/>
      <c r="R939" s="42" t="str">
        <f aca="true">IF($E939="","",IF($N939="Cancelada","Cancelada",IF(OR($M939&lt;&gt;"",$N939="Concluída"),IF(OR($L939="",$M939="",$M939&lt;=$L939),"Concluída","Concluída com atraso"),IF($L939="","Na carteira",IF($L939&lt;TODAY(),"VENCIDA",IF($N939="Em execução","Em execução",IF($L939=TODAY(),"Hoje","Programada")))))))</f>
        <v/>
      </c>
      <c r="S939" s="34" t="str">
        <f aca="false">IF($E939="","",IF(ISNUMBER(SEARCH("(externo)",$G939&amp;$H939&amp;$I939)),"Terceirizada","Interna"))</f>
        <v/>
      </c>
      <c r="T939" s="40" t="str">
        <f aca="false">IF($L939="","",IF($O939="",$L939,$O939))</f>
        <v/>
      </c>
      <c r="U939" s="34" t="str">
        <f aca="false">IF($E939="","",IF(OR($M939="",$L939=""),0,IF($M939&lt;=$L939,1,0)))</f>
        <v/>
      </c>
      <c r="V939" s="34" t="str">
        <f aca="false">IF($E939="","",IF(OR($M939="",$T939=""),0,IF($M939&lt;=$T939,1,0)))</f>
        <v/>
      </c>
      <c r="W939" s="42" t="str">
        <f aca="false">IF(OR($M939="",$L939=""),"",MAX(0,$M939-$L939))</f>
        <v/>
      </c>
      <c r="X939" s="34" t="str">
        <f aca="false">IF($E939="","",IF(AND($O939&lt;&gt;"",$L939&lt;&gt;"",$O939&lt;&gt;$L939),1,0))</f>
        <v/>
      </c>
      <c r="Y939" s="34" t="str">
        <f aca="false">IF($E939="","",IF($N939="Cancelada",0,IF(OR($M939&lt;&gt;"",$N939="Concluída"),1,0)))</f>
        <v/>
      </c>
    </row>
    <row r="940" customFormat="false" ht="15" hidden="false" customHeight="true" outlineLevel="0" collapsed="false">
      <c r="A940" s="34" t="str">
        <f aca="false">IF($E940="","",COUNTA($E$5:$E940))</f>
        <v/>
      </c>
      <c r="B940" s="35"/>
      <c r="C940" s="35"/>
      <c r="D940" s="35"/>
      <c r="E940" s="35"/>
      <c r="F940" s="36"/>
      <c r="G940" s="37"/>
      <c r="H940" s="37"/>
      <c r="I940" s="37"/>
      <c r="J940" s="38"/>
      <c r="K940" s="39"/>
      <c r="L940" s="40" t="str">
        <f aca="false">IF(OR($J940="",$K940=""),"",$J940+MATCH($K940,Listas!$F$5:$F$11,0)-1)</f>
        <v/>
      </c>
      <c r="M940" s="41"/>
      <c r="N940" s="36"/>
      <c r="O940" s="41"/>
      <c r="P940" s="35"/>
      <c r="Q940" s="35"/>
      <c r="R940" s="42" t="str">
        <f aca="true">IF($E940="","",IF($N940="Cancelada","Cancelada",IF(OR($M940&lt;&gt;"",$N940="Concluída"),IF(OR($L940="",$M940="",$M940&lt;=$L940),"Concluída","Concluída com atraso"),IF($L940="","Na carteira",IF($L940&lt;TODAY(),"VENCIDA",IF($N940="Em execução","Em execução",IF($L940=TODAY(),"Hoje","Programada")))))))</f>
        <v/>
      </c>
      <c r="S940" s="34" t="str">
        <f aca="false">IF($E940="","",IF(ISNUMBER(SEARCH("(externo)",$G940&amp;$H940&amp;$I940)),"Terceirizada","Interna"))</f>
        <v/>
      </c>
      <c r="T940" s="40" t="str">
        <f aca="false">IF($L940="","",IF($O940="",$L940,$O940))</f>
        <v/>
      </c>
      <c r="U940" s="34" t="str">
        <f aca="false">IF($E940="","",IF(OR($M940="",$L940=""),0,IF($M940&lt;=$L940,1,0)))</f>
        <v/>
      </c>
      <c r="V940" s="34" t="str">
        <f aca="false">IF($E940="","",IF(OR($M940="",$T940=""),0,IF($M940&lt;=$T940,1,0)))</f>
        <v/>
      </c>
      <c r="W940" s="42" t="str">
        <f aca="false">IF(OR($M940="",$L940=""),"",MAX(0,$M940-$L940))</f>
        <v/>
      </c>
      <c r="X940" s="34" t="str">
        <f aca="false">IF($E940="","",IF(AND($O940&lt;&gt;"",$L940&lt;&gt;"",$O940&lt;&gt;$L940),1,0))</f>
        <v/>
      </c>
      <c r="Y940" s="34" t="str">
        <f aca="false">IF($E940="","",IF($N940="Cancelada",0,IF(OR($M940&lt;&gt;"",$N940="Concluída"),1,0)))</f>
        <v/>
      </c>
    </row>
    <row r="941" customFormat="false" ht="15" hidden="false" customHeight="true" outlineLevel="0" collapsed="false">
      <c r="A941" s="34" t="str">
        <f aca="false">IF($E941="","",COUNTA($E$5:$E941))</f>
        <v/>
      </c>
      <c r="B941" s="35"/>
      <c r="C941" s="35"/>
      <c r="D941" s="35"/>
      <c r="E941" s="35"/>
      <c r="F941" s="36"/>
      <c r="G941" s="37"/>
      <c r="H941" s="37"/>
      <c r="I941" s="37"/>
      <c r="J941" s="38"/>
      <c r="K941" s="39"/>
      <c r="L941" s="40" t="str">
        <f aca="false">IF(OR($J941="",$K941=""),"",$J941+MATCH($K941,Listas!$F$5:$F$11,0)-1)</f>
        <v/>
      </c>
      <c r="M941" s="41"/>
      <c r="N941" s="36"/>
      <c r="O941" s="41"/>
      <c r="P941" s="35"/>
      <c r="Q941" s="35"/>
      <c r="R941" s="42" t="str">
        <f aca="true">IF($E941="","",IF($N941="Cancelada","Cancelada",IF(OR($M941&lt;&gt;"",$N941="Concluída"),IF(OR($L941="",$M941="",$M941&lt;=$L941),"Concluída","Concluída com atraso"),IF($L941="","Na carteira",IF($L941&lt;TODAY(),"VENCIDA",IF($N941="Em execução","Em execução",IF($L941=TODAY(),"Hoje","Programada")))))))</f>
        <v/>
      </c>
      <c r="S941" s="34" t="str">
        <f aca="false">IF($E941="","",IF(ISNUMBER(SEARCH("(externo)",$G941&amp;$H941&amp;$I941)),"Terceirizada","Interna"))</f>
        <v/>
      </c>
      <c r="T941" s="40" t="str">
        <f aca="false">IF($L941="","",IF($O941="",$L941,$O941))</f>
        <v/>
      </c>
      <c r="U941" s="34" t="str">
        <f aca="false">IF($E941="","",IF(OR($M941="",$L941=""),0,IF($M941&lt;=$L941,1,0)))</f>
        <v/>
      </c>
      <c r="V941" s="34" t="str">
        <f aca="false">IF($E941="","",IF(OR($M941="",$T941=""),0,IF($M941&lt;=$T941,1,0)))</f>
        <v/>
      </c>
      <c r="W941" s="42" t="str">
        <f aca="false">IF(OR($M941="",$L941=""),"",MAX(0,$M941-$L941))</f>
        <v/>
      </c>
      <c r="X941" s="34" t="str">
        <f aca="false">IF($E941="","",IF(AND($O941&lt;&gt;"",$L941&lt;&gt;"",$O941&lt;&gt;$L941),1,0))</f>
        <v/>
      </c>
      <c r="Y941" s="34" t="str">
        <f aca="false">IF($E941="","",IF($N941="Cancelada",0,IF(OR($M941&lt;&gt;"",$N941="Concluída"),1,0)))</f>
        <v/>
      </c>
    </row>
    <row r="942" customFormat="false" ht="15" hidden="false" customHeight="true" outlineLevel="0" collapsed="false">
      <c r="A942" s="34" t="str">
        <f aca="false">IF($E942="","",COUNTA($E$5:$E942))</f>
        <v/>
      </c>
      <c r="B942" s="35"/>
      <c r="C942" s="35"/>
      <c r="D942" s="35"/>
      <c r="E942" s="35"/>
      <c r="F942" s="36"/>
      <c r="G942" s="37"/>
      <c r="H942" s="37"/>
      <c r="I942" s="37"/>
      <c r="J942" s="38"/>
      <c r="K942" s="39"/>
      <c r="L942" s="40" t="str">
        <f aca="false">IF(OR($J942="",$K942=""),"",$J942+MATCH($K942,Listas!$F$5:$F$11,0)-1)</f>
        <v/>
      </c>
      <c r="M942" s="41"/>
      <c r="N942" s="36"/>
      <c r="O942" s="41"/>
      <c r="P942" s="35"/>
      <c r="Q942" s="35"/>
      <c r="R942" s="42" t="str">
        <f aca="true">IF($E942="","",IF($N942="Cancelada","Cancelada",IF(OR($M942&lt;&gt;"",$N942="Concluída"),IF(OR($L942="",$M942="",$M942&lt;=$L942),"Concluída","Concluída com atraso"),IF($L942="","Na carteira",IF($L942&lt;TODAY(),"VENCIDA",IF($N942="Em execução","Em execução",IF($L942=TODAY(),"Hoje","Programada")))))))</f>
        <v/>
      </c>
      <c r="S942" s="34" t="str">
        <f aca="false">IF($E942="","",IF(ISNUMBER(SEARCH("(externo)",$G942&amp;$H942&amp;$I942)),"Terceirizada","Interna"))</f>
        <v/>
      </c>
      <c r="T942" s="40" t="str">
        <f aca="false">IF($L942="","",IF($O942="",$L942,$O942))</f>
        <v/>
      </c>
      <c r="U942" s="34" t="str">
        <f aca="false">IF($E942="","",IF(OR($M942="",$L942=""),0,IF($M942&lt;=$L942,1,0)))</f>
        <v/>
      </c>
      <c r="V942" s="34" t="str">
        <f aca="false">IF($E942="","",IF(OR($M942="",$T942=""),0,IF($M942&lt;=$T942,1,0)))</f>
        <v/>
      </c>
      <c r="W942" s="42" t="str">
        <f aca="false">IF(OR($M942="",$L942=""),"",MAX(0,$M942-$L942))</f>
        <v/>
      </c>
      <c r="X942" s="34" t="str">
        <f aca="false">IF($E942="","",IF(AND($O942&lt;&gt;"",$L942&lt;&gt;"",$O942&lt;&gt;$L942),1,0))</f>
        <v/>
      </c>
      <c r="Y942" s="34" t="str">
        <f aca="false">IF($E942="","",IF($N942="Cancelada",0,IF(OR($M942&lt;&gt;"",$N942="Concluída"),1,0)))</f>
        <v/>
      </c>
    </row>
    <row r="943" customFormat="false" ht="15" hidden="false" customHeight="true" outlineLevel="0" collapsed="false">
      <c r="A943" s="34" t="str">
        <f aca="false">IF($E943="","",COUNTA($E$5:$E943))</f>
        <v/>
      </c>
      <c r="B943" s="35"/>
      <c r="C943" s="35"/>
      <c r="D943" s="35"/>
      <c r="E943" s="35"/>
      <c r="F943" s="36"/>
      <c r="G943" s="37"/>
      <c r="H943" s="37"/>
      <c r="I943" s="37"/>
      <c r="J943" s="38"/>
      <c r="K943" s="39"/>
      <c r="L943" s="40" t="str">
        <f aca="false">IF(OR($J943="",$K943=""),"",$J943+MATCH($K943,Listas!$F$5:$F$11,0)-1)</f>
        <v/>
      </c>
      <c r="M943" s="41"/>
      <c r="N943" s="36"/>
      <c r="O943" s="41"/>
      <c r="P943" s="35"/>
      <c r="Q943" s="35"/>
      <c r="R943" s="42" t="str">
        <f aca="true">IF($E943="","",IF($N943="Cancelada","Cancelada",IF(OR($M943&lt;&gt;"",$N943="Concluída"),IF(OR($L943="",$M943="",$M943&lt;=$L943),"Concluída","Concluída com atraso"),IF($L943="","Na carteira",IF($L943&lt;TODAY(),"VENCIDA",IF($N943="Em execução","Em execução",IF($L943=TODAY(),"Hoje","Programada")))))))</f>
        <v/>
      </c>
      <c r="S943" s="34" t="str">
        <f aca="false">IF($E943="","",IF(ISNUMBER(SEARCH("(externo)",$G943&amp;$H943&amp;$I943)),"Terceirizada","Interna"))</f>
        <v/>
      </c>
      <c r="T943" s="40" t="str">
        <f aca="false">IF($L943="","",IF($O943="",$L943,$O943))</f>
        <v/>
      </c>
      <c r="U943" s="34" t="str">
        <f aca="false">IF($E943="","",IF(OR($M943="",$L943=""),0,IF($M943&lt;=$L943,1,0)))</f>
        <v/>
      </c>
      <c r="V943" s="34" t="str">
        <f aca="false">IF($E943="","",IF(OR($M943="",$T943=""),0,IF($M943&lt;=$T943,1,0)))</f>
        <v/>
      </c>
      <c r="W943" s="42" t="str">
        <f aca="false">IF(OR($M943="",$L943=""),"",MAX(0,$M943-$L943))</f>
        <v/>
      </c>
      <c r="X943" s="34" t="str">
        <f aca="false">IF($E943="","",IF(AND($O943&lt;&gt;"",$L943&lt;&gt;"",$O943&lt;&gt;$L943),1,0))</f>
        <v/>
      </c>
      <c r="Y943" s="34" t="str">
        <f aca="false">IF($E943="","",IF($N943="Cancelada",0,IF(OR($M943&lt;&gt;"",$N943="Concluída"),1,0)))</f>
        <v/>
      </c>
    </row>
    <row r="944" customFormat="false" ht="15" hidden="false" customHeight="true" outlineLevel="0" collapsed="false">
      <c r="A944" s="34" t="str">
        <f aca="false">IF($E944="","",COUNTA($E$5:$E944))</f>
        <v/>
      </c>
      <c r="B944" s="35"/>
      <c r="C944" s="35"/>
      <c r="D944" s="35"/>
      <c r="E944" s="35"/>
      <c r="F944" s="36"/>
      <c r="G944" s="37"/>
      <c r="H944" s="37"/>
      <c r="I944" s="37"/>
      <c r="J944" s="38"/>
      <c r="K944" s="39"/>
      <c r="L944" s="40" t="str">
        <f aca="false">IF(OR($J944="",$K944=""),"",$J944+MATCH($K944,Listas!$F$5:$F$11,0)-1)</f>
        <v/>
      </c>
      <c r="M944" s="41"/>
      <c r="N944" s="36"/>
      <c r="O944" s="41"/>
      <c r="P944" s="35"/>
      <c r="Q944" s="35"/>
      <c r="R944" s="42" t="str">
        <f aca="true">IF($E944="","",IF($N944="Cancelada","Cancelada",IF(OR($M944&lt;&gt;"",$N944="Concluída"),IF(OR($L944="",$M944="",$M944&lt;=$L944),"Concluída","Concluída com atraso"),IF($L944="","Na carteira",IF($L944&lt;TODAY(),"VENCIDA",IF($N944="Em execução","Em execução",IF($L944=TODAY(),"Hoje","Programada")))))))</f>
        <v/>
      </c>
      <c r="S944" s="34" t="str">
        <f aca="false">IF($E944="","",IF(ISNUMBER(SEARCH("(externo)",$G944&amp;$H944&amp;$I944)),"Terceirizada","Interna"))</f>
        <v/>
      </c>
      <c r="T944" s="40" t="str">
        <f aca="false">IF($L944="","",IF($O944="",$L944,$O944))</f>
        <v/>
      </c>
      <c r="U944" s="34" t="str">
        <f aca="false">IF($E944="","",IF(OR($M944="",$L944=""),0,IF($M944&lt;=$L944,1,0)))</f>
        <v/>
      </c>
      <c r="V944" s="34" t="str">
        <f aca="false">IF($E944="","",IF(OR($M944="",$T944=""),0,IF($M944&lt;=$T944,1,0)))</f>
        <v/>
      </c>
      <c r="W944" s="42" t="str">
        <f aca="false">IF(OR($M944="",$L944=""),"",MAX(0,$M944-$L944))</f>
        <v/>
      </c>
      <c r="X944" s="34" t="str">
        <f aca="false">IF($E944="","",IF(AND($O944&lt;&gt;"",$L944&lt;&gt;"",$O944&lt;&gt;$L944),1,0))</f>
        <v/>
      </c>
      <c r="Y944" s="34" t="str">
        <f aca="false">IF($E944="","",IF($N944="Cancelada",0,IF(OR($M944&lt;&gt;"",$N944="Concluída"),1,0)))</f>
        <v/>
      </c>
    </row>
    <row r="945" customFormat="false" ht="15" hidden="false" customHeight="true" outlineLevel="0" collapsed="false">
      <c r="A945" s="34" t="str">
        <f aca="false">IF($E945="","",COUNTA($E$5:$E945))</f>
        <v/>
      </c>
      <c r="B945" s="35"/>
      <c r="C945" s="35"/>
      <c r="D945" s="35"/>
      <c r="E945" s="35"/>
      <c r="F945" s="36"/>
      <c r="G945" s="37"/>
      <c r="H945" s="37"/>
      <c r="I945" s="37"/>
      <c r="J945" s="38"/>
      <c r="K945" s="39"/>
      <c r="L945" s="40" t="str">
        <f aca="false">IF(OR($J945="",$K945=""),"",$J945+MATCH($K945,Listas!$F$5:$F$11,0)-1)</f>
        <v/>
      </c>
      <c r="M945" s="41"/>
      <c r="N945" s="36"/>
      <c r="O945" s="41"/>
      <c r="P945" s="35"/>
      <c r="Q945" s="35"/>
      <c r="R945" s="42" t="str">
        <f aca="true">IF($E945="","",IF($N945="Cancelada","Cancelada",IF(OR($M945&lt;&gt;"",$N945="Concluída"),IF(OR($L945="",$M945="",$M945&lt;=$L945),"Concluída","Concluída com atraso"),IF($L945="","Na carteira",IF($L945&lt;TODAY(),"VENCIDA",IF($N945="Em execução","Em execução",IF($L945=TODAY(),"Hoje","Programada")))))))</f>
        <v/>
      </c>
      <c r="S945" s="34" t="str">
        <f aca="false">IF($E945="","",IF(ISNUMBER(SEARCH("(externo)",$G945&amp;$H945&amp;$I945)),"Terceirizada","Interna"))</f>
        <v/>
      </c>
      <c r="T945" s="40" t="str">
        <f aca="false">IF($L945="","",IF($O945="",$L945,$O945))</f>
        <v/>
      </c>
      <c r="U945" s="34" t="str">
        <f aca="false">IF($E945="","",IF(OR($M945="",$L945=""),0,IF($M945&lt;=$L945,1,0)))</f>
        <v/>
      </c>
      <c r="V945" s="34" t="str">
        <f aca="false">IF($E945="","",IF(OR($M945="",$T945=""),0,IF($M945&lt;=$T945,1,0)))</f>
        <v/>
      </c>
      <c r="W945" s="42" t="str">
        <f aca="false">IF(OR($M945="",$L945=""),"",MAX(0,$M945-$L945))</f>
        <v/>
      </c>
      <c r="X945" s="34" t="str">
        <f aca="false">IF($E945="","",IF(AND($O945&lt;&gt;"",$L945&lt;&gt;"",$O945&lt;&gt;$L945),1,0))</f>
        <v/>
      </c>
      <c r="Y945" s="34" t="str">
        <f aca="false">IF($E945="","",IF($N945="Cancelada",0,IF(OR($M945&lt;&gt;"",$N945="Concluída"),1,0)))</f>
        <v/>
      </c>
    </row>
    <row r="946" customFormat="false" ht="15" hidden="false" customHeight="true" outlineLevel="0" collapsed="false">
      <c r="A946" s="34" t="str">
        <f aca="false">IF($E946="","",COUNTA($E$5:$E946))</f>
        <v/>
      </c>
      <c r="B946" s="35"/>
      <c r="C946" s="35"/>
      <c r="D946" s="35"/>
      <c r="E946" s="35"/>
      <c r="F946" s="36"/>
      <c r="G946" s="37"/>
      <c r="H946" s="37"/>
      <c r="I946" s="37"/>
      <c r="J946" s="38"/>
      <c r="K946" s="39"/>
      <c r="L946" s="40" t="str">
        <f aca="false">IF(OR($J946="",$K946=""),"",$J946+MATCH($K946,Listas!$F$5:$F$11,0)-1)</f>
        <v/>
      </c>
      <c r="M946" s="41"/>
      <c r="N946" s="36"/>
      <c r="O946" s="41"/>
      <c r="P946" s="35"/>
      <c r="Q946" s="35"/>
      <c r="R946" s="42" t="str">
        <f aca="true">IF($E946="","",IF($N946="Cancelada","Cancelada",IF(OR($M946&lt;&gt;"",$N946="Concluída"),IF(OR($L946="",$M946="",$M946&lt;=$L946),"Concluída","Concluída com atraso"),IF($L946="","Na carteira",IF($L946&lt;TODAY(),"VENCIDA",IF($N946="Em execução","Em execução",IF($L946=TODAY(),"Hoje","Programada")))))))</f>
        <v/>
      </c>
      <c r="S946" s="34" t="str">
        <f aca="false">IF($E946="","",IF(ISNUMBER(SEARCH("(externo)",$G946&amp;$H946&amp;$I946)),"Terceirizada","Interna"))</f>
        <v/>
      </c>
      <c r="T946" s="40" t="str">
        <f aca="false">IF($L946="","",IF($O946="",$L946,$O946))</f>
        <v/>
      </c>
      <c r="U946" s="34" t="str">
        <f aca="false">IF($E946="","",IF(OR($M946="",$L946=""),0,IF($M946&lt;=$L946,1,0)))</f>
        <v/>
      </c>
      <c r="V946" s="34" t="str">
        <f aca="false">IF($E946="","",IF(OR($M946="",$T946=""),0,IF($M946&lt;=$T946,1,0)))</f>
        <v/>
      </c>
      <c r="W946" s="42" t="str">
        <f aca="false">IF(OR($M946="",$L946=""),"",MAX(0,$M946-$L946))</f>
        <v/>
      </c>
      <c r="X946" s="34" t="str">
        <f aca="false">IF($E946="","",IF(AND($O946&lt;&gt;"",$L946&lt;&gt;"",$O946&lt;&gt;$L946),1,0))</f>
        <v/>
      </c>
      <c r="Y946" s="34" t="str">
        <f aca="false">IF($E946="","",IF($N946="Cancelada",0,IF(OR($M946&lt;&gt;"",$N946="Concluída"),1,0)))</f>
        <v/>
      </c>
    </row>
    <row r="947" customFormat="false" ht="15" hidden="false" customHeight="true" outlineLevel="0" collapsed="false">
      <c r="A947" s="34" t="str">
        <f aca="false">IF($E947="","",COUNTA($E$5:$E947))</f>
        <v/>
      </c>
      <c r="B947" s="35"/>
      <c r="C947" s="35"/>
      <c r="D947" s="35"/>
      <c r="E947" s="35"/>
      <c r="F947" s="36"/>
      <c r="G947" s="37"/>
      <c r="H947" s="37"/>
      <c r="I947" s="37"/>
      <c r="J947" s="38"/>
      <c r="K947" s="39"/>
      <c r="L947" s="40" t="str">
        <f aca="false">IF(OR($J947="",$K947=""),"",$J947+MATCH($K947,Listas!$F$5:$F$11,0)-1)</f>
        <v/>
      </c>
      <c r="M947" s="41"/>
      <c r="N947" s="36"/>
      <c r="O947" s="41"/>
      <c r="P947" s="35"/>
      <c r="Q947" s="35"/>
      <c r="R947" s="42" t="str">
        <f aca="true">IF($E947="","",IF($N947="Cancelada","Cancelada",IF(OR($M947&lt;&gt;"",$N947="Concluída"),IF(OR($L947="",$M947="",$M947&lt;=$L947),"Concluída","Concluída com atraso"),IF($L947="","Na carteira",IF($L947&lt;TODAY(),"VENCIDA",IF($N947="Em execução","Em execução",IF($L947=TODAY(),"Hoje","Programada")))))))</f>
        <v/>
      </c>
      <c r="S947" s="34" t="str">
        <f aca="false">IF($E947="","",IF(ISNUMBER(SEARCH("(externo)",$G947&amp;$H947&amp;$I947)),"Terceirizada","Interna"))</f>
        <v/>
      </c>
      <c r="T947" s="40" t="str">
        <f aca="false">IF($L947="","",IF($O947="",$L947,$O947))</f>
        <v/>
      </c>
      <c r="U947" s="34" t="str">
        <f aca="false">IF($E947="","",IF(OR($M947="",$L947=""),0,IF($M947&lt;=$L947,1,0)))</f>
        <v/>
      </c>
      <c r="V947" s="34" t="str">
        <f aca="false">IF($E947="","",IF(OR($M947="",$T947=""),0,IF($M947&lt;=$T947,1,0)))</f>
        <v/>
      </c>
      <c r="W947" s="42" t="str">
        <f aca="false">IF(OR($M947="",$L947=""),"",MAX(0,$M947-$L947))</f>
        <v/>
      </c>
      <c r="X947" s="34" t="str">
        <f aca="false">IF($E947="","",IF(AND($O947&lt;&gt;"",$L947&lt;&gt;"",$O947&lt;&gt;$L947),1,0))</f>
        <v/>
      </c>
      <c r="Y947" s="34" t="str">
        <f aca="false">IF($E947="","",IF($N947="Cancelada",0,IF(OR($M947&lt;&gt;"",$N947="Concluída"),1,0)))</f>
        <v/>
      </c>
    </row>
    <row r="948" customFormat="false" ht="15" hidden="false" customHeight="true" outlineLevel="0" collapsed="false">
      <c r="A948" s="34" t="str">
        <f aca="false">IF($E948="","",COUNTA($E$5:$E948))</f>
        <v/>
      </c>
      <c r="B948" s="35"/>
      <c r="C948" s="35"/>
      <c r="D948" s="35"/>
      <c r="E948" s="35"/>
      <c r="F948" s="36"/>
      <c r="G948" s="37"/>
      <c r="H948" s="37"/>
      <c r="I948" s="37"/>
      <c r="J948" s="38"/>
      <c r="K948" s="39"/>
      <c r="L948" s="40" t="str">
        <f aca="false">IF(OR($J948="",$K948=""),"",$J948+MATCH($K948,Listas!$F$5:$F$11,0)-1)</f>
        <v/>
      </c>
      <c r="M948" s="41"/>
      <c r="N948" s="36"/>
      <c r="O948" s="41"/>
      <c r="P948" s="35"/>
      <c r="Q948" s="35"/>
      <c r="R948" s="42" t="str">
        <f aca="true">IF($E948="","",IF($N948="Cancelada","Cancelada",IF(OR($M948&lt;&gt;"",$N948="Concluída"),IF(OR($L948="",$M948="",$M948&lt;=$L948),"Concluída","Concluída com atraso"),IF($L948="","Na carteira",IF($L948&lt;TODAY(),"VENCIDA",IF($N948="Em execução","Em execução",IF($L948=TODAY(),"Hoje","Programada")))))))</f>
        <v/>
      </c>
      <c r="S948" s="34" t="str">
        <f aca="false">IF($E948="","",IF(ISNUMBER(SEARCH("(externo)",$G948&amp;$H948&amp;$I948)),"Terceirizada","Interna"))</f>
        <v/>
      </c>
      <c r="T948" s="40" t="str">
        <f aca="false">IF($L948="","",IF($O948="",$L948,$O948))</f>
        <v/>
      </c>
      <c r="U948" s="34" t="str">
        <f aca="false">IF($E948="","",IF(OR($M948="",$L948=""),0,IF($M948&lt;=$L948,1,0)))</f>
        <v/>
      </c>
      <c r="V948" s="34" t="str">
        <f aca="false">IF($E948="","",IF(OR($M948="",$T948=""),0,IF($M948&lt;=$T948,1,0)))</f>
        <v/>
      </c>
      <c r="W948" s="42" t="str">
        <f aca="false">IF(OR($M948="",$L948=""),"",MAX(0,$M948-$L948))</f>
        <v/>
      </c>
      <c r="X948" s="34" t="str">
        <f aca="false">IF($E948="","",IF(AND($O948&lt;&gt;"",$L948&lt;&gt;"",$O948&lt;&gt;$L948),1,0))</f>
        <v/>
      </c>
      <c r="Y948" s="34" t="str">
        <f aca="false">IF($E948="","",IF($N948="Cancelada",0,IF(OR($M948&lt;&gt;"",$N948="Concluída"),1,0)))</f>
        <v/>
      </c>
    </row>
    <row r="949" customFormat="false" ht="15" hidden="false" customHeight="true" outlineLevel="0" collapsed="false">
      <c r="A949" s="34" t="str">
        <f aca="false">IF($E949="","",COUNTA($E$5:$E949))</f>
        <v/>
      </c>
      <c r="B949" s="35"/>
      <c r="C949" s="35"/>
      <c r="D949" s="35"/>
      <c r="E949" s="35"/>
      <c r="F949" s="36"/>
      <c r="G949" s="37"/>
      <c r="H949" s="37"/>
      <c r="I949" s="37"/>
      <c r="J949" s="38"/>
      <c r="K949" s="39"/>
      <c r="L949" s="40" t="str">
        <f aca="false">IF(OR($J949="",$K949=""),"",$J949+MATCH($K949,Listas!$F$5:$F$11,0)-1)</f>
        <v/>
      </c>
      <c r="M949" s="41"/>
      <c r="N949" s="36"/>
      <c r="O949" s="41"/>
      <c r="P949" s="35"/>
      <c r="Q949" s="35"/>
      <c r="R949" s="42" t="str">
        <f aca="true">IF($E949="","",IF($N949="Cancelada","Cancelada",IF(OR($M949&lt;&gt;"",$N949="Concluída"),IF(OR($L949="",$M949="",$M949&lt;=$L949),"Concluída","Concluída com atraso"),IF($L949="","Na carteira",IF($L949&lt;TODAY(),"VENCIDA",IF($N949="Em execução","Em execução",IF($L949=TODAY(),"Hoje","Programada")))))))</f>
        <v/>
      </c>
      <c r="S949" s="34" t="str">
        <f aca="false">IF($E949="","",IF(ISNUMBER(SEARCH("(externo)",$G949&amp;$H949&amp;$I949)),"Terceirizada","Interna"))</f>
        <v/>
      </c>
      <c r="T949" s="40" t="str">
        <f aca="false">IF($L949="","",IF($O949="",$L949,$O949))</f>
        <v/>
      </c>
      <c r="U949" s="34" t="str">
        <f aca="false">IF($E949="","",IF(OR($M949="",$L949=""),0,IF($M949&lt;=$L949,1,0)))</f>
        <v/>
      </c>
      <c r="V949" s="34" t="str">
        <f aca="false">IF($E949="","",IF(OR($M949="",$T949=""),0,IF($M949&lt;=$T949,1,0)))</f>
        <v/>
      </c>
      <c r="W949" s="42" t="str">
        <f aca="false">IF(OR($M949="",$L949=""),"",MAX(0,$M949-$L949))</f>
        <v/>
      </c>
      <c r="X949" s="34" t="str">
        <f aca="false">IF($E949="","",IF(AND($O949&lt;&gt;"",$L949&lt;&gt;"",$O949&lt;&gt;$L949),1,0))</f>
        <v/>
      </c>
      <c r="Y949" s="34" t="str">
        <f aca="false">IF($E949="","",IF($N949="Cancelada",0,IF(OR($M949&lt;&gt;"",$N949="Concluída"),1,0)))</f>
        <v/>
      </c>
    </row>
    <row r="950" customFormat="false" ht="15" hidden="false" customHeight="true" outlineLevel="0" collapsed="false">
      <c r="A950" s="34" t="str">
        <f aca="false">IF($E950="","",COUNTA($E$5:$E950))</f>
        <v/>
      </c>
      <c r="B950" s="35"/>
      <c r="C950" s="35"/>
      <c r="D950" s="35"/>
      <c r="E950" s="35"/>
      <c r="F950" s="36"/>
      <c r="G950" s="37"/>
      <c r="H950" s="37"/>
      <c r="I950" s="37"/>
      <c r="J950" s="38"/>
      <c r="K950" s="39"/>
      <c r="L950" s="40" t="str">
        <f aca="false">IF(OR($J950="",$K950=""),"",$J950+MATCH($K950,Listas!$F$5:$F$11,0)-1)</f>
        <v/>
      </c>
      <c r="M950" s="41"/>
      <c r="N950" s="36"/>
      <c r="O950" s="41"/>
      <c r="P950" s="35"/>
      <c r="Q950" s="35"/>
      <c r="R950" s="42" t="str">
        <f aca="true">IF($E950="","",IF($N950="Cancelada","Cancelada",IF(OR($M950&lt;&gt;"",$N950="Concluída"),IF(OR($L950="",$M950="",$M950&lt;=$L950),"Concluída","Concluída com atraso"),IF($L950="","Na carteira",IF($L950&lt;TODAY(),"VENCIDA",IF($N950="Em execução","Em execução",IF($L950=TODAY(),"Hoje","Programada")))))))</f>
        <v/>
      </c>
      <c r="S950" s="34" t="str">
        <f aca="false">IF($E950="","",IF(ISNUMBER(SEARCH("(externo)",$G950&amp;$H950&amp;$I950)),"Terceirizada","Interna"))</f>
        <v/>
      </c>
      <c r="T950" s="40" t="str">
        <f aca="false">IF($L950="","",IF($O950="",$L950,$O950))</f>
        <v/>
      </c>
      <c r="U950" s="34" t="str">
        <f aca="false">IF($E950="","",IF(OR($M950="",$L950=""),0,IF($M950&lt;=$L950,1,0)))</f>
        <v/>
      </c>
      <c r="V950" s="34" t="str">
        <f aca="false">IF($E950="","",IF(OR($M950="",$T950=""),0,IF($M950&lt;=$T950,1,0)))</f>
        <v/>
      </c>
      <c r="W950" s="42" t="str">
        <f aca="false">IF(OR($M950="",$L950=""),"",MAX(0,$M950-$L950))</f>
        <v/>
      </c>
      <c r="X950" s="34" t="str">
        <f aca="false">IF($E950="","",IF(AND($O950&lt;&gt;"",$L950&lt;&gt;"",$O950&lt;&gt;$L950),1,0))</f>
        <v/>
      </c>
      <c r="Y950" s="34" t="str">
        <f aca="false">IF($E950="","",IF($N950="Cancelada",0,IF(OR($M950&lt;&gt;"",$N950="Concluída"),1,0)))</f>
        <v/>
      </c>
    </row>
    <row r="951" customFormat="false" ht="15" hidden="false" customHeight="true" outlineLevel="0" collapsed="false">
      <c r="A951" s="34" t="str">
        <f aca="false">IF($E951="","",COUNTA($E$5:$E951))</f>
        <v/>
      </c>
      <c r="B951" s="35"/>
      <c r="C951" s="35"/>
      <c r="D951" s="35"/>
      <c r="E951" s="35"/>
      <c r="F951" s="36"/>
      <c r="G951" s="37"/>
      <c r="H951" s="37"/>
      <c r="I951" s="37"/>
      <c r="J951" s="38"/>
      <c r="K951" s="39"/>
      <c r="L951" s="40" t="str">
        <f aca="false">IF(OR($J951="",$K951=""),"",$J951+MATCH($K951,Listas!$F$5:$F$11,0)-1)</f>
        <v/>
      </c>
      <c r="M951" s="41"/>
      <c r="N951" s="36"/>
      <c r="O951" s="41"/>
      <c r="P951" s="35"/>
      <c r="Q951" s="35"/>
      <c r="R951" s="42" t="str">
        <f aca="true">IF($E951="","",IF($N951="Cancelada","Cancelada",IF(OR($M951&lt;&gt;"",$N951="Concluída"),IF(OR($L951="",$M951="",$M951&lt;=$L951),"Concluída","Concluída com atraso"),IF($L951="","Na carteira",IF($L951&lt;TODAY(),"VENCIDA",IF($N951="Em execução","Em execução",IF($L951=TODAY(),"Hoje","Programada")))))))</f>
        <v/>
      </c>
      <c r="S951" s="34" t="str">
        <f aca="false">IF($E951="","",IF(ISNUMBER(SEARCH("(externo)",$G951&amp;$H951&amp;$I951)),"Terceirizada","Interna"))</f>
        <v/>
      </c>
      <c r="T951" s="40" t="str">
        <f aca="false">IF($L951="","",IF($O951="",$L951,$O951))</f>
        <v/>
      </c>
      <c r="U951" s="34" t="str">
        <f aca="false">IF($E951="","",IF(OR($M951="",$L951=""),0,IF($M951&lt;=$L951,1,0)))</f>
        <v/>
      </c>
      <c r="V951" s="34" t="str">
        <f aca="false">IF($E951="","",IF(OR($M951="",$T951=""),0,IF($M951&lt;=$T951,1,0)))</f>
        <v/>
      </c>
      <c r="W951" s="42" t="str">
        <f aca="false">IF(OR($M951="",$L951=""),"",MAX(0,$M951-$L951))</f>
        <v/>
      </c>
      <c r="X951" s="34" t="str">
        <f aca="false">IF($E951="","",IF(AND($O951&lt;&gt;"",$L951&lt;&gt;"",$O951&lt;&gt;$L951),1,0))</f>
        <v/>
      </c>
      <c r="Y951" s="34" t="str">
        <f aca="false">IF($E951="","",IF($N951="Cancelada",0,IF(OR($M951&lt;&gt;"",$N951="Concluída"),1,0)))</f>
        <v/>
      </c>
    </row>
    <row r="952" customFormat="false" ht="15" hidden="false" customHeight="true" outlineLevel="0" collapsed="false">
      <c r="A952" s="34" t="str">
        <f aca="false">IF($E952="","",COUNTA($E$5:$E952))</f>
        <v/>
      </c>
      <c r="B952" s="35"/>
      <c r="C952" s="35"/>
      <c r="D952" s="35"/>
      <c r="E952" s="35"/>
      <c r="F952" s="36"/>
      <c r="G952" s="37"/>
      <c r="H952" s="37"/>
      <c r="I952" s="37"/>
      <c r="J952" s="38"/>
      <c r="K952" s="39"/>
      <c r="L952" s="40" t="str">
        <f aca="false">IF(OR($J952="",$K952=""),"",$J952+MATCH($K952,Listas!$F$5:$F$11,0)-1)</f>
        <v/>
      </c>
      <c r="M952" s="41"/>
      <c r="N952" s="36"/>
      <c r="O952" s="41"/>
      <c r="P952" s="35"/>
      <c r="Q952" s="35"/>
      <c r="R952" s="42" t="str">
        <f aca="true">IF($E952="","",IF($N952="Cancelada","Cancelada",IF(OR($M952&lt;&gt;"",$N952="Concluída"),IF(OR($L952="",$M952="",$M952&lt;=$L952),"Concluída","Concluída com atraso"),IF($L952="","Na carteira",IF($L952&lt;TODAY(),"VENCIDA",IF($N952="Em execução","Em execução",IF($L952=TODAY(),"Hoje","Programada")))))))</f>
        <v/>
      </c>
      <c r="S952" s="34" t="str">
        <f aca="false">IF($E952="","",IF(ISNUMBER(SEARCH("(externo)",$G952&amp;$H952&amp;$I952)),"Terceirizada","Interna"))</f>
        <v/>
      </c>
      <c r="T952" s="40" t="str">
        <f aca="false">IF($L952="","",IF($O952="",$L952,$O952))</f>
        <v/>
      </c>
      <c r="U952" s="34" t="str">
        <f aca="false">IF($E952="","",IF(OR($M952="",$L952=""),0,IF($M952&lt;=$L952,1,0)))</f>
        <v/>
      </c>
      <c r="V952" s="34" t="str">
        <f aca="false">IF($E952="","",IF(OR($M952="",$T952=""),0,IF($M952&lt;=$T952,1,0)))</f>
        <v/>
      </c>
      <c r="W952" s="42" t="str">
        <f aca="false">IF(OR($M952="",$L952=""),"",MAX(0,$M952-$L952))</f>
        <v/>
      </c>
      <c r="X952" s="34" t="str">
        <f aca="false">IF($E952="","",IF(AND($O952&lt;&gt;"",$L952&lt;&gt;"",$O952&lt;&gt;$L952),1,0))</f>
        <v/>
      </c>
      <c r="Y952" s="34" t="str">
        <f aca="false">IF($E952="","",IF($N952="Cancelada",0,IF(OR($M952&lt;&gt;"",$N952="Concluída"),1,0)))</f>
        <v/>
      </c>
    </row>
    <row r="953" customFormat="false" ht="15" hidden="false" customHeight="true" outlineLevel="0" collapsed="false">
      <c r="A953" s="34" t="str">
        <f aca="false">IF($E953="","",COUNTA($E$5:$E953))</f>
        <v/>
      </c>
      <c r="B953" s="35"/>
      <c r="C953" s="35"/>
      <c r="D953" s="35"/>
      <c r="E953" s="35"/>
      <c r="F953" s="36"/>
      <c r="G953" s="37"/>
      <c r="H953" s="37"/>
      <c r="I953" s="37"/>
      <c r="J953" s="38"/>
      <c r="K953" s="39"/>
      <c r="L953" s="40" t="str">
        <f aca="false">IF(OR($J953="",$K953=""),"",$J953+MATCH($K953,Listas!$F$5:$F$11,0)-1)</f>
        <v/>
      </c>
      <c r="M953" s="41"/>
      <c r="N953" s="36"/>
      <c r="O953" s="41"/>
      <c r="P953" s="35"/>
      <c r="Q953" s="35"/>
      <c r="R953" s="42" t="str">
        <f aca="true">IF($E953="","",IF($N953="Cancelada","Cancelada",IF(OR($M953&lt;&gt;"",$N953="Concluída"),IF(OR($L953="",$M953="",$M953&lt;=$L953),"Concluída","Concluída com atraso"),IF($L953="","Na carteira",IF($L953&lt;TODAY(),"VENCIDA",IF($N953="Em execução","Em execução",IF($L953=TODAY(),"Hoje","Programada")))))))</f>
        <v/>
      </c>
      <c r="S953" s="34" t="str">
        <f aca="false">IF($E953="","",IF(ISNUMBER(SEARCH("(externo)",$G953&amp;$H953&amp;$I953)),"Terceirizada","Interna"))</f>
        <v/>
      </c>
      <c r="T953" s="40" t="str">
        <f aca="false">IF($L953="","",IF($O953="",$L953,$O953))</f>
        <v/>
      </c>
      <c r="U953" s="34" t="str">
        <f aca="false">IF($E953="","",IF(OR($M953="",$L953=""),0,IF($M953&lt;=$L953,1,0)))</f>
        <v/>
      </c>
      <c r="V953" s="34" t="str">
        <f aca="false">IF($E953="","",IF(OR($M953="",$T953=""),0,IF($M953&lt;=$T953,1,0)))</f>
        <v/>
      </c>
      <c r="W953" s="42" t="str">
        <f aca="false">IF(OR($M953="",$L953=""),"",MAX(0,$M953-$L953))</f>
        <v/>
      </c>
      <c r="X953" s="34" t="str">
        <f aca="false">IF($E953="","",IF(AND($O953&lt;&gt;"",$L953&lt;&gt;"",$O953&lt;&gt;$L953),1,0))</f>
        <v/>
      </c>
      <c r="Y953" s="34" t="str">
        <f aca="false">IF($E953="","",IF($N953="Cancelada",0,IF(OR($M953&lt;&gt;"",$N953="Concluída"),1,0)))</f>
        <v/>
      </c>
    </row>
    <row r="954" customFormat="false" ht="15" hidden="false" customHeight="true" outlineLevel="0" collapsed="false">
      <c r="A954" s="34" t="str">
        <f aca="false">IF($E954="","",COUNTA($E$5:$E954))</f>
        <v/>
      </c>
      <c r="B954" s="35"/>
      <c r="C954" s="35"/>
      <c r="D954" s="35"/>
      <c r="E954" s="35"/>
      <c r="F954" s="36"/>
      <c r="G954" s="37"/>
      <c r="H954" s="37"/>
      <c r="I954" s="37"/>
      <c r="J954" s="38"/>
      <c r="K954" s="39"/>
      <c r="L954" s="40" t="str">
        <f aca="false">IF(OR($J954="",$K954=""),"",$J954+MATCH($K954,Listas!$F$5:$F$11,0)-1)</f>
        <v/>
      </c>
      <c r="M954" s="41"/>
      <c r="N954" s="36"/>
      <c r="O954" s="41"/>
      <c r="P954" s="35"/>
      <c r="Q954" s="35"/>
      <c r="R954" s="42" t="str">
        <f aca="true">IF($E954="","",IF($N954="Cancelada","Cancelada",IF(OR($M954&lt;&gt;"",$N954="Concluída"),IF(OR($L954="",$M954="",$M954&lt;=$L954),"Concluída","Concluída com atraso"),IF($L954="","Na carteira",IF($L954&lt;TODAY(),"VENCIDA",IF($N954="Em execução","Em execução",IF($L954=TODAY(),"Hoje","Programada")))))))</f>
        <v/>
      </c>
      <c r="S954" s="34" t="str">
        <f aca="false">IF($E954="","",IF(ISNUMBER(SEARCH("(externo)",$G954&amp;$H954&amp;$I954)),"Terceirizada","Interna"))</f>
        <v/>
      </c>
      <c r="T954" s="40" t="str">
        <f aca="false">IF($L954="","",IF($O954="",$L954,$O954))</f>
        <v/>
      </c>
      <c r="U954" s="34" t="str">
        <f aca="false">IF($E954="","",IF(OR($M954="",$L954=""),0,IF($M954&lt;=$L954,1,0)))</f>
        <v/>
      </c>
      <c r="V954" s="34" t="str">
        <f aca="false">IF($E954="","",IF(OR($M954="",$T954=""),0,IF($M954&lt;=$T954,1,0)))</f>
        <v/>
      </c>
      <c r="W954" s="42" t="str">
        <f aca="false">IF(OR($M954="",$L954=""),"",MAX(0,$M954-$L954))</f>
        <v/>
      </c>
      <c r="X954" s="34" t="str">
        <f aca="false">IF($E954="","",IF(AND($O954&lt;&gt;"",$L954&lt;&gt;"",$O954&lt;&gt;$L954),1,0))</f>
        <v/>
      </c>
      <c r="Y954" s="34" t="str">
        <f aca="false">IF($E954="","",IF($N954="Cancelada",0,IF(OR($M954&lt;&gt;"",$N954="Concluída"),1,0)))</f>
        <v/>
      </c>
    </row>
    <row r="955" customFormat="false" ht="15" hidden="false" customHeight="true" outlineLevel="0" collapsed="false">
      <c r="A955" s="34" t="str">
        <f aca="false">IF($E955="","",COUNTA($E$5:$E955))</f>
        <v/>
      </c>
      <c r="B955" s="35"/>
      <c r="C955" s="35"/>
      <c r="D955" s="35"/>
      <c r="E955" s="35"/>
      <c r="F955" s="36"/>
      <c r="G955" s="37"/>
      <c r="H955" s="37"/>
      <c r="I955" s="37"/>
      <c r="J955" s="38"/>
      <c r="K955" s="39"/>
      <c r="L955" s="40" t="str">
        <f aca="false">IF(OR($J955="",$K955=""),"",$J955+MATCH($K955,Listas!$F$5:$F$11,0)-1)</f>
        <v/>
      </c>
      <c r="M955" s="41"/>
      <c r="N955" s="36"/>
      <c r="O955" s="41"/>
      <c r="P955" s="35"/>
      <c r="Q955" s="35"/>
      <c r="R955" s="42" t="str">
        <f aca="true">IF($E955="","",IF($N955="Cancelada","Cancelada",IF(OR($M955&lt;&gt;"",$N955="Concluída"),IF(OR($L955="",$M955="",$M955&lt;=$L955),"Concluída","Concluída com atraso"),IF($L955="","Na carteira",IF($L955&lt;TODAY(),"VENCIDA",IF($N955="Em execução","Em execução",IF($L955=TODAY(),"Hoje","Programada")))))))</f>
        <v/>
      </c>
      <c r="S955" s="34" t="str">
        <f aca="false">IF($E955="","",IF(ISNUMBER(SEARCH("(externo)",$G955&amp;$H955&amp;$I955)),"Terceirizada","Interna"))</f>
        <v/>
      </c>
      <c r="T955" s="40" t="str">
        <f aca="false">IF($L955="","",IF($O955="",$L955,$O955))</f>
        <v/>
      </c>
      <c r="U955" s="34" t="str">
        <f aca="false">IF($E955="","",IF(OR($M955="",$L955=""),0,IF($M955&lt;=$L955,1,0)))</f>
        <v/>
      </c>
      <c r="V955" s="34" t="str">
        <f aca="false">IF($E955="","",IF(OR($M955="",$T955=""),0,IF($M955&lt;=$T955,1,0)))</f>
        <v/>
      </c>
      <c r="W955" s="42" t="str">
        <f aca="false">IF(OR($M955="",$L955=""),"",MAX(0,$M955-$L955))</f>
        <v/>
      </c>
      <c r="X955" s="34" t="str">
        <f aca="false">IF($E955="","",IF(AND($O955&lt;&gt;"",$L955&lt;&gt;"",$O955&lt;&gt;$L955),1,0))</f>
        <v/>
      </c>
      <c r="Y955" s="34" t="str">
        <f aca="false">IF($E955="","",IF($N955="Cancelada",0,IF(OR($M955&lt;&gt;"",$N955="Concluída"),1,0)))</f>
        <v/>
      </c>
    </row>
    <row r="956" customFormat="false" ht="15" hidden="false" customHeight="true" outlineLevel="0" collapsed="false">
      <c r="A956" s="34" t="str">
        <f aca="false">IF($E956="","",COUNTA($E$5:$E956))</f>
        <v/>
      </c>
      <c r="B956" s="35"/>
      <c r="C956" s="35"/>
      <c r="D956" s="35"/>
      <c r="E956" s="35"/>
      <c r="F956" s="36"/>
      <c r="G956" s="37"/>
      <c r="H956" s="37"/>
      <c r="I956" s="37"/>
      <c r="J956" s="38"/>
      <c r="K956" s="39"/>
      <c r="L956" s="40" t="str">
        <f aca="false">IF(OR($J956="",$K956=""),"",$J956+MATCH($K956,Listas!$F$5:$F$11,0)-1)</f>
        <v/>
      </c>
      <c r="M956" s="41"/>
      <c r="N956" s="36"/>
      <c r="O956" s="41"/>
      <c r="P956" s="35"/>
      <c r="Q956" s="35"/>
      <c r="R956" s="42" t="str">
        <f aca="true">IF($E956="","",IF($N956="Cancelada","Cancelada",IF(OR($M956&lt;&gt;"",$N956="Concluída"),IF(OR($L956="",$M956="",$M956&lt;=$L956),"Concluída","Concluída com atraso"),IF($L956="","Na carteira",IF($L956&lt;TODAY(),"VENCIDA",IF($N956="Em execução","Em execução",IF($L956=TODAY(),"Hoje","Programada")))))))</f>
        <v/>
      </c>
      <c r="S956" s="34" t="str">
        <f aca="false">IF($E956="","",IF(ISNUMBER(SEARCH("(externo)",$G956&amp;$H956&amp;$I956)),"Terceirizada","Interna"))</f>
        <v/>
      </c>
      <c r="T956" s="40" t="str">
        <f aca="false">IF($L956="","",IF($O956="",$L956,$O956))</f>
        <v/>
      </c>
      <c r="U956" s="34" t="str">
        <f aca="false">IF($E956="","",IF(OR($M956="",$L956=""),0,IF($M956&lt;=$L956,1,0)))</f>
        <v/>
      </c>
      <c r="V956" s="34" t="str">
        <f aca="false">IF($E956="","",IF(OR($M956="",$T956=""),0,IF($M956&lt;=$T956,1,0)))</f>
        <v/>
      </c>
      <c r="W956" s="42" t="str">
        <f aca="false">IF(OR($M956="",$L956=""),"",MAX(0,$M956-$L956))</f>
        <v/>
      </c>
      <c r="X956" s="34" t="str">
        <f aca="false">IF($E956="","",IF(AND($O956&lt;&gt;"",$L956&lt;&gt;"",$O956&lt;&gt;$L956),1,0))</f>
        <v/>
      </c>
      <c r="Y956" s="34" t="str">
        <f aca="false">IF($E956="","",IF($N956="Cancelada",0,IF(OR($M956&lt;&gt;"",$N956="Concluída"),1,0)))</f>
        <v/>
      </c>
    </row>
    <row r="957" customFormat="false" ht="15" hidden="false" customHeight="true" outlineLevel="0" collapsed="false">
      <c r="A957" s="34" t="str">
        <f aca="false">IF($E957="","",COUNTA($E$5:$E957))</f>
        <v/>
      </c>
      <c r="B957" s="35"/>
      <c r="C957" s="35"/>
      <c r="D957" s="35"/>
      <c r="E957" s="35"/>
      <c r="F957" s="36"/>
      <c r="G957" s="37"/>
      <c r="H957" s="37"/>
      <c r="I957" s="37"/>
      <c r="J957" s="38"/>
      <c r="K957" s="39"/>
      <c r="L957" s="40" t="str">
        <f aca="false">IF(OR($J957="",$K957=""),"",$J957+MATCH($K957,Listas!$F$5:$F$11,0)-1)</f>
        <v/>
      </c>
      <c r="M957" s="41"/>
      <c r="N957" s="36"/>
      <c r="O957" s="41"/>
      <c r="P957" s="35"/>
      <c r="Q957" s="35"/>
      <c r="R957" s="42" t="str">
        <f aca="true">IF($E957="","",IF($N957="Cancelada","Cancelada",IF(OR($M957&lt;&gt;"",$N957="Concluída"),IF(OR($L957="",$M957="",$M957&lt;=$L957),"Concluída","Concluída com atraso"),IF($L957="","Na carteira",IF($L957&lt;TODAY(),"VENCIDA",IF($N957="Em execução","Em execução",IF($L957=TODAY(),"Hoje","Programada")))))))</f>
        <v/>
      </c>
      <c r="S957" s="34" t="str">
        <f aca="false">IF($E957="","",IF(ISNUMBER(SEARCH("(externo)",$G957&amp;$H957&amp;$I957)),"Terceirizada","Interna"))</f>
        <v/>
      </c>
      <c r="T957" s="40" t="str">
        <f aca="false">IF($L957="","",IF($O957="",$L957,$O957))</f>
        <v/>
      </c>
      <c r="U957" s="34" t="str">
        <f aca="false">IF($E957="","",IF(OR($M957="",$L957=""),0,IF($M957&lt;=$L957,1,0)))</f>
        <v/>
      </c>
      <c r="V957" s="34" t="str">
        <f aca="false">IF($E957="","",IF(OR($M957="",$T957=""),0,IF($M957&lt;=$T957,1,0)))</f>
        <v/>
      </c>
      <c r="W957" s="42" t="str">
        <f aca="false">IF(OR($M957="",$L957=""),"",MAX(0,$M957-$L957))</f>
        <v/>
      </c>
      <c r="X957" s="34" t="str">
        <f aca="false">IF($E957="","",IF(AND($O957&lt;&gt;"",$L957&lt;&gt;"",$O957&lt;&gt;$L957),1,0))</f>
        <v/>
      </c>
      <c r="Y957" s="34" t="str">
        <f aca="false">IF($E957="","",IF($N957="Cancelada",0,IF(OR($M957&lt;&gt;"",$N957="Concluída"),1,0)))</f>
        <v/>
      </c>
    </row>
    <row r="958" customFormat="false" ht="15" hidden="false" customHeight="true" outlineLevel="0" collapsed="false">
      <c r="A958" s="34" t="str">
        <f aca="false">IF($E958="","",COUNTA($E$5:$E958))</f>
        <v/>
      </c>
      <c r="B958" s="35"/>
      <c r="C958" s="35"/>
      <c r="D958" s="35"/>
      <c r="E958" s="35"/>
      <c r="F958" s="36"/>
      <c r="G958" s="37"/>
      <c r="H958" s="37"/>
      <c r="I958" s="37"/>
      <c r="J958" s="38"/>
      <c r="K958" s="39"/>
      <c r="L958" s="40" t="str">
        <f aca="false">IF(OR($J958="",$K958=""),"",$J958+MATCH($K958,Listas!$F$5:$F$11,0)-1)</f>
        <v/>
      </c>
      <c r="M958" s="41"/>
      <c r="N958" s="36"/>
      <c r="O958" s="41"/>
      <c r="P958" s="35"/>
      <c r="Q958" s="35"/>
      <c r="R958" s="42" t="str">
        <f aca="true">IF($E958="","",IF($N958="Cancelada","Cancelada",IF(OR($M958&lt;&gt;"",$N958="Concluída"),IF(OR($L958="",$M958="",$M958&lt;=$L958),"Concluída","Concluída com atraso"),IF($L958="","Na carteira",IF($L958&lt;TODAY(),"VENCIDA",IF($N958="Em execução","Em execução",IF($L958=TODAY(),"Hoje","Programada")))))))</f>
        <v/>
      </c>
      <c r="S958" s="34" t="str">
        <f aca="false">IF($E958="","",IF(ISNUMBER(SEARCH("(externo)",$G958&amp;$H958&amp;$I958)),"Terceirizada","Interna"))</f>
        <v/>
      </c>
      <c r="T958" s="40" t="str">
        <f aca="false">IF($L958="","",IF($O958="",$L958,$O958))</f>
        <v/>
      </c>
      <c r="U958" s="34" t="str">
        <f aca="false">IF($E958="","",IF(OR($M958="",$L958=""),0,IF($M958&lt;=$L958,1,0)))</f>
        <v/>
      </c>
      <c r="V958" s="34" t="str">
        <f aca="false">IF($E958="","",IF(OR($M958="",$T958=""),0,IF($M958&lt;=$T958,1,0)))</f>
        <v/>
      </c>
      <c r="W958" s="42" t="str">
        <f aca="false">IF(OR($M958="",$L958=""),"",MAX(0,$M958-$L958))</f>
        <v/>
      </c>
      <c r="X958" s="34" t="str">
        <f aca="false">IF($E958="","",IF(AND($O958&lt;&gt;"",$L958&lt;&gt;"",$O958&lt;&gt;$L958),1,0))</f>
        <v/>
      </c>
      <c r="Y958" s="34" t="str">
        <f aca="false">IF($E958="","",IF($N958="Cancelada",0,IF(OR($M958&lt;&gt;"",$N958="Concluída"),1,0)))</f>
        <v/>
      </c>
    </row>
    <row r="959" customFormat="false" ht="15" hidden="false" customHeight="true" outlineLevel="0" collapsed="false">
      <c r="A959" s="34" t="str">
        <f aca="false">IF($E959="","",COUNTA($E$5:$E959))</f>
        <v/>
      </c>
      <c r="B959" s="35"/>
      <c r="C959" s="35"/>
      <c r="D959" s="35"/>
      <c r="E959" s="35"/>
      <c r="F959" s="36"/>
      <c r="G959" s="37"/>
      <c r="H959" s="37"/>
      <c r="I959" s="37"/>
      <c r="J959" s="38"/>
      <c r="K959" s="39"/>
      <c r="L959" s="40" t="str">
        <f aca="false">IF(OR($J959="",$K959=""),"",$J959+MATCH($K959,Listas!$F$5:$F$11,0)-1)</f>
        <v/>
      </c>
      <c r="M959" s="41"/>
      <c r="N959" s="36"/>
      <c r="O959" s="41"/>
      <c r="P959" s="35"/>
      <c r="Q959" s="35"/>
      <c r="R959" s="42" t="str">
        <f aca="true">IF($E959="","",IF($N959="Cancelada","Cancelada",IF(OR($M959&lt;&gt;"",$N959="Concluída"),IF(OR($L959="",$M959="",$M959&lt;=$L959),"Concluída","Concluída com atraso"),IF($L959="","Na carteira",IF($L959&lt;TODAY(),"VENCIDA",IF($N959="Em execução","Em execução",IF($L959=TODAY(),"Hoje","Programada")))))))</f>
        <v/>
      </c>
      <c r="S959" s="34" t="str">
        <f aca="false">IF($E959="","",IF(ISNUMBER(SEARCH("(externo)",$G959&amp;$H959&amp;$I959)),"Terceirizada","Interna"))</f>
        <v/>
      </c>
      <c r="T959" s="40" t="str">
        <f aca="false">IF($L959="","",IF($O959="",$L959,$O959))</f>
        <v/>
      </c>
      <c r="U959" s="34" t="str">
        <f aca="false">IF($E959="","",IF(OR($M959="",$L959=""),0,IF($M959&lt;=$L959,1,0)))</f>
        <v/>
      </c>
      <c r="V959" s="34" t="str">
        <f aca="false">IF($E959="","",IF(OR($M959="",$T959=""),0,IF($M959&lt;=$T959,1,0)))</f>
        <v/>
      </c>
      <c r="W959" s="42" t="str">
        <f aca="false">IF(OR($M959="",$L959=""),"",MAX(0,$M959-$L959))</f>
        <v/>
      </c>
      <c r="X959" s="34" t="str">
        <f aca="false">IF($E959="","",IF(AND($O959&lt;&gt;"",$L959&lt;&gt;"",$O959&lt;&gt;$L959),1,0))</f>
        <v/>
      </c>
      <c r="Y959" s="34" t="str">
        <f aca="false">IF($E959="","",IF($N959="Cancelada",0,IF(OR($M959&lt;&gt;"",$N959="Concluída"),1,0)))</f>
        <v/>
      </c>
    </row>
    <row r="960" customFormat="false" ht="15" hidden="false" customHeight="true" outlineLevel="0" collapsed="false">
      <c r="A960" s="34" t="str">
        <f aca="false">IF($E960="","",COUNTA($E$5:$E960))</f>
        <v/>
      </c>
      <c r="B960" s="35"/>
      <c r="C960" s="35"/>
      <c r="D960" s="35"/>
      <c r="E960" s="35"/>
      <c r="F960" s="36"/>
      <c r="G960" s="37"/>
      <c r="H960" s="37"/>
      <c r="I960" s="37"/>
      <c r="J960" s="38"/>
      <c r="K960" s="39"/>
      <c r="L960" s="40" t="str">
        <f aca="false">IF(OR($J960="",$K960=""),"",$J960+MATCH($K960,Listas!$F$5:$F$11,0)-1)</f>
        <v/>
      </c>
      <c r="M960" s="41"/>
      <c r="N960" s="36"/>
      <c r="O960" s="41"/>
      <c r="P960" s="35"/>
      <c r="Q960" s="35"/>
      <c r="R960" s="42" t="str">
        <f aca="true">IF($E960="","",IF($N960="Cancelada","Cancelada",IF(OR($M960&lt;&gt;"",$N960="Concluída"),IF(OR($L960="",$M960="",$M960&lt;=$L960),"Concluída","Concluída com atraso"),IF($L960="","Na carteira",IF($L960&lt;TODAY(),"VENCIDA",IF($N960="Em execução","Em execução",IF($L960=TODAY(),"Hoje","Programada")))))))</f>
        <v/>
      </c>
      <c r="S960" s="34" t="str">
        <f aca="false">IF($E960="","",IF(ISNUMBER(SEARCH("(externo)",$G960&amp;$H960&amp;$I960)),"Terceirizada","Interna"))</f>
        <v/>
      </c>
      <c r="T960" s="40" t="str">
        <f aca="false">IF($L960="","",IF($O960="",$L960,$O960))</f>
        <v/>
      </c>
      <c r="U960" s="34" t="str">
        <f aca="false">IF($E960="","",IF(OR($M960="",$L960=""),0,IF($M960&lt;=$L960,1,0)))</f>
        <v/>
      </c>
      <c r="V960" s="34" t="str">
        <f aca="false">IF($E960="","",IF(OR($M960="",$T960=""),0,IF($M960&lt;=$T960,1,0)))</f>
        <v/>
      </c>
      <c r="W960" s="42" t="str">
        <f aca="false">IF(OR($M960="",$L960=""),"",MAX(0,$M960-$L960))</f>
        <v/>
      </c>
      <c r="X960" s="34" t="str">
        <f aca="false">IF($E960="","",IF(AND($O960&lt;&gt;"",$L960&lt;&gt;"",$O960&lt;&gt;$L960),1,0))</f>
        <v/>
      </c>
      <c r="Y960" s="34" t="str">
        <f aca="false">IF($E960="","",IF($N960="Cancelada",0,IF(OR($M960&lt;&gt;"",$N960="Concluída"),1,0)))</f>
        <v/>
      </c>
    </row>
    <row r="961" customFormat="false" ht="15" hidden="false" customHeight="true" outlineLevel="0" collapsed="false">
      <c r="A961" s="34" t="str">
        <f aca="false">IF($E961="","",COUNTA($E$5:$E961))</f>
        <v/>
      </c>
      <c r="B961" s="35"/>
      <c r="C961" s="35"/>
      <c r="D961" s="35"/>
      <c r="E961" s="35"/>
      <c r="F961" s="36"/>
      <c r="G961" s="37"/>
      <c r="H961" s="37"/>
      <c r="I961" s="37"/>
      <c r="J961" s="38"/>
      <c r="K961" s="39"/>
      <c r="L961" s="40" t="str">
        <f aca="false">IF(OR($J961="",$K961=""),"",$J961+MATCH($K961,Listas!$F$5:$F$11,0)-1)</f>
        <v/>
      </c>
      <c r="M961" s="41"/>
      <c r="N961" s="36"/>
      <c r="O961" s="41"/>
      <c r="P961" s="35"/>
      <c r="Q961" s="35"/>
      <c r="R961" s="42" t="str">
        <f aca="true">IF($E961="","",IF($N961="Cancelada","Cancelada",IF(OR($M961&lt;&gt;"",$N961="Concluída"),IF(OR($L961="",$M961="",$M961&lt;=$L961),"Concluída","Concluída com atraso"),IF($L961="","Na carteira",IF($L961&lt;TODAY(),"VENCIDA",IF($N961="Em execução","Em execução",IF($L961=TODAY(),"Hoje","Programada")))))))</f>
        <v/>
      </c>
      <c r="S961" s="34" t="str">
        <f aca="false">IF($E961="","",IF(ISNUMBER(SEARCH("(externo)",$G961&amp;$H961&amp;$I961)),"Terceirizada","Interna"))</f>
        <v/>
      </c>
      <c r="T961" s="40" t="str">
        <f aca="false">IF($L961="","",IF($O961="",$L961,$O961))</f>
        <v/>
      </c>
      <c r="U961" s="34" t="str">
        <f aca="false">IF($E961="","",IF(OR($M961="",$L961=""),0,IF($M961&lt;=$L961,1,0)))</f>
        <v/>
      </c>
      <c r="V961" s="34" t="str">
        <f aca="false">IF($E961="","",IF(OR($M961="",$T961=""),0,IF($M961&lt;=$T961,1,0)))</f>
        <v/>
      </c>
      <c r="W961" s="42" t="str">
        <f aca="false">IF(OR($M961="",$L961=""),"",MAX(0,$M961-$L961))</f>
        <v/>
      </c>
      <c r="X961" s="34" t="str">
        <f aca="false">IF($E961="","",IF(AND($O961&lt;&gt;"",$L961&lt;&gt;"",$O961&lt;&gt;$L961),1,0))</f>
        <v/>
      </c>
      <c r="Y961" s="34" t="str">
        <f aca="false">IF($E961="","",IF($N961="Cancelada",0,IF(OR($M961&lt;&gt;"",$N961="Concluída"),1,0)))</f>
        <v/>
      </c>
    </row>
    <row r="962" customFormat="false" ht="15" hidden="false" customHeight="true" outlineLevel="0" collapsed="false">
      <c r="A962" s="34" t="str">
        <f aca="false">IF($E962="","",COUNTA($E$5:$E962))</f>
        <v/>
      </c>
      <c r="B962" s="35"/>
      <c r="C962" s="35"/>
      <c r="D962" s="35"/>
      <c r="E962" s="35"/>
      <c r="F962" s="36"/>
      <c r="G962" s="37"/>
      <c r="H962" s="37"/>
      <c r="I962" s="37"/>
      <c r="J962" s="38"/>
      <c r="K962" s="39"/>
      <c r="L962" s="40" t="str">
        <f aca="false">IF(OR($J962="",$K962=""),"",$J962+MATCH($K962,Listas!$F$5:$F$11,0)-1)</f>
        <v/>
      </c>
      <c r="M962" s="41"/>
      <c r="N962" s="36"/>
      <c r="O962" s="41"/>
      <c r="P962" s="35"/>
      <c r="Q962" s="35"/>
      <c r="R962" s="42" t="str">
        <f aca="true">IF($E962="","",IF($N962="Cancelada","Cancelada",IF(OR($M962&lt;&gt;"",$N962="Concluída"),IF(OR($L962="",$M962="",$M962&lt;=$L962),"Concluída","Concluída com atraso"),IF($L962="","Na carteira",IF($L962&lt;TODAY(),"VENCIDA",IF($N962="Em execução","Em execução",IF($L962=TODAY(),"Hoje","Programada")))))))</f>
        <v/>
      </c>
      <c r="S962" s="34" t="str">
        <f aca="false">IF($E962="","",IF(ISNUMBER(SEARCH("(externo)",$G962&amp;$H962&amp;$I962)),"Terceirizada","Interna"))</f>
        <v/>
      </c>
      <c r="T962" s="40" t="str">
        <f aca="false">IF($L962="","",IF($O962="",$L962,$O962))</f>
        <v/>
      </c>
      <c r="U962" s="34" t="str">
        <f aca="false">IF($E962="","",IF(OR($M962="",$L962=""),0,IF($M962&lt;=$L962,1,0)))</f>
        <v/>
      </c>
      <c r="V962" s="34" t="str">
        <f aca="false">IF($E962="","",IF(OR($M962="",$T962=""),0,IF($M962&lt;=$T962,1,0)))</f>
        <v/>
      </c>
      <c r="W962" s="42" t="str">
        <f aca="false">IF(OR($M962="",$L962=""),"",MAX(0,$M962-$L962))</f>
        <v/>
      </c>
      <c r="X962" s="34" t="str">
        <f aca="false">IF($E962="","",IF(AND($O962&lt;&gt;"",$L962&lt;&gt;"",$O962&lt;&gt;$L962),1,0))</f>
        <v/>
      </c>
      <c r="Y962" s="34" t="str">
        <f aca="false">IF($E962="","",IF($N962="Cancelada",0,IF(OR($M962&lt;&gt;"",$N962="Concluída"),1,0)))</f>
        <v/>
      </c>
    </row>
    <row r="963" customFormat="false" ht="15" hidden="false" customHeight="true" outlineLevel="0" collapsed="false">
      <c r="A963" s="34" t="str">
        <f aca="false">IF($E963="","",COUNTA($E$5:$E963))</f>
        <v/>
      </c>
      <c r="B963" s="35"/>
      <c r="C963" s="35"/>
      <c r="D963" s="35"/>
      <c r="E963" s="35"/>
      <c r="F963" s="36"/>
      <c r="G963" s="37"/>
      <c r="H963" s="37"/>
      <c r="I963" s="37"/>
      <c r="J963" s="38"/>
      <c r="K963" s="39"/>
      <c r="L963" s="40" t="str">
        <f aca="false">IF(OR($J963="",$K963=""),"",$J963+MATCH($K963,Listas!$F$5:$F$11,0)-1)</f>
        <v/>
      </c>
      <c r="M963" s="41"/>
      <c r="N963" s="36"/>
      <c r="O963" s="41"/>
      <c r="P963" s="35"/>
      <c r="Q963" s="35"/>
      <c r="R963" s="42" t="str">
        <f aca="true">IF($E963="","",IF($N963="Cancelada","Cancelada",IF(OR($M963&lt;&gt;"",$N963="Concluída"),IF(OR($L963="",$M963="",$M963&lt;=$L963),"Concluída","Concluída com atraso"),IF($L963="","Na carteira",IF($L963&lt;TODAY(),"VENCIDA",IF($N963="Em execução","Em execução",IF($L963=TODAY(),"Hoje","Programada")))))))</f>
        <v/>
      </c>
      <c r="S963" s="34" t="str">
        <f aca="false">IF($E963="","",IF(ISNUMBER(SEARCH("(externo)",$G963&amp;$H963&amp;$I963)),"Terceirizada","Interna"))</f>
        <v/>
      </c>
      <c r="T963" s="40" t="str">
        <f aca="false">IF($L963="","",IF($O963="",$L963,$O963))</f>
        <v/>
      </c>
      <c r="U963" s="34" t="str">
        <f aca="false">IF($E963="","",IF(OR($M963="",$L963=""),0,IF($M963&lt;=$L963,1,0)))</f>
        <v/>
      </c>
      <c r="V963" s="34" t="str">
        <f aca="false">IF($E963="","",IF(OR($M963="",$T963=""),0,IF($M963&lt;=$T963,1,0)))</f>
        <v/>
      </c>
      <c r="W963" s="42" t="str">
        <f aca="false">IF(OR($M963="",$L963=""),"",MAX(0,$M963-$L963))</f>
        <v/>
      </c>
      <c r="X963" s="34" t="str">
        <f aca="false">IF($E963="","",IF(AND($O963&lt;&gt;"",$L963&lt;&gt;"",$O963&lt;&gt;$L963),1,0))</f>
        <v/>
      </c>
      <c r="Y963" s="34" t="str">
        <f aca="false">IF($E963="","",IF($N963="Cancelada",0,IF(OR($M963&lt;&gt;"",$N963="Concluída"),1,0)))</f>
        <v/>
      </c>
    </row>
    <row r="964" customFormat="false" ht="15" hidden="false" customHeight="true" outlineLevel="0" collapsed="false">
      <c r="A964" s="34" t="str">
        <f aca="false">IF($E964="","",COUNTA($E$5:$E964))</f>
        <v/>
      </c>
      <c r="B964" s="35"/>
      <c r="C964" s="35"/>
      <c r="D964" s="35"/>
      <c r="E964" s="35"/>
      <c r="F964" s="36"/>
      <c r="G964" s="37"/>
      <c r="H964" s="37"/>
      <c r="I964" s="37"/>
      <c r="J964" s="38"/>
      <c r="K964" s="39"/>
      <c r="L964" s="40" t="str">
        <f aca="false">IF(OR($J964="",$K964=""),"",$J964+MATCH($K964,Listas!$F$5:$F$11,0)-1)</f>
        <v/>
      </c>
      <c r="M964" s="41"/>
      <c r="N964" s="36"/>
      <c r="O964" s="41"/>
      <c r="P964" s="35"/>
      <c r="Q964" s="35"/>
      <c r="R964" s="42" t="str">
        <f aca="true">IF($E964="","",IF($N964="Cancelada","Cancelada",IF(OR($M964&lt;&gt;"",$N964="Concluída"),IF(OR($L964="",$M964="",$M964&lt;=$L964),"Concluída","Concluída com atraso"),IF($L964="","Na carteira",IF($L964&lt;TODAY(),"VENCIDA",IF($N964="Em execução","Em execução",IF($L964=TODAY(),"Hoje","Programada")))))))</f>
        <v/>
      </c>
      <c r="S964" s="34" t="str">
        <f aca="false">IF($E964="","",IF(ISNUMBER(SEARCH("(externo)",$G964&amp;$H964&amp;$I964)),"Terceirizada","Interna"))</f>
        <v/>
      </c>
      <c r="T964" s="40" t="str">
        <f aca="false">IF($L964="","",IF($O964="",$L964,$O964))</f>
        <v/>
      </c>
      <c r="U964" s="34" t="str">
        <f aca="false">IF($E964="","",IF(OR($M964="",$L964=""),0,IF($M964&lt;=$L964,1,0)))</f>
        <v/>
      </c>
      <c r="V964" s="34" t="str">
        <f aca="false">IF($E964="","",IF(OR($M964="",$T964=""),0,IF($M964&lt;=$T964,1,0)))</f>
        <v/>
      </c>
      <c r="W964" s="42" t="str">
        <f aca="false">IF(OR($M964="",$L964=""),"",MAX(0,$M964-$L964))</f>
        <v/>
      </c>
      <c r="X964" s="34" t="str">
        <f aca="false">IF($E964="","",IF(AND($O964&lt;&gt;"",$L964&lt;&gt;"",$O964&lt;&gt;$L964),1,0))</f>
        <v/>
      </c>
      <c r="Y964" s="34" t="str">
        <f aca="false">IF($E964="","",IF($N964="Cancelada",0,IF(OR($M964&lt;&gt;"",$N964="Concluída"),1,0)))</f>
        <v/>
      </c>
    </row>
    <row r="965" customFormat="false" ht="15" hidden="false" customHeight="true" outlineLevel="0" collapsed="false">
      <c r="A965" s="34" t="str">
        <f aca="false">IF($E965="","",COUNTA($E$5:$E965))</f>
        <v/>
      </c>
      <c r="B965" s="35"/>
      <c r="C965" s="35"/>
      <c r="D965" s="35"/>
      <c r="E965" s="35"/>
      <c r="F965" s="36"/>
      <c r="G965" s="37"/>
      <c r="H965" s="37"/>
      <c r="I965" s="37"/>
      <c r="J965" s="38"/>
      <c r="K965" s="39"/>
      <c r="L965" s="40" t="str">
        <f aca="false">IF(OR($J965="",$K965=""),"",$J965+MATCH($K965,Listas!$F$5:$F$11,0)-1)</f>
        <v/>
      </c>
      <c r="M965" s="41"/>
      <c r="N965" s="36"/>
      <c r="O965" s="41"/>
      <c r="P965" s="35"/>
      <c r="Q965" s="35"/>
      <c r="R965" s="42" t="str">
        <f aca="true">IF($E965="","",IF($N965="Cancelada","Cancelada",IF(OR($M965&lt;&gt;"",$N965="Concluída"),IF(OR($L965="",$M965="",$M965&lt;=$L965),"Concluída","Concluída com atraso"),IF($L965="","Na carteira",IF($L965&lt;TODAY(),"VENCIDA",IF($N965="Em execução","Em execução",IF($L965=TODAY(),"Hoje","Programada")))))))</f>
        <v/>
      </c>
      <c r="S965" s="34" t="str">
        <f aca="false">IF($E965="","",IF(ISNUMBER(SEARCH("(externo)",$G965&amp;$H965&amp;$I965)),"Terceirizada","Interna"))</f>
        <v/>
      </c>
      <c r="T965" s="40" t="str">
        <f aca="false">IF($L965="","",IF($O965="",$L965,$O965))</f>
        <v/>
      </c>
      <c r="U965" s="34" t="str">
        <f aca="false">IF($E965="","",IF(OR($M965="",$L965=""),0,IF($M965&lt;=$L965,1,0)))</f>
        <v/>
      </c>
      <c r="V965" s="34" t="str">
        <f aca="false">IF($E965="","",IF(OR($M965="",$T965=""),0,IF($M965&lt;=$T965,1,0)))</f>
        <v/>
      </c>
      <c r="W965" s="42" t="str">
        <f aca="false">IF(OR($M965="",$L965=""),"",MAX(0,$M965-$L965))</f>
        <v/>
      </c>
      <c r="X965" s="34" t="str">
        <f aca="false">IF($E965="","",IF(AND($O965&lt;&gt;"",$L965&lt;&gt;"",$O965&lt;&gt;$L965),1,0))</f>
        <v/>
      </c>
      <c r="Y965" s="34" t="str">
        <f aca="false">IF($E965="","",IF($N965="Cancelada",0,IF(OR($M965&lt;&gt;"",$N965="Concluída"),1,0)))</f>
        <v/>
      </c>
    </row>
    <row r="966" customFormat="false" ht="15" hidden="false" customHeight="true" outlineLevel="0" collapsed="false">
      <c r="A966" s="34" t="str">
        <f aca="false">IF($E966="","",COUNTA($E$5:$E966))</f>
        <v/>
      </c>
      <c r="B966" s="35"/>
      <c r="C966" s="35"/>
      <c r="D966" s="35"/>
      <c r="E966" s="35"/>
      <c r="F966" s="36"/>
      <c r="G966" s="37"/>
      <c r="H966" s="37"/>
      <c r="I966" s="37"/>
      <c r="J966" s="38"/>
      <c r="K966" s="39"/>
      <c r="L966" s="40" t="str">
        <f aca="false">IF(OR($J966="",$K966=""),"",$J966+MATCH($K966,Listas!$F$5:$F$11,0)-1)</f>
        <v/>
      </c>
      <c r="M966" s="41"/>
      <c r="N966" s="36"/>
      <c r="O966" s="41"/>
      <c r="P966" s="35"/>
      <c r="Q966" s="35"/>
      <c r="R966" s="42" t="str">
        <f aca="true">IF($E966="","",IF($N966="Cancelada","Cancelada",IF(OR($M966&lt;&gt;"",$N966="Concluída"),IF(OR($L966="",$M966="",$M966&lt;=$L966),"Concluída","Concluída com atraso"),IF($L966="","Na carteira",IF($L966&lt;TODAY(),"VENCIDA",IF($N966="Em execução","Em execução",IF($L966=TODAY(),"Hoje","Programada")))))))</f>
        <v/>
      </c>
      <c r="S966" s="34" t="str">
        <f aca="false">IF($E966="","",IF(ISNUMBER(SEARCH("(externo)",$G966&amp;$H966&amp;$I966)),"Terceirizada","Interna"))</f>
        <v/>
      </c>
      <c r="T966" s="40" t="str">
        <f aca="false">IF($L966="","",IF($O966="",$L966,$O966))</f>
        <v/>
      </c>
      <c r="U966" s="34" t="str">
        <f aca="false">IF($E966="","",IF(OR($M966="",$L966=""),0,IF($M966&lt;=$L966,1,0)))</f>
        <v/>
      </c>
      <c r="V966" s="34" t="str">
        <f aca="false">IF($E966="","",IF(OR($M966="",$T966=""),0,IF($M966&lt;=$T966,1,0)))</f>
        <v/>
      </c>
      <c r="W966" s="42" t="str">
        <f aca="false">IF(OR($M966="",$L966=""),"",MAX(0,$M966-$L966))</f>
        <v/>
      </c>
      <c r="X966" s="34" t="str">
        <f aca="false">IF($E966="","",IF(AND($O966&lt;&gt;"",$L966&lt;&gt;"",$O966&lt;&gt;$L966),1,0))</f>
        <v/>
      </c>
      <c r="Y966" s="34" t="str">
        <f aca="false">IF($E966="","",IF($N966="Cancelada",0,IF(OR($M966&lt;&gt;"",$N966="Concluída"),1,0)))</f>
        <v/>
      </c>
    </row>
    <row r="967" customFormat="false" ht="15" hidden="false" customHeight="true" outlineLevel="0" collapsed="false">
      <c r="A967" s="34" t="str">
        <f aca="false">IF($E967="","",COUNTA($E$5:$E967))</f>
        <v/>
      </c>
      <c r="B967" s="35"/>
      <c r="C967" s="35"/>
      <c r="D967" s="35"/>
      <c r="E967" s="35"/>
      <c r="F967" s="36"/>
      <c r="G967" s="37"/>
      <c r="H967" s="37"/>
      <c r="I967" s="37"/>
      <c r="J967" s="38"/>
      <c r="K967" s="39"/>
      <c r="L967" s="40" t="str">
        <f aca="false">IF(OR($J967="",$K967=""),"",$J967+MATCH($K967,Listas!$F$5:$F$11,0)-1)</f>
        <v/>
      </c>
      <c r="M967" s="41"/>
      <c r="N967" s="36"/>
      <c r="O967" s="41"/>
      <c r="P967" s="35"/>
      <c r="Q967" s="35"/>
      <c r="R967" s="42" t="str">
        <f aca="true">IF($E967="","",IF($N967="Cancelada","Cancelada",IF(OR($M967&lt;&gt;"",$N967="Concluída"),IF(OR($L967="",$M967="",$M967&lt;=$L967),"Concluída","Concluída com atraso"),IF($L967="","Na carteira",IF($L967&lt;TODAY(),"VENCIDA",IF($N967="Em execução","Em execução",IF($L967=TODAY(),"Hoje","Programada")))))))</f>
        <v/>
      </c>
      <c r="S967" s="34" t="str">
        <f aca="false">IF($E967="","",IF(ISNUMBER(SEARCH("(externo)",$G967&amp;$H967&amp;$I967)),"Terceirizada","Interna"))</f>
        <v/>
      </c>
      <c r="T967" s="40" t="str">
        <f aca="false">IF($L967="","",IF($O967="",$L967,$O967))</f>
        <v/>
      </c>
      <c r="U967" s="34" t="str">
        <f aca="false">IF($E967="","",IF(OR($M967="",$L967=""),0,IF($M967&lt;=$L967,1,0)))</f>
        <v/>
      </c>
      <c r="V967" s="34" t="str">
        <f aca="false">IF($E967="","",IF(OR($M967="",$T967=""),0,IF($M967&lt;=$T967,1,0)))</f>
        <v/>
      </c>
      <c r="W967" s="42" t="str">
        <f aca="false">IF(OR($M967="",$L967=""),"",MAX(0,$M967-$L967))</f>
        <v/>
      </c>
      <c r="X967" s="34" t="str">
        <f aca="false">IF($E967="","",IF(AND($O967&lt;&gt;"",$L967&lt;&gt;"",$O967&lt;&gt;$L967),1,0))</f>
        <v/>
      </c>
      <c r="Y967" s="34" t="str">
        <f aca="false">IF($E967="","",IF($N967="Cancelada",0,IF(OR($M967&lt;&gt;"",$N967="Concluída"),1,0)))</f>
        <v/>
      </c>
    </row>
    <row r="968" customFormat="false" ht="15" hidden="false" customHeight="true" outlineLevel="0" collapsed="false">
      <c r="A968" s="34" t="str">
        <f aca="false">IF($E968="","",COUNTA($E$5:$E968))</f>
        <v/>
      </c>
      <c r="B968" s="35"/>
      <c r="C968" s="35"/>
      <c r="D968" s="35"/>
      <c r="E968" s="35"/>
      <c r="F968" s="36"/>
      <c r="G968" s="37"/>
      <c r="H968" s="37"/>
      <c r="I968" s="37"/>
      <c r="J968" s="38"/>
      <c r="K968" s="39"/>
      <c r="L968" s="40" t="str">
        <f aca="false">IF(OR($J968="",$K968=""),"",$J968+MATCH($K968,Listas!$F$5:$F$11,0)-1)</f>
        <v/>
      </c>
      <c r="M968" s="41"/>
      <c r="N968" s="36"/>
      <c r="O968" s="41"/>
      <c r="P968" s="35"/>
      <c r="Q968" s="35"/>
      <c r="R968" s="42" t="str">
        <f aca="true">IF($E968="","",IF($N968="Cancelada","Cancelada",IF(OR($M968&lt;&gt;"",$N968="Concluída"),IF(OR($L968="",$M968="",$M968&lt;=$L968),"Concluída","Concluída com atraso"),IF($L968="","Na carteira",IF($L968&lt;TODAY(),"VENCIDA",IF($N968="Em execução","Em execução",IF($L968=TODAY(),"Hoje","Programada")))))))</f>
        <v/>
      </c>
      <c r="S968" s="34" t="str">
        <f aca="false">IF($E968="","",IF(ISNUMBER(SEARCH("(externo)",$G968&amp;$H968&amp;$I968)),"Terceirizada","Interna"))</f>
        <v/>
      </c>
      <c r="T968" s="40" t="str">
        <f aca="false">IF($L968="","",IF($O968="",$L968,$O968))</f>
        <v/>
      </c>
      <c r="U968" s="34" t="str">
        <f aca="false">IF($E968="","",IF(OR($M968="",$L968=""),0,IF($M968&lt;=$L968,1,0)))</f>
        <v/>
      </c>
      <c r="V968" s="34" t="str">
        <f aca="false">IF($E968="","",IF(OR($M968="",$T968=""),0,IF($M968&lt;=$T968,1,0)))</f>
        <v/>
      </c>
      <c r="W968" s="42" t="str">
        <f aca="false">IF(OR($M968="",$L968=""),"",MAX(0,$M968-$L968))</f>
        <v/>
      </c>
      <c r="X968" s="34" t="str">
        <f aca="false">IF($E968="","",IF(AND($O968&lt;&gt;"",$L968&lt;&gt;"",$O968&lt;&gt;$L968),1,0))</f>
        <v/>
      </c>
      <c r="Y968" s="34" t="str">
        <f aca="false">IF($E968="","",IF($N968="Cancelada",0,IF(OR($M968&lt;&gt;"",$N968="Concluída"),1,0)))</f>
        <v/>
      </c>
    </row>
    <row r="969" customFormat="false" ht="15" hidden="false" customHeight="true" outlineLevel="0" collapsed="false">
      <c r="A969" s="34" t="str">
        <f aca="false">IF($E969="","",COUNTA($E$5:$E969))</f>
        <v/>
      </c>
      <c r="B969" s="35"/>
      <c r="C969" s="35"/>
      <c r="D969" s="35"/>
      <c r="E969" s="35"/>
      <c r="F969" s="36"/>
      <c r="G969" s="37"/>
      <c r="H969" s="37"/>
      <c r="I969" s="37"/>
      <c r="J969" s="38"/>
      <c r="K969" s="39"/>
      <c r="L969" s="40" t="str">
        <f aca="false">IF(OR($J969="",$K969=""),"",$J969+MATCH($K969,Listas!$F$5:$F$11,0)-1)</f>
        <v/>
      </c>
      <c r="M969" s="41"/>
      <c r="N969" s="36"/>
      <c r="O969" s="41"/>
      <c r="P969" s="35"/>
      <c r="Q969" s="35"/>
      <c r="R969" s="42" t="str">
        <f aca="true">IF($E969="","",IF($N969="Cancelada","Cancelada",IF(OR($M969&lt;&gt;"",$N969="Concluída"),IF(OR($L969="",$M969="",$M969&lt;=$L969),"Concluída","Concluída com atraso"),IF($L969="","Na carteira",IF($L969&lt;TODAY(),"VENCIDA",IF($N969="Em execução","Em execução",IF($L969=TODAY(),"Hoje","Programada")))))))</f>
        <v/>
      </c>
      <c r="S969" s="34" t="str">
        <f aca="false">IF($E969="","",IF(ISNUMBER(SEARCH("(externo)",$G969&amp;$H969&amp;$I969)),"Terceirizada","Interna"))</f>
        <v/>
      </c>
      <c r="T969" s="40" t="str">
        <f aca="false">IF($L969="","",IF($O969="",$L969,$O969))</f>
        <v/>
      </c>
      <c r="U969" s="34" t="str">
        <f aca="false">IF($E969="","",IF(OR($M969="",$L969=""),0,IF($M969&lt;=$L969,1,0)))</f>
        <v/>
      </c>
      <c r="V969" s="34" t="str">
        <f aca="false">IF($E969="","",IF(OR($M969="",$T969=""),0,IF($M969&lt;=$T969,1,0)))</f>
        <v/>
      </c>
      <c r="W969" s="42" t="str">
        <f aca="false">IF(OR($M969="",$L969=""),"",MAX(0,$M969-$L969))</f>
        <v/>
      </c>
      <c r="X969" s="34" t="str">
        <f aca="false">IF($E969="","",IF(AND($O969&lt;&gt;"",$L969&lt;&gt;"",$O969&lt;&gt;$L969),1,0))</f>
        <v/>
      </c>
      <c r="Y969" s="34" t="str">
        <f aca="false">IF($E969="","",IF($N969="Cancelada",0,IF(OR($M969&lt;&gt;"",$N969="Concluída"),1,0)))</f>
        <v/>
      </c>
    </row>
    <row r="970" customFormat="false" ht="15" hidden="false" customHeight="true" outlineLevel="0" collapsed="false">
      <c r="A970" s="34" t="str">
        <f aca="false">IF($E970="","",COUNTA($E$5:$E970))</f>
        <v/>
      </c>
      <c r="B970" s="35"/>
      <c r="C970" s="35"/>
      <c r="D970" s="35"/>
      <c r="E970" s="35"/>
      <c r="F970" s="36"/>
      <c r="G970" s="37"/>
      <c r="H970" s="37"/>
      <c r="I970" s="37"/>
      <c r="J970" s="38"/>
      <c r="K970" s="39"/>
      <c r="L970" s="40" t="str">
        <f aca="false">IF(OR($J970="",$K970=""),"",$J970+MATCH($K970,Listas!$F$5:$F$11,0)-1)</f>
        <v/>
      </c>
      <c r="M970" s="41"/>
      <c r="N970" s="36"/>
      <c r="O970" s="41"/>
      <c r="P970" s="35"/>
      <c r="Q970" s="35"/>
      <c r="R970" s="42" t="str">
        <f aca="true">IF($E970="","",IF($N970="Cancelada","Cancelada",IF(OR($M970&lt;&gt;"",$N970="Concluída"),IF(OR($L970="",$M970="",$M970&lt;=$L970),"Concluída","Concluída com atraso"),IF($L970="","Na carteira",IF($L970&lt;TODAY(),"VENCIDA",IF($N970="Em execução","Em execução",IF($L970=TODAY(),"Hoje","Programada")))))))</f>
        <v/>
      </c>
      <c r="S970" s="34" t="str">
        <f aca="false">IF($E970="","",IF(ISNUMBER(SEARCH("(externo)",$G970&amp;$H970&amp;$I970)),"Terceirizada","Interna"))</f>
        <v/>
      </c>
      <c r="T970" s="40" t="str">
        <f aca="false">IF($L970="","",IF($O970="",$L970,$O970))</f>
        <v/>
      </c>
      <c r="U970" s="34" t="str">
        <f aca="false">IF($E970="","",IF(OR($M970="",$L970=""),0,IF($M970&lt;=$L970,1,0)))</f>
        <v/>
      </c>
      <c r="V970" s="34" t="str">
        <f aca="false">IF($E970="","",IF(OR($M970="",$T970=""),0,IF($M970&lt;=$T970,1,0)))</f>
        <v/>
      </c>
      <c r="W970" s="42" t="str">
        <f aca="false">IF(OR($M970="",$L970=""),"",MAX(0,$M970-$L970))</f>
        <v/>
      </c>
      <c r="X970" s="34" t="str">
        <f aca="false">IF($E970="","",IF(AND($O970&lt;&gt;"",$L970&lt;&gt;"",$O970&lt;&gt;$L970),1,0))</f>
        <v/>
      </c>
      <c r="Y970" s="34" t="str">
        <f aca="false">IF($E970="","",IF($N970="Cancelada",0,IF(OR($M970&lt;&gt;"",$N970="Concluída"),1,0)))</f>
        <v/>
      </c>
    </row>
    <row r="971" customFormat="false" ht="15" hidden="false" customHeight="true" outlineLevel="0" collapsed="false">
      <c r="A971" s="34" t="str">
        <f aca="false">IF($E971="","",COUNTA($E$5:$E971))</f>
        <v/>
      </c>
      <c r="B971" s="35"/>
      <c r="C971" s="35"/>
      <c r="D971" s="35"/>
      <c r="E971" s="35"/>
      <c r="F971" s="36"/>
      <c r="G971" s="37"/>
      <c r="H971" s="37"/>
      <c r="I971" s="37"/>
      <c r="J971" s="38"/>
      <c r="K971" s="39"/>
      <c r="L971" s="40" t="str">
        <f aca="false">IF(OR($J971="",$K971=""),"",$J971+MATCH($K971,Listas!$F$5:$F$11,0)-1)</f>
        <v/>
      </c>
      <c r="M971" s="41"/>
      <c r="N971" s="36"/>
      <c r="O971" s="41"/>
      <c r="P971" s="35"/>
      <c r="Q971" s="35"/>
      <c r="R971" s="42" t="str">
        <f aca="true">IF($E971="","",IF($N971="Cancelada","Cancelada",IF(OR($M971&lt;&gt;"",$N971="Concluída"),IF(OR($L971="",$M971="",$M971&lt;=$L971),"Concluída","Concluída com atraso"),IF($L971="","Na carteira",IF($L971&lt;TODAY(),"VENCIDA",IF($N971="Em execução","Em execução",IF($L971=TODAY(),"Hoje","Programada")))))))</f>
        <v/>
      </c>
      <c r="S971" s="34" t="str">
        <f aca="false">IF($E971="","",IF(ISNUMBER(SEARCH("(externo)",$G971&amp;$H971&amp;$I971)),"Terceirizada","Interna"))</f>
        <v/>
      </c>
      <c r="T971" s="40" t="str">
        <f aca="false">IF($L971="","",IF($O971="",$L971,$O971))</f>
        <v/>
      </c>
      <c r="U971" s="34" t="str">
        <f aca="false">IF($E971="","",IF(OR($M971="",$L971=""),0,IF($M971&lt;=$L971,1,0)))</f>
        <v/>
      </c>
      <c r="V971" s="34" t="str">
        <f aca="false">IF($E971="","",IF(OR($M971="",$T971=""),0,IF($M971&lt;=$T971,1,0)))</f>
        <v/>
      </c>
      <c r="W971" s="42" t="str">
        <f aca="false">IF(OR($M971="",$L971=""),"",MAX(0,$M971-$L971))</f>
        <v/>
      </c>
      <c r="X971" s="34" t="str">
        <f aca="false">IF($E971="","",IF(AND($O971&lt;&gt;"",$L971&lt;&gt;"",$O971&lt;&gt;$L971),1,0))</f>
        <v/>
      </c>
      <c r="Y971" s="34" t="str">
        <f aca="false">IF($E971="","",IF($N971="Cancelada",0,IF(OR($M971&lt;&gt;"",$N971="Concluída"),1,0)))</f>
        <v/>
      </c>
    </row>
    <row r="972" customFormat="false" ht="15" hidden="false" customHeight="true" outlineLevel="0" collapsed="false">
      <c r="A972" s="34" t="str">
        <f aca="false">IF($E972="","",COUNTA($E$5:$E972))</f>
        <v/>
      </c>
      <c r="B972" s="35"/>
      <c r="C972" s="35"/>
      <c r="D972" s="35"/>
      <c r="E972" s="35"/>
      <c r="F972" s="36"/>
      <c r="G972" s="37"/>
      <c r="H972" s="37"/>
      <c r="I972" s="37"/>
      <c r="J972" s="38"/>
      <c r="K972" s="39"/>
      <c r="L972" s="40" t="str">
        <f aca="false">IF(OR($J972="",$K972=""),"",$J972+MATCH($K972,Listas!$F$5:$F$11,0)-1)</f>
        <v/>
      </c>
      <c r="M972" s="41"/>
      <c r="N972" s="36"/>
      <c r="O972" s="41"/>
      <c r="P972" s="35"/>
      <c r="Q972" s="35"/>
      <c r="R972" s="42" t="str">
        <f aca="true">IF($E972="","",IF($N972="Cancelada","Cancelada",IF(OR($M972&lt;&gt;"",$N972="Concluída"),IF(OR($L972="",$M972="",$M972&lt;=$L972),"Concluída","Concluída com atraso"),IF($L972="","Na carteira",IF($L972&lt;TODAY(),"VENCIDA",IF($N972="Em execução","Em execução",IF($L972=TODAY(),"Hoje","Programada")))))))</f>
        <v/>
      </c>
      <c r="S972" s="34" t="str">
        <f aca="false">IF($E972="","",IF(ISNUMBER(SEARCH("(externo)",$G972&amp;$H972&amp;$I972)),"Terceirizada","Interna"))</f>
        <v/>
      </c>
      <c r="T972" s="40" t="str">
        <f aca="false">IF($L972="","",IF($O972="",$L972,$O972))</f>
        <v/>
      </c>
      <c r="U972" s="34" t="str">
        <f aca="false">IF($E972="","",IF(OR($M972="",$L972=""),0,IF($M972&lt;=$L972,1,0)))</f>
        <v/>
      </c>
      <c r="V972" s="34" t="str">
        <f aca="false">IF($E972="","",IF(OR($M972="",$T972=""),0,IF($M972&lt;=$T972,1,0)))</f>
        <v/>
      </c>
      <c r="W972" s="42" t="str">
        <f aca="false">IF(OR($M972="",$L972=""),"",MAX(0,$M972-$L972))</f>
        <v/>
      </c>
      <c r="X972" s="34" t="str">
        <f aca="false">IF($E972="","",IF(AND($O972&lt;&gt;"",$L972&lt;&gt;"",$O972&lt;&gt;$L972),1,0))</f>
        <v/>
      </c>
      <c r="Y972" s="34" t="str">
        <f aca="false">IF($E972="","",IF($N972="Cancelada",0,IF(OR($M972&lt;&gt;"",$N972="Concluída"),1,0)))</f>
        <v/>
      </c>
    </row>
    <row r="973" customFormat="false" ht="15" hidden="false" customHeight="true" outlineLevel="0" collapsed="false">
      <c r="A973" s="34" t="str">
        <f aca="false">IF($E973="","",COUNTA($E$5:$E973))</f>
        <v/>
      </c>
      <c r="B973" s="35"/>
      <c r="C973" s="35"/>
      <c r="D973" s="35"/>
      <c r="E973" s="35"/>
      <c r="F973" s="36"/>
      <c r="G973" s="37"/>
      <c r="H973" s="37"/>
      <c r="I973" s="37"/>
      <c r="J973" s="38"/>
      <c r="K973" s="39"/>
      <c r="L973" s="40" t="str">
        <f aca="false">IF(OR($J973="",$K973=""),"",$J973+MATCH($K973,Listas!$F$5:$F$11,0)-1)</f>
        <v/>
      </c>
      <c r="M973" s="41"/>
      <c r="N973" s="36"/>
      <c r="O973" s="41"/>
      <c r="P973" s="35"/>
      <c r="Q973" s="35"/>
      <c r="R973" s="42" t="str">
        <f aca="true">IF($E973="","",IF($N973="Cancelada","Cancelada",IF(OR($M973&lt;&gt;"",$N973="Concluída"),IF(OR($L973="",$M973="",$M973&lt;=$L973),"Concluída","Concluída com atraso"),IF($L973="","Na carteira",IF($L973&lt;TODAY(),"VENCIDA",IF($N973="Em execução","Em execução",IF($L973=TODAY(),"Hoje","Programada")))))))</f>
        <v/>
      </c>
      <c r="S973" s="34" t="str">
        <f aca="false">IF($E973="","",IF(ISNUMBER(SEARCH("(externo)",$G973&amp;$H973&amp;$I973)),"Terceirizada","Interna"))</f>
        <v/>
      </c>
      <c r="T973" s="40" t="str">
        <f aca="false">IF($L973="","",IF($O973="",$L973,$O973))</f>
        <v/>
      </c>
      <c r="U973" s="34" t="str">
        <f aca="false">IF($E973="","",IF(OR($M973="",$L973=""),0,IF($M973&lt;=$L973,1,0)))</f>
        <v/>
      </c>
      <c r="V973" s="34" t="str">
        <f aca="false">IF($E973="","",IF(OR($M973="",$T973=""),0,IF($M973&lt;=$T973,1,0)))</f>
        <v/>
      </c>
      <c r="W973" s="42" t="str">
        <f aca="false">IF(OR($M973="",$L973=""),"",MAX(0,$M973-$L973))</f>
        <v/>
      </c>
      <c r="X973" s="34" t="str">
        <f aca="false">IF($E973="","",IF(AND($O973&lt;&gt;"",$L973&lt;&gt;"",$O973&lt;&gt;$L973),1,0))</f>
        <v/>
      </c>
      <c r="Y973" s="34" t="str">
        <f aca="false">IF($E973="","",IF($N973="Cancelada",0,IF(OR($M973&lt;&gt;"",$N973="Concluída"),1,0)))</f>
        <v/>
      </c>
    </row>
    <row r="974" customFormat="false" ht="15" hidden="false" customHeight="true" outlineLevel="0" collapsed="false">
      <c r="A974" s="34" t="str">
        <f aca="false">IF($E974="","",COUNTA($E$5:$E974))</f>
        <v/>
      </c>
      <c r="B974" s="35"/>
      <c r="C974" s="35"/>
      <c r="D974" s="35"/>
      <c r="E974" s="35"/>
      <c r="F974" s="36"/>
      <c r="G974" s="37"/>
      <c r="H974" s="37"/>
      <c r="I974" s="37"/>
      <c r="J974" s="38"/>
      <c r="K974" s="39"/>
      <c r="L974" s="40" t="str">
        <f aca="false">IF(OR($J974="",$K974=""),"",$J974+MATCH($K974,Listas!$F$5:$F$11,0)-1)</f>
        <v/>
      </c>
      <c r="M974" s="41"/>
      <c r="N974" s="36"/>
      <c r="O974" s="41"/>
      <c r="P974" s="35"/>
      <c r="Q974" s="35"/>
      <c r="R974" s="42" t="str">
        <f aca="true">IF($E974="","",IF($N974="Cancelada","Cancelada",IF(OR($M974&lt;&gt;"",$N974="Concluída"),IF(OR($L974="",$M974="",$M974&lt;=$L974),"Concluída","Concluída com atraso"),IF($L974="","Na carteira",IF($L974&lt;TODAY(),"VENCIDA",IF($N974="Em execução","Em execução",IF($L974=TODAY(),"Hoje","Programada")))))))</f>
        <v/>
      </c>
      <c r="S974" s="34" t="str">
        <f aca="false">IF($E974="","",IF(ISNUMBER(SEARCH("(externo)",$G974&amp;$H974&amp;$I974)),"Terceirizada","Interna"))</f>
        <v/>
      </c>
      <c r="T974" s="40" t="str">
        <f aca="false">IF($L974="","",IF($O974="",$L974,$O974))</f>
        <v/>
      </c>
      <c r="U974" s="34" t="str">
        <f aca="false">IF($E974="","",IF(OR($M974="",$L974=""),0,IF($M974&lt;=$L974,1,0)))</f>
        <v/>
      </c>
      <c r="V974" s="34" t="str">
        <f aca="false">IF($E974="","",IF(OR($M974="",$T974=""),0,IF($M974&lt;=$T974,1,0)))</f>
        <v/>
      </c>
      <c r="W974" s="42" t="str">
        <f aca="false">IF(OR($M974="",$L974=""),"",MAX(0,$M974-$L974))</f>
        <v/>
      </c>
      <c r="X974" s="34" t="str">
        <f aca="false">IF($E974="","",IF(AND($O974&lt;&gt;"",$L974&lt;&gt;"",$O974&lt;&gt;$L974),1,0))</f>
        <v/>
      </c>
      <c r="Y974" s="34" t="str">
        <f aca="false">IF($E974="","",IF($N974="Cancelada",0,IF(OR($M974&lt;&gt;"",$N974="Concluída"),1,0)))</f>
        <v/>
      </c>
    </row>
    <row r="975" customFormat="false" ht="15" hidden="false" customHeight="true" outlineLevel="0" collapsed="false">
      <c r="A975" s="34" t="str">
        <f aca="false">IF($E975="","",COUNTA($E$5:$E975))</f>
        <v/>
      </c>
      <c r="B975" s="35"/>
      <c r="C975" s="35"/>
      <c r="D975" s="35"/>
      <c r="E975" s="35"/>
      <c r="F975" s="36"/>
      <c r="G975" s="37"/>
      <c r="H975" s="37"/>
      <c r="I975" s="37"/>
      <c r="J975" s="38"/>
      <c r="K975" s="39"/>
      <c r="L975" s="40" t="str">
        <f aca="false">IF(OR($J975="",$K975=""),"",$J975+MATCH($K975,Listas!$F$5:$F$11,0)-1)</f>
        <v/>
      </c>
      <c r="M975" s="41"/>
      <c r="N975" s="36"/>
      <c r="O975" s="41"/>
      <c r="P975" s="35"/>
      <c r="Q975" s="35"/>
      <c r="R975" s="42" t="str">
        <f aca="true">IF($E975="","",IF($N975="Cancelada","Cancelada",IF(OR($M975&lt;&gt;"",$N975="Concluída"),IF(OR($L975="",$M975="",$M975&lt;=$L975),"Concluída","Concluída com atraso"),IF($L975="","Na carteira",IF($L975&lt;TODAY(),"VENCIDA",IF($N975="Em execução","Em execução",IF($L975=TODAY(),"Hoje","Programada")))))))</f>
        <v/>
      </c>
      <c r="S975" s="34" t="str">
        <f aca="false">IF($E975="","",IF(ISNUMBER(SEARCH("(externo)",$G975&amp;$H975&amp;$I975)),"Terceirizada","Interna"))</f>
        <v/>
      </c>
      <c r="T975" s="40" t="str">
        <f aca="false">IF($L975="","",IF($O975="",$L975,$O975))</f>
        <v/>
      </c>
      <c r="U975" s="34" t="str">
        <f aca="false">IF($E975="","",IF(OR($M975="",$L975=""),0,IF($M975&lt;=$L975,1,0)))</f>
        <v/>
      </c>
      <c r="V975" s="34" t="str">
        <f aca="false">IF($E975="","",IF(OR($M975="",$T975=""),0,IF($M975&lt;=$T975,1,0)))</f>
        <v/>
      </c>
      <c r="W975" s="42" t="str">
        <f aca="false">IF(OR($M975="",$L975=""),"",MAX(0,$M975-$L975))</f>
        <v/>
      </c>
      <c r="X975" s="34" t="str">
        <f aca="false">IF($E975="","",IF(AND($O975&lt;&gt;"",$L975&lt;&gt;"",$O975&lt;&gt;$L975),1,0))</f>
        <v/>
      </c>
      <c r="Y975" s="34" t="str">
        <f aca="false">IF($E975="","",IF($N975="Cancelada",0,IF(OR($M975&lt;&gt;"",$N975="Concluída"),1,0)))</f>
        <v/>
      </c>
    </row>
    <row r="976" customFormat="false" ht="15" hidden="false" customHeight="true" outlineLevel="0" collapsed="false">
      <c r="A976" s="34" t="str">
        <f aca="false">IF($E976="","",COUNTA($E$5:$E976))</f>
        <v/>
      </c>
      <c r="B976" s="35"/>
      <c r="C976" s="35"/>
      <c r="D976" s="35"/>
      <c r="E976" s="35"/>
      <c r="F976" s="36"/>
      <c r="G976" s="37"/>
      <c r="H976" s="37"/>
      <c r="I976" s="37"/>
      <c r="J976" s="38"/>
      <c r="K976" s="39"/>
      <c r="L976" s="40" t="str">
        <f aca="false">IF(OR($J976="",$K976=""),"",$J976+MATCH($K976,Listas!$F$5:$F$11,0)-1)</f>
        <v/>
      </c>
      <c r="M976" s="41"/>
      <c r="N976" s="36"/>
      <c r="O976" s="41"/>
      <c r="P976" s="35"/>
      <c r="Q976" s="35"/>
      <c r="R976" s="42" t="str">
        <f aca="true">IF($E976="","",IF($N976="Cancelada","Cancelada",IF(OR($M976&lt;&gt;"",$N976="Concluída"),IF(OR($L976="",$M976="",$M976&lt;=$L976),"Concluída","Concluída com atraso"),IF($L976="","Na carteira",IF($L976&lt;TODAY(),"VENCIDA",IF($N976="Em execução","Em execução",IF($L976=TODAY(),"Hoje","Programada")))))))</f>
        <v/>
      </c>
      <c r="S976" s="34" t="str">
        <f aca="false">IF($E976="","",IF(ISNUMBER(SEARCH("(externo)",$G976&amp;$H976&amp;$I976)),"Terceirizada","Interna"))</f>
        <v/>
      </c>
      <c r="T976" s="40" t="str">
        <f aca="false">IF($L976="","",IF($O976="",$L976,$O976))</f>
        <v/>
      </c>
      <c r="U976" s="34" t="str">
        <f aca="false">IF($E976="","",IF(OR($M976="",$L976=""),0,IF($M976&lt;=$L976,1,0)))</f>
        <v/>
      </c>
      <c r="V976" s="34" t="str">
        <f aca="false">IF($E976="","",IF(OR($M976="",$T976=""),0,IF($M976&lt;=$T976,1,0)))</f>
        <v/>
      </c>
      <c r="W976" s="42" t="str">
        <f aca="false">IF(OR($M976="",$L976=""),"",MAX(0,$M976-$L976))</f>
        <v/>
      </c>
      <c r="X976" s="34" t="str">
        <f aca="false">IF($E976="","",IF(AND($O976&lt;&gt;"",$L976&lt;&gt;"",$O976&lt;&gt;$L976),1,0))</f>
        <v/>
      </c>
      <c r="Y976" s="34" t="str">
        <f aca="false">IF($E976="","",IF($N976="Cancelada",0,IF(OR($M976&lt;&gt;"",$N976="Concluída"),1,0)))</f>
        <v/>
      </c>
    </row>
    <row r="977" customFormat="false" ht="15" hidden="false" customHeight="true" outlineLevel="0" collapsed="false">
      <c r="A977" s="34" t="str">
        <f aca="false">IF($E977="","",COUNTA($E$5:$E977))</f>
        <v/>
      </c>
      <c r="B977" s="35"/>
      <c r="C977" s="35"/>
      <c r="D977" s="35"/>
      <c r="E977" s="35"/>
      <c r="F977" s="36"/>
      <c r="G977" s="37"/>
      <c r="H977" s="37"/>
      <c r="I977" s="37"/>
      <c r="J977" s="38"/>
      <c r="K977" s="39"/>
      <c r="L977" s="40" t="str">
        <f aca="false">IF(OR($J977="",$K977=""),"",$J977+MATCH($K977,Listas!$F$5:$F$11,0)-1)</f>
        <v/>
      </c>
      <c r="M977" s="41"/>
      <c r="N977" s="36"/>
      <c r="O977" s="41"/>
      <c r="P977" s="35"/>
      <c r="Q977" s="35"/>
      <c r="R977" s="42" t="str">
        <f aca="true">IF($E977="","",IF($N977="Cancelada","Cancelada",IF(OR($M977&lt;&gt;"",$N977="Concluída"),IF(OR($L977="",$M977="",$M977&lt;=$L977),"Concluída","Concluída com atraso"),IF($L977="","Na carteira",IF($L977&lt;TODAY(),"VENCIDA",IF($N977="Em execução","Em execução",IF($L977=TODAY(),"Hoje","Programada")))))))</f>
        <v/>
      </c>
      <c r="S977" s="34" t="str">
        <f aca="false">IF($E977="","",IF(ISNUMBER(SEARCH("(externo)",$G977&amp;$H977&amp;$I977)),"Terceirizada","Interna"))</f>
        <v/>
      </c>
      <c r="T977" s="40" t="str">
        <f aca="false">IF($L977="","",IF($O977="",$L977,$O977))</f>
        <v/>
      </c>
      <c r="U977" s="34" t="str">
        <f aca="false">IF($E977="","",IF(OR($M977="",$L977=""),0,IF($M977&lt;=$L977,1,0)))</f>
        <v/>
      </c>
      <c r="V977" s="34" t="str">
        <f aca="false">IF($E977="","",IF(OR($M977="",$T977=""),0,IF($M977&lt;=$T977,1,0)))</f>
        <v/>
      </c>
      <c r="W977" s="42" t="str">
        <f aca="false">IF(OR($M977="",$L977=""),"",MAX(0,$M977-$L977))</f>
        <v/>
      </c>
      <c r="X977" s="34" t="str">
        <f aca="false">IF($E977="","",IF(AND($O977&lt;&gt;"",$L977&lt;&gt;"",$O977&lt;&gt;$L977),1,0))</f>
        <v/>
      </c>
      <c r="Y977" s="34" t="str">
        <f aca="false">IF($E977="","",IF($N977="Cancelada",0,IF(OR($M977&lt;&gt;"",$N977="Concluída"),1,0)))</f>
        <v/>
      </c>
    </row>
    <row r="978" customFormat="false" ht="15" hidden="false" customHeight="true" outlineLevel="0" collapsed="false">
      <c r="A978" s="34" t="str">
        <f aca="false">IF($E978="","",COUNTA($E$5:$E978))</f>
        <v/>
      </c>
      <c r="B978" s="35"/>
      <c r="C978" s="35"/>
      <c r="D978" s="35"/>
      <c r="E978" s="35"/>
      <c r="F978" s="36"/>
      <c r="G978" s="37"/>
      <c r="H978" s="37"/>
      <c r="I978" s="37"/>
      <c r="J978" s="38"/>
      <c r="K978" s="39"/>
      <c r="L978" s="40" t="str">
        <f aca="false">IF(OR($J978="",$K978=""),"",$J978+MATCH($K978,Listas!$F$5:$F$11,0)-1)</f>
        <v/>
      </c>
      <c r="M978" s="41"/>
      <c r="N978" s="36"/>
      <c r="O978" s="41"/>
      <c r="P978" s="35"/>
      <c r="Q978" s="35"/>
      <c r="R978" s="42" t="str">
        <f aca="true">IF($E978="","",IF($N978="Cancelada","Cancelada",IF(OR($M978&lt;&gt;"",$N978="Concluída"),IF(OR($L978="",$M978="",$M978&lt;=$L978),"Concluída","Concluída com atraso"),IF($L978="","Na carteira",IF($L978&lt;TODAY(),"VENCIDA",IF($N978="Em execução","Em execução",IF($L978=TODAY(),"Hoje","Programada")))))))</f>
        <v/>
      </c>
      <c r="S978" s="34" t="str">
        <f aca="false">IF($E978="","",IF(ISNUMBER(SEARCH("(externo)",$G978&amp;$H978&amp;$I978)),"Terceirizada","Interna"))</f>
        <v/>
      </c>
      <c r="T978" s="40" t="str">
        <f aca="false">IF($L978="","",IF($O978="",$L978,$O978))</f>
        <v/>
      </c>
      <c r="U978" s="34" t="str">
        <f aca="false">IF($E978="","",IF(OR($M978="",$L978=""),0,IF($M978&lt;=$L978,1,0)))</f>
        <v/>
      </c>
      <c r="V978" s="34" t="str">
        <f aca="false">IF($E978="","",IF(OR($M978="",$T978=""),0,IF($M978&lt;=$T978,1,0)))</f>
        <v/>
      </c>
      <c r="W978" s="42" t="str">
        <f aca="false">IF(OR($M978="",$L978=""),"",MAX(0,$M978-$L978))</f>
        <v/>
      </c>
      <c r="X978" s="34" t="str">
        <f aca="false">IF($E978="","",IF(AND($O978&lt;&gt;"",$L978&lt;&gt;"",$O978&lt;&gt;$L978),1,0))</f>
        <v/>
      </c>
      <c r="Y978" s="34" t="str">
        <f aca="false">IF($E978="","",IF($N978="Cancelada",0,IF(OR($M978&lt;&gt;"",$N978="Concluída"),1,0)))</f>
        <v/>
      </c>
    </row>
    <row r="979" customFormat="false" ht="15" hidden="false" customHeight="true" outlineLevel="0" collapsed="false">
      <c r="A979" s="34" t="str">
        <f aca="false">IF($E979="","",COUNTA($E$5:$E979))</f>
        <v/>
      </c>
      <c r="B979" s="35"/>
      <c r="C979" s="35"/>
      <c r="D979" s="35"/>
      <c r="E979" s="35"/>
      <c r="F979" s="36"/>
      <c r="G979" s="37"/>
      <c r="H979" s="37"/>
      <c r="I979" s="37"/>
      <c r="J979" s="38"/>
      <c r="K979" s="39"/>
      <c r="L979" s="40" t="str">
        <f aca="false">IF(OR($J979="",$K979=""),"",$J979+MATCH($K979,Listas!$F$5:$F$11,0)-1)</f>
        <v/>
      </c>
      <c r="M979" s="41"/>
      <c r="N979" s="36"/>
      <c r="O979" s="41"/>
      <c r="P979" s="35"/>
      <c r="Q979" s="35"/>
      <c r="R979" s="42" t="str">
        <f aca="true">IF($E979="","",IF($N979="Cancelada","Cancelada",IF(OR($M979&lt;&gt;"",$N979="Concluída"),IF(OR($L979="",$M979="",$M979&lt;=$L979),"Concluída","Concluída com atraso"),IF($L979="","Na carteira",IF($L979&lt;TODAY(),"VENCIDA",IF($N979="Em execução","Em execução",IF($L979=TODAY(),"Hoje","Programada")))))))</f>
        <v/>
      </c>
      <c r="S979" s="34" t="str">
        <f aca="false">IF($E979="","",IF(ISNUMBER(SEARCH("(externo)",$G979&amp;$H979&amp;$I979)),"Terceirizada","Interna"))</f>
        <v/>
      </c>
      <c r="T979" s="40" t="str">
        <f aca="false">IF($L979="","",IF($O979="",$L979,$O979))</f>
        <v/>
      </c>
      <c r="U979" s="34" t="str">
        <f aca="false">IF($E979="","",IF(OR($M979="",$L979=""),0,IF($M979&lt;=$L979,1,0)))</f>
        <v/>
      </c>
      <c r="V979" s="34" t="str">
        <f aca="false">IF($E979="","",IF(OR($M979="",$T979=""),0,IF($M979&lt;=$T979,1,0)))</f>
        <v/>
      </c>
      <c r="W979" s="42" t="str">
        <f aca="false">IF(OR($M979="",$L979=""),"",MAX(0,$M979-$L979))</f>
        <v/>
      </c>
      <c r="X979" s="34" t="str">
        <f aca="false">IF($E979="","",IF(AND($O979&lt;&gt;"",$L979&lt;&gt;"",$O979&lt;&gt;$L979),1,0))</f>
        <v/>
      </c>
      <c r="Y979" s="34" t="str">
        <f aca="false">IF($E979="","",IF($N979="Cancelada",0,IF(OR($M979&lt;&gt;"",$N979="Concluída"),1,0)))</f>
        <v/>
      </c>
    </row>
    <row r="980" customFormat="false" ht="15" hidden="false" customHeight="true" outlineLevel="0" collapsed="false">
      <c r="A980" s="34" t="str">
        <f aca="false">IF($E980="","",COUNTA($E$5:$E980))</f>
        <v/>
      </c>
      <c r="B980" s="35"/>
      <c r="C980" s="35"/>
      <c r="D980" s="35"/>
      <c r="E980" s="35"/>
      <c r="F980" s="36"/>
      <c r="G980" s="37"/>
      <c r="H980" s="37"/>
      <c r="I980" s="37"/>
      <c r="J980" s="38"/>
      <c r="K980" s="39"/>
      <c r="L980" s="40" t="str">
        <f aca="false">IF(OR($J980="",$K980=""),"",$J980+MATCH($K980,Listas!$F$5:$F$11,0)-1)</f>
        <v/>
      </c>
      <c r="M980" s="41"/>
      <c r="N980" s="36"/>
      <c r="O980" s="41"/>
      <c r="P980" s="35"/>
      <c r="Q980" s="35"/>
      <c r="R980" s="42" t="str">
        <f aca="true">IF($E980="","",IF($N980="Cancelada","Cancelada",IF(OR($M980&lt;&gt;"",$N980="Concluída"),IF(OR($L980="",$M980="",$M980&lt;=$L980),"Concluída","Concluída com atraso"),IF($L980="","Na carteira",IF($L980&lt;TODAY(),"VENCIDA",IF($N980="Em execução","Em execução",IF($L980=TODAY(),"Hoje","Programada")))))))</f>
        <v/>
      </c>
      <c r="S980" s="34" t="str">
        <f aca="false">IF($E980="","",IF(ISNUMBER(SEARCH("(externo)",$G980&amp;$H980&amp;$I980)),"Terceirizada","Interna"))</f>
        <v/>
      </c>
      <c r="T980" s="40" t="str">
        <f aca="false">IF($L980="","",IF($O980="",$L980,$O980))</f>
        <v/>
      </c>
      <c r="U980" s="34" t="str">
        <f aca="false">IF($E980="","",IF(OR($M980="",$L980=""),0,IF($M980&lt;=$L980,1,0)))</f>
        <v/>
      </c>
      <c r="V980" s="34" t="str">
        <f aca="false">IF($E980="","",IF(OR($M980="",$T980=""),0,IF($M980&lt;=$T980,1,0)))</f>
        <v/>
      </c>
      <c r="W980" s="42" t="str">
        <f aca="false">IF(OR($M980="",$L980=""),"",MAX(0,$M980-$L980))</f>
        <v/>
      </c>
      <c r="X980" s="34" t="str">
        <f aca="false">IF($E980="","",IF(AND($O980&lt;&gt;"",$L980&lt;&gt;"",$O980&lt;&gt;$L980),1,0))</f>
        <v/>
      </c>
      <c r="Y980" s="34" t="str">
        <f aca="false">IF($E980="","",IF($N980="Cancelada",0,IF(OR($M980&lt;&gt;"",$N980="Concluída"),1,0)))</f>
        <v/>
      </c>
    </row>
    <row r="981" customFormat="false" ht="15" hidden="false" customHeight="true" outlineLevel="0" collapsed="false">
      <c r="A981" s="34" t="str">
        <f aca="false">IF($E981="","",COUNTA($E$5:$E981))</f>
        <v/>
      </c>
      <c r="B981" s="35"/>
      <c r="C981" s="35"/>
      <c r="D981" s="35"/>
      <c r="E981" s="35"/>
      <c r="F981" s="36"/>
      <c r="G981" s="37"/>
      <c r="H981" s="37"/>
      <c r="I981" s="37"/>
      <c r="J981" s="38"/>
      <c r="K981" s="39"/>
      <c r="L981" s="40" t="str">
        <f aca="false">IF(OR($J981="",$K981=""),"",$J981+MATCH($K981,Listas!$F$5:$F$11,0)-1)</f>
        <v/>
      </c>
      <c r="M981" s="41"/>
      <c r="N981" s="36"/>
      <c r="O981" s="41"/>
      <c r="P981" s="35"/>
      <c r="Q981" s="35"/>
      <c r="R981" s="42" t="str">
        <f aca="true">IF($E981="","",IF($N981="Cancelada","Cancelada",IF(OR($M981&lt;&gt;"",$N981="Concluída"),IF(OR($L981="",$M981="",$M981&lt;=$L981),"Concluída","Concluída com atraso"),IF($L981="","Na carteira",IF($L981&lt;TODAY(),"VENCIDA",IF($N981="Em execução","Em execução",IF($L981=TODAY(),"Hoje","Programada")))))))</f>
        <v/>
      </c>
      <c r="S981" s="34" t="str">
        <f aca="false">IF($E981="","",IF(ISNUMBER(SEARCH("(externo)",$G981&amp;$H981&amp;$I981)),"Terceirizada","Interna"))</f>
        <v/>
      </c>
      <c r="T981" s="40" t="str">
        <f aca="false">IF($L981="","",IF($O981="",$L981,$O981))</f>
        <v/>
      </c>
      <c r="U981" s="34" t="str">
        <f aca="false">IF($E981="","",IF(OR($M981="",$L981=""),0,IF($M981&lt;=$L981,1,0)))</f>
        <v/>
      </c>
      <c r="V981" s="34" t="str">
        <f aca="false">IF($E981="","",IF(OR($M981="",$T981=""),0,IF($M981&lt;=$T981,1,0)))</f>
        <v/>
      </c>
      <c r="W981" s="42" t="str">
        <f aca="false">IF(OR($M981="",$L981=""),"",MAX(0,$M981-$L981))</f>
        <v/>
      </c>
      <c r="X981" s="34" t="str">
        <f aca="false">IF($E981="","",IF(AND($O981&lt;&gt;"",$L981&lt;&gt;"",$O981&lt;&gt;$L981),1,0))</f>
        <v/>
      </c>
      <c r="Y981" s="34" t="str">
        <f aca="false">IF($E981="","",IF($N981="Cancelada",0,IF(OR($M981&lt;&gt;"",$N981="Concluída"),1,0)))</f>
        <v/>
      </c>
    </row>
    <row r="982" customFormat="false" ht="15" hidden="false" customHeight="true" outlineLevel="0" collapsed="false">
      <c r="A982" s="34" t="str">
        <f aca="false">IF($E982="","",COUNTA($E$5:$E982))</f>
        <v/>
      </c>
      <c r="B982" s="35"/>
      <c r="C982" s="35"/>
      <c r="D982" s="35"/>
      <c r="E982" s="35"/>
      <c r="F982" s="36"/>
      <c r="G982" s="37"/>
      <c r="H982" s="37"/>
      <c r="I982" s="37"/>
      <c r="J982" s="38"/>
      <c r="K982" s="39"/>
      <c r="L982" s="40" t="str">
        <f aca="false">IF(OR($J982="",$K982=""),"",$J982+MATCH($K982,Listas!$F$5:$F$11,0)-1)</f>
        <v/>
      </c>
      <c r="M982" s="41"/>
      <c r="N982" s="36"/>
      <c r="O982" s="41"/>
      <c r="P982" s="35"/>
      <c r="Q982" s="35"/>
      <c r="R982" s="42" t="str">
        <f aca="true">IF($E982="","",IF($N982="Cancelada","Cancelada",IF(OR($M982&lt;&gt;"",$N982="Concluída"),IF(OR($L982="",$M982="",$M982&lt;=$L982),"Concluída","Concluída com atraso"),IF($L982="","Na carteira",IF($L982&lt;TODAY(),"VENCIDA",IF($N982="Em execução","Em execução",IF($L982=TODAY(),"Hoje","Programada")))))))</f>
        <v/>
      </c>
      <c r="S982" s="34" t="str">
        <f aca="false">IF($E982="","",IF(ISNUMBER(SEARCH("(externo)",$G982&amp;$H982&amp;$I982)),"Terceirizada","Interna"))</f>
        <v/>
      </c>
      <c r="T982" s="40" t="str">
        <f aca="false">IF($L982="","",IF($O982="",$L982,$O982))</f>
        <v/>
      </c>
      <c r="U982" s="34" t="str">
        <f aca="false">IF($E982="","",IF(OR($M982="",$L982=""),0,IF($M982&lt;=$L982,1,0)))</f>
        <v/>
      </c>
      <c r="V982" s="34" t="str">
        <f aca="false">IF($E982="","",IF(OR($M982="",$T982=""),0,IF($M982&lt;=$T982,1,0)))</f>
        <v/>
      </c>
      <c r="W982" s="42" t="str">
        <f aca="false">IF(OR($M982="",$L982=""),"",MAX(0,$M982-$L982))</f>
        <v/>
      </c>
      <c r="X982" s="34" t="str">
        <f aca="false">IF($E982="","",IF(AND($O982&lt;&gt;"",$L982&lt;&gt;"",$O982&lt;&gt;$L982),1,0))</f>
        <v/>
      </c>
      <c r="Y982" s="34" t="str">
        <f aca="false">IF($E982="","",IF($N982="Cancelada",0,IF(OR($M982&lt;&gt;"",$N982="Concluída"),1,0)))</f>
        <v/>
      </c>
    </row>
    <row r="983" customFormat="false" ht="15" hidden="false" customHeight="true" outlineLevel="0" collapsed="false">
      <c r="A983" s="34" t="str">
        <f aca="false">IF($E983="","",COUNTA($E$5:$E983))</f>
        <v/>
      </c>
      <c r="B983" s="35"/>
      <c r="C983" s="35"/>
      <c r="D983" s="35"/>
      <c r="E983" s="35"/>
      <c r="F983" s="36"/>
      <c r="G983" s="37"/>
      <c r="H983" s="37"/>
      <c r="I983" s="37"/>
      <c r="J983" s="38"/>
      <c r="K983" s="39"/>
      <c r="L983" s="40" t="str">
        <f aca="false">IF(OR($J983="",$K983=""),"",$J983+MATCH($K983,Listas!$F$5:$F$11,0)-1)</f>
        <v/>
      </c>
      <c r="M983" s="41"/>
      <c r="N983" s="36"/>
      <c r="O983" s="41"/>
      <c r="P983" s="35"/>
      <c r="Q983" s="35"/>
      <c r="R983" s="42" t="str">
        <f aca="true">IF($E983="","",IF($N983="Cancelada","Cancelada",IF(OR($M983&lt;&gt;"",$N983="Concluída"),IF(OR($L983="",$M983="",$M983&lt;=$L983),"Concluída","Concluída com atraso"),IF($L983="","Na carteira",IF($L983&lt;TODAY(),"VENCIDA",IF($N983="Em execução","Em execução",IF($L983=TODAY(),"Hoje","Programada")))))))</f>
        <v/>
      </c>
      <c r="S983" s="34" t="str">
        <f aca="false">IF($E983="","",IF(ISNUMBER(SEARCH("(externo)",$G983&amp;$H983&amp;$I983)),"Terceirizada","Interna"))</f>
        <v/>
      </c>
      <c r="T983" s="40" t="str">
        <f aca="false">IF($L983="","",IF($O983="",$L983,$O983))</f>
        <v/>
      </c>
      <c r="U983" s="34" t="str">
        <f aca="false">IF($E983="","",IF(OR($M983="",$L983=""),0,IF($M983&lt;=$L983,1,0)))</f>
        <v/>
      </c>
      <c r="V983" s="34" t="str">
        <f aca="false">IF($E983="","",IF(OR($M983="",$T983=""),0,IF($M983&lt;=$T983,1,0)))</f>
        <v/>
      </c>
      <c r="W983" s="42" t="str">
        <f aca="false">IF(OR($M983="",$L983=""),"",MAX(0,$M983-$L983))</f>
        <v/>
      </c>
      <c r="X983" s="34" t="str">
        <f aca="false">IF($E983="","",IF(AND($O983&lt;&gt;"",$L983&lt;&gt;"",$O983&lt;&gt;$L983),1,0))</f>
        <v/>
      </c>
      <c r="Y983" s="34" t="str">
        <f aca="false">IF($E983="","",IF($N983="Cancelada",0,IF(OR($M983&lt;&gt;"",$N983="Concluída"),1,0)))</f>
        <v/>
      </c>
    </row>
    <row r="984" customFormat="false" ht="15" hidden="false" customHeight="true" outlineLevel="0" collapsed="false">
      <c r="A984" s="34" t="str">
        <f aca="false">IF($E984="","",COUNTA($E$5:$E984))</f>
        <v/>
      </c>
      <c r="B984" s="35"/>
      <c r="C984" s="35"/>
      <c r="D984" s="35"/>
      <c r="E984" s="35"/>
      <c r="F984" s="36"/>
      <c r="G984" s="37"/>
      <c r="H984" s="37"/>
      <c r="I984" s="37"/>
      <c r="J984" s="38"/>
      <c r="K984" s="39"/>
      <c r="L984" s="40" t="str">
        <f aca="false">IF(OR($J984="",$K984=""),"",$J984+MATCH($K984,Listas!$F$5:$F$11,0)-1)</f>
        <v/>
      </c>
      <c r="M984" s="41"/>
      <c r="N984" s="36"/>
      <c r="O984" s="41"/>
      <c r="P984" s="35"/>
      <c r="Q984" s="35"/>
      <c r="R984" s="42" t="str">
        <f aca="true">IF($E984="","",IF($N984="Cancelada","Cancelada",IF(OR($M984&lt;&gt;"",$N984="Concluída"),IF(OR($L984="",$M984="",$M984&lt;=$L984),"Concluída","Concluída com atraso"),IF($L984="","Na carteira",IF($L984&lt;TODAY(),"VENCIDA",IF($N984="Em execução","Em execução",IF($L984=TODAY(),"Hoje","Programada")))))))</f>
        <v/>
      </c>
      <c r="S984" s="34" t="str">
        <f aca="false">IF($E984="","",IF(ISNUMBER(SEARCH("(externo)",$G984&amp;$H984&amp;$I984)),"Terceirizada","Interna"))</f>
        <v/>
      </c>
      <c r="T984" s="40" t="str">
        <f aca="false">IF($L984="","",IF($O984="",$L984,$O984))</f>
        <v/>
      </c>
      <c r="U984" s="34" t="str">
        <f aca="false">IF($E984="","",IF(OR($M984="",$L984=""),0,IF($M984&lt;=$L984,1,0)))</f>
        <v/>
      </c>
      <c r="V984" s="34" t="str">
        <f aca="false">IF($E984="","",IF(OR($M984="",$T984=""),0,IF($M984&lt;=$T984,1,0)))</f>
        <v/>
      </c>
      <c r="W984" s="42" t="str">
        <f aca="false">IF(OR($M984="",$L984=""),"",MAX(0,$M984-$L984))</f>
        <v/>
      </c>
      <c r="X984" s="34" t="str">
        <f aca="false">IF($E984="","",IF(AND($O984&lt;&gt;"",$L984&lt;&gt;"",$O984&lt;&gt;$L984),1,0))</f>
        <v/>
      </c>
      <c r="Y984" s="34" t="str">
        <f aca="false">IF($E984="","",IF($N984="Cancelada",0,IF(OR($M984&lt;&gt;"",$N984="Concluída"),1,0)))</f>
        <v/>
      </c>
    </row>
    <row r="985" customFormat="false" ht="15" hidden="false" customHeight="true" outlineLevel="0" collapsed="false">
      <c r="A985" s="34" t="str">
        <f aca="false">IF($E985="","",COUNTA($E$5:$E985))</f>
        <v/>
      </c>
      <c r="B985" s="35"/>
      <c r="C985" s="35"/>
      <c r="D985" s="35"/>
      <c r="E985" s="35"/>
      <c r="F985" s="36"/>
      <c r="G985" s="37"/>
      <c r="H985" s="37"/>
      <c r="I985" s="37"/>
      <c r="J985" s="38"/>
      <c r="K985" s="39"/>
      <c r="L985" s="40" t="str">
        <f aca="false">IF(OR($J985="",$K985=""),"",$J985+MATCH($K985,Listas!$F$5:$F$11,0)-1)</f>
        <v/>
      </c>
      <c r="M985" s="41"/>
      <c r="N985" s="36"/>
      <c r="O985" s="41"/>
      <c r="P985" s="35"/>
      <c r="Q985" s="35"/>
      <c r="R985" s="42" t="str">
        <f aca="true">IF($E985="","",IF($N985="Cancelada","Cancelada",IF(OR($M985&lt;&gt;"",$N985="Concluída"),IF(OR($L985="",$M985="",$M985&lt;=$L985),"Concluída","Concluída com atraso"),IF($L985="","Na carteira",IF($L985&lt;TODAY(),"VENCIDA",IF($N985="Em execução","Em execução",IF($L985=TODAY(),"Hoje","Programada")))))))</f>
        <v/>
      </c>
      <c r="S985" s="34" t="str">
        <f aca="false">IF($E985="","",IF(ISNUMBER(SEARCH("(externo)",$G985&amp;$H985&amp;$I985)),"Terceirizada","Interna"))</f>
        <v/>
      </c>
      <c r="T985" s="40" t="str">
        <f aca="false">IF($L985="","",IF($O985="",$L985,$O985))</f>
        <v/>
      </c>
      <c r="U985" s="34" t="str">
        <f aca="false">IF($E985="","",IF(OR($M985="",$L985=""),0,IF($M985&lt;=$L985,1,0)))</f>
        <v/>
      </c>
      <c r="V985" s="34" t="str">
        <f aca="false">IF($E985="","",IF(OR($M985="",$T985=""),0,IF($M985&lt;=$T985,1,0)))</f>
        <v/>
      </c>
      <c r="W985" s="42" t="str">
        <f aca="false">IF(OR($M985="",$L985=""),"",MAX(0,$M985-$L985))</f>
        <v/>
      </c>
      <c r="X985" s="34" t="str">
        <f aca="false">IF($E985="","",IF(AND($O985&lt;&gt;"",$L985&lt;&gt;"",$O985&lt;&gt;$L985),1,0))</f>
        <v/>
      </c>
      <c r="Y985" s="34" t="str">
        <f aca="false">IF($E985="","",IF($N985="Cancelada",0,IF(OR($M985&lt;&gt;"",$N985="Concluída"),1,0)))</f>
        <v/>
      </c>
    </row>
    <row r="986" customFormat="false" ht="15" hidden="false" customHeight="true" outlineLevel="0" collapsed="false">
      <c r="A986" s="34" t="str">
        <f aca="false">IF($E986="","",COUNTA($E$5:$E986))</f>
        <v/>
      </c>
      <c r="B986" s="35"/>
      <c r="C986" s="35"/>
      <c r="D986" s="35"/>
      <c r="E986" s="35"/>
      <c r="F986" s="36"/>
      <c r="G986" s="37"/>
      <c r="H986" s="37"/>
      <c r="I986" s="37"/>
      <c r="J986" s="38"/>
      <c r="K986" s="39"/>
      <c r="L986" s="40" t="str">
        <f aca="false">IF(OR($J986="",$K986=""),"",$J986+MATCH($K986,Listas!$F$5:$F$11,0)-1)</f>
        <v/>
      </c>
      <c r="M986" s="41"/>
      <c r="N986" s="36"/>
      <c r="O986" s="41"/>
      <c r="P986" s="35"/>
      <c r="Q986" s="35"/>
      <c r="R986" s="42" t="str">
        <f aca="true">IF($E986="","",IF($N986="Cancelada","Cancelada",IF(OR($M986&lt;&gt;"",$N986="Concluída"),IF(OR($L986="",$M986="",$M986&lt;=$L986),"Concluída","Concluída com atraso"),IF($L986="","Na carteira",IF($L986&lt;TODAY(),"VENCIDA",IF($N986="Em execução","Em execução",IF($L986=TODAY(),"Hoje","Programada")))))))</f>
        <v/>
      </c>
      <c r="S986" s="34" t="str">
        <f aca="false">IF($E986="","",IF(ISNUMBER(SEARCH("(externo)",$G986&amp;$H986&amp;$I986)),"Terceirizada","Interna"))</f>
        <v/>
      </c>
      <c r="T986" s="40" t="str">
        <f aca="false">IF($L986="","",IF($O986="",$L986,$O986))</f>
        <v/>
      </c>
      <c r="U986" s="34" t="str">
        <f aca="false">IF($E986="","",IF(OR($M986="",$L986=""),0,IF($M986&lt;=$L986,1,0)))</f>
        <v/>
      </c>
      <c r="V986" s="34" t="str">
        <f aca="false">IF($E986="","",IF(OR($M986="",$T986=""),0,IF($M986&lt;=$T986,1,0)))</f>
        <v/>
      </c>
      <c r="W986" s="42" t="str">
        <f aca="false">IF(OR($M986="",$L986=""),"",MAX(0,$M986-$L986))</f>
        <v/>
      </c>
      <c r="X986" s="34" t="str">
        <f aca="false">IF($E986="","",IF(AND($O986&lt;&gt;"",$L986&lt;&gt;"",$O986&lt;&gt;$L986),1,0))</f>
        <v/>
      </c>
      <c r="Y986" s="34" t="str">
        <f aca="false">IF($E986="","",IF($N986="Cancelada",0,IF(OR($M986&lt;&gt;"",$N986="Concluída"),1,0)))</f>
        <v/>
      </c>
    </row>
    <row r="987" customFormat="false" ht="15" hidden="false" customHeight="true" outlineLevel="0" collapsed="false">
      <c r="A987" s="34" t="str">
        <f aca="false">IF($E987="","",COUNTA($E$5:$E987))</f>
        <v/>
      </c>
      <c r="B987" s="35"/>
      <c r="C987" s="35"/>
      <c r="D987" s="35"/>
      <c r="E987" s="35"/>
      <c r="F987" s="36"/>
      <c r="G987" s="37"/>
      <c r="H987" s="37"/>
      <c r="I987" s="37"/>
      <c r="J987" s="38"/>
      <c r="K987" s="39"/>
      <c r="L987" s="40" t="str">
        <f aca="false">IF(OR($J987="",$K987=""),"",$J987+MATCH($K987,Listas!$F$5:$F$11,0)-1)</f>
        <v/>
      </c>
      <c r="M987" s="41"/>
      <c r="N987" s="36"/>
      <c r="O987" s="41"/>
      <c r="P987" s="35"/>
      <c r="Q987" s="35"/>
      <c r="R987" s="42" t="str">
        <f aca="true">IF($E987="","",IF($N987="Cancelada","Cancelada",IF(OR($M987&lt;&gt;"",$N987="Concluída"),IF(OR($L987="",$M987="",$M987&lt;=$L987),"Concluída","Concluída com atraso"),IF($L987="","Na carteira",IF($L987&lt;TODAY(),"VENCIDA",IF($N987="Em execução","Em execução",IF($L987=TODAY(),"Hoje","Programada")))))))</f>
        <v/>
      </c>
      <c r="S987" s="34" t="str">
        <f aca="false">IF($E987="","",IF(ISNUMBER(SEARCH("(externo)",$G987&amp;$H987&amp;$I987)),"Terceirizada","Interna"))</f>
        <v/>
      </c>
      <c r="T987" s="40" t="str">
        <f aca="false">IF($L987="","",IF($O987="",$L987,$O987))</f>
        <v/>
      </c>
      <c r="U987" s="34" t="str">
        <f aca="false">IF($E987="","",IF(OR($M987="",$L987=""),0,IF($M987&lt;=$L987,1,0)))</f>
        <v/>
      </c>
      <c r="V987" s="34" t="str">
        <f aca="false">IF($E987="","",IF(OR($M987="",$T987=""),0,IF($M987&lt;=$T987,1,0)))</f>
        <v/>
      </c>
      <c r="W987" s="42" t="str">
        <f aca="false">IF(OR($M987="",$L987=""),"",MAX(0,$M987-$L987))</f>
        <v/>
      </c>
      <c r="X987" s="34" t="str">
        <f aca="false">IF($E987="","",IF(AND($O987&lt;&gt;"",$L987&lt;&gt;"",$O987&lt;&gt;$L987),1,0))</f>
        <v/>
      </c>
      <c r="Y987" s="34" t="str">
        <f aca="false">IF($E987="","",IF($N987="Cancelada",0,IF(OR($M987&lt;&gt;"",$N987="Concluída"),1,0)))</f>
        <v/>
      </c>
    </row>
    <row r="988" customFormat="false" ht="15" hidden="false" customHeight="true" outlineLevel="0" collapsed="false">
      <c r="A988" s="34" t="str">
        <f aca="false">IF($E988="","",COUNTA($E$5:$E988))</f>
        <v/>
      </c>
      <c r="B988" s="35"/>
      <c r="C988" s="35"/>
      <c r="D988" s="35"/>
      <c r="E988" s="35"/>
      <c r="F988" s="36"/>
      <c r="G988" s="37"/>
      <c r="H988" s="37"/>
      <c r="I988" s="37"/>
      <c r="J988" s="38"/>
      <c r="K988" s="39"/>
      <c r="L988" s="40" t="str">
        <f aca="false">IF(OR($J988="",$K988=""),"",$J988+MATCH($K988,Listas!$F$5:$F$11,0)-1)</f>
        <v/>
      </c>
      <c r="M988" s="41"/>
      <c r="N988" s="36"/>
      <c r="O988" s="41"/>
      <c r="P988" s="35"/>
      <c r="Q988" s="35"/>
      <c r="R988" s="42" t="str">
        <f aca="true">IF($E988="","",IF($N988="Cancelada","Cancelada",IF(OR($M988&lt;&gt;"",$N988="Concluída"),IF(OR($L988="",$M988="",$M988&lt;=$L988),"Concluída","Concluída com atraso"),IF($L988="","Na carteira",IF($L988&lt;TODAY(),"VENCIDA",IF($N988="Em execução","Em execução",IF($L988=TODAY(),"Hoje","Programada")))))))</f>
        <v/>
      </c>
      <c r="S988" s="34" t="str">
        <f aca="false">IF($E988="","",IF(ISNUMBER(SEARCH("(externo)",$G988&amp;$H988&amp;$I988)),"Terceirizada","Interna"))</f>
        <v/>
      </c>
      <c r="T988" s="40" t="str">
        <f aca="false">IF($L988="","",IF($O988="",$L988,$O988))</f>
        <v/>
      </c>
      <c r="U988" s="34" t="str">
        <f aca="false">IF($E988="","",IF(OR($M988="",$L988=""),0,IF($M988&lt;=$L988,1,0)))</f>
        <v/>
      </c>
      <c r="V988" s="34" t="str">
        <f aca="false">IF($E988="","",IF(OR($M988="",$T988=""),0,IF($M988&lt;=$T988,1,0)))</f>
        <v/>
      </c>
      <c r="W988" s="42" t="str">
        <f aca="false">IF(OR($M988="",$L988=""),"",MAX(0,$M988-$L988))</f>
        <v/>
      </c>
      <c r="X988" s="34" t="str">
        <f aca="false">IF($E988="","",IF(AND($O988&lt;&gt;"",$L988&lt;&gt;"",$O988&lt;&gt;$L988),1,0))</f>
        <v/>
      </c>
      <c r="Y988" s="34" t="str">
        <f aca="false">IF($E988="","",IF($N988="Cancelada",0,IF(OR($M988&lt;&gt;"",$N988="Concluída"),1,0)))</f>
        <v/>
      </c>
    </row>
    <row r="989" customFormat="false" ht="15" hidden="false" customHeight="true" outlineLevel="0" collapsed="false">
      <c r="A989" s="34" t="str">
        <f aca="false">IF($E989="","",COUNTA($E$5:$E989))</f>
        <v/>
      </c>
      <c r="B989" s="35"/>
      <c r="C989" s="35"/>
      <c r="D989" s="35"/>
      <c r="E989" s="35"/>
      <c r="F989" s="36"/>
      <c r="G989" s="37"/>
      <c r="H989" s="37"/>
      <c r="I989" s="37"/>
      <c r="J989" s="38"/>
      <c r="K989" s="39"/>
      <c r="L989" s="40" t="str">
        <f aca="false">IF(OR($J989="",$K989=""),"",$J989+MATCH($K989,Listas!$F$5:$F$11,0)-1)</f>
        <v/>
      </c>
      <c r="M989" s="41"/>
      <c r="N989" s="36"/>
      <c r="O989" s="41"/>
      <c r="P989" s="35"/>
      <c r="Q989" s="35"/>
      <c r="R989" s="42" t="str">
        <f aca="true">IF($E989="","",IF($N989="Cancelada","Cancelada",IF(OR($M989&lt;&gt;"",$N989="Concluída"),IF(OR($L989="",$M989="",$M989&lt;=$L989),"Concluída","Concluída com atraso"),IF($L989="","Na carteira",IF($L989&lt;TODAY(),"VENCIDA",IF($N989="Em execução","Em execução",IF($L989=TODAY(),"Hoje","Programada")))))))</f>
        <v/>
      </c>
      <c r="S989" s="34" t="str">
        <f aca="false">IF($E989="","",IF(ISNUMBER(SEARCH("(externo)",$G989&amp;$H989&amp;$I989)),"Terceirizada","Interna"))</f>
        <v/>
      </c>
      <c r="T989" s="40" t="str">
        <f aca="false">IF($L989="","",IF($O989="",$L989,$O989))</f>
        <v/>
      </c>
      <c r="U989" s="34" t="str">
        <f aca="false">IF($E989="","",IF(OR($M989="",$L989=""),0,IF($M989&lt;=$L989,1,0)))</f>
        <v/>
      </c>
      <c r="V989" s="34" t="str">
        <f aca="false">IF($E989="","",IF(OR($M989="",$T989=""),0,IF($M989&lt;=$T989,1,0)))</f>
        <v/>
      </c>
      <c r="W989" s="42" t="str">
        <f aca="false">IF(OR($M989="",$L989=""),"",MAX(0,$M989-$L989))</f>
        <v/>
      </c>
      <c r="X989" s="34" t="str">
        <f aca="false">IF($E989="","",IF(AND($O989&lt;&gt;"",$L989&lt;&gt;"",$O989&lt;&gt;$L989),1,0))</f>
        <v/>
      </c>
      <c r="Y989" s="34" t="str">
        <f aca="false">IF($E989="","",IF($N989="Cancelada",0,IF(OR($M989&lt;&gt;"",$N989="Concluída"),1,0)))</f>
        <v/>
      </c>
    </row>
    <row r="990" customFormat="false" ht="15" hidden="false" customHeight="true" outlineLevel="0" collapsed="false">
      <c r="A990" s="34" t="str">
        <f aca="false">IF($E990="","",COUNTA($E$5:$E990))</f>
        <v/>
      </c>
      <c r="B990" s="35"/>
      <c r="C990" s="35"/>
      <c r="D990" s="35"/>
      <c r="E990" s="35"/>
      <c r="F990" s="36"/>
      <c r="G990" s="37"/>
      <c r="H990" s="37"/>
      <c r="I990" s="37"/>
      <c r="J990" s="38"/>
      <c r="K990" s="39"/>
      <c r="L990" s="40" t="str">
        <f aca="false">IF(OR($J990="",$K990=""),"",$J990+MATCH($K990,Listas!$F$5:$F$11,0)-1)</f>
        <v/>
      </c>
      <c r="M990" s="41"/>
      <c r="N990" s="36"/>
      <c r="O990" s="41"/>
      <c r="P990" s="35"/>
      <c r="Q990" s="35"/>
      <c r="R990" s="42" t="str">
        <f aca="true">IF($E990="","",IF($N990="Cancelada","Cancelada",IF(OR($M990&lt;&gt;"",$N990="Concluída"),IF(OR($L990="",$M990="",$M990&lt;=$L990),"Concluída","Concluída com atraso"),IF($L990="","Na carteira",IF($L990&lt;TODAY(),"VENCIDA",IF($N990="Em execução","Em execução",IF($L990=TODAY(),"Hoje","Programada")))))))</f>
        <v/>
      </c>
      <c r="S990" s="34" t="str">
        <f aca="false">IF($E990="","",IF(ISNUMBER(SEARCH("(externo)",$G990&amp;$H990&amp;$I990)),"Terceirizada","Interna"))</f>
        <v/>
      </c>
      <c r="T990" s="40" t="str">
        <f aca="false">IF($L990="","",IF($O990="",$L990,$O990))</f>
        <v/>
      </c>
      <c r="U990" s="34" t="str">
        <f aca="false">IF($E990="","",IF(OR($M990="",$L990=""),0,IF($M990&lt;=$L990,1,0)))</f>
        <v/>
      </c>
      <c r="V990" s="34" t="str">
        <f aca="false">IF($E990="","",IF(OR($M990="",$T990=""),0,IF($M990&lt;=$T990,1,0)))</f>
        <v/>
      </c>
      <c r="W990" s="42" t="str">
        <f aca="false">IF(OR($M990="",$L990=""),"",MAX(0,$M990-$L990))</f>
        <v/>
      </c>
      <c r="X990" s="34" t="str">
        <f aca="false">IF($E990="","",IF(AND($O990&lt;&gt;"",$L990&lt;&gt;"",$O990&lt;&gt;$L990),1,0))</f>
        <v/>
      </c>
      <c r="Y990" s="34" t="str">
        <f aca="false">IF($E990="","",IF($N990="Cancelada",0,IF(OR($M990&lt;&gt;"",$N990="Concluída"),1,0)))</f>
        <v/>
      </c>
    </row>
    <row r="991" customFormat="false" ht="15" hidden="false" customHeight="true" outlineLevel="0" collapsed="false">
      <c r="A991" s="34" t="str">
        <f aca="false">IF($E991="","",COUNTA($E$5:$E991))</f>
        <v/>
      </c>
      <c r="B991" s="35"/>
      <c r="C991" s="35"/>
      <c r="D991" s="35"/>
      <c r="E991" s="35"/>
      <c r="F991" s="36"/>
      <c r="G991" s="37"/>
      <c r="H991" s="37"/>
      <c r="I991" s="37"/>
      <c r="J991" s="38"/>
      <c r="K991" s="39"/>
      <c r="L991" s="40" t="str">
        <f aca="false">IF(OR($J991="",$K991=""),"",$J991+MATCH($K991,Listas!$F$5:$F$11,0)-1)</f>
        <v/>
      </c>
      <c r="M991" s="41"/>
      <c r="N991" s="36"/>
      <c r="O991" s="41"/>
      <c r="P991" s="35"/>
      <c r="Q991" s="35"/>
      <c r="R991" s="42" t="str">
        <f aca="true">IF($E991="","",IF($N991="Cancelada","Cancelada",IF(OR($M991&lt;&gt;"",$N991="Concluída"),IF(OR($L991="",$M991="",$M991&lt;=$L991),"Concluída","Concluída com atraso"),IF($L991="","Na carteira",IF($L991&lt;TODAY(),"VENCIDA",IF($N991="Em execução","Em execução",IF($L991=TODAY(),"Hoje","Programada")))))))</f>
        <v/>
      </c>
      <c r="S991" s="34" t="str">
        <f aca="false">IF($E991="","",IF(ISNUMBER(SEARCH("(externo)",$G991&amp;$H991&amp;$I991)),"Terceirizada","Interna"))</f>
        <v/>
      </c>
      <c r="T991" s="40" t="str">
        <f aca="false">IF($L991="","",IF($O991="",$L991,$O991))</f>
        <v/>
      </c>
      <c r="U991" s="34" t="str">
        <f aca="false">IF($E991="","",IF(OR($M991="",$L991=""),0,IF($M991&lt;=$L991,1,0)))</f>
        <v/>
      </c>
      <c r="V991" s="34" t="str">
        <f aca="false">IF($E991="","",IF(OR($M991="",$T991=""),0,IF($M991&lt;=$T991,1,0)))</f>
        <v/>
      </c>
      <c r="W991" s="42" t="str">
        <f aca="false">IF(OR($M991="",$L991=""),"",MAX(0,$M991-$L991))</f>
        <v/>
      </c>
      <c r="X991" s="34" t="str">
        <f aca="false">IF($E991="","",IF(AND($O991&lt;&gt;"",$L991&lt;&gt;"",$O991&lt;&gt;$L991),1,0))</f>
        <v/>
      </c>
      <c r="Y991" s="34" t="str">
        <f aca="false">IF($E991="","",IF($N991="Cancelada",0,IF(OR($M991&lt;&gt;"",$N991="Concluída"),1,0)))</f>
        <v/>
      </c>
    </row>
    <row r="992" customFormat="false" ht="15" hidden="false" customHeight="true" outlineLevel="0" collapsed="false">
      <c r="A992" s="34" t="str">
        <f aca="false">IF($E992="","",COUNTA($E$5:$E992))</f>
        <v/>
      </c>
      <c r="B992" s="35"/>
      <c r="C992" s="35"/>
      <c r="D992" s="35"/>
      <c r="E992" s="35"/>
      <c r="F992" s="36"/>
      <c r="G992" s="37"/>
      <c r="H992" s="37"/>
      <c r="I992" s="37"/>
      <c r="J992" s="38"/>
      <c r="K992" s="39"/>
      <c r="L992" s="40" t="str">
        <f aca="false">IF(OR($J992="",$K992=""),"",$J992+MATCH($K992,Listas!$F$5:$F$11,0)-1)</f>
        <v/>
      </c>
      <c r="M992" s="41"/>
      <c r="N992" s="36"/>
      <c r="O992" s="41"/>
      <c r="P992" s="35"/>
      <c r="Q992" s="35"/>
      <c r="R992" s="42" t="str">
        <f aca="true">IF($E992="","",IF($N992="Cancelada","Cancelada",IF(OR($M992&lt;&gt;"",$N992="Concluída"),IF(OR($L992="",$M992="",$M992&lt;=$L992),"Concluída","Concluída com atraso"),IF($L992="","Na carteira",IF($L992&lt;TODAY(),"VENCIDA",IF($N992="Em execução","Em execução",IF($L992=TODAY(),"Hoje","Programada")))))))</f>
        <v/>
      </c>
      <c r="S992" s="34" t="str">
        <f aca="false">IF($E992="","",IF(ISNUMBER(SEARCH("(externo)",$G992&amp;$H992&amp;$I992)),"Terceirizada","Interna"))</f>
        <v/>
      </c>
      <c r="T992" s="40" t="str">
        <f aca="false">IF($L992="","",IF($O992="",$L992,$O992))</f>
        <v/>
      </c>
      <c r="U992" s="34" t="str">
        <f aca="false">IF($E992="","",IF(OR($M992="",$L992=""),0,IF($M992&lt;=$L992,1,0)))</f>
        <v/>
      </c>
      <c r="V992" s="34" t="str">
        <f aca="false">IF($E992="","",IF(OR($M992="",$T992=""),0,IF($M992&lt;=$T992,1,0)))</f>
        <v/>
      </c>
      <c r="W992" s="42" t="str">
        <f aca="false">IF(OR($M992="",$L992=""),"",MAX(0,$M992-$L992))</f>
        <v/>
      </c>
      <c r="X992" s="34" t="str">
        <f aca="false">IF($E992="","",IF(AND($O992&lt;&gt;"",$L992&lt;&gt;"",$O992&lt;&gt;$L992),1,0))</f>
        <v/>
      </c>
      <c r="Y992" s="34" t="str">
        <f aca="false">IF($E992="","",IF($N992="Cancelada",0,IF(OR($M992&lt;&gt;"",$N992="Concluída"),1,0)))</f>
        <v/>
      </c>
    </row>
    <row r="993" customFormat="false" ht="15" hidden="false" customHeight="true" outlineLevel="0" collapsed="false">
      <c r="A993" s="34" t="str">
        <f aca="false">IF($E993="","",COUNTA($E$5:$E993))</f>
        <v/>
      </c>
      <c r="B993" s="35"/>
      <c r="C993" s="35"/>
      <c r="D993" s="35"/>
      <c r="E993" s="35"/>
      <c r="F993" s="36"/>
      <c r="G993" s="37"/>
      <c r="H993" s="37"/>
      <c r="I993" s="37"/>
      <c r="J993" s="38"/>
      <c r="K993" s="39"/>
      <c r="L993" s="40" t="str">
        <f aca="false">IF(OR($J993="",$K993=""),"",$J993+MATCH($K993,Listas!$F$5:$F$11,0)-1)</f>
        <v/>
      </c>
      <c r="M993" s="41"/>
      <c r="N993" s="36"/>
      <c r="O993" s="41"/>
      <c r="P993" s="35"/>
      <c r="Q993" s="35"/>
      <c r="R993" s="42" t="str">
        <f aca="true">IF($E993="","",IF($N993="Cancelada","Cancelada",IF(OR($M993&lt;&gt;"",$N993="Concluída"),IF(OR($L993="",$M993="",$M993&lt;=$L993),"Concluída","Concluída com atraso"),IF($L993="","Na carteira",IF($L993&lt;TODAY(),"VENCIDA",IF($N993="Em execução","Em execução",IF($L993=TODAY(),"Hoje","Programada")))))))</f>
        <v/>
      </c>
      <c r="S993" s="34" t="str">
        <f aca="false">IF($E993="","",IF(ISNUMBER(SEARCH("(externo)",$G993&amp;$H993&amp;$I993)),"Terceirizada","Interna"))</f>
        <v/>
      </c>
      <c r="T993" s="40" t="str">
        <f aca="false">IF($L993="","",IF($O993="",$L993,$O993))</f>
        <v/>
      </c>
      <c r="U993" s="34" t="str">
        <f aca="false">IF($E993="","",IF(OR($M993="",$L993=""),0,IF($M993&lt;=$L993,1,0)))</f>
        <v/>
      </c>
      <c r="V993" s="34" t="str">
        <f aca="false">IF($E993="","",IF(OR($M993="",$T993=""),0,IF($M993&lt;=$T993,1,0)))</f>
        <v/>
      </c>
      <c r="W993" s="42" t="str">
        <f aca="false">IF(OR($M993="",$L993=""),"",MAX(0,$M993-$L993))</f>
        <v/>
      </c>
      <c r="X993" s="34" t="str">
        <f aca="false">IF($E993="","",IF(AND($O993&lt;&gt;"",$L993&lt;&gt;"",$O993&lt;&gt;$L993),1,0))</f>
        <v/>
      </c>
      <c r="Y993" s="34" t="str">
        <f aca="false">IF($E993="","",IF($N993="Cancelada",0,IF(OR($M993&lt;&gt;"",$N993="Concluída"),1,0)))</f>
        <v/>
      </c>
    </row>
    <row r="994" customFormat="false" ht="15" hidden="false" customHeight="true" outlineLevel="0" collapsed="false">
      <c r="A994" s="34" t="str">
        <f aca="false">IF($E994="","",COUNTA($E$5:$E994))</f>
        <v/>
      </c>
      <c r="B994" s="35"/>
      <c r="C994" s="35"/>
      <c r="D994" s="35"/>
      <c r="E994" s="35"/>
      <c r="F994" s="36"/>
      <c r="G994" s="37"/>
      <c r="H994" s="37"/>
      <c r="I994" s="37"/>
      <c r="J994" s="38"/>
      <c r="K994" s="39"/>
      <c r="L994" s="40" t="str">
        <f aca="false">IF(OR($J994="",$K994=""),"",$J994+MATCH($K994,Listas!$F$5:$F$11,0)-1)</f>
        <v/>
      </c>
      <c r="M994" s="41"/>
      <c r="N994" s="36"/>
      <c r="O994" s="41"/>
      <c r="P994" s="35"/>
      <c r="Q994" s="35"/>
      <c r="R994" s="42" t="str">
        <f aca="true">IF($E994="","",IF($N994="Cancelada","Cancelada",IF(OR($M994&lt;&gt;"",$N994="Concluída"),IF(OR($L994="",$M994="",$M994&lt;=$L994),"Concluída","Concluída com atraso"),IF($L994="","Na carteira",IF($L994&lt;TODAY(),"VENCIDA",IF($N994="Em execução","Em execução",IF($L994=TODAY(),"Hoje","Programada")))))))</f>
        <v/>
      </c>
      <c r="S994" s="34" t="str">
        <f aca="false">IF($E994="","",IF(ISNUMBER(SEARCH("(externo)",$G994&amp;$H994&amp;$I994)),"Terceirizada","Interna"))</f>
        <v/>
      </c>
      <c r="T994" s="40" t="str">
        <f aca="false">IF($L994="","",IF($O994="",$L994,$O994))</f>
        <v/>
      </c>
      <c r="U994" s="34" t="str">
        <f aca="false">IF($E994="","",IF(OR($M994="",$L994=""),0,IF($M994&lt;=$L994,1,0)))</f>
        <v/>
      </c>
      <c r="V994" s="34" t="str">
        <f aca="false">IF($E994="","",IF(OR($M994="",$T994=""),0,IF($M994&lt;=$T994,1,0)))</f>
        <v/>
      </c>
      <c r="W994" s="42" t="str">
        <f aca="false">IF(OR($M994="",$L994=""),"",MAX(0,$M994-$L994))</f>
        <v/>
      </c>
      <c r="X994" s="34" t="str">
        <f aca="false">IF($E994="","",IF(AND($O994&lt;&gt;"",$L994&lt;&gt;"",$O994&lt;&gt;$L994),1,0))</f>
        <v/>
      </c>
      <c r="Y994" s="34" t="str">
        <f aca="false">IF($E994="","",IF($N994="Cancelada",0,IF(OR($M994&lt;&gt;"",$N994="Concluída"),1,0)))</f>
        <v/>
      </c>
    </row>
    <row r="995" customFormat="false" ht="15" hidden="false" customHeight="true" outlineLevel="0" collapsed="false">
      <c r="A995" s="34" t="str">
        <f aca="false">IF($E995="","",COUNTA($E$5:$E995))</f>
        <v/>
      </c>
      <c r="B995" s="35"/>
      <c r="C995" s="35"/>
      <c r="D995" s="35"/>
      <c r="E995" s="35"/>
      <c r="F995" s="36"/>
      <c r="G995" s="37"/>
      <c r="H995" s="37"/>
      <c r="I995" s="37"/>
      <c r="J995" s="38"/>
      <c r="K995" s="39"/>
      <c r="L995" s="40" t="str">
        <f aca="false">IF(OR($J995="",$K995=""),"",$J995+MATCH($K995,Listas!$F$5:$F$11,0)-1)</f>
        <v/>
      </c>
      <c r="M995" s="41"/>
      <c r="N995" s="36"/>
      <c r="O995" s="41"/>
      <c r="P995" s="35"/>
      <c r="Q995" s="35"/>
      <c r="R995" s="42" t="str">
        <f aca="true">IF($E995="","",IF($N995="Cancelada","Cancelada",IF(OR($M995&lt;&gt;"",$N995="Concluída"),IF(OR($L995="",$M995="",$M995&lt;=$L995),"Concluída","Concluída com atraso"),IF($L995="","Na carteira",IF($L995&lt;TODAY(),"VENCIDA",IF($N995="Em execução","Em execução",IF($L995=TODAY(),"Hoje","Programada")))))))</f>
        <v/>
      </c>
      <c r="S995" s="34" t="str">
        <f aca="false">IF($E995="","",IF(ISNUMBER(SEARCH("(externo)",$G995&amp;$H995&amp;$I995)),"Terceirizada","Interna"))</f>
        <v/>
      </c>
      <c r="T995" s="40" t="str">
        <f aca="false">IF($L995="","",IF($O995="",$L995,$O995))</f>
        <v/>
      </c>
      <c r="U995" s="34" t="str">
        <f aca="false">IF($E995="","",IF(OR($M995="",$L995=""),0,IF($M995&lt;=$L995,1,0)))</f>
        <v/>
      </c>
      <c r="V995" s="34" t="str">
        <f aca="false">IF($E995="","",IF(OR($M995="",$T995=""),0,IF($M995&lt;=$T995,1,0)))</f>
        <v/>
      </c>
      <c r="W995" s="42" t="str">
        <f aca="false">IF(OR($M995="",$L995=""),"",MAX(0,$M995-$L995))</f>
        <v/>
      </c>
      <c r="X995" s="34" t="str">
        <f aca="false">IF($E995="","",IF(AND($O995&lt;&gt;"",$L995&lt;&gt;"",$O995&lt;&gt;$L995),1,0))</f>
        <v/>
      </c>
      <c r="Y995" s="34" t="str">
        <f aca="false">IF($E995="","",IF($N995="Cancelada",0,IF(OR($M995&lt;&gt;"",$N995="Concluída"),1,0)))</f>
        <v/>
      </c>
    </row>
    <row r="996" customFormat="false" ht="15" hidden="false" customHeight="true" outlineLevel="0" collapsed="false">
      <c r="A996" s="34" t="str">
        <f aca="false">IF($E996="","",COUNTA($E$5:$E996))</f>
        <v/>
      </c>
      <c r="B996" s="35"/>
      <c r="C996" s="35"/>
      <c r="D996" s="35"/>
      <c r="E996" s="35"/>
      <c r="F996" s="36"/>
      <c r="G996" s="37"/>
      <c r="H996" s="37"/>
      <c r="I996" s="37"/>
      <c r="J996" s="38"/>
      <c r="K996" s="39"/>
      <c r="L996" s="40" t="str">
        <f aca="false">IF(OR($J996="",$K996=""),"",$J996+MATCH($K996,Listas!$F$5:$F$11,0)-1)</f>
        <v/>
      </c>
      <c r="M996" s="41"/>
      <c r="N996" s="36"/>
      <c r="O996" s="41"/>
      <c r="P996" s="35"/>
      <c r="Q996" s="35"/>
      <c r="R996" s="42" t="str">
        <f aca="true">IF($E996="","",IF($N996="Cancelada","Cancelada",IF(OR($M996&lt;&gt;"",$N996="Concluída"),IF(OR($L996="",$M996="",$M996&lt;=$L996),"Concluída","Concluída com atraso"),IF($L996="","Na carteira",IF($L996&lt;TODAY(),"VENCIDA",IF($N996="Em execução","Em execução",IF($L996=TODAY(),"Hoje","Programada")))))))</f>
        <v/>
      </c>
      <c r="S996" s="34" t="str">
        <f aca="false">IF($E996="","",IF(ISNUMBER(SEARCH("(externo)",$G996&amp;$H996&amp;$I996)),"Terceirizada","Interna"))</f>
        <v/>
      </c>
      <c r="T996" s="40" t="str">
        <f aca="false">IF($L996="","",IF($O996="",$L996,$O996))</f>
        <v/>
      </c>
      <c r="U996" s="34" t="str">
        <f aca="false">IF($E996="","",IF(OR($M996="",$L996=""),0,IF($M996&lt;=$L996,1,0)))</f>
        <v/>
      </c>
      <c r="V996" s="34" t="str">
        <f aca="false">IF($E996="","",IF(OR($M996="",$T996=""),0,IF($M996&lt;=$T996,1,0)))</f>
        <v/>
      </c>
      <c r="W996" s="42" t="str">
        <f aca="false">IF(OR($M996="",$L996=""),"",MAX(0,$M996-$L996))</f>
        <v/>
      </c>
      <c r="X996" s="34" t="str">
        <f aca="false">IF($E996="","",IF(AND($O996&lt;&gt;"",$L996&lt;&gt;"",$O996&lt;&gt;$L996),1,0))</f>
        <v/>
      </c>
      <c r="Y996" s="34" t="str">
        <f aca="false">IF($E996="","",IF($N996="Cancelada",0,IF(OR($M996&lt;&gt;"",$N996="Concluída"),1,0)))</f>
        <v/>
      </c>
    </row>
    <row r="997" customFormat="false" ht="15" hidden="false" customHeight="true" outlineLevel="0" collapsed="false">
      <c r="A997" s="34" t="str">
        <f aca="false">IF($E997="","",COUNTA($E$5:$E997))</f>
        <v/>
      </c>
      <c r="B997" s="35"/>
      <c r="C997" s="35"/>
      <c r="D997" s="35"/>
      <c r="E997" s="35"/>
      <c r="F997" s="36"/>
      <c r="G997" s="37"/>
      <c r="H997" s="37"/>
      <c r="I997" s="37"/>
      <c r="J997" s="38"/>
      <c r="K997" s="39"/>
      <c r="L997" s="40" t="str">
        <f aca="false">IF(OR($J997="",$K997=""),"",$J997+MATCH($K997,Listas!$F$5:$F$11,0)-1)</f>
        <v/>
      </c>
      <c r="M997" s="41"/>
      <c r="N997" s="36"/>
      <c r="O997" s="41"/>
      <c r="P997" s="35"/>
      <c r="Q997" s="35"/>
      <c r="R997" s="42" t="str">
        <f aca="true">IF($E997="","",IF($N997="Cancelada","Cancelada",IF(OR($M997&lt;&gt;"",$N997="Concluída"),IF(OR($L997="",$M997="",$M997&lt;=$L997),"Concluída","Concluída com atraso"),IF($L997="","Na carteira",IF($L997&lt;TODAY(),"VENCIDA",IF($N997="Em execução","Em execução",IF($L997=TODAY(),"Hoje","Programada")))))))</f>
        <v/>
      </c>
      <c r="S997" s="34" t="str">
        <f aca="false">IF($E997="","",IF(ISNUMBER(SEARCH("(externo)",$G997&amp;$H997&amp;$I997)),"Terceirizada","Interna"))</f>
        <v/>
      </c>
      <c r="T997" s="40" t="str">
        <f aca="false">IF($L997="","",IF($O997="",$L997,$O997))</f>
        <v/>
      </c>
      <c r="U997" s="34" t="str">
        <f aca="false">IF($E997="","",IF(OR($M997="",$L997=""),0,IF($M997&lt;=$L997,1,0)))</f>
        <v/>
      </c>
      <c r="V997" s="34" t="str">
        <f aca="false">IF($E997="","",IF(OR($M997="",$T997=""),0,IF($M997&lt;=$T997,1,0)))</f>
        <v/>
      </c>
      <c r="W997" s="42" t="str">
        <f aca="false">IF(OR($M997="",$L997=""),"",MAX(0,$M997-$L997))</f>
        <v/>
      </c>
      <c r="X997" s="34" t="str">
        <f aca="false">IF($E997="","",IF(AND($O997&lt;&gt;"",$L997&lt;&gt;"",$O997&lt;&gt;$L997),1,0))</f>
        <v/>
      </c>
      <c r="Y997" s="34" t="str">
        <f aca="false">IF($E997="","",IF($N997="Cancelada",0,IF(OR($M997&lt;&gt;"",$N997="Concluída"),1,0)))</f>
        <v/>
      </c>
    </row>
    <row r="998" customFormat="false" ht="15" hidden="false" customHeight="true" outlineLevel="0" collapsed="false">
      <c r="A998" s="34" t="str">
        <f aca="false">IF($E998="","",COUNTA($E$5:$E998))</f>
        <v/>
      </c>
      <c r="B998" s="35"/>
      <c r="C998" s="35"/>
      <c r="D998" s="35"/>
      <c r="E998" s="35"/>
      <c r="F998" s="36"/>
      <c r="G998" s="37"/>
      <c r="H998" s="37"/>
      <c r="I998" s="37"/>
      <c r="J998" s="38"/>
      <c r="K998" s="39"/>
      <c r="L998" s="40" t="str">
        <f aca="false">IF(OR($J998="",$K998=""),"",$J998+MATCH($K998,Listas!$F$5:$F$11,0)-1)</f>
        <v/>
      </c>
      <c r="M998" s="41"/>
      <c r="N998" s="36"/>
      <c r="O998" s="41"/>
      <c r="P998" s="35"/>
      <c r="Q998" s="35"/>
      <c r="R998" s="42" t="str">
        <f aca="true">IF($E998="","",IF($N998="Cancelada","Cancelada",IF(OR($M998&lt;&gt;"",$N998="Concluída"),IF(OR($L998="",$M998="",$M998&lt;=$L998),"Concluída","Concluída com atraso"),IF($L998="","Na carteira",IF($L998&lt;TODAY(),"VENCIDA",IF($N998="Em execução","Em execução",IF($L998=TODAY(),"Hoje","Programada")))))))</f>
        <v/>
      </c>
      <c r="S998" s="34" t="str">
        <f aca="false">IF($E998="","",IF(ISNUMBER(SEARCH("(externo)",$G998&amp;$H998&amp;$I998)),"Terceirizada","Interna"))</f>
        <v/>
      </c>
      <c r="T998" s="40" t="str">
        <f aca="false">IF($L998="","",IF($O998="",$L998,$O998))</f>
        <v/>
      </c>
      <c r="U998" s="34" t="str">
        <f aca="false">IF($E998="","",IF(OR($M998="",$L998=""),0,IF($M998&lt;=$L998,1,0)))</f>
        <v/>
      </c>
      <c r="V998" s="34" t="str">
        <f aca="false">IF($E998="","",IF(OR($M998="",$T998=""),0,IF($M998&lt;=$T998,1,0)))</f>
        <v/>
      </c>
      <c r="W998" s="42" t="str">
        <f aca="false">IF(OR($M998="",$L998=""),"",MAX(0,$M998-$L998))</f>
        <v/>
      </c>
      <c r="X998" s="34" t="str">
        <f aca="false">IF($E998="","",IF(AND($O998&lt;&gt;"",$L998&lt;&gt;"",$O998&lt;&gt;$L998),1,0))</f>
        <v/>
      </c>
      <c r="Y998" s="34" t="str">
        <f aca="false">IF($E998="","",IF($N998="Cancelada",0,IF(OR($M998&lt;&gt;"",$N998="Concluída"),1,0)))</f>
        <v/>
      </c>
    </row>
    <row r="999" customFormat="false" ht="15" hidden="false" customHeight="true" outlineLevel="0" collapsed="false">
      <c r="A999" s="34" t="str">
        <f aca="false">IF($E999="","",COUNTA($E$5:$E999))</f>
        <v/>
      </c>
      <c r="B999" s="35"/>
      <c r="C999" s="35"/>
      <c r="D999" s="35"/>
      <c r="E999" s="35"/>
      <c r="F999" s="36"/>
      <c r="G999" s="37"/>
      <c r="H999" s="37"/>
      <c r="I999" s="37"/>
      <c r="J999" s="38"/>
      <c r="K999" s="39"/>
      <c r="L999" s="40" t="str">
        <f aca="false">IF(OR($J999="",$K999=""),"",$J999+MATCH($K999,Listas!$F$5:$F$11,0)-1)</f>
        <v/>
      </c>
      <c r="M999" s="41"/>
      <c r="N999" s="36"/>
      <c r="O999" s="41"/>
      <c r="P999" s="35"/>
      <c r="Q999" s="35"/>
      <c r="R999" s="42" t="str">
        <f aca="true">IF($E999="","",IF($N999="Cancelada","Cancelada",IF(OR($M999&lt;&gt;"",$N999="Concluída"),IF(OR($L999="",$M999="",$M999&lt;=$L999),"Concluída","Concluída com atraso"),IF($L999="","Na carteira",IF($L999&lt;TODAY(),"VENCIDA",IF($N999="Em execução","Em execução",IF($L999=TODAY(),"Hoje","Programada")))))))</f>
        <v/>
      </c>
      <c r="S999" s="34" t="str">
        <f aca="false">IF($E999="","",IF(ISNUMBER(SEARCH("(externo)",$G999&amp;$H999&amp;$I999)),"Terceirizada","Interna"))</f>
        <v/>
      </c>
      <c r="T999" s="40" t="str">
        <f aca="false">IF($L999="","",IF($O999="",$L999,$O999))</f>
        <v/>
      </c>
      <c r="U999" s="34" t="str">
        <f aca="false">IF($E999="","",IF(OR($M999="",$L999=""),0,IF($M999&lt;=$L999,1,0)))</f>
        <v/>
      </c>
      <c r="V999" s="34" t="str">
        <f aca="false">IF($E999="","",IF(OR($M999="",$T999=""),0,IF($M999&lt;=$T999,1,0)))</f>
        <v/>
      </c>
      <c r="W999" s="42" t="str">
        <f aca="false">IF(OR($M999="",$L999=""),"",MAX(0,$M999-$L999))</f>
        <v/>
      </c>
      <c r="X999" s="34" t="str">
        <f aca="false">IF($E999="","",IF(AND($O999&lt;&gt;"",$L999&lt;&gt;"",$O999&lt;&gt;$L999),1,0))</f>
        <v/>
      </c>
      <c r="Y999" s="34" t="str">
        <f aca="false">IF($E999="","",IF($N999="Cancelada",0,IF(OR($M999&lt;&gt;"",$N999="Concluída"),1,0)))</f>
        <v/>
      </c>
    </row>
    <row r="1000" customFormat="false" ht="15" hidden="false" customHeight="true" outlineLevel="0" collapsed="false">
      <c r="A1000" s="34" t="str">
        <f aca="false">IF($E1000="","",COUNTA($E$5:$E1000))</f>
        <v/>
      </c>
      <c r="B1000" s="35"/>
      <c r="C1000" s="35"/>
      <c r="D1000" s="35"/>
      <c r="E1000" s="35"/>
      <c r="F1000" s="36"/>
      <c r="G1000" s="37"/>
      <c r="H1000" s="37"/>
      <c r="I1000" s="37"/>
      <c r="J1000" s="38"/>
      <c r="K1000" s="39"/>
      <c r="L1000" s="40" t="str">
        <f aca="false">IF(OR($J1000="",$K1000=""),"",$J1000+MATCH($K1000,Listas!$F$5:$F$11,0)-1)</f>
        <v/>
      </c>
      <c r="M1000" s="41"/>
      <c r="N1000" s="36"/>
      <c r="O1000" s="41"/>
      <c r="P1000" s="35"/>
      <c r="Q1000" s="35"/>
      <c r="R1000" s="42" t="str">
        <f aca="true">IF($E1000="","",IF($N1000="Cancelada","Cancelada",IF(OR($M1000&lt;&gt;"",$N1000="Concluída"),IF(OR($L1000="",$M1000="",$M1000&lt;=$L1000),"Concluída","Concluída com atraso"),IF($L1000="","Na carteira",IF($L1000&lt;TODAY(),"VENCIDA",IF($N1000="Em execução","Em execução",IF($L1000=TODAY(),"Hoje","Programada")))))))</f>
        <v/>
      </c>
      <c r="S1000" s="34" t="str">
        <f aca="false">IF($E1000="","",IF(ISNUMBER(SEARCH("(externo)",$G1000&amp;$H1000&amp;$I1000)),"Terceirizada","Interna"))</f>
        <v/>
      </c>
      <c r="T1000" s="40" t="str">
        <f aca="false">IF($L1000="","",IF($O1000="",$L1000,$O1000))</f>
        <v/>
      </c>
      <c r="U1000" s="34" t="str">
        <f aca="false">IF($E1000="","",IF(OR($M1000="",$L1000=""),0,IF($M1000&lt;=$L1000,1,0)))</f>
        <v/>
      </c>
      <c r="V1000" s="34" t="str">
        <f aca="false">IF($E1000="","",IF(OR($M1000="",$T1000=""),0,IF($M1000&lt;=$T1000,1,0)))</f>
        <v/>
      </c>
      <c r="W1000" s="42" t="str">
        <f aca="false">IF(OR($M1000="",$L1000=""),"",MAX(0,$M1000-$L1000))</f>
        <v/>
      </c>
      <c r="X1000" s="34" t="str">
        <f aca="false">IF($E1000="","",IF(AND($O1000&lt;&gt;"",$L1000&lt;&gt;"",$O1000&lt;&gt;$L1000),1,0))</f>
        <v/>
      </c>
      <c r="Y1000" s="34" t="str">
        <f aca="false">IF($E1000="","",IF($N1000="Cancelada",0,IF(OR($M1000&lt;&gt;"",$N1000="Concluída"),1,0)))</f>
        <v/>
      </c>
    </row>
    <row r="1001" customFormat="false" ht="15" hidden="false" customHeight="true" outlineLevel="0" collapsed="false">
      <c r="A1001" s="34" t="str">
        <f aca="false">IF($E1001="","",COUNTA($E$5:$E1001))</f>
        <v/>
      </c>
      <c r="B1001" s="35"/>
      <c r="C1001" s="35"/>
      <c r="D1001" s="35"/>
      <c r="E1001" s="35"/>
      <c r="F1001" s="36"/>
      <c r="G1001" s="37"/>
      <c r="H1001" s="37"/>
      <c r="I1001" s="37"/>
      <c r="J1001" s="38"/>
      <c r="K1001" s="39"/>
      <c r="L1001" s="40" t="str">
        <f aca="false">IF(OR($J1001="",$K1001=""),"",$J1001+MATCH($K1001,Listas!$F$5:$F$11,0)-1)</f>
        <v/>
      </c>
      <c r="M1001" s="41"/>
      <c r="N1001" s="36"/>
      <c r="O1001" s="41"/>
      <c r="P1001" s="35"/>
      <c r="Q1001" s="35"/>
      <c r="R1001" s="42" t="str">
        <f aca="true">IF($E1001="","",IF($N1001="Cancelada","Cancelada",IF(OR($M1001&lt;&gt;"",$N1001="Concluída"),IF(OR($L1001="",$M1001="",$M1001&lt;=$L1001),"Concluída","Concluída com atraso"),IF($L1001="","Na carteira",IF($L1001&lt;TODAY(),"VENCIDA",IF($N1001="Em execução","Em execução",IF($L1001=TODAY(),"Hoje","Programada")))))))</f>
        <v/>
      </c>
      <c r="S1001" s="34" t="str">
        <f aca="false">IF($E1001="","",IF(ISNUMBER(SEARCH("(externo)",$G1001&amp;$H1001&amp;$I1001)),"Terceirizada","Interna"))</f>
        <v/>
      </c>
      <c r="T1001" s="40" t="str">
        <f aca="false">IF($L1001="","",IF($O1001="",$L1001,$O1001))</f>
        <v/>
      </c>
      <c r="U1001" s="34" t="str">
        <f aca="false">IF($E1001="","",IF(OR($M1001="",$L1001=""),0,IF($M1001&lt;=$L1001,1,0)))</f>
        <v/>
      </c>
      <c r="V1001" s="34" t="str">
        <f aca="false">IF($E1001="","",IF(OR($M1001="",$T1001=""),0,IF($M1001&lt;=$T1001,1,0)))</f>
        <v/>
      </c>
      <c r="W1001" s="42" t="str">
        <f aca="false">IF(OR($M1001="",$L1001=""),"",MAX(0,$M1001-$L1001))</f>
        <v/>
      </c>
      <c r="X1001" s="34" t="str">
        <f aca="false">IF($E1001="","",IF(AND($O1001&lt;&gt;"",$L1001&lt;&gt;"",$O1001&lt;&gt;$L1001),1,0))</f>
        <v/>
      </c>
      <c r="Y1001" s="34" t="str">
        <f aca="false">IF($E1001="","",IF($N1001="Cancelada",0,IF(OR($M1001&lt;&gt;"",$N1001="Concluída"),1,0)))</f>
        <v/>
      </c>
    </row>
    <row r="1002" customFormat="false" ht="15" hidden="false" customHeight="true" outlineLevel="0" collapsed="false">
      <c r="A1002" s="34" t="str">
        <f aca="false">IF($E1002="","",COUNTA($E$5:$E1002))</f>
        <v/>
      </c>
      <c r="B1002" s="35"/>
      <c r="C1002" s="35"/>
      <c r="D1002" s="35"/>
      <c r="E1002" s="35"/>
      <c r="F1002" s="36"/>
      <c r="G1002" s="37"/>
      <c r="H1002" s="37"/>
      <c r="I1002" s="37"/>
      <c r="J1002" s="38"/>
      <c r="K1002" s="39"/>
      <c r="L1002" s="40" t="str">
        <f aca="false">IF(OR($J1002="",$K1002=""),"",$J1002+MATCH($K1002,Listas!$F$5:$F$11,0)-1)</f>
        <v/>
      </c>
      <c r="M1002" s="41"/>
      <c r="N1002" s="36"/>
      <c r="O1002" s="41"/>
      <c r="P1002" s="35"/>
      <c r="Q1002" s="35"/>
      <c r="R1002" s="42" t="str">
        <f aca="true">IF($E1002="","",IF($N1002="Cancelada","Cancelada",IF(OR($M1002&lt;&gt;"",$N1002="Concluída"),IF(OR($L1002="",$M1002="",$M1002&lt;=$L1002),"Concluída","Concluída com atraso"),IF($L1002="","Na carteira",IF($L1002&lt;TODAY(),"VENCIDA",IF($N1002="Em execução","Em execução",IF($L1002=TODAY(),"Hoje","Programada")))))))</f>
        <v/>
      </c>
      <c r="S1002" s="34" t="str">
        <f aca="false">IF($E1002="","",IF(ISNUMBER(SEARCH("(externo)",$G1002&amp;$H1002&amp;$I1002)),"Terceirizada","Interna"))</f>
        <v/>
      </c>
      <c r="T1002" s="40" t="str">
        <f aca="false">IF($L1002="","",IF($O1002="",$L1002,$O1002))</f>
        <v/>
      </c>
      <c r="U1002" s="34" t="str">
        <f aca="false">IF($E1002="","",IF(OR($M1002="",$L1002=""),0,IF($M1002&lt;=$L1002,1,0)))</f>
        <v/>
      </c>
      <c r="V1002" s="34" t="str">
        <f aca="false">IF($E1002="","",IF(OR($M1002="",$T1002=""),0,IF($M1002&lt;=$T1002,1,0)))</f>
        <v/>
      </c>
      <c r="W1002" s="42" t="str">
        <f aca="false">IF(OR($M1002="",$L1002=""),"",MAX(0,$M1002-$L1002))</f>
        <v/>
      </c>
      <c r="X1002" s="34" t="str">
        <f aca="false">IF($E1002="","",IF(AND($O1002&lt;&gt;"",$L1002&lt;&gt;"",$O1002&lt;&gt;$L1002),1,0))</f>
        <v/>
      </c>
      <c r="Y1002" s="34" t="str">
        <f aca="false">IF($E1002="","",IF($N1002="Cancelada",0,IF(OR($M1002&lt;&gt;"",$N1002="Concluída"),1,0)))</f>
        <v/>
      </c>
    </row>
    <row r="1003" customFormat="false" ht="15" hidden="false" customHeight="true" outlineLevel="0" collapsed="false">
      <c r="A1003" s="34" t="str">
        <f aca="false">IF($E1003="","",COUNTA($E$5:$E1003))</f>
        <v/>
      </c>
      <c r="B1003" s="35"/>
      <c r="C1003" s="35"/>
      <c r="D1003" s="35"/>
      <c r="E1003" s="35"/>
      <c r="F1003" s="36"/>
      <c r="G1003" s="37"/>
      <c r="H1003" s="37"/>
      <c r="I1003" s="37"/>
      <c r="J1003" s="38"/>
      <c r="K1003" s="39"/>
      <c r="L1003" s="40" t="str">
        <f aca="false">IF(OR($J1003="",$K1003=""),"",$J1003+MATCH($K1003,Listas!$F$5:$F$11,0)-1)</f>
        <v/>
      </c>
      <c r="M1003" s="41"/>
      <c r="N1003" s="36"/>
      <c r="O1003" s="41"/>
      <c r="P1003" s="35"/>
      <c r="Q1003" s="35"/>
      <c r="R1003" s="42" t="str">
        <f aca="true">IF($E1003="","",IF($N1003="Cancelada","Cancelada",IF(OR($M1003&lt;&gt;"",$N1003="Concluída"),IF(OR($L1003="",$M1003="",$M1003&lt;=$L1003),"Concluída","Concluída com atraso"),IF($L1003="","Na carteira",IF($L1003&lt;TODAY(),"VENCIDA",IF($N1003="Em execução","Em execução",IF($L1003=TODAY(),"Hoje","Programada")))))))</f>
        <v/>
      </c>
      <c r="S1003" s="34" t="str">
        <f aca="false">IF($E1003="","",IF(ISNUMBER(SEARCH("(externo)",$G1003&amp;$H1003&amp;$I1003)),"Terceirizada","Interna"))</f>
        <v/>
      </c>
      <c r="T1003" s="40" t="str">
        <f aca="false">IF($L1003="","",IF($O1003="",$L1003,$O1003))</f>
        <v/>
      </c>
      <c r="U1003" s="34" t="str">
        <f aca="false">IF($E1003="","",IF(OR($M1003="",$L1003=""),0,IF($M1003&lt;=$L1003,1,0)))</f>
        <v/>
      </c>
      <c r="V1003" s="34" t="str">
        <f aca="false">IF($E1003="","",IF(OR($M1003="",$T1003=""),0,IF($M1003&lt;=$T1003,1,0)))</f>
        <v/>
      </c>
      <c r="W1003" s="42" t="str">
        <f aca="false">IF(OR($M1003="",$L1003=""),"",MAX(0,$M1003-$L1003))</f>
        <v/>
      </c>
      <c r="X1003" s="34" t="str">
        <f aca="false">IF($E1003="","",IF(AND($O1003&lt;&gt;"",$L1003&lt;&gt;"",$O1003&lt;&gt;$L1003),1,0))</f>
        <v/>
      </c>
      <c r="Y1003" s="34" t="str">
        <f aca="false">IF($E1003="","",IF($N1003="Cancelada",0,IF(OR($M1003&lt;&gt;"",$N1003="Concluída"),1,0)))</f>
        <v/>
      </c>
    </row>
    <row r="1004" customFormat="false" ht="15" hidden="false" customHeight="true" outlineLevel="0" collapsed="false">
      <c r="A1004" s="34" t="str">
        <f aca="false">IF($E1004="","",COUNTA($E$5:$E1004))</f>
        <v/>
      </c>
      <c r="B1004" s="35"/>
      <c r="C1004" s="35"/>
      <c r="D1004" s="35"/>
      <c r="E1004" s="35"/>
      <c r="F1004" s="36"/>
      <c r="G1004" s="37"/>
      <c r="H1004" s="37"/>
      <c r="I1004" s="37"/>
      <c r="J1004" s="38"/>
      <c r="K1004" s="39"/>
      <c r="L1004" s="40" t="str">
        <f aca="false">IF(OR($J1004="",$K1004=""),"",$J1004+MATCH($K1004,Listas!$F$5:$F$11,0)-1)</f>
        <v/>
      </c>
      <c r="M1004" s="41"/>
      <c r="N1004" s="36"/>
      <c r="O1004" s="41"/>
      <c r="P1004" s="35"/>
      <c r="Q1004" s="35"/>
      <c r="R1004" s="42" t="str">
        <f aca="true">IF($E1004="","",IF($N1004="Cancelada","Cancelada",IF(OR($M1004&lt;&gt;"",$N1004="Concluída"),IF(OR($L1004="",$M1004="",$M1004&lt;=$L1004),"Concluída","Concluída com atraso"),IF($L1004="","Na carteira",IF($L1004&lt;TODAY(),"VENCIDA",IF($N1004="Em execução","Em execução",IF($L1004=TODAY(),"Hoje","Programada")))))))</f>
        <v/>
      </c>
      <c r="S1004" s="34" t="str">
        <f aca="false">IF($E1004="","",IF(ISNUMBER(SEARCH("(externo)",$G1004&amp;$H1004&amp;$I1004)),"Terceirizada","Interna"))</f>
        <v/>
      </c>
      <c r="T1004" s="40" t="str">
        <f aca="false">IF($L1004="","",IF($O1004="",$L1004,$O1004))</f>
        <v/>
      </c>
      <c r="U1004" s="34" t="str">
        <f aca="false">IF($E1004="","",IF(OR($M1004="",$L1004=""),0,IF($M1004&lt;=$L1004,1,0)))</f>
        <v/>
      </c>
      <c r="V1004" s="34" t="str">
        <f aca="false">IF($E1004="","",IF(OR($M1004="",$T1004=""),0,IF($M1004&lt;=$T1004,1,0)))</f>
        <v/>
      </c>
      <c r="W1004" s="42" t="str">
        <f aca="false">IF(OR($M1004="",$L1004=""),"",MAX(0,$M1004-$L1004))</f>
        <v/>
      </c>
      <c r="X1004" s="34" t="str">
        <f aca="false">IF($E1004="","",IF(AND($O1004&lt;&gt;"",$L1004&lt;&gt;"",$O1004&lt;&gt;$L1004),1,0))</f>
        <v/>
      </c>
      <c r="Y1004" s="34" t="str">
        <f aca="false">IF($E1004="","",IF($N1004="Cancelada",0,IF(OR($M1004&lt;&gt;"",$N1004="Concluída"),1,0)))</f>
        <v/>
      </c>
    </row>
  </sheetData>
  <autoFilter ref="A3:Y1004"/>
  <mergeCells count="6">
    <mergeCell ref="A1:Y1"/>
    <mergeCell ref="B2:F2"/>
    <mergeCell ref="G2:I2"/>
    <mergeCell ref="J2:L2"/>
    <mergeCell ref="M2:Q2"/>
    <mergeCell ref="R2:Y2"/>
  </mergeCells>
  <conditionalFormatting sqref="R5:R1004">
    <cfRule type="cellIs" priority="2" operator="equal" aboveAverage="0" equalAverage="0" bottom="0" percent="0" rank="0" text="" dxfId="16">
      <formula>"VENCIDA"</formula>
    </cfRule>
    <cfRule type="cellIs" priority="3" operator="equal" aboveAverage="0" equalAverage="0" bottom="0" percent="0" rank="0" text="" dxfId="17">
      <formula>"Concluída"</formula>
    </cfRule>
    <cfRule type="cellIs" priority="4" operator="equal" aboveAverage="0" equalAverage="0" bottom="0" percent="0" rank="0" text="" dxfId="18">
      <formula>"Concluída com atraso"</formula>
    </cfRule>
    <cfRule type="cellIs" priority="5" operator="equal" aboveAverage="0" equalAverage="0" bottom="0" percent="0" rank="0" text="" dxfId="19">
      <formula>"Hoje"</formula>
    </cfRule>
    <cfRule type="cellIs" priority="6" operator="equal" aboveAverage="0" equalAverage="0" bottom="0" percent="0" rank="0" text="" dxfId="19">
      <formula>"Em execução"</formula>
    </cfRule>
    <cfRule type="cellIs" priority="7" operator="equal" aboveAverage="0" equalAverage="0" bottom="0" percent="0" rank="0" text="" dxfId="20">
      <formula>"Na carteira"</formula>
    </cfRule>
  </conditionalFormatting>
  <conditionalFormatting sqref="W5:W1004">
    <cfRule type="cellIs" priority="8" operator="greaterThan" aboveAverage="0" equalAverage="0" bottom="0" percent="0" rank="0" text="" dxfId="21">
      <formula>0</formula>
    </cfRule>
  </conditionalFormatting>
  <dataValidations count="8">
    <dataValidation allowBlank="true" error="Escolha uma frota da aba Listas." errorStyle="stop" errorTitle="Frota" operator="between" showDropDown="false" showErrorMessage="true" showInputMessage="false" sqref="C5:C1004" type="list">
      <formula1>Listas!$B$5:$B$84</formula1>
      <formula2>0</formula2>
    </dataValidation>
    <dataValidation allowBlank="true" error="Escolha um tipo da aba Listas." errorStyle="stop" errorTitle="Tipo" operator="between" showDropDown="false" showErrorMessage="true" showInputMessage="false" sqref="F5:F1004" type="list">
      <formula1>Listas!$C$5:$C$84</formula1>
      <formula2>0</formula2>
    </dataValidation>
    <dataValidation allowBlank="true" error="Escolha um nome da aba Listas." errorStyle="stop" errorTitle="Executante" operator="between" showDropDown="false" showErrorMessage="true" showInputMessage="false" sqref="G5:G1004" type="list">
      <formula1>Listas!$A$5:$A$84</formula1>
      <formula2>0</formula2>
    </dataValidation>
    <dataValidation allowBlank="true" error="Escolha um nome da aba Listas." errorStyle="stop" errorTitle="Executante" operator="between" showDropDown="false" showErrorMessage="true" showInputMessage="false" sqref="H5:H1004" type="list">
      <formula1>Listas!$A$5:$A$84</formula1>
      <formula2>0</formula2>
    </dataValidation>
    <dataValidation allowBlank="true" error="Escolha um nome da aba Listas." errorStyle="stop" errorTitle="Executante" operator="between" showDropDown="false" showErrorMessage="true" showInputMessage="false" sqref="I5:I1004" type="list">
      <formula1>Listas!$A$5:$A$84</formula1>
      <formula2>0</formula2>
    </dataValidation>
    <dataValidation allowBlank="true" error="Seg, Ter, Qua, Qui, Sex, Sáb ou Dom." errorStyle="stop" errorTitle="Dia" operator="between" showDropDown="false" showErrorMessage="true" showInputMessage="false" sqref="K5:K1004" type="list">
      <formula1>Listas!$F$5:$F$11</formula1>
      <formula2>0</formula2>
    </dataValidation>
    <dataValidation allowBlank="true" error="Deixe vazio, ou Concluída / Em execução / Cancelada." errorStyle="stop" errorTitle="Marcar" operator="between" showDropDown="false" showErrorMessage="true" showInputMessage="false" sqref="N5:N1004" type="list">
      <formula1>Listas!$D$5:$D$7</formula1>
      <formula2>0</formula2>
    </dataValidation>
    <dataValidation allowBlank="true" error="Escolha da aba Listas ou escreva o seu." errorStyle="stop" errorTitle="Motivo" operator="between" showDropDown="false" showErrorMessage="true" showInputMessage="false" sqref="P5:P1004" type="list">
      <formula1>Listas!$E$5:$E$84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L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0"/>
  </cols>
  <sheetData>
    <row r="1" customFormat="false" ht="30" hidden="false" customHeight="true" outlineLevel="0" collapsed="false">
      <c r="A1" s="25" t="s">
        <v>337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3" customFormat="false" ht="27.75" hidden="false" customHeight="true" outlineLevel="0" collapsed="false">
      <c r="A3" s="43" t="s">
        <v>338</v>
      </c>
      <c r="B3" s="43"/>
      <c r="C3" s="44" t="n">
        <v>46258</v>
      </c>
      <c r="D3" s="45" t="s">
        <v>339</v>
      </c>
      <c r="E3" s="46" t="n">
        <f aca="false">$C$3+6</f>
        <v>46264</v>
      </c>
      <c r="F3" s="47" t="s">
        <v>340</v>
      </c>
      <c r="G3" s="47"/>
      <c r="H3" s="47"/>
      <c r="I3" s="47"/>
      <c r="J3" s="47"/>
      <c r="K3" s="47"/>
      <c r="L3" s="47"/>
    </row>
    <row r="5" customFormat="false" ht="15" hidden="false" customHeight="false" outlineLevel="0" collapsed="false">
      <c r="A5" s="48" t="s">
        <v>341</v>
      </c>
      <c r="B5" s="49" t="s">
        <v>342</v>
      </c>
      <c r="C5" s="49"/>
      <c r="D5" s="49" t="s">
        <v>343</v>
      </c>
      <c r="E5" s="49"/>
      <c r="F5" s="49" t="s">
        <v>344</v>
      </c>
      <c r="G5" s="49"/>
      <c r="H5" s="49" t="s">
        <v>345</v>
      </c>
      <c r="I5" s="49"/>
      <c r="J5" s="49" t="s">
        <v>346</v>
      </c>
      <c r="K5" s="49"/>
    </row>
    <row r="6" customFormat="false" ht="25.5" hidden="false" customHeight="true" outlineLevel="0" collapsed="false">
      <c r="A6" s="48"/>
      <c r="B6" s="50" t="n">
        <f aca="false">COUNTIFS(Programação!$L$5:$L$1004,"&gt;="&amp;$C$3,Programação!$L$5:$L$1004,"&lt;="&amp;$C$3+6,Programação!$N$5:$N$1004,"&lt;&gt;Cancelada")</f>
        <v>172</v>
      </c>
      <c r="C6" s="50"/>
      <c r="D6" s="51" t="n">
        <f aca="false">SUMIFS(Programação!$Y$5:$Y$1004,Programação!$L$5:$L$1004,"&gt;="&amp;$C$3,Programação!$L$5:$L$1004,"&lt;="&amp;$C$3+6)</f>
        <v>71</v>
      </c>
      <c r="E6" s="51"/>
      <c r="F6" s="52" t="n">
        <f aca="false">IF($B$6=0,"",$D$6/$B$6)</f>
        <v>0.412790697674419</v>
      </c>
      <c r="G6" s="52"/>
      <c r="H6" s="53" t="n">
        <f aca="true">COUNTIFS(Programação!$L$5:$L$1004,"&gt;="&amp;$C$3,Programação!$L$5:$L$1004,"&lt;="&amp;$C$3+6,Programação!$L$5:$L$1004,"&lt;"&amp;TODAY(),Programação!$Y$5:$Y$1004,0,Programação!$N$5:$N$1004,"&lt;&gt;Cancelada")</f>
        <v>16</v>
      </c>
      <c r="I6" s="53"/>
      <c r="J6" s="54" t="n">
        <f aca="false">COUNTIFS(Programação!$L$5:$L$1004,"",Programação!$E$5:$E$1004,"&lt;&gt;",Programação!$N$5:$N$1004,"&lt;&gt;Cancelada")</f>
        <v>0</v>
      </c>
      <c r="K6" s="54"/>
    </row>
    <row r="8" customFormat="false" ht="15" hidden="false" customHeight="false" outlineLevel="0" collapsed="false">
      <c r="A8" s="55" t="s">
        <v>347</v>
      </c>
      <c r="B8" s="55"/>
      <c r="C8" s="55"/>
      <c r="D8" s="20" t="s">
        <v>348</v>
      </c>
      <c r="E8" s="20"/>
      <c r="F8" s="20"/>
      <c r="G8" s="20"/>
      <c r="H8" s="20"/>
      <c r="I8" s="20"/>
      <c r="J8" s="20"/>
      <c r="K8" s="20"/>
      <c r="L8" s="20"/>
    </row>
    <row r="9" customFormat="false" ht="15" hidden="false" customHeight="false" outlineLevel="0" collapsed="false">
      <c r="C9" s="56" t="s">
        <v>349</v>
      </c>
      <c r="D9" s="57" t="n">
        <f aca="false">$C$3+-28</f>
        <v>46230</v>
      </c>
      <c r="E9" s="57" t="n">
        <f aca="false">$C$3+-21</f>
        <v>46237</v>
      </c>
      <c r="F9" s="57" t="n">
        <f aca="false">$C$3+-14</f>
        <v>46244</v>
      </c>
      <c r="G9" s="57" t="n">
        <f aca="false">$C$3+-7</f>
        <v>46251</v>
      </c>
      <c r="H9" s="58" t="n">
        <f aca="false">$C$3</f>
        <v>46258</v>
      </c>
      <c r="I9" s="57" t="n">
        <f aca="false">$C$3+7</f>
        <v>46265</v>
      </c>
      <c r="J9" s="57" t="n">
        <f aca="false">$C$3+14</f>
        <v>46272</v>
      </c>
      <c r="K9" s="57" t="n">
        <f aca="false">$C$3+21</f>
        <v>46279</v>
      </c>
      <c r="L9" s="57" t="n">
        <f aca="false">$C$3+28</f>
        <v>46286</v>
      </c>
    </row>
    <row r="10" customFormat="false" ht="19.5" hidden="false" customHeight="true" outlineLevel="0" collapsed="false">
      <c r="C10" s="56" t="s">
        <v>350</v>
      </c>
      <c r="D10" s="59" t="n">
        <f aca="false">COUNTIFS(Programação!$L$5:$L$1004,"&gt;="&amp;D$9,Programação!$L$5:$L$1004,"&lt;="&amp;D$9+6,Programação!$N$5:$N$1004,"&lt;&gt;Cancelada")</f>
        <v>0</v>
      </c>
      <c r="E10" s="59" t="n">
        <f aca="false">COUNTIFS(Programação!$L$5:$L$1004,"&gt;="&amp;E$9,Programação!$L$5:$L$1004,"&lt;="&amp;E$9+6,Programação!$N$5:$N$1004,"&lt;&gt;Cancelada")</f>
        <v>0</v>
      </c>
      <c r="F10" s="59" t="n">
        <f aca="false">COUNTIFS(Programação!$L$5:$L$1004,"&gt;="&amp;F$9,Programação!$L$5:$L$1004,"&lt;="&amp;F$9+6,Programação!$N$5:$N$1004,"&lt;&gt;Cancelada")</f>
        <v>0</v>
      </c>
      <c r="G10" s="59" t="n">
        <f aca="false">COUNTIFS(Programação!$L$5:$L$1004,"&gt;="&amp;G$9,Programação!$L$5:$L$1004,"&lt;="&amp;G$9+6,Programação!$N$5:$N$1004,"&lt;&gt;Cancelada")</f>
        <v>0</v>
      </c>
      <c r="H10" s="60" t="n">
        <f aca="false">COUNTIFS(Programação!$L$5:$L$1004,"&gt;="&amp;H$9,Programação!$L$5:$L$1004,"&lt;="&amp;H$9+6,Programação!$N$5:$N$1004,"&lt;&gt;Cancelada")</f>
        <v>172</v>
      </c>
      <c r="I10" s="59" t="n">
        <f aca="false">COUNTIFS(Programação!$L$5:$L$1004,"&gt;="&amp;I$9,Programação!$L$5:$L$1004,"&lt;="&amp;I$9+6,Programação!$N$5:$N$1004,"&lt;&gt;Cancelada")</f>
        <v>0</v>
      </c>
      <c r="J10" s="59" t="n">
        <f aca="false">COUNTIFS(Programação!$L$5:$L$1004,"&gt;="&amp;J$9,Programação!$L$5:$L$1004,"&lt;="&amp;J$9+6,Programação!$N$5:$N$1004,"&lt;&gt;Cancelada")</f>
        <v>0</v>
      </c>
      <c r="K10" s="59" t="n">
        <f aca="false">COUNTIFS(Programação!$L$5:$L$1004,"&gt;="&amp;K$9,Programação!$L$5:$L$1004,"&lt;="&amp;K$9+6,Programação!$N$5:$N$1004,"&lt;&gt;Cancelada")</f>
        <v>0</v>
      </c>
      <c r="L10" s="59" t="n">
        <f aca="false">COUNTIFS(Programação!$L$5:$L$1004,"&gt;="&amp;L$9,Programação!$L$5:$L$1004,"&lt;="&amp;L$9+6,Programação!$N$5:$N$1004,"&lt;&gt;Cancelada")</f>
        <v>0</v>
      </c>
    </row>
    <row r="12" customFormat="false" ht="30" hidden="false" customHeight="true" outlineLevel="0" collapsed="false">
      <c r="A12" s="32" t="s">
        <v>351</v>
      </c>
      <c r="B12" s="61" t="n">
        <f aca="false">$C$3</f>
        <v>46258</v>
      </c>
      <c r="C12" s="61" t="n">
        <f aca="false">$C$3+1</f>
        <v>46259</v>
      </c>
      <c r="D12" s="61" t="n">
        <f aca="false">$C$3+2</f>
        <v>46260</v>
      </c>
      <c r="E12" s="61" t="n">
        <f aca="false">$C$3+3</f>
        <v>46261</v>
      </c>
      <c r="F12" s="61" t="n">
        <f aca="false">$C$3+4</f>
        <v>46262</v>
      </c>
      <c r="G12" s="61" t="n">
        <f aca="false">$C$3+5</f>
        <v>46263</v>
      </c>
      <c r="H12" s="61" t="n">
        <f aca="false">$C$3+6</f>
        <v>46264</v>
      </c>
      <c r="I12" s="32" t="s">
        <v>352</v>
      </c>
      <c r="J12" s="32" t="s">
        <v>353</v>
      </c>
      <c r="K12" s="32" t="s">
        <v>354</v>
      </c>
      <c r="L12" s="32" t="s">
        <v>355</v>
      </c>
    </row>
    <row r="13" customFormat="false" ht="16.5" hidden="false" customHeight="true" outlineLevel="0" collapsed="false">
      <c r="A13" s="23" t="str">
        <f aca="false">IF(Listas!A5="","",Listas!A5)</f>
        <v>Adilton</v>
      </c>
      <c r="B13" s="62" t="n">
        <f aca="false">IF($A13="","",COUNTIFS(Programação!$G$5:$G$1004,$A13,Programação!$L$5:$L$1004,B$12,Programação!$N$5:$N$1004,"&lt;&gt;Cancelada")+COUNTIFS(Programação!$H$5:$H$1004,$A13,Programação!$L$5:$L$1004,B$12,Programação!$N$5:$N$1004,"&lt;&gt;Cancelada")+COUNTIFS(Programação!$I$5:$I$1004,$A13,Programação!$L$5:$L$1004,B$12,Programação!$N$5:$N$1004,"&lt;&gt;Cancelada"))</f>
        <v>3</v>
      </c>
      <c r="C13" s="62" t="n">
        <f aca="false">IF($A13="","",COUNTIFS(Programação!$G$5:$G$1004,$A13,Programação!$L$5:$L$1004,C$12,Programação!$N$5:$N$1004,"&lt;&gt;Cancelada")+COUNTIFS(Programação!$H$5:$H$1004,$A13,Programação!$L$5:$L$1004,C$12,Programação!$N$5:$N$1004,"&lt;&gt;Cancelada")+COUNTIFS(Programação!$I$5:$I$1004,$A13,Programação!$L$5:$L$1004,C$12,Programação!$N$5:$N$1004,"&lt;&gt;Cancelada"))</f>
        <v>13</v>
      </c>
      <c r="D13" s="62" t="n">
        <f aca="false">IF($A13="","",COUNTIFS(Programação!$G$5:$G$1004,$A13,Programação!$L$5:$L$1004,D$12,Programação!$N$5:$N$1004,"&lt;&gt;Cancelada")+COUNTIFS(Programação!$H$5:$H$1004,$A13,Programação!$L$5:$L$1004,D$12,Programação!$N$5:$N$1004,"&lt;&gt;Cancelada")+COUNTIFS(Programação!$I$5:$I$1004,$A13,Programação!$L$5:$L$1004,D$12,Programação!$N$5:$N$1004,"&lt;&gt;Cancelada"))</f>
        <v>12</v>
      </c>
      <c r="E13" s="62" t="n">
        <f aca="false">IF($A13="","",COUNTIFS(Programação!$G$5:$G$1004,$A13,Programação!$L$5:$L$1004,E$12,Programação!$N$5:$N$1004,"&lt;&gt;Cancelada")+COUNTIFS(Programação!$H$5:$H$1004,$A13,Programação!$L$5:$L$1004,E$12,Programação!$N$5:$N$1004,"&lt;&gt;Cancelada")+COUNTIFS(Programação!$I$5:$I$1004,$A13,Programação!$L$5:$L$1004,E$12,Programação!$N$5:$N$1004,"&lt;&gt;Cancelada"))</f>
        <v>13</v>
      </c>
      <c r="F13" s="62" t="n">
        <f aca="false">IF($A13="","",COUNTIFS(Programação!$G$5:$G$1004,$A13,Programação!$L$5:$L$1004,F$12,Programação!$N$5:$N$1004,"&lt;&gt;Cancelada")+COUNTIFS(Programação!$H$5:$H$1004,$A13,Programação!$L$5:$L$1004,F$12,Programação!$N$5:$N$1004,"&lt;&gt;Cancelada")+COUNTIFS(Programação!$I$5:$I$1004,$A13,Programação!$L$5:$L$1004,F$12,Programação!$N$5:$N$1004,"&lt;&gt;Cancelada"))</f>
        <v>0</v>
      </c>
      <c r="G13" s="62" t="n">
        <f aca="false">IF($A13="","",COUNTIFS(Programação!$G$5:$G$1004,$A13,Programação!$L$5:$L$1004,G$12,Programação!$N$5:$N$1004,"&lt;&gt;Cancelada")+COUNTIFS(Programação!$H$5:$H$1004,$A13,Programação!$L$5:$L$1004,G$12,Programação!$N$5:$N$1004,"&lt;&gt;Cancelada")+COUNTIFS(Programação!$I$5:$I$1004,$A13,Programação!$L$5:$L$1004,G$12,Programação!$N$5:$N$1004,"&lt;&gt;Cancelada"))</f>
        <v>0</v>
      </c>
      <c r="H13" s="62" t="n">
        <f aca="false">IF($A13="","",COUNTIFS(Programação!$G$5:$G$1004,$A13,Programação!$L$5:$L$1004,H$12,Programação!$N$5:$N$1004,"&lt;&gt;Cancelada")+COUNTIFS(Programação!$H$5:$H$1004,$A13,Programação!$L$5:$L$1004,H$12,Programação!$N$5:$N$1004,"&lt;&gt;Cancelada")+COUNTIFS(Programação!$I$5:$I$1004,$A13,Programação!$L$5:$L$1004,H$12,Programação!$N$5:$N$1004,"&lt;&gt;Cancelada"))</f>
        <v>0</v>
      </c>
      <c r="I13" s="63" t="n">
        <f aca="false">IF($A13="","",SUM($B13:$H13))</f>
        <v>41</v>
      </c>
      <c r="J13" s="63" t="n">
        <f aca="false">IF($A13="","",SUMIFS(Programação!$Y$5:$Y$1004,Programação!$G$5:$G$1004,$A13,Programação!$L$5:$L$1004,"&gt;="&amp;$C$3,Programação!$L$5:$L$1004,"&lt;="&amp;$C$3+6)+SUMIFS(Programação!$Y$5:$Y$1004,Programação!$H$5:$H$1004,$A13,Programação!$L$5:$L$1004,"&gt;="&amp;$C$3,Programação!$L$5:$L$1004,"&lt;="&amp;$C$3+6)+SUMIFS(Programação!$Y$5:$Y$1004,Programação!$I$5:$I$1004,$A13,Programação!$L$5:$L$1004,"&gt;="&amp;$C$3,Programação!$L$5:$L$1004,"&lt;="&amp;$C$3+6))</f>
        <v>28</v>
      </c>
      <c r="K13" s="64" t="n">
        <f aca="false">IF(OR($A13="",$I13=0),"",$J13/$I13)</f>
        <v>0.682926829268293</v>
      </c>
      <c r="L13" s="63" t="n">
        <f aca="true">IF($A13="","",COUNTIFS(Programação!$G$5:$G$1004,$A13,Programação!$L$5:$L$1004,"&gt;="&amp;$C$3,Programação!$L$5:$L$1004,"&lt;="&amp;$C$3+6,Programação!$L$5:$L$1004,"&lt;"&amp;TODAY(),Programação!$Y$5:$Y$1004,0,Programação!$N$5:$N$1004,"&lt;&gt;Cancelada")+COUNTIFS(Programação!$H$5:$H$1004,$A13,Programação!$L$5:$L$1004,"&gt;="&amp;$C$3,Programação!$L$5:$L$1004,"&lt;="&amp;$C$3+6,Programação!$L$5:$L$1004,"&lt;"&amp;TODAY(),Programação!$Y$5:$Y$1004,0,Programação!$N$5:$N$1004,"&lt;&gt;Cancelada")+COUNTIFS(Programação!$I$5:$I$1004,$A13,Programação!$L$5:$L$1004,"&gt;="&amp;$C$3,Programação!$L$5:$L$1004,"&lt;="&amp;$C$3+6,Programação!$L$5:$L$1004,"&lt;"&amp;TODAY(),Programação!$Y$5:$Y$1004,0,Programação!$N$5:$N$1004,"&lt;&gt;Cancelada"))</f>
        <v>0</v>
      </c>
    </row>
    <row r="14" customFormat="false" ht="16.5" hidden="false" customHeight="true" outlineLevel="0" collapsed="false">
      <c r="A14" s="23" t="str">
        <f aca="false">IF(Listas!A6="","",Listas!A6)</f>
        <v>Airton</v>
      </c>
      <c r="B14" s="62" t="n">
        <f aca="false">IF($A14="","",COUNTIFS(Programação!$G$5:$G$1004,$A14,Programação!$L$5:$L$1004,B$12,Programação!$N$5:$N$1004,"&lt;&gt;Cancelada")+COUNTIFS(Programação!$H$5:$H$1004,$A14,Programação!$L$5:$L$1004,B$12,Programação!$N$5:$N$1004,"&lt;&gt;Cancelada")+COUNTIFS(Programação!$I$5:$I$1004,$A14,Programação!$L$5:$L$1004,B$12,Programação!$N$5:$N$1004,"&lt;&gt;Cancelada"))</f>
        <v>0</v>
      </c>
      <c r="C14" s="62" t="n">
        <f aca="false">IF($A14="","",COUNTIFS(Programação!$G$5:$G$1004,$A14,Programação!$L$5:$L$1004,C$12,Programação!$N$5:$N$1004,"&lt;&gt;Cancelada")+COUNTIFS(Programação!$H$5:$H$1004,$A14,Programação!$L$5:$L$1004,C$12,Programação!$N$5:$N$1004,"&lt;&gt;Cancelada")+COUNTIFS(Programação!$I$5:$I$1004,$A14,Programação!$L$5:$L$1004,C$12,Programação!$N$5:$N$1004,"&lt;&gt;Cancelada"))</f>
        <v>0</v>
      </c>
      <c r="D14" s="62" t="n">
        <f aca="false">IF($A14="","",COUNTIFS(Programação!$G$5:$G$1004,$A14,Programação!$L$5:$L$1004,D$12,Programação!$N$5:$N$1004,"&lt;&gt;Cancelada")+COUNTIFS(Programação!$H$5:$H$1004,$A14,Programação!$L$5:$L$1004,D$12,Programação!$N$5:$N$1004,"&lt;&gt;Cancelada")+COUNTIFS(Programação!$I$5:$I$1004,$A14,Programação!$L$5:$L$1004,D$12,Programação!$N$5:$N$1004,"&lt;&gt;Cancelada"))</f>
        <v>17</v>
      </c>
      <c r="E14" s="62" t="n">
        <f aca="false">IF($A14="","",COUNTIFS(Programação!$G$5:$G$1004,$A14,Programação!$L$5:$L$1004,E$12,Programação!$N$5:$N$1004,"&lt;&gt;Cancelada")+COUNTIFS(Programação!$H$5:$H$1004,$A14,Programação!$L$5:$L$1004,E$12,Programação!$N$5:$N$1004,"&lt;&gt;Cancelada")+COUNTIFS(Programação!$I$5:$I$1004,$A14,Programação!$L$5:$L$1004,E$12,Programação!$N$5:$N$1004,"&lt;&gt;Cancelada"))</f>
        <v>40</v>
      </c>
      <c r="F14" s="62" t="n">
        <f aca="false">IF($A14="","",COUNTIFS(Programação!$G$5:$G$1004,$A14,Programação!$L$5:$L$1004,F$12,Programação!$N$5:$N$1004,"&lt;&gt;Cancelada")+COUNTIFS(Programação!$H$5:$H$1004,$A14,Programação!$L$5:$L$1004,F$12,Programação!$N$5:$N$1004,"&lt;&gt;Cancelada")+COUNTIFS(Programação!$I$5:$I$1004,$A14,Programação!$L$5:$L$1004,F$12,Programação!$N$5:$N$1004,"&lt;&gt;Cancelada"))</f>
        <v>0</v>
      </c>
      <c r="G14" s="62" t="n">
        <f aca="false">IF($A14="","",COUNTIFS(Programação!$G$5:$G$1004,$A14,Programação!$L$5:$L$1004,G$12,Programação!$N$5:$N$1004,"&lt;&gt;Cancelada")+COUNTIFS(Programação!$H$5:$H$1004,$A14,Programação!$L$5:$L$1004,G$12,Programação!$N$5:$N$1004,"&lt;&gt;Cancelada")+COUNTIFS(Programação!$I$5:$I$1004,$A14,Programação!$L$5:$L$1004,G$12,Programação!$N$5:$N$1004,"&lt;&gt;Cancelada"))</f>
        <v>0</v>
      </c>
      <c r="H14" s="62" t="n">
        <f aca="false">IF($A14="","",COUNTIFS(Programação!$G$5:$G$1004,$A14,Programação!$L$5:$L$1004,H$12,Programação!$N$5:$N$1004,"&lt;&gt;Cancelada")+COUNTIFS(Programação!$H$5:$H$1004,$A14,Programação!$L$5:$L$1004,H$12,Programação!$N$5:$N$1004,"&lt;&gt;Cancelada")+COUNTIFS(Programação!$I$5:$I$1004,$A14,Programação!$L$5:$L$1004,H$12,Programação!$N$5:$N$1004,"&lt;&gt;Cancelada"))</f>
        <v>0</v>
      </c>
      <c r="I14" s="63" t="n">
        <f aca="false">IF($A14="","",SUM($B14:$H14))</f>
        <v>57</v>
      </c>
      <c r="J14" s="63" t="n">
        <f aca="false">IF($A14="","",SUMIFS(Programação!$Y$5:$Y$1004,Programação!$G$5:$G$1004,$A14,Programação!$L$5:$L$1004,"&gt;="&amp;$C$3,Programação!$L$5:$L$1004,"&lt;="&amp;$C$3+6)+SUMIFS(Programação!$Y$5:$Y$1004,Programação!$H$5:$H$1004,$A14,Programação!$L$5:$L$1004,"&gt;="&amp;$C$3,Programação!$L$5:$L$1004,"&lt;="&amp;$C$3+6)+SUMIFS(Programação!$Y$5:$Y$1004,Programação!$I$5:$I$1004,$A14,Programação!$L$5:$L$1004,"&gt;="&amp;$C$3,Programação!$L$5:$L$1004,"&lt;="&amp;$C$3+6))</f>
        <v>15</v>
      </c>
      <c r="K14" s="64" t="n">
        <f aca="false">IF(OR($A14="",$I14=0),"",$J14/$I14)</f>
        <v>0.263157894736842</v>
      </c>
      <c r="L14" s="63" t="n">
        <f aca="true">IF($A14="","",COUNTIFS(Programação!$G$5:$G$1004,$A14,Programação!$L$5:$L$1004,"&gt;="&amp;$C$3,Programação!$L$5:$L$1004,"&lt;="&amp;$C$3+6,Programação!$L$5:$L$1004,"&lt;"&amp;TODAY(),Programação!$Y$5:$Y$1004,0,Programação!$N$5:$N$1004,"&lt;&gt;Cancelada")+COUNTIFS(Programação!$H$5:$H$1004,$A14,Programação!$L$5:$L$1004,"&gt;="&amp;$C$3,Programação!$L$5:$L$1004,"&lt;="&amp;$C$3+6,Programação!$L$5:$L$1004,"&lt;"&amp;TODAY(),Programação!$Y$5:$Y$1004,0,Programação!$N$5:$N$1004,"&lt;&gt;Cancelada")+COUNTIFS(Programação!$I$5:$I$1004,$A14,Programação!$L$5:$L$1004,"&gt;="&amp;$C$3,Programação!$L$5:$L$1004,"&lt;="&amp;$C$3+6,Programação!$L$5:$L$1004,"&lt;"&amp;TODAY(),Programação!$Y$5:$Y$1004,0,Programação!$N$5:$N$1004,"&lt;&gt;Cancelada"))</f>
        <v>2</v>
      </c>
    </row>
    <row r="15" customFormat="false" ht="16.5" hidden="false" customHeight="true" outlineLevel="0" collapsed="false">
      <c r="A15" s="23" t="str">
        <f aca="false">IF(Listas!A7="","",Listas!A7)</f>
        <v>Alexandre</v>
      </c>
      <c r="B15" s="62" t="n">
        <f aca="false">IF($A15="","",COUNTIFS(Programação!$G$5:$G$1004,$A15,Programação!$L$5:$L$1004,B$12,Programação!$N$5:$N$1004,"&lt;&gt;Cancelada")+COUNTIFS(Programação!$H$5:$H$1004,$A15,Programação!$L$5:$L$1004,B$12,Programação!$N$5:$N$1004,"&lt;&gt;Cancelada")+COUNTIFS(Programação!$I$5:$I$1004,$A15,Programação!$L$5:$L$1004,B$12,Programação!$N$5:$N$1004,"&lt;&gt;Cancelada"))</f>
        <v>3</v>
      </c>
      <c r="C15" s="62" t="n">
        <f aca="false">IF($A15="","",COUNTIFS(Programação!$G$5:$G$1004,$A15,Programação!$L$5:$L$1004,C$12,Programação!$N$5:$N$1004,"&lt;&gt;Cancelada")+COUNTIFS(Programação!$H$5:$H$1004,$A15,Programação!$L$5:$L$1004,C$12,Programação!$N$5:$N$1004,"&lt;&gt;Cancelada")+COUNTIFS(Programação!$I$5:$I$1004,$A15,Programação!$L$5:$L$1004,C$12,Programação!$N$5:$N$1004,"&lt;&gt;Cancelada"))</f>
        <v>3</v>
      </c>
      <c r="D15" s="62" t="n">
        <f aca="false">IF($A15="","",COUNTIFS(Programação!$G$5:$G$1004,$A15,Programação!$L$5:$L$1004,D$12,Programação!$N$5:$N$1004,"&lt;&gt;Cancelada")+COUNTIFS(Programação!$H$5:$H$1004,$A15,Programação!$L$5:$L$1004,D$12,Programação!$N$5:$N$1004,"&lt;&gt;Cancelada")+COUNTIFS(Programação!$I$5:$I$1004,$A15,Programação!$L$5:$L$1004,D$12,Programação!$N$5:$N$1004,"&lt;&gt;Cancelada"))</f>
        <v>2</v>
      </c>
      <c r="E15" s="62" t="n">
        <f aca="false">IF($A15="","",COUNTIFS(Programação!$G$5:$G$1004,$A15,Programação!$L$5:$L$1004,E$12,Programação!$N$5:$N$1004,"&lt;&gt;Cancelada")+COUNTIFS(Programação!$H$5:$H$1004,$A15,Programação!$L$5:$L$1004,E$12,Programação!$N$5:$N$1004,"&lt;&gt;Cancelada")+COUNTIFS(Programação!$I$5:$I$1004,$A15,Programação!$L$5:$L$1004,E$12,Programação!$N$5:$N$1004,"&lt;&gt;Cancelada"))</f>
        <v>0</v>
      </c>
      <c r="F15" s="62" t="n">
        <f aca="false">IF($A15="","",COUNTIFS(Programação!$G$5:$G$1004,$A15,Programação!$L$5:$L$1004,F$12,Programação!$N$5:$N$1004,"&lt;&gt;Cancelada")+COUNTIFS(Programação!$H$5:$H$1004,$A15,Programação!$L$5:$L$1004,F$12,Programação!$N$5:$N$1004,"&lt;&gt;Cancelada")+COUNTIFS(Programação!$I$5:$I$1004,$A15,Programação!$L$5:$L$1004,F$12,Programação!$N$5:$N$1004,"&lt;&gt;Cancelada"))</f>
        <v>0</v>
      </c>
      <c r="G15" s="62" t="n">
        <f aca="false">IF($A15="","",COUNTIFS(Programação!$G$5:$G$1004,$A15,Programação!$L$5:$L$1004,G$12,Programação!$N$5:$N$1004,"&lt;&gt;Cancelada")+COUNTIFS(Programação!$H$5:$H$1004,$A15,Programação!$L$5:$L$1004,G$12,Programação!$N$5:$N$1004,"&lt;&gt;Cancelada")+COUNTIFS(Programação!$I$5:$I$1004,$A15,Programação!$L$5:$L$1004,G$12,Programação!$N$5:$N$1004,"&lt;&gt;Cancelada"))</f>
        <v>0</v>
      </c>
      <c r="H15" s="62" t="n">
        <f aca="false">IF($A15="","",COUNTIFS(Programação!$G$5:$G$1004,$A15,Programação!$L$5:$L$1004,H$12,Programação!$N$5:$N$1004,"&lt;&gt;Cancelada")+COUNTIFS(Programação!$H$5:$H$1004,$A15,Programação!$L$5:$L$1004,H$12,Programação!$N$5:$N$1004,"&lt;&gt;Cancelada")+COUNTIFS(Programação!$I$5:$I$1004,$A15,Programação!$L$5:$L$1004,H$12,Programação!$N$5:$N$1004,"&lt;&gt;Cancelada"))</f>
        <v>0</v>
      </c>
      <c r="I15" s="63" t="n">
        <f aca="false">IF($A15="","",SUM($B15:$H15))</f>
        <v>8</v>
      </c>
      <c r="J15" s="63" t="n">
        <f aca="false">IF($A15="","",SUMIFS(Programação!$Y$5:$Y$1004,Programação!$G$5:$G$1004,$A15,Programação!$L$5:$L$1004,"&gt;="&amp;$C$3,Programação!$L$5:$L$1004,"&lt;="&amp;$C$3+6)+SUMIFS(Programação!$Y$5:$Y$1004,Programação!$H$5:$H$1004,$A15,Programação!$L$5:$L$1004,"&gt;="&amp;$C$3,Programação!$L$5:$L$1004,"&lt;="&amp;$C$3+6)+SUMIFS(Programação!$Y$5:$Y$1004,Programação!$I$5:$I$1004,$A15,Programação!$L$5:$L$1004,"&gt;="&amp;$C$3,Programação!$L$5:$L$1004,"&lt;="&amp;$C$3+6))</f>
        <v>8</v>
      </c>
      <c r="K15" s="64" t="n">
        <f aca="false">IF(OR($A15="",$I15=0),"",$J15/$I15)</f>
        <v>1</v>
      </c>
      <c r="L15" s="63" t="n">
        <f aca="true">IF($A15="","",COUNTIFS(Programação!$G$5:$G$1004,$A15,Programação!$L$5:$L$1004,"&gt;="&amp;$C$3,Programação!$L$5:$L$1004,"&lt;="&amp;$C$3+6,Programação!$L$5:$L$1004,"&lt;"&amp;TODAY(),Programação!$Y$5:$Y$1004,0,Programação!$N$5:$N$1004,"&lt;&gt;Cancelada")+COUNTIFS(Programação!$H$5:$H$1004,$A15,Programação!$L$5:$L$1004,"&gt;="&amp;$C$3,Programação!$L$5:$L$1004,"&lt;="&amp;$C$3+6,Programação!$L$5:$L$1004,"&lt;"&amp;TODAY(),Programação!$Y$5:$Y$1004,0,Programação!$N$5:$N$1004,"&lt;&gt;Cancelada")+COUNTIFS(Programação!$I$5:$I$1004,$A15,Programação!$L$5:$L$1004,"&gt;="&amp;$C$3,Programação!$L$5:$L$1004,"&lt;="&amp;$C$3+6,Programação!$L$5:$L$1004,"&lt;"&amp;TODAY(),Programação!$Y$5:$Y$1004,0,Programação!$N$5:$N$1004,"&lt;&gt;Cancelada"))</f>
        <v>0</v>
      </c>
    </row>
    <row r="16" customFormat="false" ht="16.5" hidden="false" customHeight="true" outlineLevel="0" collapsed="false">
      <c r="A16" s="23" t="str">
        <f aca="false">IF(Listas!A8="","",Listas!A8)</f>
        <v>Gabriel</v>
      </c>
      <c r="B16" s="62" t="n">
        <f aca="false">IF($A16="","",COUNTIFS(Programação!$G$5:$G$1004,$A16,Programação!$L$5:$L$1004,B$12,Programação!$N$5:$N$1004,"&lt;&gt;Cancelada")+COUNTIFS(Programação!$H$5:$H$1004,$A16,Programação!$L$5:$L$1004,B$12,Programação!$N$5:$N$1004,"&lt;&gt;Cancelada")+COUNTIFS(Programação!$I$5:$I$1004,$A16,Programação!$L$5:$L$1004,B$12,Programação!$N$5:$N$1004,"&lt;&gt;Cancelada"))</f>
        <v>0</v>
      </c>
      <c r="C16" s="62" t="n">
        <f aca="false">IF($A16="","",COUNTIFS(Programação!$G$5:$G$1004,$A16,Programação!$L$5:$L$1004,C$12,Programação!$N$5:$N$1004,"&lt;&gt;Cancelada")+COUNTIFS(Programação!$H$5:$H$1004,$A16,Programação!$L$5:$L$1004,C$12,Programação!$N$5:$N$1004,"&lt;&gt;Cancelada")+COUNTIFS(Programação!$I$5:$I$1004,$A16,Programação!$L$5:$L$1004,C$12,Programação!$N$5:$N$1004,"&lt;&gt;Cancelada"))</f>
        <v>10</v>
      </c>
      <c r="D16" s="62" t="n">
        <f aca="false">IF($A16="","",COUNTIFS(Programação!$G$5:$G$1004,$A16,Programação!$L$5:$L$1004,D$12,Programação!$N$5:$N$1004,"&lt;&gt;Cancelada")+COUNTIFS(Programação!$H$5:$H$1004,$A16,Programação!$L$5:$L$1004,D$12,Programação!$N$5:$N$1004,"&lt;&gt;Cancelada")+COUNTIFS(Programação!$I$5:$I$1004,$A16,Programação!$L$5:$L$1004,D$12,Programação!$N$5:$N$1004,"&lt;&gt;Cancelada"))</f>
        <v>10</v>
      </c>
      <c r="E16" s="62" t="n">
        <f aca="false">IF($A16="","",COUNTIFS(Programação!$G$5:$G$1004,$A16,Programação!$L$5:$L$1004,E$12,Programação!$N$5:$N$1004,"&lt;&gt;Cancelada")+COUNTIFS(Programação!$H$5:$H$1004,$A16,Programação!$L$5:$L$1004,E$12,Programação!$N$5:$N$1004,"&lt;&gt;Cancelada")+COUNTIFS(Programação!$I$5:$I$1004,$A16,Programação!$L$5:$L$1004,E$12,Programação!$N$5:$N$1004,"&lt;&gt;Cancelada"))</f>
        <v>16</v>
      </c>
      <c r="F16" s="62" t="n">
        <f aca="false">IF($A16="","",COUNTIFS(Programação!$G$5:$G$1004,$A16,Programação!$L$5:$L$1004,F$12,Programação!$N$5:$N$1004,"&lt;&gt;Cancelada")+COUNTIFS(Programação!$H$5:$H$1004,$A16,Programação!$L$5:$L$1004,F$12,Programação!$N$5:$N$1004,"&lt;&gt;Cancelada")+COUNTIFS(Programação!$I$5:$I$1004,$A16,Programação!$L$5:$L$1004,F$12,Programação!$N$5:$N$1004,"&lt;&gt;Cancelada"))</f>
        <v>0</v>
      </c>
      <c r="G16" s="62" t="n">
        <f aca="false">IF($A16="","",COUNTIFS(Programação!$G$5:$G$1004,$A16,Programação!$L$5:$L$1004,G$12,Programação!$N$5:$N$1004,"&lt;&gt;Cancelada")+COUNTIFS(Programação!$H$5:$H$1004,$A16,Programação!$L$5:$L$1004,G$12,Programação!$N$5:$N$1004,"&lt;&gt;Cancelada")+COUNTIFS(Programação!$I$5:$I$1004,$A16,Programação!$L$5:$L$1004,G$12,Programação!$N$5:$N$1004,"&lt;&gt;Cancelada"))</f>
        <v>0</v>
      </c>
      <c r="H16" s="62" t="n">
        <f aca="false">IF($A16="","",COUNTIFS(Programação!$G$5:$G$1004,$A16,Programação!$L$5:$L$1004,H$12,Programação!$N$5:$N$1004,"&lt;&gt;Cancelada")+COUNTIFS(Programação!$H$5:$H$1004,$A16,Programação!$L$5:$L$1004,H$12,Programação!$N$5:$N$1004,"&lt;&gt;Cancelada")+COUNTIFS(Programação!$I$5:$I$1004,$A16,Programação!$L$5:$L$1004,H$12,Programação!$N$5:$N$1004,"&lt;&gt;Cancelada"))</f>
        <v>0</v>
      </c>
      <c r="I16" s="63" t="n">
        <f aca="false">IF($A16="","",SUM($B16:$H16))</f>
        <v>36</v>
      </c>
      <c r="J16" s="63" t="n">
        <f aca="false">IF($A16="","",SUMIFS(Programação!$Y$5:$Y$1004,Programação!$G$5:$G$1004,$A16,Programação!$L$5:$L$1004,"&gt;="&amp;$C$3,Programação!$L$5:$L$1004,"&lt;="&amp;$C$3+6)+SUMIFS(Programação!$Y$5:$Y$1004,Programação!$H$5:$H$1004,$A16,Programação!$L$5:$L$1004,"&gt;="&amp;$C$3,Programação!$L$5:$L$1004,"&lt;="&amp;$C$3+6)+SUMIFS(Programação!$Y$5:$Y$1004,Programação!$I$5:$I$1004,$A16,Programação!$L$5:$L$1004,"&gt;="&amp;$C$3,Programação!$L$5:$L$1004,"&lt;="&amp;$C$3+6))</f>
        <v>20</v>
      </c>
      <c r="K16" s="64" t="n">
        <f aca="false">IF(OR($A16="",$I16=0),"",$J16/$I16)</f>
        <v>0.555555555555556</v>
      </c>
      <c r="L16" s="63" t="n">
        <f aca="true">IF($A16="","",COUNTIFS(Programação!$G$5:$G$1004,$A16,Programação!$L$5:$L$1004,"&gt;="&amp;$C$3,Programação!$L$5:$L$1004,"&lt;="&amp;$C$3+6,Programação!$L$5:$L$1004,"&lt;"&amp;TODAY(),Programação!$Y$5:$Y$1004,0,Programação!$N$5:$N$1004,"&lt;&gt;Cancelada")+COUNTIFS(Programação!$H$5:$H$1004,$A16,Programação!$L$5:$L$1004,"&gt;="&amp;$C$3,Programação!$L$5:$L$1004,"&lt;="&amp;$C$3+6,Programação!$L$5:$L$1004,"&lt;"&amp;TODAY(),Programação!$Y$5:$Y$1004,0,Programação!$N$5:$N$1004,"&lt;&gt;Cancelada")+COUNTIFS(Programação!$I$5:$I$1004,$A16,Programação!$L$5:$L$1004,"&gt;="&amp;$C$3,Programação!$L$5:$L$1004,"&lt;="&amp;$C$3+6,Programação!$L$5:$L$1004,"&lt;"&amp;TODAY(),Programação!$Y$5:$Y$1004,0,Programação!$N$5:$N$1004,"&lt;&gt;Cancelada"))</f>
        <v>0</v>
      </c>
    </row>
    <row r="17" customFormat="false" ht="16.5" hidden="false" customHeight="true" outlineLevel="0" collapsed="false">
      <c r="A17" s="23" t="str">
        <f aca="false">IF(Listas!A9="","",Listas!A9)</f>
        <v>Heliton</v>
      </c>
      <c r="B17" s="62" t="n">
        <f aca="false">IF($A17="","",COUNTIFS(Programação!$G$5:$G$1004,$A17,Programação!$L$5:$L$1004,B$12,Programação!$N$5:$N$1004,"&lt;&gt;Cancelada")+COUNTIFS(Programação!$H$5:$H$1004,$A17,Programação!$L$5:$L$1004,B$12,Programação!$N$5:$N$1004,"&lt;&gt;Cancelada")+COUNTIFS(Programação!$I$5:$I$1004,$A17,Programação!$L$5:$L$1004,B$12,Programação!$N$5:$N$1004,"&lt;&gt;Cancelada"))</f>
        <v>0</v>
      </c>
      <c r="C17" s="62" t="n">
        <f aca="false">IF($A17="","",COUNTIFS(Programação!$G$5:$G$1004,$A17,Programação!$L$5:$L$1004,C$12,Programação!$N$5:$N$1004,"&lt;&gt;Cancelada")+COUNTIFS(Programação!$H$5:$H$1004,$A17,Programação!$L$5:$L$1004,C$12,Programação!$N$5:$N$1004,"&lt;&gt;Cancelada")+COUNTIFS(Programação!$I$5:$I$1004,$A17,Programação!$L$5:$L$1004,C$12,Programação!$N$5:$N$1004,"&lt;&gt;Cancelada"))</f>
        <v>0</v>
      </c>
      <c r="D17" s="62" t="n">
        <f aca="false">IF($A17="","",COUNTIFS(Programação!$G$5:$G$1004,$A17,Programação!$L$5:$L$1004,D$12,Programação!$N$5:$N$1004,"&lt;&gt;Cancelada")+COUNTIFS(Programação!$H$5:$H$1004,$A17,Programação!$L$5:$L$1004,D$12,Programação!$N$5:$N$1004,"&lt;&gt;Cancelada")+COUNTIFS(Programação!$I$5:$I$1004,$A17,Programação!$L$5:$L$1004,D$12,Programação!$N$5:$N$1004,"&lt;&gt;Cancelada"))</f>
        <v>0</v>
      </c>
      <c r="E17" s="62" t="n">
        <f aca="false">IF($A17="","",COUNTIFS(Programação!$G$5:$G$1004,$A17,Programação!$L$5:$L$1004,E$12,Programação!$N$5:$N$1004,"&lt;&gt;Cancelada")+COUNTIFS(Programação!$H$5:$H$1004,$A17,Programação!$L$5:$L$1004,E$12,Programação!$N$5:$N$1004,"&lt;&gt;Cancelada")+COUNTIFS(Programação!$I$5:$I$1004,$A17,Programação!$L$5:$L$1004,E$12,Programação!$N$5:$N$1004,"&lt;&gt;Cancelada"))</f>
        <v>34</v>
      </c>
      <c r="F17" s="62" t="n">
        <f aca="false">IF($A17="","",COUNTIFS(Programação!$G$5:$G$1004,$A17,Programação!$L$5:$L$1004,F$12,Programação!$N$5:$N$1004,"&lt;&gt;Cancelada")+COUNTIFS(Programação!$H$5:$H$1004,$A17,Programação!$L$5:$L$1004,F$12,Programação!$N$5:$N$1004,"&lt;&gt;Cancelada")+COUNTIFS(Programação!$I$5:$I$1004,$A17,Programação!$L$5:$L$1004,F$12,Programação!$N$5:$N$1004,"&lt;&gt;Cancelada"))</f>
        <v>0</v>
      </c>
      <c r="G17" s="62" t="n">
        <f aca="false">IF($A17="","",COUNTIFS(Programação!$G$5:$G$1004,$A17,Programação!$L$5:$L$1004,G$12,Programação!$N$5:$N$1004,"&lt;&gt;Cancelada")+COUNTIFS(Programação!$H$5:$H$1004,$A17,Programação!$L$5:$L$1004,G$12,Programação!$N$5:$N$1004,"&lt;&gt;Cancelada")+COUNTIFS(Programação!$I$5:$I$1004,$A17,Programação!$L$5:$L$1004,G$12,Programação!$N$5:$N$1004,"&lt;&gt;Cancelada"))</f>
        <v>0</v>
      </c>
      <c r="H17" s="62" t="n">
        <f aca="false">IF($A17="","",COUNTIFS(Programação!$G$5:$G$1004,$A17,Programação!$L$5:$L$1004,H$12,Programação!$N$5:$N$1004,"&lt;&gt;Cancelada")+COUNTIFS(Programação!$H$5:$H$1004,$A17,Programação!$L$5:$L$1004,H$12,Programação!$N$5:$N$1004,"&lt;&gt;Cancelada")+COUNTIFS(Programação!$I$5:$I$1004,$A17,Programação!$L$5:$L$1004,H$12,Programação!$N$5:$N$1004,"&lt;&gt;Cancelada"))</f>
        <v>0</v>
      </c>
      <c r="I17" s="63" t="n">
        <f aca="false">IF($A17="","",SUM($B17:$H17))</f>
        <v>34</v>
      </c>
      <c r="J17" s="63" t="n">
        <f aca="false">IF($A17="","",SUMIFS(Programação!$Y$5:$Y$1004,Programação!$G$5:$G$1004,$A17,Programação!$L$5:$L$1004,"&gt;="&amp;$C$3,Programação!$L$5:$L$1004,"&lt;="&amp;$C$3+6)+SUMIFS(Programação!$Y$5:$Y$1004,Programação!$H$5:$H$1004,$A17,Programação!$L$5:$L$1004,"&gt;="&amp;$C$3,Programação!$L$5:$L$1004,"&lt;="&amp;$C$3+6)+SUMIFS(Programação!$Y$5:$Y$1004,Programação!$I$5:$I$1004,$A17,Programação!$L$5:$L$1004,"&gt;="&amp;$C$3,Programação!$L$5:$L$1004,"&lt;="&amp;$C$3+6))</f>
        <v>0</v>
      </c>
      <c r="K17" s="64" t="n">
        <f aca="false">IF(OR($A17="",$I17=0),"",$J17/$I17)</f>
        <v>0</v>
      </c>
      <c r="L17" s="63" t="n">
        <f aca="true">IF($A17="","",COUNTIFS(Programação!$G$5:$G$1004,$A17,Programação!$L$5:$L$1004,"&gt;="&amp;$C$3,Programação!$L$5:$L$1004,"&lt;="&amp;$C$3+6,Programação!$L$5:$L$1004,"&lt;"&amp;TODAY(),Programação!$Y$5:$Y$1004,0,Programação!$N$5:$N$1004,"&lt;&gt;Cancelada")+COUNTIFS(Programação!$H$5:$H$1004,$A17,Programação!$L$5:$L$1004,"&gt;="&amp;$C$3,Programação!$L$5:$L$1004,"&lt;="&amp;$C$3+6,Programação!$L$5:$L$1004,"&lt;"&amp;TODAY(),Programação!$Y$5:$Y$1004,0,Programação!$N$5:$N$1004,"&lt;&gt;Cancelada")+COUNTIFS(Programação!$I$5:$I$1004,$A17,Programação!$L$5:$L$1004,"&gt;="&amp;$C$3,Programação!$L$5:$L$1004,"&lt;="&amp;$C$3+6,Programação!$L$5:$L$1004,"&lt;"&amp;TODAY(),Programação!$Y$5:$Y$1004,0,Programação!$N$5:$N$1004,"&lt;&gt;Cancelada"))</f>
        <v>0</v>
      </c>
    </row>
    <row r="18" customFormat="false" ht="16.5" hidden="false" customHeight="true" outlineLevel="0" collapsed="false">
      <c r="A18" s="23" t="str">
        <f aca="false">IF(Listas!A10="","",Listas!A10)</f>
        <v>Júnior</v>
      </c>
      <c r="B18" s="62" t="n">
        <f aca="false">IF($A18="","",COUNTIFS(Programação!$G$5:$G$1004,$A18,Programação!$L$5:$L$1004,B$12,Programação!$N$5:$N$1004,"&lt;&gt;Cancelada")+COUNTIFS(Programação!$H$5:$H$1004,$A18,Programação!$L$5:$L$1004,B$12,Programação!$N$5:$N$1004,"&lt;&gt;Cancelada")+COUNTIFS(Programação!$I$5:$I$1004,$A18,Programação!$L$5:$L$1004,B$12,Programação!$N$5:$N$1004,"&lt;&gt;Cancelada"))</f>
        <v>0</v>
      </c>
      <c r="C18" s="62" t="n">
        <f aca="false">IF($A18="","",COUNTIFS(Programação!$G$5:$G$1004,$A18,Programação!$L$5:$L$1004,C$12,Programação!$N$5:$N$1004,"&lt;&gt;Cancelada")+COUNTIFS(Programação!$H$5:$H$1004,$A18,Programação!$L$5:$L$1004,C$12,Programação!$N$5:$N$1004,"&lt;&gt;Cancelada")+COUNTIFS(Programação!$I$5:$I$1004,$A18,Programação!$L$5:$L$1004,C$12,Programação!$N$5:$N$1004,"&lt;&gt;Cancelada"))</f>
        <v>10</v>
      </c>
      <c r="D18" s="62" t="n">
        <f aca="false">IF($A18="","",COUNTIFS(Programação!$G$5:$G$1004,$A18,Programação!$L$5:$L$1004,D$12,Programação!$N$5:$N$1004,"&lt;&gt;Cancelada")+COUNTIFS(Programação!$H$5:$H$1004,$A18,Programação!$L$5:$L$1004,D$12,Programação!$N$5:$N$1004,"&lt;&gt;Cancelada")+COUNTIFS(Programação!$I$5:$I$1004,$A18,Programação!$L$5:$L$1004,D$12,Programação!$N$5:$N$1004,"&lt;&gt;Cancelada"))</f>
        <v>23</v>
      </c>
      <c r="E18" s="62" t="n">
        <f aca="false">IF($A18="","",COUNTIFS(Programação!$G$5:$G$1004,$A18,Programação!$L$5:$L$1004,E$12,Programação!$N$5:$N$1004,"&lt;&gt;Cancelada")+COUNTIFS(Programação!$H$5:$H$1004,$A18,Programação!$L$5:$L$1004,E$12,Programação!$N$5:$N$1004,"&lt;&gt;Cancelada")+COUNTIFS(Programação!$I$5:$I$1004,$A18,Programação!$L$5:$L$1004,E$12,Programação!$N$5:$N$1004,"&lt;&gt;Cancelada"))</f>
        <v>8</v>
      </c>
      <c r="F18" s="62" t="n">
        <f aca="false">IF($A18="","",COUNTIFS(Programação!$G$5:$G$1004,$A18,Programação!$L$5:$L$1004,F$12,Programação!$N$5:$N$1004,"&lt;&gt;Cancelada")+COUNTIFS(Programação!$H$5:$H$1004,$A18,Programação!$L$5:$L$1004,F$12,Programação!$N$5:$N$1004,"&lt;&gt;Cancelada")+COUNTIFS(Programação!$I$5:$I$1004,$A18,Programação!$L$5:$L$1004,F$12,Programação!$N$5:$N$1004,"&lt;&gt;Cancelada"))</f>
        <v>0</v>
      </c>
      <c r="G18" s="62" t="n">
        <f aca="false">IF($A18="","",COUNTIFS(Programação!$G$5:$G$1004,$A18,Programação!$L$5:$L$1004,G$12,Programação!$N$5:$N$1004,"&lt;&gt;Cancelada")+COUNTIFS(Programação!$H$5:$H$1004,$A18,Programação!$L$5:$L$1004,G$12,Programação!$N$5:$N$1004,"&lt;&gt;Cancelada")+COUNTIFS(Programação!$I$5:$I$1004,$A18,Programação!$L$5:$L$1004,G$12,Programação!$N$5:$N$1004,"&lt;&gt;Cancelada"))</f>
        <v>0</v>
      </c>
      <c r="H18" s="62" t="n">
        <f aca="false">IF($A18="","",COUNTIFS(Programação!$G$5:$G$1004,$A18,Programação!$L$5:$L$1004,H$12,Programação!$N$5:$N$1004,"&lt;&gt;Cancelada")+COUNTIFS(Programação!$H$5:$H$1004,$A18,Programação!$L$5:$L$1004,H$12,Programação!$N$5:$N$1004,"&lt;&gt;Cancelada")+COUNTIFS(Programação!$I$5:$I$1004,$A18,Programação!$L$5:$L$1004,H$12,Programação!$N$5:$N$1004,"&lt;&gt;Cancelada"))</f>
        <v>0</v>
      </c>
      <c r="I18" s="63" t="n">
        <f aca="false">IF($A18="","",SUM($B18:$H18))</f>
        <v>41</v>
      </c>
      <c r="J18" s="63" t="n">
        <f aca="false">IF($A18="","",SUMIFS(Programação!$Y$5:$Y$1004,Programação!$G$5:$G$1004,$A18,Programação!$L$5:$L$1004,"&gt;="&amp;$C$3,Programação!$L$5:$L$1004,"&lt;="&amp;$C$3+6)+SUMIFS(Programação!$Y$5:$Y$1004,Programação!$H$5:$H$1004,$A18,Programação!$L$5:$L$1004,"&gt;="&amp;$C$3,Programação!$L$5:$L$1004,"&lt;="&amp;$C$3+6)+SUMIFS(Programação!$Y$5:$Y$1004,Programação!$I$5:$I$1004,$A18,Programação!$L$5:$L$1004,"&gt;="&amp;$C$3,Programação!$L$5:$L$1004,"&lt;="&amp;$C$3+6))</f>
        <v>32</v>
      </c>
      <c r="K18" s="64" t="n">
        <f aca="false">IF(OR($A18="",$I18=0),"",$J18/$I18)</f>
        <v>0.780487804878049</v>
      </c>
      <c r="L18" s="63" t="n">
        <f aca="true">IF($A18="","",COUNTIFS(Programação!$G$5:$G$1004,$A18,Programação!$L$5:$L$1004,"&gt;="&amp;$C$3,Programação!$L$5:$L$1004,"&lt;="&amp;$C$3+6,Programação!$L$5:$L$1004,"&lt;"&amp;TODAY(),Programação!$Y$5:$Y$1004,0,Programação!$N$5:$N$1004,"&lt;&gt;Cancelada")+COUNTIFS(Programação!$H$5:$H$1004,$A18,Programação!$L$5:$L$1004,"&gt;="&amp;$C$3,Programação!$L$5:$L$1004,"&lt;="&amp;$C$3+6,Programação!$L$5:$L$1004,"&lt;"&amp;TODAY(),Programação!$Y$5:$Y$1004,0,Programação!$N$5:$N$1004,"&lt;&gt;Cancelada")+COUNTIFS(Programação!$I$5:$I$1004,$A18,Programação!$L$5:$L$1004,"&gt;="&amp;$C$3,Programação!$L$5:$L$1004,"&lt;="&amp;$C$3+6,Programação!$L$5:$L$1004,"&lt;"&amp;TODAY(),Programação!$Y$5:$Y$1004,0,Programação!$N$5:$N$1004,"&lt;&gt;Cancelada"))</f>
        <v>1</v>
      </c>
    </row>
    <row r="19" customFormat="false" ht="16.5" hidden="false" customHeight="true" outlineLevel="0" collapsed="false">
      <c r="A19" s="23" t="str">
        <f aca="false">IF(Listas!A11="","",Listas!A11)</f>
        <v>Luiz Paulo</v>
      </c>
      <c r="B19" s="62" t="n">
        <f aca="false">IF($A19="","",COUNTIFS(Programação!$G$5:$G$1004,$A19,Programação!$L$5:$L$1004,B$12,Programação!$N$5:$N$1004,"&lt;&gt;Cancelada")+COUNTIFS(Programação!$H$5:$H$1004,$A19,Programação!$L$5:$L$1004,B$12,Programação!$N$5:$N$1004,"&lt;&gt;Cancelada")+COUNTIFS(Programação!$I$5:$I$1004,$A19,Programação!$L$5:$L$1004,B$12,Programação!$N$5:$N$1004,"&lt;&gt;Cancelada"))</f>
        <v>0</v>
      </c>
      <c r="C19" s="62" t="n">
        <f aca="false">IF($A19="","",COUNTIFS(Programação!$G$5:$G$1004,$A19,Programação!$L$5:$L$1004,C$12,Programação!$N$5:$N$1004,"&lt;&gt;Cancelada")+COUNTIFS(Programação!$H$5:$H$1004,$A19,Programação!$L$5:$L$1004,C$12,Programação!$N$5:$N$1004,"&lt;&gt;Cancelada")+COUNTIFS(Programação!$I$5:$I$1004,$A19,Programação!$L$5:$L$1004,C$12,Programação!$N$5:$N$1004,"&lt;&gt;Cancelada"))</f>
        <v>0</v>
      </c>
      <c r="D19" s="62" t="n">
        <f aca="false">IF($A19="","",COUNTIFS(Programação!$G$5:$G$1004,$A19,Programação!$L$5:$L$1004,D$12,Programação!$N$5:$N$1004,"&lt;&gt;Cancelada")+COUNTIFS(Programação!$H$5:$H$1004,$A19,Programação!$L$5:$L$1004,D$12,Programação!$N$5:$N$1004,"&lt;&gt;Cancelada")+COUNTIFS(Programação!$I$5:$I$1004,$A19,Programação!$L$5:$L$1004,D$12,Programação!$N$5:$N$1004,"&lt;&gt;Cancelada"))</f>
        <v>17</v>
      </c>
      <c r="E19" s="62" t="n">
        <f aca="false">IF($A19="","",COUNTIFS(Programação!$G$5:$G$1004,$A19,Programação!$L$5:$L$1004,E$12,Programação!$N$5:$N$1004,"&lt;&gt;Cancelada")+COUNTIFS(Programação!$H$5:$H$1004,$A19,Programação!$L$5:$L$1004,E$12,Programação!$N$5:$N$1004,"&lt;&gt;Cancelada")+COUNTIFS(Programação!$I$5:$I$1004,$A19,Programação!$L$5:$L$1004,E$12,Programação!$N$5:$N$1004,"&lt;&gt;Cancelada"))</f>
        <v>40</v>
      </c>
      <c r="F19" s="62" t="n">
        <f aca="false">IF($A19="","",COUNTIFS(Programação!$G$5:$G$1004,$A19,Programação!$L$5:$L$1004,F$12,Programação!$N$5:$N$1004,"&lt;&gt;Cancelada")+COUNTIFS(Programação!$H$5:$H$1004,$A19,Programação!$L$5:$L$1004,F$12,Programação!$N$5:$N$1004,"&lt;&gt;Cancelada")+COUNTIFS(Programação!$I$5:$I$1004,$A19,Programação!$L$5:$L$1004,F$12,Programação!$N$5:$N$1004,"&lt;&gt;Cancelada"))</f>
        <v>0</v>
      </c>
      <c r="G19" s="62" t="n">
        <f aca="false">IF($A19="","",COUNTIFS(Programação!$G$5:$G$1004,$A19,Programação!$L$5:$L$1004,G$12,Programação!$N$5:$N$1004,"&lt;&gt;Cancelada")+COUNTIFS(Programação!$H$5:$H$1004,$A19,Programação!$L$5:$L$1004,G$12,Programação!$N$5:$N$1004,"&lt;&gt;Cancelada")+COUNTIFS(Programação!$I$5:$I$1004,$A19,Programação!$L$5:$L$1004,G$12,Programação!$N$5:$N$1004,"&lt;&gt;Cancelada"))</f>
        <v>0</v>
      </c>
      <c r="H19" s="62" t="n">
        <f aca="false">IF($A19="","",COUNTIFS(Programação!$G$5:$G$1004,$A19,Programação!$L$5:$L$1004,H$12,Programação!$N$5:$N$1004,"&lt;&gt;Cancelada")+COUNTIFS(Programação!$H$5:$H$1004,$A19,Programação!$L$5:$L$1004,H$12,Programação!$N$5:$N$1004,"&lt;&gt;Cancelada")+COUNTIFS(Programação!$I$5:$I$1004,$A19,Programação!$L$5:$L$1004,H$12,Programação!$N$5:$N$1004,"&lt;&gt;Cancelada"))</f>
        <v>0</v>
      </c>
      <c r="I19" s="63" t="n">
        <f aca="false">IF($A19="","",SUM($B19:$H19))</f>
        <v>57</v>
      </c>
      <c r="J19" s="63" t="n">
        <f aca="false">IF($A19="","",SUMIFS(Programação!$Y$5:$Y$1004,Programação!$G$5:$G$1004,$A19,Programação!$L$5:$L$1004,"&gt;="&amp;$C$3,Programação!$L$5:$L$1004,"&lt;="&amp;$C$3+6)+SUMIFS(Programação!$Y$5:$Y$1004,Programação!$H$5:$H$1004,$A19,Programação!$L$5:$L$1004,"&gt;="&amp;$C$3,Programação!$L$5:$L$1004,"&lt;="&amp;$C$3+6)+SUMIFS(Programação!$Y$5:$Y$1004,Programação!$I$5:$I$1004,$A19,Programação!$L$5:$L$1004,"&gt;="&amp;$C$3,Programação!$L$5:$L$1004,"&lt;="&amp;$C$3+6))</f>
        <v>15</v>
      </c>
      <c r="K19" s="64" t="n">
        <f aca="false">IF(OR($A19="",$I19=0),"",$J19/$I19)</f>
        <v>0.263157894736842</v>
      </c>
      <c r="L19" s="63" t="n">
        <f aca="true">IF($A19="","",COUNTIFS(Programação!$G$5:$G$1004,$A19,Programação!$L$5:$L$1004,"&gt;="&amp;$C$3,Programação!$L$5:$L$1004,"&lt;="&amp;$C$3+6,Programação!$L$5:$L$1004,"&lt;"&amp;TODAY(),Programação!$Y$5:$Y$1004,0,Programação!$N$5:$N$1004,"&lt;&gt;Cancelada")+COUNTIFS(Programação!$H$5:$H$1004,$A19,Programação!$L$5:$L$1004,"&gt;="&amp;$C$3,Programação!$L$5:$L$1004,"&lt;="&amp;$C$3+6,Programação!$L$5:$L$1004,"&lt;"&amp;TODAY(),Programação!$Y$5:$Y$1004,0,Programação!$N$5:$N$1004,"&lt;&gt;Cancelada")+COUNTIFS(Programação!$I$5:$I$1004,$A19,Programação!$L$5:$L$1004,"&gt;="&amp;$C$3,Programação!$L$5:$L$1004,"&lt;="&amp;$C$3+6,Programação!$L$5:$L$1004,"&lt;"&amp;TODAY(),Programação!$Y$5:$Y$1004,0,Programação!$N$5:$N$1004,"&lt;&gt;Cancelada"))</f>
        <v>2</v>
      </c>
    </row>
    <row r="20" customFormat="false" ht="16.5" hidden="false" customHeight="true" outlineLevel="0" collapsed="false">
      <c r="A20" s="23" t="str">
        <f aca="false">IF(Listas!A12="","",Listas!A12)</f>
        <v>Thawan</v>
      </c>
      <c r="B20" s="62" t="n">
        <f aca="false">IF($A20="","",COUNTIFS(Programação!$G$5:$G$1004,$A20,Programação!$L$5:$L$1004,B$12,Programação!$N$5:$N$1004,"&lt;&gt;Cancelada")+COUNTIFS(Programação!$H$5:$H$1004,$A20,Programação!$L$5:$L$1004,B$12,Programação!$N$5:$N$1004,"&lt;&gt;Cancelada")+COUNTIFS(Programação!$I$5:$I$1004,$A20,Programação!$L$5:$L$1004,B$12,Programação!$N$5:$N$1004,"&lt;&gt;Cancelada"))</f>
        <v>6</v>
      </c>
      <c r="C20" s="62" t="n">
        <f aca="false">IF($A20="","",COUNTIFS(Programação!$G$5:$G$1004,$A20,Programação!$L$5:$L$1004,C$12,Programação!$N$5:$N$1004,"&lt;&gt;Cancelada")+COUNTIFS(Programação!$H$5:$H$1004,$A20,Programação!$L$5:$L$1004,C$12,Programação!$N$5:$N$1004,"&lt;&gt;Cancelada")+COUNTIFS(Programação!$I$5:$I$1004,$A20,Programação!$L$5:$L$1004,C$12,Programação!$N$5:$N$1004,"&lt;&gt;Cancelada"))</f>
        <v>0</v>
      </c>
      <c r="D20" s="62" t="n">
        <f aca="false">IF($A20="","",COUNTIFS(Programação!$G$5:$G$1004,$A20,Programação!$L$5:$L$1004,D$12,Programação!$N$5:$N$1004,"&lt;&gt;Cancelada")+COUNTIFS(Programação!$H$5:$H$1004,$A20,Programação!$L$5:$L$1004,D$12,Programação!$N$5:$N$1004,"&lt;&gt;Cancelada")+COUNTIFS(Programação!$I$5:$I$1004,$A20,Programação!$L$5:$L$1004,D$12,Programação!$N$5:$N$1004,"&lt;&gt;Cancelada"))</f>
        <v>0</v>
      </c>
      <c r="E20" s="62" t="n">
        <f aca="false">IF($A20="","",COUNTIFS(Programação!$G$5:$G$1004,$A20,Programação!$L$5:$L$1004,E$12,Programação!$N$5:$N$1004,"&lt;&gt;Cancelada")+COUNTIFS(Programação!$H$5:$H$1004,$A20,Programação!$L$5:$L$1004,E$12,Programação!$N$5:$N$1004,"&lt;&gt;Cancelada")+COUNTIFS(Programação!$I$5:$I$1004,$A20,Programação!$L$5:$L$1004,E$12,Programação!$N$5:$N$1004,"&lt;&gt;Cancelada"))</f>
        <v>0</v>
      </c>
      <c r="F20" s="62" t="n">
        <f aca="false">IF($A20="","",COUNTIFS(Programação!$G$5:$G$1004,$A20,Programação!$L$5:$L$1004,F$12,Programação!$N$5:$N$1004,"&lt;&gt;Cancelada")+COUNTIFS(Programação!$H$5:$H$1004,$A20,Programação!$L$5:$L$1004,F$12,Programação!$N$5:$N$1004,"&lt;&gt;Cancelada")+COUNTIFS(Programação!$I$5:$I$1004,$A20,Programação!$L$5:$L$1004,F$12,Programação!$N$5:$N$1004,"&lt;&gt;Cancelada"))</f>
        <v>0</v>
      </c>
      <c r="G20" s="62" t="n">
        <f aca="false">IF($A20="","",COUNTIFS(Programação!$G$5:$G$1004,$A20,Programação!$L$5:$L$1004,G$12,Programação!$N$5:$N$1004,"&lt;&gt;Cancelada")+COUNTIFS(Programação!$H$5:$H$1004,$A20,Programação!$L$5:$L$1004,G$12,Programação!$N$5:$N$1004,"&lt;&gt;Cancelada")+COUNTIFS(Programação!$I$5:$I$1004,$A20,Programação!$L$5:$L$1004,G$12,Programação!$N$5:$N$1004,"&lt;&gt;Cancelada"))</f>
        <v>0</v>
      </c>
      <c r="H20" s="62" t="n">
        <f aca="false">IF($A20="","",COUNTIFS(Programação!$G$5:$G$1004,$A20,Programação!$L$5:$L$1004,H$12,Programação!$N$5:$N$1004,"&lt;&gt;Cancelada")+COUNTIFS(Programação!$H$5:$H$1004,$A20,Programação!$L$5:$L$1004,H$12,Programação!$N$5:$N$1004,"&lt;&gt;Cancelada")+COUNTIFS(Programação!$I$5:$I$1004,$A20,Programação!$L$5:$L$1004,H$12,Programação!$N$5:$N$1004,"&lt;&gt;Cancelada"))</f>
        <v>0</v>
      </c>
      <c r="I20" s="63" t="n">
        <f aca="false">IF($A20="","",SUM($B20:$H20))</f>
        <v>6</v>
      </c>
      <c r="J20" s="63" t="n">
        <f aca="false">IF($A20="","",SUMIFS(Programação!$Y$5:$Y$1004,Programação!$G$5:$G$1004,$A20,Programação!$L$5:$L$1004,"&gt;="&amp;$C$3,Programação!$L$5:$L$1004,"&lt;="&amp;$C$3+6)+SUMIFS(Programação!$Y$5:$Y$1004,Programação!$H$5:$H$1004,$A20,Programação!$L$5:$L$1004,"&gt;="&amp;$C$3,Programação!$L$5:$L$1004,"&lt;="&amp;$C$3+6)+SUMIFS(Programação!$Y$5:$Y$1004,Programação!$I$5:$I$1004,$A20,Programação!$L$5:$L$1004,"&gt;="&amp;$C$3,Programação!$L$5:$L$1004,"&lt;="&amp;$C$3+6))</f>
        <v>6</v>
      </c>
      <c r="K20" s="64" t="n">
        <f aca="false">IF(OR($A20="",$I20=0),"",$J20/$I20)</f>
        <v>1</v>
      </c>
      <c r="L20" s="63" t="n">
        <f aca="true">IF($A20="","",COUNTIFS(Programação!$G$5:$G$1004,$A20,Programação!$L$5:$L$1004,"&gt;="&amp;$C$3,Programação!$L$5:$L$1004,"&lt;="&amp;$C$3+6,Programação!$L$5:$L$1004,"&lt;"&amp;TODAY(),Programação!$Y$5:$Y$1004,0,Programação!$N$5:$N$1004,"&lt;&gt;Cancelada")+COUNTIFS(Programação!$H$5:$H$1004,$A20,Programação!$L$5:$L$1004,"&gt;="&amp;$C$3,Programação!$L$5:$L$1004,"&lt;="&amp;$C$3+6,Programação!$L$5:$L$1004,"&lt;"&amp;TODAY(),Programação!$Y$5:$Y$1004,0,Programação!$N$5:$N$1004,"&lt;&gt;Cancelada")+COUNTIFS(Programação!$I$5:$I$1004,$A20,Programação!$L$5:$L$1004,"&gt;="&amp;$C$3,Programação!$L$5:$L$1004,"&lt;="&amp;$C$3+6,Programação!$L$5:$L$1004,"&lt;"&amp;TODAY(),Programação!$Y$5:$Y$1004,0,Programação!$N$5:$N$1004,"&lt;&gt;Cancelada"))</f>
        <v>0</v>
      </c>
    </row>
    <row r="21" customFormat="false" ht="16.5" hidden="false" customHeight="true" outlineLevel="0" collapsed="false">
      <c r="A21" s="23" t="str">
        <f aca="false">IF(Listas!A13="","",Listas!A13)</f>
        <v>ASX (externo)</v>
      </c>
      <c r="B21" s="62" t="n">
        <f aca="false">IF($A21="","",COUNTIFS(Programação!$G$5:$G$1004,$A21,Programação!$L$5:$L$1004,B$12,Programação!$N$5:$N$1004,"&lt;&gt;Cancelada")+COUNTIFS(Programação!$H$5:$H$1004,$A21,Programação!$L$5:$L$1004,B$12,Programação!$N$5:$N$1004,"&lt;&gt;Cancelada")+COUNTIFS(Programação!$I$5:$I$1004,$A21,Programação!$L$5:$L$1004,B$12,Programação!$N$5:$N$1004,"&lt;&gt;Cancelada"))</f>
        <v>0</v>
      </c>
      <c r="C21" s="62" t="n">
        <f aca="false">IF($A21="","",COUNTIFS(Programação!$G$5:$G$1004,$A21,Programação!$L$5:$L$1004,C$12,Programação!$N$5:$N$1004,"&lt;&gt;Cancelada")+COUNTIFS(Programação!$H$5:$H$1004,$A21,Programação!$L$5:$L$1004,C$12,Programação!$N$5:$N$1004,"&lt;&gt;Cancelada")+COUNTIFS(Programação!$I$5:$I$1004,$A21,Programação!$L$5:$L$1004,C$12,Programação!$N$5:$N$1004,"&lt;&gt;Cancelada"))</f>
        <v>0</v>
      </c>
      <c r="D21" s="62" t="n">
        <f aca="false">IF($A21="","",COUNTIFS(Programação!$G$5:$G$1004,$A21,Programação!$L$5:$L$1004,D$12,Programação!$N$5:$N$1004,"&lt;&gt;Cancelada")+COUNTIFS(Programação!$H$5:$H$1004,$A21,Programação!$L$5:$L$1004,D$12,Programação!$N$5:$N$1004,"&lt;&gt;Cancelada")+COUNTIFS(Programação!$I$5:$I$1004,$A21,Programação!$L$5:$L$1004,D$12,Programação!$N$5:$N$1004,"&lt;&gt;Cancelada"))</f>
        <v>12</v>
      </c>
      <c r="E21" s="62" t="n">
        <f aca="false">IF($A21="","",COUNTIFS(Programação!$G$5:$G$1004,$A21,Programação!$L$5:$L$1004,E$12,Programação!$N$5:$N$1004,"&lt;&gt;Cancelada")+COUNTIFS(Programação!$H$5:$H$1004,$A21,Programação!$L$5:$L$1004,E$12,Programação!$N$5:$N$1004,"&lt;&gt;Cancelada")+COUNTIFS(Programação!$I$5:$I$1004,$A21,Programação!$L$5:$L$1004,E$12,Programação!$N$5:$N$1004,"&lt;&gt;Cancelada"))</f>
        <v>11</v>
      </c>
      <c r="F21" s="62" t="n">
        <f aca="false">IF($A21="","",COUNTIFS(Programação!$G$5:$G$1004,$A21,Programação!$L$5:$L$1004,F$12,Programação!$N$5:$N$1004,"&lt;&gt;Cancelada")+COUNTIFS(Programação!$H$5:$H$1004,$A21,Programação!$L$5:$L$1004,F$12,Programação!$N$5:$N$1004,"&lt;&gt;Cancelada")+COUNTIFS(Programação!$I$5:$I$1004,$A21,Programação!$L$5:$L$1004,F$12,Programação!$N$5:$N$1004,"&lt;&gt;Cancelada"))</f>
        <v>11</v>
      </c>
      <c r="G21" s="62" t="n">
        <f aca="false">IF($A21="","",COUNTIFS(Programação!$G$5:$G$1004,$A21,Programação!$L$5:$L$1004,G$12,Programação!$N$5:$N$1004,"&lt;&gt;Cancelada")+COUNTIFS(Programação!$H$5:$H$1004,$A21,Programação!$L$5:$L$1004,G$12,Programação!$N$5:$N$1004,"&lt;&gt;Cancelada")+COUNTIFS(Programação!$I$5:$I$1004,$A21,Programação!$L$5:$L$1004,G$12,Programação!$N$5:$N$1004,"&lt;&gt;Cancelada"))</f>
        <v>0</v>
      </c>
      <c r="H21" s="62" t="n">
        <f aca="false">IF($A21="","",COUNTIFS(Programação!$G$5:$G$1004,$A21,Programação!$L$5:$L$1004,H$12,Programação!$N$5:$N$1004,"&lt;&gt;Cancelada")+COUNTIFS(Programação!$H$5:$H$1004,$A21,Programação!$L$5:$L$1004,H$12,Programação!$N$5:$N$1004,"&lt;&gt;Cancelada")+COUNTIFS(Programação!$I$5:$I$1004,$A21,Programação!$L$5:$L$1004,H$12,Programação!$N$5:$N$1004,"&lt;&gt;Cancelada"))</f>
        <v>0</v>
      </c>
      <c r="I21" s="63" t="n">
        <f aca="false">IF($A21="","",SUM($B21:$H21))</f>
        <v>34</v>
      </c>
      <c r="J21" s="63" t="n">
        <f aca="false">IF($A21="","",SUMIFS(Programação!$Y$5:$Y$1004,Programação!$G$5:$G$1004,$A21,Programação!$L$5:$L$1004,"&gt;="&amp;$C$3,Programação!$L$5:$L$1004,"&lt;="&amp;$C$3+6)+SUMIFS(Programação!$Y$5:$Y$1004,Programação!$H$5:$H$1004,$A21,Programação!$L$5:$L$1004,"&gt;="&amp;$C$3,Programação!$L$5:$L$1004,"&lt;="&amp;$C$3+6)+SUMIFS(Programação!$Y$5:$Y$1004,Programação!$I$5:$I$1004,$A21,Programação!$L$5:$L$1004,"&gt;="&amp;$C$3,Programação!$L$5:$L$1004,"&lt;="&amp;$C$3+6))</f>
        <v>0</v>
      </c>
      <c r="K21" s="64" t="n">
        <f aca="false">IF(OR($A21="",$I21=0),"",$J21/$I21)</f>
        <v>0</v>
      </c>
      <c r="L21" s="63" t="n">
        <f aca="true">IF($A21="","",COUNTIFS(Programação!$G$5:$G$1004,$A21,Programação!$L$5:$L$1004,"&gt;="&amp;$C$3,Programação!$L$5:$L$1004,"&lt;="&amp;$C$3+6,Programação!$L$5:$L$1004,"&lt;"&amp;TODAY(),Programação!$Y$5:$Y$1004,0,Programação!$N$5:$N$1004,"&lt;&gt;Cancelada")+COUNTIFS(Programação!$H$5:$H$1004,$A21,Programação!$L$5:$L$1004,"&gt;="&amp;$C$3,Programação!$L$5:$L$1004,"&lt;="&amp;$C$3+6,Programação!$L$5:$L$1004,"&lt;"&amp;TODAY(),Programação!$Y$5:$Y$1004,0,Programação!$N$5:$N$1004,"&lt;&gt;Cancelada")+COUNTIFS(Programação!$I$5:$I$1004,$A21,Programação!$L$5:$L$1004,"&gt;="&amp;$C$3,Programação!$L$5:$L$1004,"&lt;="&amp;$C$3+6,Programação!$L$5:$L$1004,"&lt;"&amp;TODAY(),Programação!$Y$5:$Y$1004,0,Programação!$N$5:$N$1004,"&lt;&gt;Cancelada"))</f>
        <v>12</v>
      </c>
    </row>
    <row r="22" customFormat="false" ht="16.5" hidden="false" customHeight="true" outlineLevel="0" collapsed="false">
      <c r="A22" s="23" t="str">
        <f aca="false">IF(Listas!A14="","",Listas!A14)</f>
        <v>Eduardo da sticker (externo)</v>
      </c>
      <c r="B22" s="62" t="n">
        <f aca="false">IF($A22="","",COUNTIFS(Programação!$G$5:$G$1004,$A22,Programação!$L$5:$L$1004,B$12,Programação!$N$5:$N$1004,"&lt;&gt;Cancelada")+COUNTIFS(Programação!$H$5:$H$1004,$A22,Programação!$L$5:$L$1004,B$12,Programação!$N$5:$N$1004,"&lt;&gt;Cancelada")+COUNTIFS(Programação!$I$5:$I$1004,$A22,Programação!$L$5:$L$1004,B$12,Programação!$N$5:$N$1004,"&lt;&gt;Cancelada"))</f>
        <v>0</v>
      </c>
      <c r="C22" s="62" t="n">
        <f aca="false">IF($A22="","",COUNTIFS(Programação!$G$5:$G$1004,$A22,Programação!$L$5:$L$1004,C$12,Programação!$N$5:$N$1004,"&lt;&gt;Cancelada")+COUNTIFS(Programação!$H$5:$H$1004,$A22,Programação!$L$5:$L$1004,C$12,Programação!$N$5:$N$1004,"&lt;&gt;Cancelada")+COUNTIFS(Programação!$I$5:$I$1004,$A22,Programação!$L$5:$L$1004,C$12,Programação!$N$5:$N$1004,"&lt;&gt;Cancelada"))</f>
        <v>1</v>
      </c>
      <c r="D22" s="62" t="n">
        <f aca="false">IF($A22="","",COUNTIFS(Programação!$G$5:$G$1004,$A22,Programação!$L$5:$L$1004,D$12,Programação!$N$5:$N$1004,"&lt;&gt;Cancelada")+COUNTIFS(Programação!$H$5:$H$1004,$A22,Programação!$L$5:$L$1004,D$12,Programação!$N$5:$N$1004,"&lt;&gt;Cancelada")+COUNTIFS(Programação!$I$5:$I$1004,$A22,Programação!$L$5:$L$1004,D$12,Programação!$N$5:$N$1004,"&lt;&gt;Cancelada"))</f>
        <v>9</v>
      </c>
      <c r="E22" s="62" t="n">
        <f aca="false">IF($A22="","",COUNTIFS(Programação!$G$5:$G$1004,$A22,Programação!$L$5:$L$1004,E$12,Programação!$N$5:$N$1004,"&lt;&gt;Cancelada")+COUNTIFS(Programação!$H$5:$H$1004,$A22,Programação!$L$5:$L$1004,E$12,Programação!$N$5:$N$1004,"&lt;&gt;Cancelada")+COUNTIFS(Programação!$I$5:$I$1004,$A22,Programação!$L$5:$L$1004,E$12,Programação!$N$5:$N$1004,"&lt;&gt;Cancelada"))</f>
        <v>0</v>
      </c>
      <c r="F22" s="62" t="n">
        <f aca="false">IF($A22="","",COUNTIFS(Programação!$G$5:$G$1004,$A22,Programação!$L$5:$L$1004,F$12,Programação!$N$5:$N$1004,"&lt;&gt;Cancelada")+COUNTIFS(Programação!$H$5:$H$1004,$A22,Programação!$L$5:$L$1004,F$12,Programação!$N$5:$N$1004,"&lt;&gt;Cancelada")+COUNTIFS(Programação!$I$5:$I$1004,$A22,Programação!$L$5:$L$1004,F$12,Programação!$N$5:$N$1004,"&lt;&gt;Cancelada"))</f>
        <v>0</v>
      </c>
      <c r="G22" s="62" t="n">
        <f aca="false">IF($A22="","",COUNTIFS(Programação!$G$5:$G$1004,$A22,Programação!$L$5:$L$1004,G$12,Programação!$N$5:$N$1004,"&lt;&gt;Cancelada")+COUNTIFS(Programação!$H$5:$H$1004,$A22,Programação!$L$5:$L$1004,G$12,Programação!$N$5:$N$1004,"&lt;&gt;Cancelada")+COUNTIFS(Programação!$I$5:$I$1004,$A22,Programação!$L$5:$L$1004,G$12,Programação!$N$5:$N$1004,"&lt;&gt;Cancelada"))</f>
        <v>0</v>
      </c>
      <c r="H22" s="62" t="n">
        <f aca="false">IF($A22="","",COUNTIFS(Programação!$G$5:$G$1004,$A22,Programação!$L$5:$L$1004,H$12,Programação!$N$5:$N$1004,"&lt;&gt;Cancelada")+COUNTIFS(Programação!$H$5:$H$1004,$A22,Programação!$L$5:$L$1004,H$12,Programação!$N$5:$N$1004,"&lt;&gt;Cancelada")+COUNTIFS(Programação!$I$5:$I$1004,$A22,Programação!$L$5:$L$1004,H$12,Programação!$N$5:$N$1004,"&lt;&gt;Cancelada"))</f>
        <v>0</v>
      </c>
      <c r="I22" s="63" t="n">
        <f aca="false">IF($A22="","",SUM($B22:$H22))</f>
        <v>10</v>
      </c>
      <c r="J22" s="63" t="n">
        <f aca="false">IF($A22="","",SUMIFS(Programação!$Y$5:$Y$1004,Programação!$G$5:$G$1004,$A22,Programação!$L$5:$L$1004,"&gt;="&amp;$C$3,Programação!$L$5:$L$1004,"&lt;="&amp;$C$3+6)+SUMIFS(Programação!$Y$5:$Y$1004,Programação!$H$5:$H$1004,$A22,Programação!$L$5:$L$1004,"&gt;="&amp;$C$3,Programação!$L$5:$L$1004,"&lt;="&amp;$C$3+6)+SUMIFS(Programação!$Y$5:$Y$1004,Programação!$I$5:$I$1004,$A22,Programação!$L$5:$L$1004,"&gt;="&amp;$C$3,Programação!$L$5:$L$1004,"&lt;="&amp;$C$3+6))</f>
        <v>10</v>
      </c>
      <c r="K22" s="64" t="n">
        <f aca="false">IF(OR($A22="",$I22=0),"",$J22/$I22)</f>
        <v>1</v>
      </c>
      <c r="L22" s="63" t="n">
        <f aca="true">IF($A22="","",COUNTIFS(Programação!$G$5:$G$1004,$A22,Programação!$L$5:$L$1004,"&gt;="&amp;$C$3,Programação!$L$5:$L$1004,"&lt;="&amp;$C$3+6,Programação!$L$5:$L$1004,"&lt;"&amp;TODAY(),Programação!$Y$5:$Y$1004,0,Programação!$N$5:$N$1004,"&lt;&gt;Cancelada")+COUNTIFS(Programação!$H$5:$H$1004,$A22,Programação!$L$5:$L$1004,"&gt;="&amp;$C$3,Programação!$L$5:$L$1004,"&lt;="&amp;$C$3+6,Programação!$L$5:$L$1004,"&lt;"&amp;TODAY(),Programação!$Y$5:$Y$1004,0,Programação!$N$5:$N$1004,"&lt;&gt;Cancelada")+COUNTIFS(Programação!$I$5:$I$1004,$A22,Programação!$L$5:$L$1004,"&gt;="&amp;$C$3,Programação!$L$5:$L$1004,"&lt;="&amp;$C$3+6,Programação!$L$5:$L$1004,"&lt;"&amp;TODAY(),Programação!$Y$5:$Y$1004,0,Programação!$N$5:$N$1004,"&lt;&gt;Cancelada"))</f>
        <v>0</v>
      </c>
    </row>
    <row r="23" customFormat="false" ht="16.5" hidden="false" customHeight="true" outlineLevel="0" collapsed="false">
      <c r="A23" s="23" t="str">
        <f aca="false">IF(Listas!A15="","",Listas!A15)</f>
        <v>Molas Pinheiro (externo)</v>
      </c>
      <c r="B23" s="62" t="n">
        <f aca="false">IF($A23="","",COUNTIFS(Programação!$G$5:$G$1004,$A23,Programação!$L$5:$L$1004,B$12,Programação!$N$5:$N$1004,"&lt;&gt;Cancelada")+COUNTIFS(Programação!$H$5:$H$1004,$A23,Programação!$L$5:$L$1004,B$12,Programação!$N$5:$N$1004,"&lt;&gt;Cancelada")+COUNTIFS(Programação!$I$5:$I$1004,$A23,Programação!$L$5:$L$1004,B$12,Programação!$N$5:$N$1004,"&lt;&gt;Cancelada"))</f>
        <v>0</v>
      </c>
      <c r="C23" s="62" t="n">
        <f aca="false">IF($A23="","",COUNTIFS(Programação!$G$5:$G$1004,$A23,Programação!$L$5:$L$1004,C$12,Programação!$N$5:$N$1004,"&lt;&gt;Cancelada")+COUNTIFS(Programação!$H$5:$H$1004,$A23,Programação!$L$5:$L$1004,C$12,Programação!$N$5:$N$1004,"&lt;&gt;Cancelada")+COUNTIFS(Programação!$I$5:$I$1004,$A23,Programação!$L$5:$L$1004,C$12,Programação!$N$5:$N$1004,"&lt;&gt;Cancelada"))</f>
        <v>0</v>
      </c>
      <c r="D23" s="62" t="n">
        <f aca="false">IF($A23="","",COUNTIFS(Programação!$G$5:$G$1004,$A23,Programação!$L$5:$L$1004,D$12,Programação!$N$5:$N$1004,"&lt;&gt;Cancelada")+COUNTIFS(Programação!$H$5:$H$1004,$A23,Programação!$L$5:$L$1004,D$12,Programação!$N$5:$N$1004,"&lt;&gt;Cancelada")+COUNTIFS(Programação!$I$5:$I$1004,$A23,Programação!$L$5:$L$1004,D$12,Programação!$N$5:$N$1004,"&lt;&gt;Cancelada"))</f>
        <v>1</v>
      </c>
      <c r="E23" s="62" t="n">
        <f aca="false">IF($A23="","",COUNTIFS(Programação!$G$5:$G$1004,$A23,Programação!$L$5:$L$1004,E$12,Programação!$N$5:$N$1004,"&lt;&gt;Cancelada")+COUNTIFS(Programação!$H$5:$H$1004,$A23,Programação!$L$5:$L$1004,E$12,Programação!$N$5:$N$1004,"&lt;&gt;Cancelada")+COUNTIFS(Programação!$I$5:$I$1004,$A23,Programação!$L$5:$L$1004,E$12,Programação!$N$5:$N$1004,"&lt;&gt;Cancelada"))</f>
        <v>1</v>
      </c>
      <c r="F23" s="62" t="n">
        <f aca="false">IF($A23="","",COUNTIFS(Programação!$G$5:$G$1004,$A23,Programação!$L$5:$L$1004,F$12,Programação!$N$5:$N$1004,"&lt;&gt;Cancelada")+COUNTIFS(Programação!$H$5:$H$1004,$A23,Programação!$L$5:$L$1004,F$12,Programação!$N$5:$N$1004,"&lt;&gt;Cancelada")+COUNTIFS(Programação!$I$5:$I$1004,$A23,Programação!$L$5:$L$1004,F$12,Programação!$N$5:$N$1004,"&lt;&gt;Cancelada"))</f>
        <v>0</v>
      </c>
      <c r="G23" s="62" t="n">
        <f aca="false">IF($A23="","",COUNTIFS(Programação!$G$5:$G$1004,$A23,Programação!$L$5:$L$1004,G$12,Programação!$N$5:$N$1004,"&lt;&gt;Cancelada")+COUNTIFS(Programação!$H$5:$H$1004,$A23,Programação!$L$5:$L$1004,G$12,Programação!$N$5:$N$1004,"&lt;&gt;Cancelada")+COUNTIFS(Programação!$I$5:$I$1004,$A23,Programação!$L$5:$L$1004,G$12,Programação!$N$5:$N$1004,"&lt;&gt;Cancelada"))</f>
        <v>0</v>
      </c>
      <c r="H23" s="62" t="n">
        <f aca="false">IF($A23="","",COUNTIFS(Programação!$G$5:$G$1004,$A23,Programação!$L$5:$L$1004,H$12,Programação!$N$5:$N$1004,"&lt;&gt;Cancelada")+COUNTIFS(Programação!$H$5:$H$1004,$A23,Programação!$L$5:$L$1004,H$12,Programação!$N$5:$N$1004,"&lt;&gt;Cancelada")+COUNTIFS(Programação!$I$5:$I$1004,$A23,Programação!$L$5:$L$1004,H$12,Programação!$N$5:$N$1004,"&lt;&gt;Cancelada"))</f>
        <v>0</v>
      </c>
      <c r="I23" s="63" t="n">
        <f aca="false">IF($A23="","",SUM($B23:$H23))</f>
        <v>2</v>
      </c>
      <c r="J23" s="63" t="n">
        <f aca="false">IF($A23="","",SUMIFS(Programação!$Y$5:$Y$1004,Programação!$G$5:$G$1004,$A23,Programação!$L$5:$L$1004,"&gt;="&amp;$C$3,Programação!$L$5:$L$1004,"&lt;="&amp;$C$3+6)+SUMIFS(Programação!$Y$5:$Y$1004,Programação!$H$5:$H$1004,$A23,Programação!$L$5:$L$1004,"&gt;="&amp;$C$3,Programação!$L$5:$L$1004,"&lt;="&amp;$C$3+6)+SUMIFS(Programação!$Y$5:$Y$1004,Programação!$I$5:$I$1004,$A23,Programação!$L$5:$L$1004,"&gt;="&amp;$C$3,Programação!$L$5:$L$1004,"&lt;="&amp;$C$3+6))</f>
        <v>0</v>
      </c>
      <c r="K23" s="64" t="n">
        <f aca="false">IF(OR($A23="",$I23=0),"",$J23/$I23)</f>
        <v>0</v>
      </c>
      <c r="L23" s="63" t="n">
        <f aca="true">IF($A23="","",COUNTIFS(Programação!$G$5:$G$1004,$A23,Programação!$L$5:$L$1004,"&gt;="&amp;$C$3,Programação!$L$5:$L$1004,"&lt;="&amp;$C$3+6,Programação!$L$5:$L$1004,"&lt;"&amp;TODAY(),Programação!$Y$5:$Y$1004,0,Programação!$N$5:$N$1004,"&lt;&gt;Cancelada")+COUNTIFS(Programação!$H$5:$H$1004,$A23,Programação!$L$5:$L$1004,"&gt;="&amp;$C$3,Programação!$L$5:$L$1004,"&lt;="&amp;$C$3+6,Programação!$L$5:$L$1004,"&lt;"&amp;TODAY(),Programação!$Y$5:$Y$1004,0,Programação!$N$5:$N$1004,"&lt;&gt;Cancelada")+COUNTIFS(Programação!$I$5:$I$1004,$A23,Programação!$L$5:$L$1004,"&gt;="&amp;$C$3,Programação!$L$5:$L$1004,"&lt;="&amp;$C$3+6,Programação!$L$5:$L$1004,"&lt;"&amp;TODAY(),Programação!$Y$5:$Y$1004,0,Programação!$N$5:$N$1004,"&lt;&gt;Cancelada"))</f>
        <v>1</v>
      </c>
    </row>
    <row r="24" customFormat="false" ht="16.5" hidden="false" customHeight="true" outlineLevel="0" collapsed="false">
      <c r="A24" s="23" t="str">
        <f aca="false">IF(Listas!A16="","",Listas!A16)</f>
        <v>Rodo Ceará (externo)</v>
      </c>
      <c r="B24" s="62" t="n">
        <f aca="false">IF($A24="","",COUNTIFS(Programação!$G$5:$G$1004,$A24,Programação!$L$5:$L$1004,B$12,Programação!$N$5:$N$1004,"&lt;&gt;Cancelada")+COUNTIFS(Programação!$H$5:$H$1004,$A24,Programação!$L$5:$L$1004,B$12,Programação!$N$5:$N$1004,"&lt;&gt;Cancelada")+COUNTIFS(Programação!$I$5:$I$1004,$A24,Programação!$L$5:$L$1004,B$12,Programação!$N$5:$N$1004,"&lt;&gt;Cancelada"))</f>
        <v>0</v>
      </c>
      <c r="C24" s="62" t="n">
        <f aca="false">IF($A24="","",COUNTIFS(Programação!$G$5:$G$1004,$A24,Programação!$L$5:$L$1004,C$12,Programação!$N$5:$N$1004,"&lt;&gt;Cancelada")+COUNTIFS(Programação!$H$5:$H$1004,$A24,Programação!$L$5:$L$1004,C$12,Programação!$N$5:$N$1004,"&lt;&gt;Cancelada")+COUNTIFS(Programação!$I$5:$I$1004,$A24,Programação!$L$5:$L$1004,C$12,Programação!$N$5:$N$1004,"&lt;&gt;Cancelada"))</f>
        <v>0</v>
      </c>
      <c r="D24" s="62" t="n">
        <f aca="false">IF($A24="","",COUNTIFS(Programação!$G$5:$G$1004,$A24,Programação!$L$5:$L$1004,D$12,Programação!$N$5:$N$1004,"&lt;&gt;Cancelada")+COUNTIFS(Programação!$H$5:$H$1004,$A24,Programação!$L$5:$L$1004,D$12,Programação!$N$5:$N$1004,"&lt;&gt;Cancelada")+COUNTIFS(Programação!$I$5:$I$1004,$A24,Programação!$L$5:$L$1004,D$12,Programação!$N$5:$N$1004,"&lt;&gt;Cancelada"))</f>
        <v>0</v>
      </c>
      <c r="E24" s="62" t="n">
        <f aca="false">IF($A24="","",COUNTIFS(Programação!$G$5:$G$1004,$A24,Programação!$L$5:$L$1004,E$12,Programação!$N$5:$N$1004,"&lt;&gt;Cancelada")+COUNTIFS(Programação!$H$5:$H$1004,$A24,Programação!$L$5:$L$1004,E$12,Programação!$N$5:$N$1004,"&lt;&gt;Cancelada")+COUNTIFS(Programação!$I$5:$I$1004,$A24,Programação!$L$5:$L$1004,E$12,Programação!$N$5:$N$1004,"&lt;&gt;Cancelada"))</f>
        <v>1</v>
      </c>
      <c r="F24" s="62" t="n">
        <f aca="false">IF($A24="","",COUNTIFS(Programação!$G$5:$G$1004,$A24,Programação!$L$5:$L$1004,F$12,Programação!$N$5:$N$1004,"&lt;&gt;Cancelada")+COUNTIFS(Programação!$H$5:$H$1004,$A24,Programação!$L$5:$L$1004,F$12,Programação!$N$5:$N$1004,"&lt;&gt;Cancelada")+COUNTIFS(Programação!$I$5:$I$1004,$A24,Programação!$L$5:$L$1004,F$12,Programação!$N$5:$N$1004,"&lt;&gt;Cancelada"))</f>
        <v>0</v>
      </c>
      <c r="G24" s="62" t="n">
        <f aca="false">IF($A24="","",COUNTIFS(Programação!$G$5:$G$1004,$A24,Programação!$L$5:$L$1004,G$12,Programação!$N$5:$N$1004,"&lt;&gt;Cancelada")+COUNTIFS(Programação!$H$5:$H$1004,$A24,Programação!$L$5:$L$1004,G$12,Programação!$N$5:$N$1004,"&lt;&gt;Cancelada")+COUNTIFS(Programação!$I$5:$I$1004,$A24,Programação!$L$5:$L$1004,G$12,Programação!$N$5:$N$1004,"&lt;&gt;Cancelada"))</f>
        <v>0</v>
      </c>
      <c r="H24" s="62" t="n">
        <f aca="false">IF($A24="","",COUNTIFS(Programação!$G$5:$G$1004,$A24,Programação!$L$5:$L$1004,H$12,Programação!$N$5:$N$1004,"&lt;&gt;Cancelada")+COUNTIFS(Programação!$H$5:$H$1004,$A24,Programação!$L$5:$L$1004,H$12,Programação!$N$5:$N$1004,"&lt;&gt;Cancelada")+COUNTIFS(Programação!$I$5:$I$1004,$A24,Programação!$L$5:$L$1004,H$12,Programação!$N$5:$N$1004,"&lt;&gt;Cancelada"))</f>
        <v>0</v>
      </c>
      <c r="I24" s="63" t="n">
        <f aca="false">IF($A24="","",SUM($B24:$H24))</f>
        <v>1</v>
      </c>
      <c r="J24" s="63" t="n">
        <f aca="false">IF($A24="","",SUMIFS(Programação!$Y$5:$Y$1004,Programação!$G$5:$G$1004,$A24,Programação!$L$5:$L$1004,"&gt;="&amp;$C$3,Programação!$L$5:$L$1004,"&lt;="&amp;$C$3+6)+SUMIFS(Programação!$Y$5:$Y$1004,Programação!$H$5:$H$1004,$A24,Programação!$L$5:$L$1004,"&gt;="&amp;$C$3,Programação!$L$5:$L$1004,"&lt;="&amp;$C$3+6)+SUMIFS(Programação!$Y$5:$Y$1004,Programação!$I$5:$I$1004,$A24,Programação!$L$5:$L$1004,"&gt;="&amp;$C$3,Programação!$L$5:$L$1004,"&lt;="&amp;$C$3+6))</f>
        <v>0</v>
      </c>
      <c r="K24" s="64" t="n">
        <f aca="false">IF(OR($A24="",$I24=0),"",$J24/$I24)</f>
        <v>0</v>
      </c>
      <c r="L24" s="63" t="n">
        <f aca="true">IF($A24="","",COUNTIFS(Programação!$G$5:$G$1004,$A24,Programação!$L$5:$L$1004,"&gt;="&amp;$C$3,Programação!$L$5:$L$1004,"&lt;="&amp;$C$3+6,Programação!$L$5:$L$1004,"&lt;"&amp;TODAY(),Programação!$Y$5:$Y$1004,0,Programação!$N$5:$N$1004,"&lt;&gt;Cancelada")+COUNTIFS(Programação!$H$5:$H$1004,$A24,Programação!$L$5:$L$1004,"&gt;="&amp;$C$3,Programação!$L$5:$L$1004,"&lt;="&amp;$C$3+6,Programação!$L$5:$L$1004,"&lt;"&amp;TODAY(),Programação!$Y$5:$Y$1004,0,Programação!$N$5:$N$1004,"&lt;&gt;Cancelada")+COUNTIFS(Programação!$I$5:$I$1004,$A24,Programação!$L$5:$L$1004,"&gt;="&amp;$C$3,Programação!$L$5:$L$1004,"&lt;="&amp;$C$3+6,Programação!$L$5:$L$1004,"&lt;"&amp;TODAY(),Programação!$Y$5:$Y$1004,0,Programação!$N$5:$N$1004,"&lt;&gt;Cancelada"))</f>
        <v>0</v>
      </c>
    </row>
    <row r="25" customFormat="false" ht="16.5" hidden="false" customHeight="true" outlineLevel="0" collapsed="false">
      <c r="A25" s="23" t="str">
        <f aca="false">IF(Listas!A17="","",Listas!A17)</f>
        <v/>
      </c>
      <c r="B25" s="62" t="str">
        <f aca="false">IF($A25="","",COUNTIFS(Programação!$G$5:$G$1004,$A25,Programação!$L$5:$L$1004,B$12,Programação!$N$5:$N$1004,"&lt;&gt;Cancelada")+COUNTIFS(Programação!$H$5:$H$1004,$A25,Programação!$L$5:$L$1004,B$12,Programação!$N$5:$N$1004,"&lt;&gt;Cancelada")+COUNTIFS(Programação!$I$5:$I$1004,$A25,Programação!$L$5:$L$1004,B$12,Programação!$N$5:$N$1004,"&lt;&gt;Cancelada"))</f>
        <v/>
      </c>
      <c r="C25" s="62" t="str">
        <f aca="false">IF($A25="","",COUNTIFS(Programação!$G$5:$G$1004,$A25,Programação!$L$5:$L$1004,C$12,Programação!$N$5:$N$1004,"&lt;&gt;Cancelada")+COUNTIFS(Programação!$H$5:$H$1004,$A25,Programação!$L$5:$L$1004,C$12,Programação!$N$5:$N$1004,"&lt;&gt;Cancelada")+COUNTIFS(Programação!$I$5:$I$1004,$A25,Programação!$L$5:$L$1004,C$12,Programação!$N$5:$N$1004,"&lt;&gt;Cancelada"))</f>
        <v/>
      </c>
      <c r="D25" s="62" t="str">
        <f aca="false">IF($A25="","",COUNTIFS(Programação!$G$5:$G$1004,$A25,Programação!$L$5:$L$1004,D$12,Programação!$N$5:$N$1004,"&lt;&gt;Cancelada")+COUNTIFS(Programação!$H$5:$H$1004,$A25,Programação!$L$5:$L$1004,D$12,Programação!$N$5:$N$1004,"&lt;&gt;Cancelada")+COUNTIFS(Programação!$I$5:$I$1004,$A25,Programação!$L$5:$L$1004,D$12,Programação!$N$5:$N$1004,"&lt;&gt;Cancelada"))</f>
        <v/>
      </c>
      <c r="E25" s="62" t="str">
        <f aca="false">IF($A25="","",COUNTIFS(Programação!$G$5:$G$1004,$A25,Programação!$L$5:$L$1004,E$12,Programação!$N$5:$N$1004,"&lt;&gt;Cancelada")+COUNTIFS(Programação!$H$5:$H$1004,$A25,Programação!$L$5:$L$1004,E$12,Programação!$N$5:$N$1004,"&lt;&gt;Cancelada")+COUNTIFS(Programação!$I$5:$I$1004,$A25,Programação!$L$5:$L$1004,E$12,Programação!$N$5:$N$1004,"&lt;&gt;Cancelada"))</f>
        <v/>
      </c>
      <c r="F25" s="62" t="str">
        <f aca="false">IF($A25="","",COUNTIFS(Programação!$G$5:$G$1004,$A25,Programação!$L$5:$L$1004,F$12,Programação!$N$5:$N$1004,"&lt;&gt;Cancelada")+COUNTIFS(Programação!$H$5:$H$1004,$A25,Programação!$L$5:$L$1004,F$12,Programação!$N$5:$N$1004,"&lt;&gt;Cancelada")+COUNTIFS(Programação!$I$5:$I$1004,$A25,Programação!$L$5:$L$1004,F$12,Programação!$N$5:$N$1004,"&lt;&gt;Cancelada"))</f>
        <v/>
      </c>
      <c r="G25" s="62" t="str">
        <f aca="false">IF($A25="","",COUNTIFS(Programação!$G$5:$G$1004,$A25,Programação!$L$5:$L$1004,G$12,Programação!$N$5:$N$1004,"&lt;&gt;Cancelada")+COUNTIFS(Programação!$H$5:$H$1004,$A25,Programação!$L$5:$L$1004,G$12,Programação!$N$5:$N$1004,"&lt;&gt;Cancelada")+COUNTIFS(Programação!$I$5:$I$1004,$A25,Programação!$L$5:$L$1004,G$12,Programação!$N$5:$N$1004,"&lt;&gt;Cancelada"))</f>
        <v/>
      </c>
      <c r="H25" s="62" t="str">
        <f aca="false">IF($A25="","",COUNTIFS(Programação!$G$5:$G$1004,$A25,Programação!$L$5:$L$1004,H$12,Programação!$N$5:$N$1004,"&lt;&gt;Cancelada")+COUNTIFS(Programação!$H$5:$H$1004,$A25,Programação!$L$5:$L$1004,H$12,Programação!$N$5:$N$1004,"&lt;&gt;Cancelada")+COUNTIFS(Programação!$I$5:$I$1004,$A25,Programação!$L$5:$L$1004,H$12,Programação!$N$5:$N$1004,"&lt;&gt;Cancelada"))</f>
        <v/>
      </c>
      <c r="I25" s="63" t="str">
        <f aca="false">IF($A25="","",SUM($B25:$H25))</f>
        <v/>
      </c>
      <c r="J25" s="63" t="str">
        <f aca="false">IF($A25="","",SUMIFS(Programação!$Y$5:$Y$1004,Programação!$G$5:$G$1004,$A25,Programação!$L$5:$L$1004,"&gt;="&amp;$C$3,Programação!$L$5:$L$1004,"&lt;="&amp;$C$3+6)+SUMIFS(Programação!$Y$5:$Y$1004,Programação!$H$5:$H$1004,$A25,Programação!$L$5:$L$1004,"&gt;="&amp;$C$3,Programação!$L$5:$L$1004,"&lt;="&amp;$C$3+6)+SUMIFS(Programação!$Y$5:$Y$1004,Programação!$I$5:$I$1004,$A25,Programação!$L$5:$L$1004,"&gt;="&amp;$C$3,Programação!$L$5:$L$1004,"&lt;="&amp;$C$3+6))</f>
        <v/>
      </c>
      <c r="K25" s="64" t="str">
        <f aca="false">IF(OR($A25="",$I25=0),"",$J25/$I25)</f>
        <v/>
      </c>
      <c r="L25" s="63" t="str">
        <f aca="true">IF($A25="","",COUNTIFS(Programação!$G$5:$G$1004,$A25,Programação!$L$5:$L$1004,"&gt;="&amp;$C$3,Programação!$L$5:$L$1004,"&lt;="&amp;$C$3+6,Programação!$L$5:$L$1004,"&lt;"&amp;TODAY(),Programação!$Y$5:$Y$1004,0,Programação!$N$5:$N$1004,"&lt;&gt;Cancelada")+COUNTIFS(Programação!$H$5:$H$1004,$A25,Programação!$L$5:$L$1004,"&gt;="&amp;$C$3,Programação!$L$5:$L$1004,"&lt;="&amp;$C$3+6,Programação!$L$5:$L$1004,"&lt;"&amp;TODAY(),Programação!$Y$5:$Y$1004,0,Programação!$N$5:$N$1004,"&lt;&gt;Cancelada")+COUNTIFS(Programação!$I$5:$I$1004,$A25,Programação!$L$5:$L$1004,"&gt;="&amp;$C$3,Programação!$L$5:$L$1004,"&lt;="&amp;$C$3+6,Programação!$L$5:$L$1004,"&lt;"&amp;TODAY(),Programação!$Y$5:$Y$1004,0,Programação!$N$5:$N$1004,"&lt;&gt;Cancelada"))</f>
        <v/>
      </c>
    </row>
    <row r="26" customFormat="false" ht="16.5" hidden="false" customHeight="true" outlineLevel="0" collapsed="false">
      <c r="A26" s="23" t="str">
        <f aca="false">IF(Listas!A18="","",Listas!A18)</f>
        <v/>
      </c>
      <c r="B26" s="62" t="str">
        <f aca="false">IF($A26="","",COUNTIFS(Programação!$G$5:$G$1004,$A26,Programação!$L$5:$L$1004,B$12,Programação!$N$5:$N$1004,"&lt;&gt;Cancelada")+COUNTIFS(Programação!$H$5:$H$1004,$A26,Programação!$L$5:$L$1004,B$12,Programação!$N$5:$N$1004,"&lt;&gt;Cancelada")+COUNTIFS(Programação!$I$5:$I$1004,$A26,Programação!$L$5:$L$1004,B$12,Programação!$N$5:$N$1004,"&lt;&gt;Cancelada"))</f>
        <v/>
      </c>
      <c r="C26" s="62" t="str">
        <f aca="false">IF($A26="","",COUNTIFS(Programação!$G$5:$G$1004,$A26,Programação!$L$5:$L$1004,C$12,Programação!$N$5:$N$1004,"&lt;&gt;Cancelada")+COUNTIFS(Programação!$H$5:$H$1004,$A26,Programação!$L$5:$L$1004,C$12,Programação!$N$5:$N$1004,"&lt;&gt;Cancelada")+COUNTIFS(Programação!$I$5:$I$1004,$A26,Programação!$L$5:$L$1004,C$12,Programação!$N$5:$N$1004,"&lt;&gt;Cancelada"))</f>
        <v/>
      </c>
      <c r="D26" s="62" t="str">
        <f aca="false">IF($A26="","",COUNTIFS(Programação!$G$5:$G$1004,$A26,Programação!$L$5:$L$1004,D$12,Programação!$N$5:$N$1004,"&lt;&gt;Cancelada")+COUNTIFS(Programação!$H$5:$H$1004,$A26,Programação!$L$5:$L$1004,D$12,Programação!$N$5:$N$1004,"&lt;&gt;Cancelada")+COUNTIFS(Programação!$I$5:$I$1004,$A26,Programação!$L$5:$L$1004,D$12,Programação!$N$5:$N$1004,"&lt;&gt;Cancelada"))</f>
        <v/>
      </c>
      <c r="E26" s="62" t="str">
        <f aca="false">IF($A26="","",COUNTIFS(Programação!$G$5:$G$1004,$A26,Programação!$L$5:$L$1004,E$12,Programação!$N$5:$N$1004,"&lt;&gt;Cancelada")+COUNTIFS(Programação!$H$5:$H$1004,$A26,Programação!$L$5:$L$1004,E$12,Programação!$N$5:$N$1004,"&lt;&gt;Cancelada")+COUNTIFS(Programação!$I$5:$I$1004,$A26,Programação!$L$5:$L$1004,E$12,Programação!$N$5:$N$1004,"&lt;&gt;Cancelada"))</f>
        <v/>
      </c>
      <c r="F26" s="62" t="str">
        <f aca="false">IF($A26="","",COUNTIFS(Programação!$G$5:$G$1004,$A26,Programação!$L$5:$L$1004,F$12,Programação!$N$5:$N$1004,"&lt;&gt;Cancelada")+COUNTIFS(Programação!$H$5:$H$1004,$A26,Programação!$L$5:$L$1004,F$12,Programação!$N$5:$N$1004,"&lt;&gt;Cancelada")+COUNTIFS(Programação!$I$5:$I$1004,$A26,Programação!$L$5:$L$1004,F$12,Programação!$N$5:$N$1004,"&lt;&gt;Cancelada"))</f>
        <v/>
      </c>
      <c r="G26" s="62" t="str">
        <f aca="false">IF($A26="","",COUNTIFS(Programação!$G$5:$G$1004,$A26,Programação!$L$5:$L$1004,G$12,Programação!$N$5:$N$1004,"&lt;&gt;Cancelada")+COUNTIFS(Programação!$H$5:$H$1004,$A26,Programação!$L$5:$L$1004,G$12,Programação!$N$5:$N$1004,"&lt;&gt;Cancelada")+COUNTIFS(Programação!$I$5:$I$1004,$A26,Programação!$L$5:$L$1004,G$12,Programação!$N$5:$N$1004,"&lt;&gt;Cancelada"))</f>
        <v/>
      </c>
      <c r="H26" s="62" t="str">
        <f aca="false">IF($A26="","",COUNTIFS(Programação!$G$5:$G$1004,$A26,Programação!$L$5:$L$1004,H$12,Programação!$N$5:$N$1004,"&lt;&gt;Cancelada")+COUNTIFS(Programação!$H$5:$H$1004,$A26,Programação!$L$5:$L$1004,H$12,Programação!$N$5:$N$1004,"&lt;&gt;Cancelada")+COUNTIFS(Programação!$I$5:$I$1004,$A26,Programação!$L$5:$L$1004,H$12,Programação!$N$5:$N$1004,"&lt;&gt;Cancelada"))</f>
        <v/>
      </c>
      <c r="I26" s="63" t="str">
        <f aca="false">IF($A26="","",SUM($B26:$H26))</f>
        <v/>
      </c>
      <c r="J26" s="63" t="str">
        <f aca="false">IF($A26="","",SUMIFS(Programação!$Y$5:$Y$1004,Programação!$G$5:$G$1004,$A26,Programação!$L$5:$L$1004,"&gt;="&amp;$C$3,Programação!$L$5:$L$1004,"&lt;="&amp;$C$3+6)+SUMIFS(Programação!$Y$5:$Y$1004,Programação!$H$5:$H$1004,$A26,Programação!$L$5:$L$1004,"&gt;="&amp;$C$3,Programação!$L$5:$L$1004,"&lt;="&amp;$C$3+6)+SUMIFS(Programação!$Y$5:$Y$1004,Programação!$I$5:$I$1004,$A26,Programação!$L$5:$L$1004,"&gt;="&amp;$C$3,Programação!$L$5:$L$1004,"&lt;="&amp;$C$3+6))</f>
        <v/>
      </c>
      <c r="K26" s="64" t="str">
        <f aca="false">IF(OR($A26="",$I26=0),"",$J26/$I26)</f>
        <v/>
      </c>
      <c r="L26" s="63" t="str">
        <f aca="true">IF($A26="","",COUNTIFS(Programação!$G$5:$G$1004,$A26,Programação!$L$5:$L$1004,"&gt;="&amp;$C$3,Programação!$L$5:$L$1004,"&lt;="&amp;$C$3+6,Programação!$L$5:$L$1004,"&lt;"&amp;TODAY(),Programação!$Y$5:$Y$1004,0,Programação!$N$5:$N$1004,"&lt;&gt;Cancelada")+COUNTIFS(Programação!$H$5:$H$1004,$A26,Programação!$L$5:$L$1004,"&gt;="&amp;$C$3,Programação!$L$5:$L$1004,"&lt;="&amp;$C$3+6,Programação!$L$5:$L$1004,"&lt;"&amp;TODAY(),Programação!$Y$5:$Y$1004,0,Programação!$N$5:$N$1004,"&lt;&gt;Cancelada")+COUNTIFS(Programação!$I$5:$I$1004,$A26,Programação!$L$5:$L$1004,"&gt;="&amp;$C$3,Programação!$L$5:$L$1004,"&lt;="&amp;$C$3+6,Programação!$L$5:$L$1004,"&lt;"&amp;TODAY(),Programação!$Y$5:$Y$1004,0,Programação!$N$5:$N$1004,"&lt;&gt;Cancelada"))</f>
        <v/>
      </c>
    </row>
    <row r="27" customFormat="false" ht="16.5" hidden="false" customHeight="true" outlineLevel="0" collapsed="false">
      <c r="A27" s="23" t="str">
        <f aca="false">IF(Listas!A19="","",Listas!A19)</f>
        <v/>
      </c>
      <c r="B27" s="62" t="str">
        <f aca="false">IF($A27="","",COUNTIFS(Programação!$G$5:$G$1004,$A27,Programação!$L$5:$L$1004,B$12,Programação!$N$5:$N$1004,"&lt;&gt;Cancelada")+COUNTIFS(Programação!$H$5:$H$1004,$A27,Programação!$L$5:$L$1004,B$12,Programação!$N$5:$N$1004,"&lt;&gt;Cancelada")+COUNTIFS(Programação!$I$5:$I$1004,$A27,Programação!$L$5:$L$1004,B$12,Programação!$N$5:$N$1004,"&lt;&gt;Cancelada"))</f>
        <v/>
      </c>
      <c r="C27" s="62" t="str">
        <f aca="false">IF($A27="","",COUNTIFS(Programação!$G$5:$G$1004,$A27,Programação!$L$5:$L$1004,C$12,Programação!$N$5:$N$1004,"&lt;&gt;Cancelada")+COUNTIFS(Programação!$H$5:$H$1004,$A27,Programação!$L$5:$L$1004,C$12,Programação!$N$5:$N$1004,"&lt;&gt;Cancelada")+COUNTIFS(Programação!$I$5:$I$1004,$A27,Programação!$L$5:$L$1004,C$12,Programação!$N$5:$N$1004,"&lt;&gt;Cancelada"))</f>
        <v/>
      </c>
      <c r="D27" s="62" t="str">
        <f aca="false">IF($A27="","",COUNTIFS(Programação!$G$5:$G$1004,$A27,Programação!$L$5:$L$1004,D$12,Programação!$N$5:$N$1004,"&lt;&gt;Cancelada")+COUNTIFS(Programação!$H$5:$H$1004,$A27,Programação!$L$5:$L$1004,D$12,Programação!$N$5:$N$1004,"&lt;&gt;Cancelada")+COUNTIFS(Programação!$I$5:$I$1004,$A27,Programação!$L$5:$L$1004,D$12,Programação!$N$5:$N$1004,"&lt;&gt;Cancelada"))</f>
        <v/>
      </c>
      <c r="E27" s="62" t="str">
        <f aca="false">IF($A27="","",COUNTIFS(Programação!$G$5:$G$1004,$A27,Programação!$L$5:$L$1004,E$12,Programação!$N$5:$N$1004,"&lt;&gt;Cancelada")+COUNTIFS(Programação!$H$5:$H$1004,$A27,Programação!$L$5:$L$1004,E$12,Programação!$N$5:$N$1004,"&lt;&gt;Cancelada")+COUNTIFS(Programação!$I$5:$I$1004,$A27,Programação!$L$5:$L$1004,E$12,Programação!$N$5:$N$1004,"&lt;&gt;Cancelada"))</f>
        <v/>
      </c>
      <c r="F27" s="62" t="str">
        <f aca="false">IF($A27="","",COUNTIFS(Programação!$G$5:$G$1004,$A27,Programação!$L$5:$L$1004,F$12,Programação!$N$5:$N$1004,"&lt;&gt;Cancelada")+COUNTIFS(Programação!$H$5:$H$1004,$A27,Programação!$L$5:$L$1004,F$12,Programação!$N$5:$N$1004,"&lt;&gt;Cancelada")+COUNTIFS(Programação!$I$5:$I$1004,$A27,Programação!$L$5:$L$1004,F$12,Programação!$N$5:$N$1004,"&lt;&gt;Cancelada"))</f>
        <v/>
      </c>
      <c r="G27" s="62" t="str">
        <f aca="false">IF($A27="","",COUNTIFS(Programação!$G$5:$G$1004,$A27,Programação!$L$5:$L$1004,G$12,Programação!$N$5:$N$1004,"&lt;&gt;Cancelada")+COUNTIFS(Programação!$H$5:$H$1004,$A27,Programação!$L$5:$L$1004,G$12,Programação!$N$5:$N$1004,"&lt;&gt;Cancelada")+COUNTIFS(Programação!$I$5:$I$1004,$A27,Programação!$L$5:$L$1004,G$12,Programação!$N$5:$N$1004,"&lt;&gt;Cancelada"))</f>
        <v/>
      </c>
      <c r="H27" s="62" t="str">
        <f aca="false">IF($A27="","",COUNTIFS(Programação!$G$5:$G$1004,$A27,Programação!$L$5:$L$1004,H$12,Programação!$N$5:$N$1004,"&lt;&gt;Cancelada")+COUNTIFS(Programação!$H$5:$H$1004,$A27,Programação!$L$5:$L$1004,H$12,Programação!$N$5:$N$1004,"&lt;&gt;Cancelada")+COUNTIFS(Programação!$I$5:$I$1004,$A27,Programação!$L$5:$L$1004,H$12,Programação!$N$5:$N$1004,"&lt;&gt;Cancelada"))</f>
        <v/>
      </c>
      <c r="I27" s="63" t="str">
        <f aca="false">IF($A27="","",SUM($B27:$H27))</f>
        <v/>
      </c>
      <c r="J27" s="63" t="str">
        <f aca="false">IF($A27="","",SUMIFS(Programação!$Y$5:$Y$1004,Programação!$G$5:$G$1004,$A27,Programação!$L$5:$L$1004,"&gt;="&amp;$C$3,Programação!$L$5:$L$1004,"&lt;="&amp;$C$3+6)+SUMIFS(Programação!$Y$5:$Y$1004,Programação!$H$5:$H$1004,$A27,Programação!$L$5:$L$1004,"&gt;="&amp;$C$3,Programação!$L$5:$L$1004,"&lt;="&amp;$C$3+6)+SUMIFS(Programação!$Y$5:$Y$1004,Programação!$I$5:$I$1004,$A27,Programação!$L$5:$L$1004,"&gt;="&amp;$C$3,Programação!$L$5:$L$1004,"&lt;="&amp;$C$3+6))</f>
        <v/>
      </c>
      <c r="K27" s="64" t="str">
        <f aca="false">IF(OR($A27="",$I27=0),"",$J27/$I27)</f>
        <v/>
      </c>
      <c r="L27" s="63" t="str">
        <f aca="true">IF($A27="","",COUNTIFS(Programação!$G$5:$G$1004,$A27,Programação!$L$5:$L$1004,"&gt;="&amp;$C$3,Programação!$L$5:$L$1004,"&lt;="&amp;$C$3+6,Programação!$L$5:$L$1004,"&lt;"&amp;TODAY(),Programação!$Y$5:$Y$1004,0,Programação!$N$5:$N$1004,"&lt;&gt;Cancelada")+COUNTIFS(Programação!$H$5:$H$1004,$A27,Programação!$L$5:$L$1004,"&gt;="&amp;$C$3,Programação!$L$5:$L$1004,"&lt;="&amp;$C$3+6,Programação!$L$5:$L$1004,"&lt;"&amp;TODAY(),Programação!$Y$5:$Y$1004,0,Programação!$N$5:$N$1004,"&lt;&gt;Cancelada")+COUNTIFS(Programação!$I$5:$I$1004,$A27,Programação!$L$5:$L$1004,"&gt;="&amp;$C$3,Programação!$L$5:$L$1004,"&lt;="&amp;$C$3+6,Programação!$L$5:$L$1004,"&lt;"&amp;TODAY(),Programação!$Y$5:$Y$1004,0,Programação!$N$5:$N$1004,"&lt;&gt;Cancelada"))</f>
        <v/>
      </c>
    </row>
    <row r="28" customFormat="false" ht="16.5" hidden="false" customHeight="true" outlineLevel="0" collapsed="false">
      <c r="A28" s="23" t="str">
        <f aca="false">IF(Listas!A20="","",Listas!A20)</f>
        <v/>
      </c>
      <c r="B28" s="62" t="str">
        <f aca="false">IF($A28="","",COUNTIFS(Programação!$G$5:$G$1004,$A28,Programação!$L$5:$L$1004,B$12,Programação!$N$5:$N$1004,"&lt;&gt;Cancelada")+COUNTIFS(Programação!$H$5:$H$1004,$A28,Programação!$L$5:$L$1004,B$12,Programação!$N$5:$N$1004,"&lt;&gt;Cancelada")+COUNTIFS(Programação!$I$5:$I$1004,$A28,Programação!$L$5:$L$1004,B$12,Programação!$N$5:$N$1004,"&lt;&gt;Cancelada"))</f>
        <v/>
      </c>
      <c r="C28" s="62" t="str">
        <f aca="false">IF($A28="","",COUNTIFS(Programação!$G$5:$G$1004,$A28,Programação!$L$5:$L$1004,C$12,Programação!$N$5:$N$1004,"&lt;&gt;Cancelada")+COUNTIFS(Programação!$H$5:$H$1004,$A28,Programação!$L$5:$L$1004,C$12,Programação!$N$5:$N$1004,"&lt;&gt;Cancelada")+COUNTIFS(Programação!$I$5:$I$1004,$A28,Programação!$L$5:$L$1004,C$12,Programação!$N$5:$N$1004,"&lt;&gt;Cancelada"))</f>
        <v/>
      </c>
      <c r="D28" s="62" t="str">
        <f aca="false">IF($A28="","",COUNTIFS(Programação!$G$5:$G$1004,$A28,Programação!$L$5:$L$1004,D$12,Programação!$N$5:$N$1004,"&lt;&gt;Cancelada")+COUNTIFS(Programação!$H$5:$H$1004,$A28,Programação!$L$5:$L$1004,D$12,Programação!$N$5:$N$1004,"&lt;&gt;Cancelada")+COUNTIFS(Programação!$I$5:$I$1004,$A28,Programação!$L$5:$L$1004,D$12,Programação!$N$5:$N$1004,"&lt;&gt;Cancelada"))</f>
        <v/>
      </c>
      <c r="E28" s="62" t="str">
        <f aca="false">IF($A28="","",COUNTIFS(Programação!$G$5:$G$1004,$A28,Programação!$L$5:$L$1004,E$12,Programação!$N$5:$N$1004,"&lt;&gt;Cancelada")+COUNTIFS(Programação!$H$5:$H$1004,$A28,Programação!$L$5:$L$1004,E$12,Programação!$N$5:$N$1004,"&lt;&gt;Cancelada")+COUNTIFS(Programação!$I$5:$I$1004,$A28,Programação!$L$5:$L$1004,E$12,Programação!$N$5:$N$1004,"&lt;&gt;Cancelada"))</f>
        <v/>
      </c>
      <c r="F28" s="62" t="str">
        <f aca="false">IF($A28="","",COUNTIFS(Programação!$G$5:$G$1004,$A28,Programação!$L$5:$L$1004,F$12,Programação!$N$5:$N$1004,"&lt;&gt;Cancelada")+COUNTIFS(Programação!$H$5:$H$1004,$A28,Programação!$L$5:$L$1004,F$12,Programação!$N$5:$N$1004,"&lt;&gt;Cancelada")+COUNTIFS(Programação!$I$5:$I$1004,$A28,Programação!$L$5:$L$1004,F$12,Programação!$N$5:$N$1004,"&lt;&gt;Cancelada"))</f>
        <v/>
      </c>
      <c r="G28" s="62" t="str">
        <f aca="false">IF($A28="","",COUNTIFS(Programação!$G$5:$G$1004,$A28,Programação!$L$5:$L$1004,G$12,Programação!$N$5:$N$1004,"&lt;&gt;Cancelada")+COUNTIFS(Programação!$H$5:$H$1004,$A28,Programação!$L$5:$L$1004,G$12,Programação!$N$5:$N$1004,"&lt;&gt;Cancelada")+COUNTIFS(Programação!$I$5:$I$1004,$A28,Programação!$L$5:$L$1004,G$12,Programação!$N$5:$N$1004,"&lt;&gt;Cancelada"))</f>
        <v/>
      </c>
      <c r="H28" s="62" t="str">
        <f aca="false">IF($A28="","",COUNTIFS(Programação!$G$5:$G$1004,$A28,Programação!$L$5:$L$1004,H$12,Programação!$N$5:$N$1004,"&lt;&gt;Cancelada")+COUNTIFS(Programação!$H$5:$H$1004,$A28,Programação!$L$5:$L$1004,H$12,Programação!$N$5:$N$1004,"&lt;&gt;Cancelada")+COUNTIFS(Programação!$I$5:$I$1004,$A28,Programação!$L$5:$L$1004,H$12,Programação!$N$5:$N$1004,"&lt;&gt;Cancelada"))</f>
        <v/>
      </c>
      <c r="I28" s="63" t="str">
        <f aca="false">IF($A28="","",SUM($B28:$H28))</f>
        <v/>
      </c>
      <c r="J28" s="63" t="str">
        <f aca="false">IF($A28="","",SUMIFS(Programação!$Y$5:$Y$1004,Programação!$G$5:$G$1004,$A28,Programação!$L$5:$L$1004,"&gt;="&amp;$C$3,Programação!$L$5:$L$1004,"&lt;="&amp;$C$3+6)+SUMIFS(Programação!$Y$5:$Y$1004,Programação!$H$5:$H$1004,$A28,Programação!$L$5:$L$1004,"&gt;="&amp;$C$3,Programação!$L$5:$L$1004,"&lt;="&amp;$C$3+6)+SUMIFS(Programação!$Y$5:$Y$1004,Programação!$I$5:$I$1004,$A28,Programação!$L$5:$L$1004,"&gt;="&amp;$C$3,Programação!$L$5:$L$1004,"&lt;="&amp;$C$3+6))</f>
        <v/>
      </c>
      <c r="K28" s="64" t="str">
        <f aca="false">IF(OR($A28="",$I28=0),"",$J28/$I28)</f>
        <v/>
      </c>
      <c r="L28" s="63" t="str">
        <f aca="true">IF($A28="","",COUNTIFS(Programação!$G$5:$G$1004,$A28,Programação!$L$5:$L$1004,"&gt;="&amp;$C$3,Programação!$L$5:$L$1004,"&lt;="&amp;$C$3+6,Programação!$L$5:$L$1004,"&lt;"&amp;TODAY(),Programação!$Y$5:$Y$1004,0,Programação!$N$5:$N$1004,"&lt;&gt;Cancelada")+COUNTIFS(Programação!$H$5:$H$1004,$A28,Programação!$L$5:$L$1004,"&gt;="&amp;$C$3,Programação!$L$5:$L$1004,"&lt;="&amp;$C$3+6,Programação!$L$5:$L$1004,"&lt;"&amp;TODAY(),Programação!$Y$5:$Y$1004,0,Programação!$N$5:$N$1004,"&lt;&gt;Cancelada")+COUNTIFS(Programação!$I$5:$I$1004,$A28,Programação!$L$5:$L$1004,"&gt;="&amp;$C$3,Programação!$L$5:$L$1004,"&lt;="&amp;$C$3+6,Programação!$L$5:$L$1004,"&lt;"&amp;TODAY(),Programação!$Y$5:$Y$1004,0,Programação!$N$5:$N$1004,"&lt;&gt;Cancelada"))</f>
        <v/>
      </c>
    </row>
    <row r="29" customFormat="false" ht="16.5" hidden="false" customHeight="true" outlineLevel="0" collapsed="false">
      <c r="A29" s="23" t="str">
        <f aca="false">IF(Listas!A21="","",Listas!A21)</f>
        <v/>
      </c>
      <c r="B29" s="62" t="str">
        <f aca="false">IF($A29="","",COUNTIFS(Programação!$G$5:$G$1004,$A29,Programação!$L$5:$L$1004,B$12,Programação!$N$5:$N$1004,"&lt;&gt;Cancelada")+COUNTIFS(Programação!$H$5:$H$1004,$A29,Programação!$L$5:$L$1004,B$12,Programação!$N$5:$N$1004,"&lt;&gt;Cancelada")+COUNTIFS(Programação!$I$5:$I$1004,$A29,Programação!$L$5:$L$1004,B$12,Programação!$N$5:$N$1004,"&lt;&gt;Cancelada"))</f>
        <v/>
      </c>
      <c r="C29" s="62" t="str">
        <f aca="false">IF($A29="","",COUNTIFS(Programação!$G$5:$G$1004,$A29,Programação!$L$5:$L$1004,C$12,Programação!$N$5:$N$1004,"&lt;&gt;Cancelada")+COUNTIFS(Programação!$H$5:$H$1004,$A29,Programação!$L$5:$L$1004,C$12,Programação!$N$5:$N$1004,"&lt;&gt;Cancelada")+COUNTIFS(Programação!$I$5:$I$1004,$A29,Programação!$L$5:$L$1004,C$12,Programação!$N$5:$N$1004,"&lt;&gt;Cancelada"))</f>
        <v/>
      </c>
      <c r="D29" s="62" t="str">
        <f aca="false">IF($A29="","",COUNTIFS(Programação!$G$5:$G$1004,$A29,Programação!$L$5:$L$1004,D$12,Programação!$N$5:$N$1004,"&lt;&gt;Cancelada")+COUNTIFS(Programação!$H$5:$H$1004,$A29,Programação!$L$5:$L$1004,D$12,Programação!$N$5:$N$1004,"&lt;&gt;Cancelada")+COUNTIFS(Programação!$I$5:$I$1004,$A29,Programação!$L$5:$L$1004,D$12,Programação!$N$5:$N$1004,"&lt;&gt;Cancelada"))</f>
        <v/>
      </c>
      <c r="E29" s="62" t="str">
        <f aca="false">IF($A29="","",COUNTIFS(Programação!$G$5:$G$1004,$A29,Programação!$L$5:$L$1004,E$12,Programação!$N$5:$N$1004,"&lt;&gt;Cancelada")+COUNTIFS(Programação!$H$5:$H$1004,$A29,Programação!$L$5:$L$1004,E$12,Programação!$N$5:$N$1004,"&lt;&gt;Cancelada")+COUNTIFS(Programação!$I$5:$I$1004,$A29,Programação!$L$5:$L$1004,E$12,Programação!$N$5:$N$1004,"&lt;&gt;Cancelada"))</f>
        <v/>
      </c>
      <c r="F29" s="62" t="str">
        <f aca="false">IF($A29="","",COUNTIFS(Programação!$G$5:$G$1004,$A29,Programação!$L$5:$L$1004,F$12,Programação!$N$5:$N$1004,"&lt;&gt;Cancelada")+COUNTIFS(Programação!$H$5:$H$1004,$A29,Programação!$L$5:$L$1004,F$12,Programação!$N$5:$N$1004,"&lt;&gt;Cancelada")+COUNTIFS(Programação!$I$5:$I$1004,$A29,Programação!$L$5:$L$1004,F$12,Programação!$N$5:$N$1004,"&lt;&gt;Cancelada"))</f>
        <v/>
      </c>
      <c r="G29" s="62" t="str">
        <f aca="false">IF($A29="","",COUNTIFS(Programação!$G$5:$G$1004,$A29,Programação!$L$5:$L$1004,G$12,Programação!$N$5:$N$1004,"&lt;&gt;Cancelada")+COUNTIFS(Programação!$H$5:$H$1004,$A29,Programação!$L$5:$L$1004,G$12,Programação!$N$5:$N$1004,"&lt;&gt;Cancelada")+COUNTIFS(Programação!$I$5:$I$1004,$A29,Programação!$L$5:$L$1004,G$12,Programação!$N$5:$N$1004,"&lt;&gt;Cancelada"))</f>
        <v/>
      </c>
      <c r="H29" s="62" t="str">
        <f aca="false">IF($A29="","",COUNTIFS(Programação!$G$5:$G$1004,$A29,Programação!$L$5:$L$1004,H$12,Programação!$N$5:$N$1004,"&lt;&gt;Cancelada")+COUNTIFS(Programação!$H$5:$H$1004,$A29,Programação!$L$5:$L$1004,H$12,Programação!$N$5:$N$1004,"&lt;&gt;Cancelada")+COUNTIFS(Programação!$I$5:$I$1004,$A29,Programação!$L$5:$L$1004,H$12,Programação!$N$5:$N$1004,"&lt;&gt;Cancelada"))</f>
        <v/>
      </c>
      <c r="I29" s="63" t="str">
        <f aca="false">IF($A29="","",SUM($B29:$H29))</f>
        <v/>
      </c>
      <c r="J29" s="63" t="str">
        <f aca="false">IF($A29="","",SUMIFS(Programação!$Y$5:$Y$1004,Programação!$G$5:$G$1004,$A29,Programação!$L$5:$L$1004,"&gt;="&amp;$C$3,Programação!$L$5:$L$1004,"&lt;="&amp;$C$3+6)+SUMIFS(Programação!$Y$5:$Y$1004,Programação!$H$5:$H$1004,$A29,Programação!$L$5:$L$1004,"&gt;="&amp;$C$3,Programação!$L$5:$L$1004,"&lt;="&amp;$C$3+6)+SUMIFS(Programação!$Y$5:$Y$1004,Programação!$I$5:$I$1004,$A29,Programação!$L$5:$L$1004,"&gt;="&amp;$C$3,Programação!$L$5:$L$1004,"&lt;="&amp;$C$3+6))</f>
        <v/>
      </c>
      <c r="K29" s="64" t="str">
        <f aca="false">IF(OR($A29="",$I29=0),"",$J29/$I29)</f>
        <v/>
      </c>
      <c r="L29" s="63" t="str">
        <f aca="true">IF($A29="","",COUNTIFS(Programação!$G$5:$G$1004,$A29,Programação!$L$5:$L$1004,"&gt;="&amp;$C$3,Programação!$L$5:$L$1004,"&lt;="&amp;$C$3+6,Programação!$L$5:$L$1004,"&lt;"&amp;TODAY(),Programação!$Y$5:$Y$1004,0,Programação!$N$5:$N$1004,"&lt;&gt;Cancelada")+COUNTIFS(Programação!$H$5:$H$1004,$A29,Programação!$L$5:$L$1004,"&gt;="&amp;$C$3,Programação!$L$5:$L$1004,"&lt;="&amp;$C$3+6,Programação!$L$5:$L$1004,"&lt;"&amp;TODAY(),Programação!$Y$5:$Y$1004,0,Programação!$N$5:$N$1004,"&lt;&gt;Cancelada")+COUNTIFS(Programação!$I$5:$I$1004,$A29,Programação!$L$5:$L$1004,"&gt;="&amp;$C$3,Programação!$L$5:$L$1004,"&lt;="&amp;$C$3+6,Programação!$L$5:$L$1004,"&lt;"&amp;TODAY(),Programação!$Y$5:$Y$1004,0,Programação!$N$5:$N$1004,"&lt;&gt;Cancelada"))</f>
        <v/>
      </c>
    </row>
    <row r="30" customFormat="false" ht="16.5" hidden="false" customHeight="true" outlineLevel="0" collapsed="false">
      <c r="A30" s="23" t="str">
        <f aca="false">IF(Listas!A22="","",Listas!A22)</f>
        <v/>
      </c>
      <c r="B30" s="62" t="str">
        <f aca="false">IF($A30="","",COUNTIFS(Programação!$G$5:$G$1004,$A30,Programação!$L$5:$L$1004,B$12,Programação!$N$5:$N$1004,"&lt;&gt;Cancelada")+COUNTIFS(Programação!$H$5:$H$1004,$A30,Programação!$L$5:$L$1004,B$12,Programação!$N$5:$N$1004,"&lt;&gt;Cancelada")+COUNTIFS(Programação!$I$5:$I$1004,$A30,Programação!$L$5:$L$1004,B$12,Programação!$N$5:$N$1004,"&lt;&gt;Cancelada"))</f>
        <v/>
      </c>
      <c r="C30" s="62" t="str">
        <f aca="false">IF($A30="","",COUNTIFS(Programação!$G$5:$G$1004,$A30,Programação!$L$5:$L$1004,C$12,Programação!$N$5:$N$1004,"&lt;&gt;Cancelada")+COUNTIFS(Programação!$H$5:$H$1004,$A30,Programação!$L$5:$L$1004,C$12,Programação!$N$5:$N$1004,"&lt;&gt;Cancelada")+COUNTIFS(Programação!$I$5:$I$1004,$A30,Programação!$L$5:$L$1004,C$12,Programação!$N$5:$N$1004,"&lt;&gt;Cancelada"))</f>
        <v/>
      </c>
      <c r="D30" s="62" t="str">
        <f aca="false">IF($A30="","",COUNTIFS(Programação!$G$5:$G$1004,$A30,Programação!$L$5:$L$1004,D$12,Programação!$N$5:$N$1004,"&lt;&gt;Cancelada")+COUNTIFS(Programação!$H$5:$H$1004,$A30,Programação!$L$5:$L$1004,D$12,Programação!$N$5:$N$1004,"&lt;&gt;Cancelada")+COUNTIFS(Programação!$I$5:$I$1004,$A30,Programação!$L$5:$L$1004,D$12,Programação!$N$5:$N$1004,"&lt;&gt;Cancelada"))</f>
        <v/>
      </c>
      <c r="E30" s="62" t="str">
        <f aca="false">IF($A30="","",COUNTIFS(Programação!$G$5:$G$1004,$A30,Programação!$L$5:$L$1004,E$12,Programação!$N$5:$N$1004,"&lt;&gt;Cancelada")+COUNTIFS(Programação!$H$5:$H$1004,$A30,Programação!$L$5:$L$1004,E$12,Programação!$N$5:$N$1004,"&lt;&gt;Cancelada")+COUNTIFS(Programação!$I$5:$I$1004,$A30,Programação!$L$5:$L$1004,E$12,Programação!$N$5:$N$1004,"&lt;&gt;Cancelada"))</f>
        <v/>
      </c>
      <c r="F30" s="62" t="str">
        <f aca="false">IF($A30="","",COUNTIFS(Programação!$G$5:$G$1004,$A30,Programação!$L$5:$L$1004,F$12,Programação!$N$5:$N$1004,"&lt;&gt;Cancelada")+COUNTIFS(Programação!$H$5:$H$1004,$A30,Programação!$L$5:$L$1004,F$12,Programação!$N$5:$N$1004,"&lt;&gt;Cancelada")+COUNTIFS(Programação!$I$5:$I$1004,$A30,Programação!$L$5:$L$1004,F$12,Programação!$N$5:$N$1004,"&lt;&gt;Cancelada"))</f>
        <v/>
      </c>
      <c r="G30" s="62" t="str">
        <f aca="false">IF($A30="","",COUNTIFS(Programação!$G$5:$G$1004,$A30,Programação!$L$5:$L$1004,G$12,Programação!$N$5:$N$1004,"&lt;&gt;Cancelada")+COUNTIFS(Programação!$H$5:$H$1004,$A30,Programação!$L$5:$L$1004,G$12,Programação!$N$5:$N$1004,"&lt;&gt;Cancelada")+COUNTIFS(Programação!$I$5:$I$1004,$A30,Programação!$L$5:$L$1004,G$12,Programação!$N$5:$N$1004,"&lt;&gt;Cancelada"))</f>
        <v/>
      </c>
      <c r="H30" s="62" t="str">
        <f aca="false">IF($A30="","",COUNTIFS(Programação!$G$5:$G$1004,$A30,Programação!$L$5:$L$1004,H$12,Programação!$N$5:$N$1004,"&lt;&gt;Cancelada")+COUNTIFS(Programação!$H$5:$H$1004,$A30,Programação!$L$5:$L$1004,H$12,Programação!$N$5:$N$1004,"&lt;&gt;Cancelada")+COUNTIFS(Programação!$I$5:$I$1004,$A30,Programação!$L$5:$L$1004,H$12,Programação!$N$5:$N$1004,"&lt;&gt;Cancelada"))</f>
        <v/>
      </c>
      <c r="I30" s="63" t="str">
        <f aca="false">IF($A30="","",SUM($B30:$H30))</f>
        <v/>
      </c>
      <c r="J30" s="63" t="str">
        <f aca="false">IF($A30="","",SUMIFS(Programação!$Y$5:$Y$1004,Programação!$G$5:$G$1004,$A30,Programação!$L$5:$L$1004,"&gt;="&amp;$C$3,Programação!$L$5:$L$1004,"&lt;="&amp;$C$3+6)+SUMIFS(Programação!$Y$5:$Y$1004,Programação!$H$5:$H$1004,$A30,Programação!$L$5:$L$1004,"&gt;="&amp;$C$3,Programação!$L$5:$L$1004,"&lt;="&amp;$C$3+6)+SUMIFS(Programação!$Y$5:$Y$1004,Programação!$I$5:$I$1004,$A30,Programação!$L$5:$L$1004,"&gt;="&amp;$C$3,Programação!$L$5:$L$1004,"&lt;="&amp;$C$3+6))</f>
        <v/>
      </c>
      <c r="K30" s="64" t="str">
        <f aca="false">IF(OR($A30="",$I30=0),"",$J30/$I30)</f>
        <v/>
      </c>
      <c r="L30" s="63" t="str">
        <f aca="true">IF($A30="","",COUNTIFS(Programação!$G$5:$G$1004,$A30,Programação!$L$5:$L$1004,"&gt;="&amp;$C$3,Programação!$L$5:$L$1004,"&lt;="&amp;$C$3+6,Programação!$L$5:$L$1004,"&lt;"&amp;TODAY(),Programação!$Y$5:$Y$1004,0,Programação!$N$5:$N$1004,"&lt;&gt;Cancelada")+COUNTIFS(Programação!$H$5:$H$1004,$A30,Programação!$L$5:$L$1004,"&gt;="&amp;$C$3,Programação!$L$5:$L$1004,"&lt;="&amp;$C$3+6,Programação!$L$5:$L$1004,"&lt;"&amp;TODAY(),Programação!$Y$5:$Y$1004,0,Programação!$N$5:$N$1004,"&lt;&gt;Cancelada")+COUNTIFS(Programação!$I$5:$I$1004,$A30,Programação!$L$5:$L$1004,"&gt;="&amp;$C$3,Programação!$L$5:$L$1004,"&lt;="&amp;$C$3+6,Programação!$L$5:$L$1004,"&lt;"&amp;TODAY(),Programação!$Y$5:$Y$1004,0,Programação!$N$5:$N$1004,"&lt;&gt;Cancelada"))</f>
        <v/>
      </c>
    </row>
    <row r="31" customFormat="false" ht="16.5" hidden="false" customHeight="true" outlineLevel="0" collapsed="false">
      <c r="A31" s="23" t="str">
        <f aca="false">IF(Listas!A23="","",Listas!A23)</f>
        <v/>
      </c>
      <c r="B31" s="62" t="str">
        <f aca="false">IF($A31="","",COUNTIFS(Programação!$G$5:$G$1004,$A31,Programação!$L$5:$L$1004,B$12,Programação!$N$5:$N$1004,"&lt;&gt;Cancelada")+COUNTIFS(Programação!$H$5:$H$1004,$A31,Programação!$L$5:$L$1004,B$12,Programação!$N$5:$N$1004,"&lt;&gt;Cancelada")+COUNTIFS(Programação!$I$5:$I$1004,$A31,Programação!$L$5:$L$1004,B$12,Programação!$N$5:$N$1004,"&lt;&gt;Cancelada"))</f>
        <v/>
      </c>
      <c r="C31" s="62" t="str">
        <f aca="false">IF($A31="","",COUNTIFS(Programação!$G$5:$G$1004,$A31,Programação!$L$5:$L$1004,C$12,Programação!$N$5:$N$1004,"&lt;&gt;Cancelada")+COUNTIFS(Programação!$H$5:$H$1004,$A31,Programação!$L$5:$L$1004,C$12,Programação!$N$5:$N$1004,"&lt;&gt;Cancelada")+COUNTIFS(Programação!$I$5:$I$1004,$A31,Programação!$L$5:$L$1004,C$12,Programação!$N$5:$N$1004,"&lt;&gt;Cancelada"))</f>
        <v/>
      </c>
      <c r="D31" s="62" t="str">
        <f aca="false">IF($A31="","",COUNTIFS(Programação!$G$5:$G$1004,$A31,Programação!$L$5:$L$1004,D$12,Programação!$N$5:$N$1004,"&lt;&gt;Cancelada")+COUNTIFS(Programação!$H$5:$H$1004,$A31,Programação!$L$5:$L$1004,D$12,Programação!$N$5:$N$1004,"&lt;&gt;Cancelada")+COUNTIFS(Programação!$I$5:$I$1004,$A31,Programação!$L$5:$L$1004,D$12,Programação!$N$5:$N$1004,"&lt;&gt;Cancelada"))</f>
        <v/>
      </c>
      <c r="E31" s="62" t="str">
        <f aca="false">IF($A31="","",COUNTIFS(Programação!$G$5:$G$1004,$A31,Programação!$L$5:$L$1004,E$12,Programação!$N$5:$N$1004,"&lt;&gt;Cancelada")+COUNTIFS(Programação!$H$5:$H$1004,$A31,Programação!$L$5:$L$1004,E$12,Programação!$N$5:$N$1004,"&lt;&gt;Cancelada")+COUNTIFS(Programação!$I$5:$I$1004,$A31,Programação!$L$5:$L$1004,E$12,Programação!$N$5:$N$1004,"&lt;&gt;Cancelada"))</f>
        <v/>
      </c>
      <c r="F31" s="62" t="str">
        <f aca="false">IF($A31="","",COUNTIFS(Programação!$G$5:$G$1004,$A31,Programação!$L$5:$L$1004,F$12,Programação!$N$5:$N$1004,"&lt;&gt;Cancelada")+COUNTIFS(Programação!$H$5:$H$1004,$A31,Programação!$L$5:$L$1004,F$12,Programação!$N$5:$N$1004,"&lt;&gt;Cancelada")+COUNTIFS(Programação!$I$5:$I$1004,$A31,Programação!$L$5:$L$1004,F$12,Programação!$N$5:$N$1004,"&lt;&gt;Cancelada"))</f>
        <v/>
      </c>
      <c r="G31" s="62" t="str">
        <f aca="false">IF($A31="","",COUNTIFS(Programação!$G$5:$G$1004,$A31,Programação!$L$5:$L$1004,G$12,Programação!$N$5:$N$1004,"&lt;&gt;Cancelada")+COUNTIFS(Programação!$H$5:$H$1004,$A31,Programação!$L$5:$L$1004,G$12,Programação!$N$5:$N$1004,"&lt;&gt;Cancelada")+COUNTIFS(Programação!$I$5:$I$1004,$A31,Programação!$L$5:$L$1004,G$12,Programação!$N$5:$N$1004,"&lt;&gt;Cancelada"))</f>
        <v/>
      </c>
      <c r="H31" s="62" t="str">
        <f aca="false">IF($A31="","",COUNTIFS(Programação!$G$5:$G$1004,$A31,Programação!$L$5:$L$1004,H$12,Programação!$N$5:$N$1004,"&lt;&gt;Cancelada")+COUNTIFS(Programação!$H$5:$H$1004,$A31,Programação!$L$5:$L$1004,H$12,Programação!$N$5:$N$1004,"&lt;&gt;Cancelada")+COUNTIFS(Programação!$I$5:$I$1004,$A31,Programação!$L$5:$L$1004,H$12,Programação!$N$5:$N$1004,"&lt;&gt;Cancelada"))</f>
        <v/>
      </c>
      <c r="I31" s="63" t="str">
        <f aca="false">IF($A31="","",SUM($B31:$H31))</f>
        <v/>
      </c>
      <c r="J31" s="63" t="str">
        <f aca="false">IF($A31="","",SUMIFS(Programação!$Y$5:$Y$1004,Programação!$G$5:$G$1004,$A31,Programação!$L$5:$L$1004,"&gt;="&amp;$C$3,Programação!$L$5:$L$1004,"&lt;="&amp;$C$3+6)+SUMIFS(Programação!$Y$5:$Y$1004,Programação!$H$5:$H$1004,$A31,Programação!$L$5:$L$1004,"&gt;="&amp;$C$3,Programação!$L$5:$L$1004,"&lt;="&amp;$C$3+6)+SUMIFS(Programação!$Y$5:$Y$1004,Programação!$I$5:$I$1004,$A31,Programação!$L$5:$L$1004,"&gt;="&amp;$C$3,Programação!$L$5:$L$1004,"&lt;="&amp;$C$3+6))</f>
        <v/>
      </c>
      <c r="K31" s="64" t="str">
        <f aca="false">IF(OR($A31="",$I31=0),"",$J31/$I31)</f>
        <v/>
      </c>
      <c r="L31" s="63" t="str">
        <f aca="true">IF($A31="","",COUNTIFS(Programação!$G$5:$G$1004,$A31,Programação!$L$5:$L$1004,"&gt;="&amp;$C$3,Programação!$L$5:$L$1004,"&lt;="&amp;$C$3+6,Programação!$L$5:$L$1004,"&lt;"&amp;TODAY(),Programação!$Y$5:$Y$1004,0,Programação!$N$5:$N$1004,"&lt;&gt;Cancelada")+COUNTIFS(Programação!$H$5:$H$1004,$A31,Programação!$L$5:$L$1004,"&gt;="&amp;$C$3,Programação!$L$5:$L$1004,"&lt;="&amp;$C$3+6,Programação!$L$5:$L$1004,"&lt;"&amp;TODAY(),Programação!$Y$5:$Y$1004,0,Programação!$N$5:$N$1004,"&lt;&gt;Cancelada")+COUNTIFS(Programação!$I$5:$I$1004,$A31,Programação!$L$5:$L$1004,"&gt;="&amp;$C$3,Programação!$L$5:$L$1004,"&lt;="&amp;$C$3+6,Programação!$L$5:$L$1004,"&lt;"&amp;TODAY(),Programação!$Y$5:$Y$1004,0,Programação!$N$5:$N$1004,"&lt;&gt;Cancelada"))</f>
        <v/>
      </c>
    </row>
    <row r="32" customFormat="false" ht="16.5" hidden="false" customHeight="true" outlineLevel="0" collapsed="false">
      <c r="A32" s="23" t="str">
        <f aca="false">IF(Listas!A24="","",Listas!A24)</f>
        <v/>
      </c>
      <c r="B32" s="62" t="str">
        <f aca="false">IF($A32="","",COUNTIFS(Programação!$G$5:$G$1004,$A32,Programação!$L$5:$L$1004,B$12,Programação!$N$5:$N$1004,"&lt;&gt;Cancelada")+COUNTIFS(Programação!$H$5:$H$1004,$A32,Programação!$L$5:$L$1004,B$12,Programação!$N$5:$N$1004,"&lt;&gt;Cancelada")+COUNTIFS(Programação!$I$5:$I$1004,$A32,Programação!$L$5:$L$1004,B$12,Programação!$N$5:$N$1004,"&lt;&gt;Cancelada"))</f>
        <v/>
      </c>
      <c r="C32" s="62" t="str">
        <f aca="false">IF($A32="","",COUNTIFS(Programação!$G$5:$G$1004,$A32,Programação!$L$5:$L$1004,C$12,Programação!$N$5:$N$1004,"&lt;&gt;Cancelada")+COUNTIFS(Programação!$H$5:$H$1004,$A32,Programação!$L$5:$L$1004,C$12,Programação!$N$5:$N$1004,"&lt;&gt;Cancelada")+COUNTIFS(Programação!$I$5:$I$1004,$A32,Programação!$L$5:$L$1004,C$12,Programação!$N$5:$N$1004,"&lt;&gt;Cancelada"))</f>
        <v/>
      </c>
      <c r="D32" s="62" t="str">
        <f aca="false">IF($A32="","",COUNTIFS(Programação!$G$5:$G$1004,$A32,Programação!$L$5:$L$1004,D$12,Programação!$N$5:$N$1004,"&lt;&gt;Cancelada")+COUNTIFS(Programação!$H$5:$H$1004,$A32,Programação!$L$5:$L$1004,D$12,Programação!$N$5:$N$1004,"&lt;&gt;Cancelada")+COUNTIFS(Programação!$I$5:$I$1004,$A32,Programação!$L$5:$L$1004,D$12,Programação!$N$5:$N$1004,"&lt;&gt;Cancelada"))</f>
        <v/>
      </c>
      <c r="E32" s="62" t="str">
        <f aca="false">IF($A32="","",COUNTIFS(Programação!$G$5:$G$1004,$A32,Programação!$L$5:$L$1004,E$12,Programação!$N$5:$N$1004,"&lt;&gt;Cancelada")+COUNTIFS(Programação!$H$5:$H$1004,$A32,Programação!$L$5:$L$1004,E$12,Programação!$N$5:$N$1004,"&lt;&gt;Cancelada")+COUNTIFS(Programação!$I$5:$I$1004,$A32,Programação!$L$5:$L$1004,E$12,Programação!$N$5:$N$1004,"&lt;&gt;Cancelada"))</f>
        <v/>
      </c>
      <c r="F32" s="62" t="str">
        <f aca="false">IF($A32="","",COUNTIFS(Programação!$G$5:$G$1004,$A32,Programação!$L$5:$L$1004,F$12,Programação!$N$5:$N$1004,"&lt;&gt;Cancelada")+COUNTIFS(Programação!$H$5:$H$1004,$A32,Programação!$L$5:$L$1004,F$12,Programação!$N$5:$N$1004,"&lt;&gt;Cancelada")+COUNTIFS(Programação!$I$5:$I$1004,$A32,Programação!$L$5:$L$1004,F$12,Programação!$N$5:$N$1004,"&lt;&gt;Cancelada"))</f>
        <v/>
      </c>
      <c r="G32" s="62" t="str">
        <f aca="false">IF($A32="","",COUNTIFS(Programação!$G$5:$G$1004,$A32,Programação!$L$5:$L$1004,G$12,Programação!$N$5:$N$1004,"&lt;&gt;Cancelada")+COUNTIFS(Programação!$H$5:$H$1004,$A32,Programação!$L$5:$L$1004,G$12,Programação!$N$5:$N$1004,"&lt;&gt;Cancelada")+COUNTIFS(Programação!$I$5:$I$1004,$A32,Programação!$L$5:$L$1004,G$12,Programação!$N$5:$N$1004,"&lt;&gt;Cancelada"))</f>
        <v/>
      </c>
      <c r="H32" s="62" t="str">
        <f aca="false">IF($A32="","",COUNTIFS(Programação!$G$5:$G$1004,$A32,Programação!$L$5:$L$1004,H$12,Programação!$N$5:$N$1004,"&lt;&gt;Cancelada")+COUNTIFS(Programação!$H$5:$H$1004,$A32,Programação!$L$5:$L$1004,H$12,Programação!$N$5:$N$1004,"&lt;&gt;Cancelada")+COUNTIFS(Programação!$I$5:$I$1004,$A32,Programação!$L$5:$L$1004,H$12,Programação!$N$5:$N$1004,"&lt;&gt;Cancelada"))</f>
        <v/>
      </c>
      <c r="I32" s="63" t="str">
        <f aca="false">IF($A32="","",SUM($B32:$H32))</f>
        <v/>
      </c>
      <c r="J32" s="63" t="str">
        <f aca="false">IF($A32="","",SUMIFS(Programação!$Y$5:$Y$1004,Programação!$G$5:$G$1004,$A32,Programação!$L$5:$L$1004,"&gt;="&amp;$C$3,Programação!$L$5:$L$1004,"&lt;="&amp;$C$3+6)+SUMIFS(Programação!$Y$5:$Y$1004,Programação!$H$5:$H$1004,$A32,Programação!$L$5:$L$1004,"&gt;="&amp;$C$3,Programação!$L$5:$L$1004,"&lt;="&amp;$C$3+6)+SUMIFS(Programação!$Y$5:$Y$1004,Programação!$I$5:$I$1004,$A32,Programação!$L$5:$L$1004,"&gt;="&amp;$C$3,Programação!$L$5:$L$1004,"&lt;="&amp;$C$3+6))</f>
        <v/>
      </c>
      <c r="K32" s="64" t="str">
        <f aca="false">IF(OR($A32="",$I32=0),"",$J32/$I32)</f>
        <v/>
      </c>
      <c r="L32" s="63" t="str">
        <f aca="true">IF($A32="","",COUNTIFS(Programação!$G$5:$G$1004,$A32,Programação!$L$5:$L$1004,"&gt;="&amp;$C$3,Programação!$L$5:$L$1004,"&lt;="&amp;$C$3+6,Programação!$L$5:$L$1004,"&lt;"&amp;TODAY(),Programação!$Y$5:$Y$1004,0,Programação!$N$5:$N$1004,"&lt;&gt;Cancelada")+COUNTIFS(Programação!$H$5:$H$1004,$A32,Programação!$L$5:$L$1004,"&gt;="&amp;$C$3,Programação!$L$5:$L$1004,"&lt;="&amp;$C$3+6,Programação!$L$5:$L$1004,"&lt;"&amp;TODAY(),Programação!$Y$5:$Y$1004,0,Programação!$N$5:$N$1004,"&lt;&gt;Cancelada")+COUNTIFS(Programação!$I$5:$I$1004,$A32,Programação!$L$5:$L$1004,"&gt;="&amp;$C$3,Programação!$L$5:$L$1004,"&lt;="&amp;$C$3+6,Programação!$L$5:$L$1004,"&lt;"&amp;TODAY(),Programação!$Y$5:$Y$1004,0,Programação!$N$5:$N$1004,"&lt;&gt;Cancelada"))</f>
        <v/>
      </c>
    </row>
    <row r="33" customFormat="false" ht="16.5" hidden="false" customHeight="true" outlineLevel="0" collapsed="false">
      <c r="A33" s="23" t="str">
        <f aca="false">IF(Listas!A25="","",Listas!A25)</f>
        <v/>
      </c>
      <c r="B33" s="62" t="str">
        <f aca="false">IF($A33="","",COUNTIFS(Programação!$G$5:$G$1004,$A33,Programação!$L$5:$L$1004,B$12,Programação!$N$5:$N$1004,"&lt;&gt;Cancelada")+COUNTIFS(Programação!$H$5:$H$1004,$A33,Programação!$L$5:$L$1004,B$12,Programação!$N$5:$N$1004,"&lt;&gt;Cancelada")+COUNTIFS(Programação!$I$5:$I$1004,$A33,Programação!$L$5:$L$1004,B$12,Programação!$N$5:$N$1004,"&lt;&gt;Cancelada"))</f>
        <v/>
      </c>
      <c r="C33" s="62" t="str">
        <f aca="false">IF($A33="","",COUNTIFS(Programação!$G$5:$G$1004,$A33,Programação!$L$5:$L$1004,C$12,Programação!$N$5:$N$1004,"&lt;&gt;Cancelada")+COUNTIFS(Programação!$H$5:$H$1004,$A33,Programação!$L$5:$L$1004,C$12,Programação!$N$5:$N$1004,"&lt;&gt;Cancelada")+COUNTIFS(Programação!$I$5:$I$1004,$A33,Programação!$L$5:$L$1004,C$12,Programação!$N$5:$N$1004,"&lt;&gt;Cancelada"))</f>
        <v/>
      </c>
      <c r="D33" s="62" t="str">
        <f aca="false">IF($A33="","",COUNTIFS(Programação!$G$5:$G$1004,$A33,Programação!$L$5:$L$1004,D$12,Programação!$N$5:$N$1004,"&lt;&gt;Cancelada")+COUNTIFS(Programação!$H$5:$H$1004,$A33,Programação!$L$5:$L$1004,D$12,Programação!$N$5:$N$1004,"&lt;&gt;Cancelada")+COUNTIFS(Programação!$I$5:$I$1004,$A33,Programação!$L$5:$L$1004,D$12,Programação!$N$5:$N$1004,"&lt;&gt;Cancelada"))</f>
        <v/>
      </c>
      <c r="E33" s="62" t="str">
        <f aca="false">IF($A33="","",COUNTIFS(Programação!$G$5:$G$1004,$A33,Programação!$L$5:$L$1004,E$12,Programação!$N$5:$N$1004,"&lt;&gt;Cancelada")+COUNTIFS(Programação!$H$5:$H$1004,$A33,Programação!$L$5:$L$1004,E$12,Programação!$N$5:$N$1004,"&lt;&gt;Cancelada")+COUNTIFS(Programação!$I$5:$I$1004,$A33,Programação!$L$5:$L$1004,E$12,Programação!$N$5:$N$1004,"&lt;&gt;Cancelada"))</f>
        <v/>
      </c>
      <c r="F33" s="62" t="str">
        <f aca="false">IF($A33="","",COUNTIFS(Programação!$G$5:$G$1004,$A33,Programação!$L$5:$L$1004,F$12,Programação!$N$5:$N$1004,"&lt;&gt;Cancelada")+COUNTIFS(Programação!$H$5:$H$1004,$A33,Programação!$L$5:$L$1004,F$12,Programação!$N$5:$N$1004,"&lt;&gt;Cancelada")+COUNTIFS(Programação!$I$5:$I$1004,$A33,Programação!$L$5:$L$1004,F$12,Programação!$N$5:$N$1004,"&lt;&gt;Cancelada"))</f>
        <v/>
      </c>
      <c r="G33" s="62" t="str">
        <f aca="false">IF($A33="","",COUNTIFS(Programação!$G$5:$G$1004,$A33,Programação!$L$5:$L$1004,G$12,Programação!$N$5:$N$1004,"&lt;&gt;Cancelada")+COUNTIFS(Programação!$H$5:$H$1004,$A33,Programação!$L$5:$L$1004,G$12,Programação!$N$5:$N$1004,"&lt;&gt;Cancelada")+COUNTIFS(Programação!$I$5:$I$1004,$A33,Programação!$L$5:$L$1004,G$12,Programação!$N$5:$N$1004,"&lt;&gt;Cancelada"))</f>
        <v/>
      </c>
      <c r="H33" s="62" t="str">
        <f aca="false">IF($A33="","",COUNTIFS(Programação!$G$5:$G$1004,$A33,Programação!$L$5:$L$1004,H$12,Programação!$N$5:$N$1004,"&lt;&gt;Cancelada")+COUNTIFS(Programação!$H$5:$H$1004,$A33,Programação!$L$5:$L$1004,H$12,Programação!$N$5:$N$1004,"&lt;&gt;Cancelada")+COUNTIFS(Programação!$I$5:$I$1004,$A33,Programação!$L$5:$L$1004,H$12,Programação!$N$5:$N$1004,"&lt;&gt;Cancelada"))</f>
        <v/>
      </c>
      <c r="I33" s="63" t="str">
        <f aca="false">IF($A33="","",SUM($B33:$H33))</f>
        <v/>
      </c>
      <c r="J33" s="63" t="str">
        <f aca="false">IF($A33="","",SUMIFS(Programação!$Y$5:$Y$1004,Programação!$G$5:$G$1004,$A33,Programação!$L$5:$L$1004,"&gt;="&amp;$C$3,Programação!$L$5:$L$1004,"&lt;="&amp;$C$3+6)+SUMIFS(Programação!$Y$5:$Y$1004,Programação!$H$5:$H$1004,$A33,Programação!$L$5:$L$1004,"&gt;="&amp;$C$3,Programação!$L$5:$L$1004,"&lt;="&amp;$C$3+6)+SUMIFS(Programação!$Y$5:$Y$1004,Programação!$I$5:$I$1004,$A33,Programação!$L$5:$L$1004,"&gt;="&amp;$C$3,Programação!$L$5:$L$1004,"&lt;="&amp;$C$3+6))</f>
        <v/>
      </c>
      <c r="K33" s="64" t="str">
        <f aca="false">IF(OR($A33="",$I33=0),"",$J33/$I33)</f>
        <v/>
      </c>
      <c r="L33" s="63" t="str">
        <f aca="true">IF($A33="","",COUNTIFS(Programação!$G$5:$G$1004,$A33,Programação!$L$5:$L$1004,"&gt;="&amp;$C$3,Programação!$L$5:$L$1004,"&lt;="&amp;$C$3+6,Programação!$L$5:$L$1004,"&lt;"&amp;TODAY(),Programação!$Y$5:$Y$1004,0,Programação!$N$5:$N$1004,"&lt;&gt;Cancelada")+COUNTIFS(Programação!$H$5:$H$1004,$A33,Programação!$L$5:$L$1004,"&gt;="&amp;$C$3,Programação!$L$5:$L$1004,"&lt;="&amp;$C$3+6,Programação!$L$5:$L$1004,"&lt;"&amp;TODAY(),Programação!$Y$5:$Y$1004,0,Programação!$N$5:$N$1004,"&lt;&gt;Cancelada")+COUNTIFS(Programação!$I$5:$I$1004,$A33,Programação!$L$5:$L$1004,"&gt;="&amp;$C$3,Programação!$L$5:$L$1004,"&lt;="&amp;$C$3+6,Programação!$L$5:$L$1004,"&lt;"&amp;TODAY(),Programação!$Y$5:$Y$1004,0,Programação!$N$5:$N$1004,"&lt;&gt;Cancelada"))</f>
        <v/>
      </c>
    </row>
    <row r="34" customFormat="false" ht="16.5" hidden="false" customHeight="true" outlineLevel="0" collapsed="false">
      <c r="A34" s="23" t="str">
        <f aca="false">IF(Listas!A26="","",Listas!A26)</f>
        <v/>
      </c>
      <c r="B34" s="62" t="str">
        <f aca="false">IF($A34="","",COUNTIFS(Programação!$G$5:$G$1004,$A34,Programação!$L$5:$L$1004,B$12,Programação!$N$5:$N$1004,"&lt;&gt;Cancelada")+COUNTIFS(Programação!$H$5:$H$1004,$A34,Programação!$L$5:$L$1004,B$12,Programação!$N$5:$N$1004,"&lt;&gt;Cancelada")+COUNTIFS(Programação!$I$5:$I$1004,$A34,Programação!$L$5:$L$1004,B$12,Programação!$N$5:$N$1004,"&lt;&gt;Cancelada"))</f>
        <v/>
      </c>
      <c r="C34" s="62" t="str">
        <f aca="false">IF($A34="","",COUNTIFS(Programação!$G$5:$G$1004,$A34,Programação!$L$5:$L$1004,C$12,Programação!$N$5:$N$1004,"&lt;&gt;Cancelada")+COUNTIFS(Programação!$H$5:$H$1004,$A34,Programação!$L$5:$L$1004,C$12,Programação!$N$5:$N$1004,"&lt;&gt;Cancelada")+COUNTIFS(Programação!$I$5:$I$1004,$A34,Programação!$L$5:$L$1004,C$12,Programação!$N$5:$N$1004,"&lt;&gt;Cancelada"))</f>
        <v/>
      </c>
      <c r="D34" s="62" t="str">
        <f aca="false">IF($A34="","",COUNTIFS(Programação!$G$5:$G$1004,$A34,Programação!$L$5:$L$1004,D$12,Programação!$N$5:$N$1004,"&lt;&gt;Cancelada")+COUNTIFS(Programação!$H$5:$H$1004,$A34,Programação!$L$5:$L$1004,D$12,Programação!$N$5:$N$1004,"&lt;&gt;Cancelada")+COUNTIFS(Programação!$I$5:$I$1004,$A34,Programação!$L$5:$L$1004,D$12,Programação!$N$5:$N$1004,"&lt;&gt;Cancelada"))</f>
        <v/>
      </c>
      <c r="E34" s="62" t="str">
        <f aca="false">IF($A34="","",COUNTIFS(Programação!$G$5:$G$1004,$A34,Programação!$L$5:$L$1004,E$12,Programação!$N$5:$N$1004,"&lt;&gt;Cancelada")+COUNTIFS(Programação!$H$5:$H$1004,$A34,Programação!$L$5:$L$1004,E$12,Programação!$N$5:$N$1004,"&lt;&gt;Cancelada")+COUNTIFS(Programação!$I$5:$I$1004,$A34,Programação!$L$5:$L$1004,E$12,Programação!$N$5:$N$1004,"&lt;&gt;Cancelada"))</f>
        <v/>
      </c>
      <c r="F34" s="62" t="str">
        <f aca="false">IF($A34="","",COUNTIFS(Programação!$G$5:$G$1004,$A34,Programação!$L$5:$L$1004,F$12,Programação!$N$5:$N$1004,"&lt;&gt;Cancelada")+COUNTIFS(Programação!$H$5:$H$1004,$A34,Programação!$L$5:$L$1004,F$12,Programação!$N$5:$N$1004,"&lt;&gt;Cancelada")+COUNTIFS(Programação!$I$5:$I$1004,$A34,Programação!$L$5:$L$1004,F$12,Programação!$N$5:$N$1004,"&lt;&gt;Cancelada"))</f>
        <v/>
      </c>
      <c r="G34" s="62" t="str">
        <f aca="false">IF($A34="","",COUNTIFS(Programação!$G$5:$G$1004,$A34,Programação!$L$5:$L$1004,G$12,Programação!$N$5:$N$1004,"&lt;&gt;Cancelada")+COUNTIFS(Programação!$H$5:$H$1004,$A34,Programação!$L$5:$L$1004,G$12,Programação!$N$5:$N$1004,"&lt;&gt;Cancelada")+COUNTIFS(Programação!$I$5:$I$1004,$A34,Programação!$L$5:$L$1004,G$12,Programação!$N$5:$N$1004,"&lt;&gt;Cancelada"))</f>
        <v/>
      </c>
      <c r="H34" s="62" t="str">
        <f aca="false">IF($A34="","",COUNTIFS(Programação!$G$5:$G$1004,$A34,Programação!$L$5:$L$1004,H$12,Programação!$N$5:$N$1004,"&lt;&gt;Cancelada")+COUNTIFS(Programação!$H$5:$H$1004,$A34,Programação!$L$5:$L$1004,H$12,Programação!$N$5:$N$1004,"&lt;&gt;Cancelada")+COUNTIFS(Programação!$I$5:$I$1004,$A34,Programação!$L$5:$L$1004,H$12,Programação!$N$5:$N$1004,"&lt;&gt;Cancelada"))</f>
        <v/>
      </c>
      <c r="I34" s="63" t="str">
        <f aca="false">IF($A34="","",SUM($B34:$H34))</f>
        <v/>
      </c>
      <c r="J34" s="63" t="str">
        <f aca="false">IF($A34="","",SUMIFS(Programação!$Y$5:$Y$1004,Programação!$G$5:$G$1004,$A34,Programação!$L$5:$L$1004,"&gt;="&amp;$C$3,Programação!$L$5:$L$1004,"&lt;="&amp;$C$3+6)+SUMIFS(Programação!$Y$5:$Y$1004,Programação!$H$5:$H$1004,$A34,Programação!$L$5:$L$1004,"&gt;="&amp;$C$3,Programação!$L$5:$L$1004,"&lt;="&amp;$C$3+6)+SUMIFS(Programação!$Y$5:$Y$1004,Programação!$I$5:$I$1004,$A34,Programação!$L$5:$L$1004,"&gt;="&amp;$C$3,Programação!$L$5:$L$1004,"&lt;="&amp;$C$3+6))</f>
        <v/>
      </c>
      <c r="K34" s="64" t="str">
        <f aca="false">IF(OR($A34="",$I34=0),"",$J34/$I34)</f>
        <v/>
      </c>
      <c r="L34" s="63" t="str">
        <f aca="true">IF($A34="","",COUNTIFS(Programação!$G$5:$G$1004,$A34,Programação!$L$5:$L$1004,"&gt;="&amp;$C$3,Programação!$L$5:$L$1004,"&lt;="&amp;$C$3+6,Programação!$L$5:$L$1004,"&lt;"&amp;TODAY(),Programação!$Y$5:$Y$1004,0,Programação!$N$5:$N$1004,"&lt;&gt;Cancelada")+COUNTIFS(Programação!$H$5:$H$1004,$A34,Programação!$L$5:$L$1004,"&gt;="&amp;$C$3,Programação!$L$5:$L$1004,"&lt;="&amp;$C$3+6,Programação!$L$5:$L$1004,"&lt;"&amp;TODAY(),Programação!$Y$5:$Y$1004,0,Programação!$N$5:$N$1004,"&lt;&gt;Cancelada")+COUNTIFS(Programação!$I$5:$I$1004,$A34,Programação!$L$5:$L$1004,"&gt;="&amp;$C$3,Programação!$L$5:$L$1004,"&lt;="&amp;$C$3+6,Programação!$L$5:$L$1004,"&lt;"&amp;TODAY(),Programação!$Y$5:$Y$1004,0,Programação!$N$5:$N$1004,"&lt;&gt;Cancelada"))</f>
        <v/>
      </c>
    </row>
    <row r="35" customFormat="false" ht="16.5" hidden="false" customHeight="true" outlineLevel="0" collapsed="false">
      <c r="A35" s="65" t="s">
        <v>356</v>
      </c>
      <c r="B35" s="63" t="n">
        <f aca="false">COUNTIFS(Programação!$G$5:$G$1004,"",Programação!$L$5:$L$1004,B$12,Programação!$N$5:$N$1004,"&lt;&gt;Cancelada")</f>
        <v>0</v>
      </c>
      <c r="C35" s="63" t="n">
        <f aca="false">COUNTIFS(Programação!$G$5:$G$1004,"",Programação!$L$5:$L$1004,C$12,Programação!$N$5:$N$1004,"&lt;&gt;Cancelada")</f>
        <v>0</v>
      </c>
      <c r="D35" s="63" t="n">
        <f aca="false">COUNTIFS(Programação!$G$5:$G$1004,"",Programação!$L$5:$L$1004,D$12,Programação!$N$5:$N$1004,"&lt;&gt;Cancelada")</f>
        <v>0</v>
      </c>
      <c r="E35" s="63" t="n">
        <f aca="false">COUNTIFS(Programação!$G$5:$G$1004,"",Programação!$L$5:$L$1004,E$12,Programação!$N$5:$N$1004,"&lt;&gt;Cancelada")</f>
        <v>0</v>
      </c>
      <c r="F35" s="63" t="n">
        <f aca="false">COUNTIFS(Programação!$G$5:$G$1004,"",Programação!$L$5:$L$1004,F$12,Programação!$N$5:$N$1004,"&lt;&gt;Cancelada")</f>
        <v>0</v>
      </c>
      <c r="G35" s="63" t="n">
        <f aca="false">COUNTIFS(Programação!$G$5:$G$1004,"",Programação!$L$5:$L$1004,G$12,Programação!$N$5:$N$1004,"&lt;&gt;Cancelada")</f>
        <v>0</v>
      </c>
      <c r="H35" s="63" t="n">
        <f aca="false">COUNTIFS(Programação!$G$5:$G$1004,"",Programação!$L$5:$L$1004,H$12,Programação!$N$5:$N$1004,"&lt;&gt;Cancelada")</f>
        <v>0</v>
      </c>
      <c r="I35" s="63" t="n">
        <f aca="false">SUM($B35:$H35)</f>
        <v>0</v>
      </c>
      <c r="J35" s="63" t="n">
        <f aca="false">SUMIFS(Programação!$Y$5:$Y$1004,Programação!$G$5:$G$1004,"",Programação!$L$5:$L$1004,"&gt;="&amp;$C$3,Programação!$L$5:$L$1004,"&lt;="&amp;$C$3+6)</f>
        <v>0</v>
      </c>
      <c r="K35" s="64" t="str">
        <f aca="false">IF($I35=0,"",$J35/$I35)</f>
        <v/>
      </c>
      <c r="L35" s="63" t="n">
        <f aca="true">COUNTIFS(Programação!$G$5:$G$1004,"",Programação!$L$5:$L$1004,"&gt;="&amp;$C$3,Programação!$L$5:$L$1004,"&lt;="&amp;$C$3+6,Programação!$L$5:$L$1004,"&lt;"&amp;TODAY(),Programação!$Y$5:$Y$1004,0,Programação!$N$5:$N$1004,"&lt;&gt;Cancelada")</f>
        <v>0</v>
      </c>
    </row>
    <row r="36" customFormat="false" ht="16.5" hidden="false" customHeight="true" outlineLevel="0" collapsed="false">
      <c r="A36" s="66" t="s">
        <v>357</v>
      </c>
      <c r="B36" s="67" t="n">
        <f aca="false">COUNTIFS(Programação!$L$5:$L$1004,B$12,Programação!$N$5:$N$1004,"&lt;&gt;Cancelada")</f>
        <v>9</v>
      </c>
      <c r="C36" s="67" t="n">
        <f aca="false">COUNTIFS(Programação!$L$5:$L$1004,C$12,Programação!$N$5:$N$1004,"&lt;&gt;Cancelada")</f>
        <v>14</v>
      </c>
      <c r="D36" s="67" t="n">
        <f aca="false">COUNTIFS(Programação!$L$5:$L$1004,D$12,Programação!$N$5:$N$1004,"&lt;&gt;Cancelada")</f>
        <v>64</v>
      </c>
      <c r="E36" s="67" t="n">
        <f aca="false">COUNTIFS(Programação!$L$5:$L$1004,E$12,Programação!$N$5:$N$1004,"&lt;&gt;Cancelada")</f>
        <v>74</v>
      </c>
      <c r="F36" s="67" t="n">
        <f aca="false">COUNTIFS(Programação!$L$5:$L$1004,F$12,Programação!$N$5:$N$1004,"&lt;&gt;Cancelada")</f>
        <v>11</v>
      </c>
      <c r="G36" s="67" t="n">
        <f aca="false">COUNTIFS(Programação!$L$5:$L$1004,G$12,Programação!$N$5:$N$1004,"&lt;&gt;Cancelada")</f>
        <v>0</v>
      </c>
      <c r="H36" s="67" t="n">
        <f aca="false">COUNTIFS(Programação!$L$5:$L$1004,H$12,Programação!$N$5:$N$1004,"&lt;&gt;Cancelada")</f>
        <v>0</v>
      </c>
      <c r="I36" s="68" t="n">
        <f aca="false">$B$6</f>
        <v>172</v>
      </c>
      <c r="J36" s="68" t="n">
        <f aca="false">$D$6</f>
        <v>71</v>
      </c>
      <c r="K36" s="69" t="n">
        <f aca="false">$F$6</f>
        <v>0.412790697674419</v>
      </c>
      <c r="L36" s="68" t="n">
        <f aca="false">$H$6</f>
        <v>16</v>
      </c>
    </row>
    <row r="38" customFormat="false" ht="15" hidden="false" customHeight="false" outlineLevel="0" collapsed="false">
      <c r="A38" s="20" t="s">
        <v>358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</sheetData>
  <mergeCells count="17">
    <mergeCell ref="A1:L1"/>
    <mergeCell ref="A3:B3"/>
    <mergeCell ref="F3:L3"/>
    <mergeCell ref="A5:A6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A8:C8"/>
    <mergeCell ref="D8:L8"/>
    <mergeCell ref="A38:L38"/>
  </mergeCells>
  <conditionalFormatting sqref="D10:L10">
    <cfRule type="cellIs" priority="2" operator="equal" aboveAverage="0" equalAverage="0" bottom="0" percent="0" rank="0" text="" dxfId="22">
      <formula>0</formula>
    </cfRule>
  </conditionalFormatting>
  <conditionalFormatting sqref="B13:H34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{F9BD8BE6-619B-4A20-8750-CABF30D08C94}</x14:id>
        </ext>
      </extLst>
    </cfRule>
    <cfRule type="cellIs" priority="4" operator="equal" aboveAverage="0" equalAverage="0" bottom="0" percent="0" rank="0" text="" dxfId="23">
      <formula>0</formula>
    </cfRule>
  </conditionalFormatting>
  <conditionalFormatting sqref="K13:K34">
    <cfRule type="cellIs" priority="5" operator="greaterThanOrEqual" aboveAverage="0" equalAverage="0" bottom="0" percent="0" rank="0" text="" dxfId="17">
      <formula>0.85</formula>
    </cfRule>
    <cfRule type="cellIs" priority="6" operator="lessThan" aboveAverage="0" equalAverage="0" bottom="0" percent="0" rank="0" text="" dxfId="16">
      <formula>0.6</formula>
    </cfRule>
  </conditionalFormatting>
  <conditionalFormatting sqref="L13:L35">
    <cfRule type="cellIs" priority="7" operator="greaterThan" aboveAverage="0" equalAverage="0" bottom="0" percent="0" rank="0" text="" dxfId="16">
      <formula>0</formula>
    </cfRule>
  </conditionalFormatting>
  <dataValidations count="1">
    <dataValidation allowBlank="false" error="Escolha uma segunda-feira da lista." errorStyle="stop" errorTitle="Semana" operator="between" showDropDown="false" showErrorMessage="true" showInputMessage="false" sqref="C3" type="list">
      <formula1>Listas!$G$5:$G$134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BD8BE6-619B-4A20-8750-CABF30D08C94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B13:H34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K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25" t="s">
        <v>359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3" customFormat="false" ht="15" hidden="false" customHeight="false" outlineLevel="0" collapsed="false">
      <c r="A3" s="70" t="s">
        <v>360</v>
      </c>
      <c r="B3" s="71" t="n">
        <f aca="false">Semana!$C$3</f>
        <v>46258</v>
      </c>
      <c r="C3" s="20" t="s">
        <v>361</v>
      </c>
      <c r="D3" s="20"/>
      <c r="E3" s="20"/>
      <c r="F3" s="20"/>
      <c r="G3" s="20"/>
      <c r="H3" s="20"/>
      <c r="I3" s="20"/>
      <c r="J3" s="20"/>
      <c r="K3" s="20"/>
    </row>
    <row r="4" customFormat="false" ht="15" hidden="false" customHeight="false" outlineLevel="0" collapsed="false">
      <c r="A4" s="70" t="s">
        <v>362</v>
      </c>
      <c r="B4" s="71" t="n">
        <f aca="false">Semana!$C$3+6</f>
        <v>46264</v>
      </c>
      <c r="C4" s="20" t="s">
        <v>363</v>
      </c>
      <c r="D4" s="20"/>
      <c r="E4" s="20"/>
      <c r="F4" s="20"/>
      <c r="G4" s="20"/>
      <c r="H4" s="20"/>
      <c r="I4" s="20"/>
      <c r="J4" s="20"/>
      <c r="K4" s="20"/>
    </row>
    <row r="6" customFormat="false" ht="21.75" hidden="false" customHeight="true" outlineLevel="0" collapsed="false">
      <c r="A6" s="72" t="n">
        <f aca="false">IFERROR(B14,"—")</f>
        <v>0.412790697674419</v>
      </c>
      <c r="B6" s="72"/>
      <c r="C6" s="73" t="str">
        <f aca="false">"ADERÊNCIA POR ATIVIDADE"&amp;CHAR(10)&amp;B13&amp;" de "&amp;B12&amp;" atividades programadas no período foram concluídas."&amp;CHAR(10)&amp;"Cada linha da aba Programação é uma atividade — é ela que conta, não o serviço inteiro."</f>
        <v>ADERÊNCIA POR ATIVIDADE
71 de 172 atividades programadas no período foram concluídas.
Cada linha da aba Programação é uma atividade — é ela que conta, não o serviço inteiro.</v>
      </c>
      <c r="D6" s="73"/>
      <c r="E6" s="73"/>
      <c r="F6" s="73"/>
      <c r="G6" s="73"/>
      <c r="H6" s="73"/>
      <c r="I6" s="73"/>
      <c r="J6" s="73"/>
      <c r="K6" s="73"/>
    </row>
    <row r="7" customFormat="false" ht="21.75" hidden="false" customHeight="true" outlineLevel="0" collapsed="false">
      <c r="A7" s="72"/>
      <c r="B7" s="72"/>
      <c r="C7" s="73"/>
      <c r="D7" s="73"/>
      <c r="E7" s="73"/>
      <c r="F7" s="73"/>
      <c r="G7" s="73"/>
      <c r="H7" s="73"/>
      <c r="I7" s="73"/>
      <c r="J7" s="73"/>
      <c r="K7" s="73"/>
    </row>
    <row r="8" customFormat="false" ht="21.75" hidden="false" customHeight="true" outlineLevel="0" collapsed="false">
      <c r="A8" s="72"/>
      <c r="B8" s="72"/>
      <c r="C8" s="73"/>
      <c r="D8" s="73"/>
      <c r="E8" s="73"/>
      <c r="F8" s="73"/>
      <c r="G8" s="73"/>
      <c r="H8" s="73"/>
      <c r="I8" s="73"/>
      <c r="J8" s="73"/>
      <c r="K8" s="73"/>
    </row>
    <row r="9" customFormat="false" ht="21.75" hidden="false" customHeight="true" outlineLevel="0" collapsed="false">
      <c r="A9" s="72"/>
      <c r="B9" s="72"/>
      <c r="C9" s="73"/>
      <c r="D9" s="73"/>
      <c r="E9" s="73"/>
      <c r="F9" s="73"/>
      <c r="G9" s="73"/>
      <c r="H9" s="73"/>
      <c r="I9" s="73"/>
      <c r="J9" s="73"/>
      <c r="K9" s="73"/>
    </row>
    <row r="11" customFormat="false" ht="15" hidden="false" customHeight="false" outlineLevel="0" collapsed="false">
      <c r="A11" s="33" t="s">
        <v>364</v>
      </c>
      <c r="B11" s="33" t="s">
        <v>365</v>
      </c>
      <c r="C11" s="74" t="s">
        <v>366</v>
      </c>
      <c r="D11" s="74"/>
      <c r="E11" s="74"/>
      <c r="F11" s="74"/>
      <c r="G11" s="74"/>
      <c r="H11" s="74"/>
      <c r="I11" s="74"/>
      <c r="J11" s="74"/>
      <c r="K11" s="74"/>
    </row>
    <row r="12" customFormat="false" ht="16.5" hidden="false" customHeight="true" outlineLevel="0" collapsed="false">
      <c r="A12" s="23" t="s">
        <v>367</v>
      </c>
      <c r="B12" s="75" t="n">
        <f aca="false">COUNTIFS(Programação!$L$5:$L$1004,"&gt;="&amp;$B$3,Programação!$L$5:$L$1004,"&lt;="&amp;$B$4,Programação!$N$5:$N$1004,"&lt;&gt;Cancelada")</f>
        <v>172</v>
      </c>
      <c r="C12" s="76" t="s">
        <v>368</v>
      </c>
      <c r="D12" s="76"/>
      <c r="E12" s="76"/>
      <c r="F12" s="76"/>
      <c r="G12" s="76"/>
      <c r="H12" s="76"/>
      <c r="I12" s="76"/>
      <c r="J12" s="76"/>
      <c r="K12" s="76"/>
    </row>
    <row r="13" customFormat="false" ht="16.5" hidden="false" customHeight="true" outlineLevel="0" collapsed="false">
      <c r="A13" s="23" t="s">
        <v>353</v>
      </c>
      <c r="B13" s="75" t="n">
        <f aca="false">SUMIFS(Programação!$Y$5:$Y$1004,Programação!$L$5:$L$1004,"&gt;="&amp;$B$3,Programação!$L$5:$L$1004,"&lt;="&amp;$B$4)</f>
        <v>71</v>
      </c>
      <c r="C13" s="76" t="s">
        <v>369</v>
      </c>
      <c r="D13" s="76"/>
      <c r="E13" s="76"/>
      <c r="F13" s="76"/>
      <c r="G13" s="76"/>
      <c r="H13" s="76"/>
      <c r="I13" s="76"/>
      <c r="J13" s="76"/>
      <c r="K13" s="76"/>
    </row>
    <row r="14" customFormat="false" ht="16.5" hidden="false" customHeight="true" outlineLevel="0" collapsed="false">
      <c r="A14" s="77" t="s">
        <v>370</v>
      </c>
      <c r="B14" s="78" t="n">
        <f aca="false">IFERROR(B13/B12,"")</f>
        <v>0.412790697674419</v>
      </c>
      <c r="C14" s="79" t="s">
        <v>371</v>
      </c>
      <c r="D14" s="79"/>
      <c r="E14" s="79"/>
      <c r="F14" s="79"/>
      <c r="G14" s="79"/>
      <c r="H14" s="79"/>
      <c r="I14" s="79"/>
      <c r="J14" s="79"/>
      <c r="K14" s="79"/>
    </row>
    <row r="15" customFormat="false" ht="16.5" hidden="false" customHeight="true" outlineLevel="0" collapsed="false">
      <c r="A15" s="23" t="s">
        <v>372</v>
      </c>
      <c r="B15" s="75" t="str">
        <f aca="false">IF(COUNTIFS(Programação!$L$5:$L$1004,"&gt;="&amp;$B$3,Programação!$L$5:$L$1004,"&lt;="&amp;$B$4,Programação!$M$5:$M$1004,"&lt;&gt;")=0,"",SUMIFS(Programação!$U$5:$U$1004,Programação!$L$5:$L$1004,"&gt;="&amp;$B$3,Programação!$L$5:$L$1004,"&lt;="&amp;$B$4))</f>
        <v/>
      </c>
      <c r="C15" s="76" t="s">
        <v>373</v>
      </c>
      <c r="D15" s="76"/>
      <c r="E15" s="76"/>
      <c r="F15" s="76"/>
      <c r="G15" s="76"/>
      <c r="H15" s="76"/>
      <c r="I15" s="76"/>
      <c r="J15" s="76"/>
      <c r="K15" s="76"/>
    </row>
    <row r="16" customFormat="false" ht="16.5" hidden="false" customHeight="true" outlineLevel="0" collapsed="false">
      <c r="A16" s="23" t="s">
        <v>374</v>
      </c>
      <c r="B16" s="80" t="str">
        <f aca="false">IFERROR(B15/COUNTIFS(Programação!$L$5:$L$1004,"&gt;="&amp;$B$3,Programação!$L$5:$L$1004,"&lt;="&amp;$B$4,Programação!$M$5:$M$1004,"&lt;&gt;",Programação!$N$5:$N$1004,"&lt;&gt;Cancelada"),"")</f>
        <v/>
      </c>
      <c r="C16" s="76" t="s">
        <v>375</v>
      </c>
      <c r="D16" s="76"/>
      <c r="E16" s="76"/>
      <c r="F16" s="76"/>
      <c r="G16" s="76"/>
      <c r="H16" s="76"/>
      <c r="I16" s="76"/>
      <c r="J16" s="76"/>
      <c r="K16" s="76"/>
    </row>
    <row r="17" customFormat="false" ht="16.5" hidden="false" customHeight="true" outlineLevel="0" collapsed="false">
      <c r="A17" s="23" t="s">
        <v>376</v>
      </c>
      <c r="B17" s="75" t="n">
        <f aca="false">COUNTIFS(Programação!$T$5:$T$1004,"&gt;="&amp;$B$3,Programação!$T$5:$T$1004,"&lt;="&amp;$B$4,Programação!$N$5:$N$1004,"&lt;&gt;Cancelada")</f>
        <v>172</v>
      </c>
      <c r="C17" s="76" t="s">
        <v>377</v>
      </c>
      <c r="D17" s="76"/>
      <c r="E17" s="76"/>
      <c r="F17" s="76"/>
      <c r="G17" s="76"/>
      <c r="H17" s="76"/>
      <c r="I17" s="76"/>
      <c r="J17" s="76"/>
      <c r="K17" s="76"/>
    </row>
    <row r="18" customFormat="false" ht="16.5" hidden="false" customHeight="true" outlineLevel="0" collapsed="false">
      <c r="A18" s="23" t="s">
        <v>378</v>
      </c>
      <c r="B18" s="75" t="str">
        <f aca="false">IF(COUNTIFS(Programação!$T$5:$T$1004,"&gt;="&amp;$B$3,Programação!$T$5:$T$1004,"&lt;="&amp;$B$4,Programação!$M$5:$M$1004,"&lt;&gt;")=0,"",SUMIFS(Programação!$V$5:$V$1004,Programação!$T$5:$T$1004,"&gt;="&amp;$B$3,Programação!$T$5:$T$1004,"&lt;="&amp;$B$4))</f>
        <v/>
      </c>
      <c r="C18" s="76" t="s">
        <v>379</v>
      </c>
      <c r="D18" s="76"/>
      <c r="E18" s="76"/>
      <c r="F18" s="76"/>
      <c r="G18" s="76"/>
      <c r="H18" s="76"/>
      <c r="I18" s="76"/>
      <c r="J18" s="76"/>
      <c r="K18" s="76"/>
    </row>
    <row r="19" customFormat="false" ht="16.5" hidden="false" customHeight="true" outlineLevel="0" collapsed="false">
      <c r="A19" s="77" t="s">
        <v>380</v>
      </c>
      <c r="B19" s="78" t="str">
        <f aca="false">IF(COUNTIFS(Programação!$T$5:$T$1004,"&gt;="&amp;$B$3,Programação!$T$5:$T$1004,"&lt;="&amp;$B$4,Programação!$M$5:$M$1004,"&lt;&gt;")=0,"",IFERROR(B18/B17,""))</f>
        <v/>
      </c>
      <c r="C19" s="79" t="s">
        <v>381</v>
      </c>
      <c r="D19" s="79"/>
      <c r="E19" s="79"/>
      <c r="F19" s="79"/>
      <c r="G19" s="79"/>
      <c r="H19" s="79"/>
      <c r="I19" s="79"/>
      <c r="J19" s="79"/>
      <c r="K19" s="79"/>
    </row>
    <row r="20" customFormat="false" ht="16.5" hidden="false" customHeight="true" outlineLevel="0" collapsed="false">
      <c r="A20" s="23" t="s">
        <v>355</v>
      </c>
      <c r="B20" s="75" t="n">
        <f aca="true">COUNTIFS(Programação!$L$5:$L$1004,"&gt;="&amp;$B$3,Programação!$L$5:$L$1004,"&lt;="&amp;$B$4,Programação!$L$5:$L$1004,"&lt;"&amp;TODAY(),Programação!$Y$5:$Y$1004,0,Programação!$N$5:$N$1004,"&lt;&gt;Cancelada")</f>
        <v>16</v>
      </c>
      <c r="C20" s="76" t="s">
        <v>382</v>
      </c>
      <c r="D20" s="76"/>
      <c r="E20" s="76"/>
      <c r="F20" s="76"/>
      <c r="G20" s="76"/>
      <c r="H20" s="76"/>
      <c r="I20" s="76"/>
      <c r="J20" s="76"/>
      <c r="K20" s="76"/>
    </row>
    <row r="21" customFormat="false" ht="16.5" hidden="false" customHeight="true" outlineLevel="0" collapsed="false">
      <c r="A21" s="23" t="s">
        <v>383</v>
      </c>
      <c r="B21" s="75" t="n">
        <f aca="false">COUNTIFS(Programação!$L$5:$L$1004,"&gt;="&amp;$B$3,Programação!$L$5:$L$1004,"&lt;="&amp;$B$4,Programação!$N$5:$N$1004,"Cancelada")</f>
        <v>0</v>
      </c>
      <c r="C21" s="76" t="s">
        <v>384</v>
      </c>
      <c r="D21" s="76"/>
      <c r="E21" s="76"/>
      <c r="F21" s="76"/>
      <c r="G21" s="76"/>
      <c r="H21" s="76"/>
      <c r="I21" s="76"/>
      <c r="J21" s="76"/>
      <c r="K21" s="76"/>
    </row>
    <row r="22" customFormat="false" ht="16.5" hidden="false" customHeight="true" outlineLevel="0" collapsed="false">
      <c r="A22" s="23" t="s">
        <v>385</v>
      </c>
      <c r="B22" s="75" t="n">
        <f aca="false">SUMIFS(Programação!$X$5:$X$1004,Programação!$L$5:$L$1004,"&gt;="&amp;$B$3,Programação!$L$5:$L$1004,"&lt;="&amp;$B$4)</f>
        <v>47</v>
      </c>
      <c r="C22" s="76" t="s">
        <v>386</v>
      </c>
      <c r="D22" s="76"/>
      <c r="E22" s="76"/>
      <c r="F22" s="76"/>
      <c r="G22" s="76"/>
      <c r="H22" s="76"/>
      <c r="I22" s="76"/>
      <c r="J22" s="76"/>
      <c r="K22" s="76"/>
    </row>
    <row r="23" customFormat="false" ht="16.5" hidden="false" customHeight="true" outlineLevel="0" collapsed="false">
      <c r="A23" s="23" t="s">
        <v>387</v>
      </c>
      <c r="B23" s="81" t="n">
        <f aca="false">IFERROR(SUMIFS(Programação!$W$5:$W$1004,Programação!$L$5:$L$1004,"&gt;="&amp;$B$3,Programação!$L$5:$L$1004,"&lt;="&amp;$B$4)/COUNTIFS(Programação!$L$5:$L$1004,"&gt;="&amp;$B$3,Programação!$L$5:$L$1004,"&lt;="&amp;$B$4,Programação!$W$5:$W$1004,"&gt;0"),0)</f>
        <v>0</v>
      </c>
      <c r="C23" s="76" t="s">
        <v>388</v>
      </c>
      <c r="D23" s="76"/>
      <c r="E23" s="76"/>
      <c r="F23" s="76"/>
      <c r="G23" s="76"/>
      <c r="H23" s="76"/>
      <c r="I23" s="76"/>
      <c r="J23" s="76"/>
      <c r="K23" s="76"/>
    </row>
    <row r="24" customFormat="false" ht="16.5" hidden="false" customHeight="true" outlineLevel="0" collapsed="false">
      <c r="A24" s="23" t="s">
        <v>389</v>
      </c>
      <c r="B24" s="75" t="n">
        <f aca="false">COUNTIFS(Programação!$L$5:$L$1004,"",Programação!$E$5:$E$1004,"&lt;&gt;",Programação!$N$5:$N$1004,"&lt;&gt;Cancelada")</f>
        <v>0</v>
      </c>
      <c r="C24" s="76" t="s">
        <v>390</v>
      </c>
      <c r="D24" s="76"/>
      <c r="E24" s="76"/>
      <c r="F24" s="76"/>
      <c r="G24" s="76"/>
      <c r="H24" s="76"/>
      <c r="I24" s="76"/>
      <c r="J24" s="76"/>
      <c r="K24" s="76"/>
    </row>
    <row r="25" customFormat="false" ht="16.5" hidden="false" customHeight="true" outlineLevel="0" collapsed="false">
      <c r="A25" s="23" t="s">
        <v>391</v>
      </c>
      <c r="B25" s="75" t="n">
        <f aca="false">COUNTIFS(Programação!$L$5:$L$1004,"&gt;="&amp;$B$3,Programação!$L$5:$L$1004,"&lt;="&amp;$B$4,Programação!$S$5:$S$1004,"Terceirizada")</f>
        <v>47</v>
      </c>
      <c r="C25" s="76" t="s">
        <v>392</v>
      </c>
      <c r="D25" s="76"/>
      <c r="E25" s="76"/>
      <c r="F25" s="76"/>
      <c r="G25" s="76"/>
      <c r="H25" s="76"/>
      <c r="I25" s="76"/>
      <c r="J25" s="76"/>
      <c r="K25" s="76"/>
    </row>
    <row r="28" customFormat="false" ht="15" hidden="false" customHeight="false" outlineLevel="0" collapsed="false">
      <c r="A28" s="3" t="s">
        <v>393</v>
      </c>
      <c r="B28" s="3"/>
      <c r="C28" s="3"/>
      <c r="D28" s="3"/>
      <c r="E28" s="3"/>
      <c r="G28" s="3" t="s">
        <v>394</v>
      </c>
      <c r="H28" s="3"/>
      <c r="I28" s="3"/>
      <c r="J28" s="3"/>
      <c r="K28" s="3"/>
    </row>
    <row r="29" customFormat="false" ht="15" hidden="false" customHeight="false" outlineLevel="0" collapsed="false">
      <c r="A29" s="32" t="s">
        <v>395</v>
      </c>
      <c r="B29" s="32" t="s">
        <v>396</v>
      </c>
      <c r="C29" s="32" t="s">
        <v>146</v>
      </c>
      <c r="D29" s="32" t="s">
        <v>354</v>
      </c>
      <c r="E29" s="32" t="s">
        <v>355</v>
      </c>
      <c r="G29" s="32" t="s">
        <v>395</v>
      </c>
      <c r="H29" s="32" t="s">
        <v>396</v>
      </c>
      <c r="I29" s="32" t="s">
        <v>146</v>
      </c>
      <c r="J29" s="32" t="s">
        <v>354</v>
      </c>
      <c r="K29" s="32" t="s">
        <v>355</v>
      </c>
    </row>
    <row r="30" customFormat="false" ht="15.75" hidden="false" customHeight="true" outlineLevel="0" collapsed="false">
      <c r="A30" s="23" t="str">
        <f aca="false">IF(Listas!A5="","",Listas!A5)</f>
        <v>Adilton</v>
      </c>
      <c r="B30" s="63" t="n">
        <f aca="false">IF($A30="","",COUNTIFS(Programação!$G$5:$G$1004,$A30,Programação!$L$5:$L$1004,"&gt;="&amp;$B$3,Programação!$L$5:$L$1004,"&lt;="&amp;$B$4,Programação!$N$5:$N$1004,"&lt;&gt;Cancelada")+COUNTIFS(Programação!$H$5:$H$1004,$A30,Programação!$L$5:$L$1004,"&gt;="&amp;$B$3,Programação!$L$5:$L$1004,"&lt;="&amp;$B$4,Programação!$N$5:$N$1004,"&lt;&gt;Cancelada")+COUNTIFS(Programação!$I$5:$I$1004,$A30,Programação!$L$5:$L$1004,"&gt;="&amp;$B$3,Programação!$L$5:$L$1004,"&lt;="&amp;$B$4,Programação!$N$5:$N$1004,"&lt;&gt;Cancelada"))</f>
        <v>41</v>
      </c>
      <c r="C30" s="63" t="n">
        <f aca="false">IF($A30="","",SUMIFS(Programação!$Y$5:$Y$1004,Programação!$G$5:$G$1004,$A30,Programação!$L$5:$L$1004,"&gt;="&amp;$B$3,Programação!$L$5:$L$1004,"&lt;="&amp;$B$4)+SUMIFS(Programação!$Y$5:$Y$1004,Programação!$H$5:$H$1004,$A30,Programação!$L$5:$L$1004,"&gt;="&amp;$B$3,Programação!$L$5:$L$1004,"&lt;="&amp;$B$4)+SUMIFS(Programação!$Y$5:$Y$1004,Programação!$I$5:$I$1004,$A30,Programação!$L$5:$L$1004,"&gt;="&amp;$B$3,Programação!$L$5:$L$1004,"&lt;="&amp;$B$4))</f>
        <v>28</v>
      </c>
      <c r="D30" s="64" t="n">
        <f aca="false">IF(OR($A30="",$B30=0),"",$C30/$B30)</f>
        <v>0.682926829268293</v>
      </c>
      <c r="E30" s="63" t="n">
        <f aca="true">IF($A30="","",COUNTIFS(Programação!$G$5:$G$1004,$A30,Programação!$L$5:$L$1004,"&gt;="&amp;$B$3,Programação!$L$5:$L$1004,"&lt;="&amp;$B$4,Programação!$L$5:$L$1004,"&lt;"&amp;TODAY(),Programação!$Y$5:$Y$1004,0,Programação!$N$5:$N$1004,"&lt;&gt;Cancelada")+COUNTIFS(Programação!$H$5:$H$1004,$A30,Programação!$L$5:$L$1004,"&gt;="&amp;$B$3,Programação!$L$5:$L$1004,"&lt;="&amp;$B$4,Programação!$L$5:$L$1004,"&lt;"&amp;TODAY(),Programação!$Y$5:$Y$1004,0,Programação!$N$5:$N$1004,"&lt;&gt;Cancelada")+COUNTIFS(Programação!$I$5:$I$1004,$A30,Programação!$L$5:$L$1004,"&gt;="&amp;$B$3,Programação!$L$5:$L$1004,"&lt;="&amp;$B$4,Programação!$L$5:$L$1004,"&lt;"&amp;TODAY(),Programação!$Y$5:$Y$1004,0,Programação!$N$5:$N$1004,"&lt;&gt;Cancelada"))</f>
        <v>0</v>
      </c>
      <c r="G30" s="23" t="str">
        <f aca="false">IF(Listas!B5="","",Listas!B5)</f>
        <v>F-1064</v>
      </c>
      <c r="H30" s="63" t="n">
        <f aca="false">IF($G30="","",COUNTIFS(Programação!$C$5:$C$1004,$G30,Programação!$L$5:$L$1004,"&gt;="&amp;$B$3,Programação!$L$5:$L$1004,"&lt;="&amp;$B$4,Programação!$N$5:$N$1004,"&lt;&gt;Cancelada"))</f>
        <v>1</v>
      </c>
      <c r="I30" s="63" t="n">
        <f aca="false">IF($G30="","",SUMIFS(Programação!$Y$5:$Y$1004,Programação!$C$5:$C$1004,$G30,Programação!$L$5:$L$1004,"&gt;="&amp;$B$3,Programação!$L$5:$L$1004,"&lt;="&amp;$B$4))</f>
        <v>0</v>
      </c>
      <c r="J30" s="64" t="n">
        <f aca="false">IF(OR($G30="",$H30=0),"",$I30/$H30)</f>
        <v>0</v>
      </c>
      <c r="K30" s="63" t="n">
        <f aca="true">IF($G30="","",COUNTIFS(Programação!$C$5:$C$1004,$G30,Programação!$L$5:$L$1004,"&gt;="&amp;$B$3,Programação!$L$5:$L$1004,"&lt;="&amp;$B$4,Programação!$L$5:$L$1004,"&lt;"&amp;TODAY(),Programação!$Y$5:$Y$1004,0,Programação!$N$5:$N$1004,"&lt;&gt;Cancelada"))</f>
        <v>1</v>
      </c>
    </row>
    <row r="31" customFormat="false" ht="15.75" hidden="false" customHeight="true" outlineLevel="0" collapsed="false">
      <c r="A31" s="23" t="str">
        <f aca="false">IF(Listas!A6="","",Listas!A6)</f>
        <v>Airton</v>
      </c>
      <c r="B31" s="63" t="n">
        <f aca="false">IF($A31="","",COUNTIFS(Programação!$G$5:$G$1004,$A31,Programação!$L$5:$L$1004,"&gt;="&amp;$B$3,Programação!$L$5:$L$1004,"&lt;="&amp;$B$4,Programação!$N$5:$N$1004,"&lt;&gt;Cancelada")+COUNTIFS(Programação!$H$5:$H$1004,$A31,Programação!$L$5:$L$1004,"&gt;="&amp;$B$3,Programação!$L$5:$L$1004,"&lt;="&amp;$B$4,Programação!$N$5:$N$1004,"&lt;&gt;Cancelada")+COUNTIFS(Programação!$I$5:$I$1004,$A31,Programação!$L$5:$L$1004,"&gt;="&amp;$B$3,Programação!$L$5:$L$1004,"&lt;="&amp;$B$4,Programação!$N$5:$N$1004,"&lt;&gt;Cancelada"))</f>
        <v>57</v>
      </c>
      <c r="C31" s="63" t="n">
        <f aca="false">IF($A31="","",SUMIFS(Programação!$Y$5:$Y$1004,Programação!$G$5:$G$1004,$A31,Programação!$L$5:$L$1004,"&gt;="&amp;$B$3,Programação!$L$5:$L$1004,"&lt;="&amp;$B$4)+SUMIFS(Programação!$Y$5:$Y$1004,Programação!$H$5:$H$1004,$A31,Programação!$L$5:$L$1004,"&gt;="&amp;$B$3,Programação!$L$5:$L$1004,"&lt;="&amp;$B$4)+SUMIFS(Programação!$Y$5:$Y$1004,Programação!$I$5:$I$1004,$A31,Programação!$L$5:$L$1004,"&gt;="&amp;$B$3,Programação!$L$5:$L$1004,"&lt;="&amp;$B$4))</f>
        <v>15</v>
      </c>
      <c r="D31" s="64" t="n">
        <f aca="false">IF(OR($A31="",$B31=0),"",$C31/$B31)</f>
        <v>0.263157894736842</v>
      </c>
      <c r="E31" s="63" t="n">
        <f aca="true">IF($A31="","",COUNTIFS(Programação!$G$5:$G$1004,$A31,Programação!$L$5:$L$1004,"&gt;="&amp;$B$3,Programação!$L$5:$L$1004,"&lt;="&amp;$B$4,Programação!$L$5:$L$1004,"&lt;"&amp;TODAY(),Programação!$Y$5:$Y$1004,0,Programação!$N$5:$N$1004,"&lt;&gt;Cancelada")+COUNTIFS(Programação!$H$5:$H$1004,$A31,Programação!$L$5:$L$1004,"&gt;="&amp;$B$3,Programação!$L$5:$L$1004,"&lt;="&amp;$B$4,Programação!$L$5:$L$1004,"&lt;"&amp;TODAY(),Programação!$Y$5:$Y$1004,0,Programação!$N$5:$N$1004,"&lt;&gt;Cancelada")+COUNTIFS(Programação!$I$5:$I$1004,$A31,Programação!$L$5:$L$1004,"&gt;="&amp;$B$3,Programação!$L$5:$L$1004,"&lt;="&amp;$B$4,Programação!$L$5:$L$1004,"&lt;"&amp;TODAY(),Programação!$Y$5:$Y$1004,0,Programação!$N$5:$N$1004,"&lt;&gt;Cancelada"))</f>
        <v>2</v>
      </c>
      <c r="G31" s="23" t="str">
        <f aca="false">IF(Listas!B6="","",Listas!B6)</f>
        <v>F-1065</v>
      </c>
      <c r="H31" s="63" t="n">
        <f aca="false">IF($G31="","",COUNTIFS(Programação!$C$5:$C$1004,$G31,Programação!$L$5:$L$1004,"&gt;="&amp;$B$3,Programação!$L$5:$L$1004,"&lt;="&amp;$B$4,Programação!$N$5:$N$1004,"&lt;&gt;Cancelada"))</f>
        <v>1</v>
      </c>
      <c r="I31" s="63" t="n">
        <f aca="false">IF($G31="","",SUMIFS(Programação!$Y$5:$Y$1004,Programação!$C$5:$C$1004,$G31,Programação!$L$5:$L$1004,"&gt;="&amp;$B$3,Programação!$L$5:$L$1004,"&lt;="&amp;$B$4))</f>
        <v>0</v>
      </c>
      <c r="J31" s="64" t="n">
        <f aca="false">IF(OR($G31="",$H31=0),"",$I31/$H31)</f>
        <v>0</v>
      </c>
      <c r="K31" s="63" t="n">
        <f aca="true">IF($G31="","",COUNTIFS(Programação!$C$5:$C$1004,$G31,Programação!$L$5:$L$1004,"&gt;="&amp;$B$3,Programação!$L$5:$L$1004,"&lt;="&amp;$B$4,Programação!$L$5:$L$1004,"&lt;"&amp;TODAY(),Programação!$Y$5:$Y$1004,0,Programação!$N$5:$N$1004,"&lt;&gt;Cancelada"))</f>
        <v>1</v>
      </c>
    </row>
    <row r="32" customFormat="false" ht="15.75" hidden="false" customHeight="true" outlineLevel="0" collapsed="false">
      <c r="A32" s="23" t="str">
        <f aca="false">IF(Listas!A7="","",Listas!A7)</f>
        <v>Alexandre</v>
      </c>
      <c r="B32" s="63" t="n">
        <f aca="false">IF($A32="","",COUNTIFS(Programação!$G$5:$G$1004,$A32,Programação!$L$5:$L$1004,"&gt;="&amp;$B$3,Programação!$L$5:$L$1004,"&lt;="&amp;$B$4,Programação!$N$5:$N$1004,"&lt;&gt;Cancelada")+COUNTIFS(Programação!$H$5:$H$1004,$A32,Programação!$L$5:$L$1004,"&gt;="&amp;$B$3,Programação!$L$5:$L$1004,"&lt;="&amp;$B$4,Programação!$N$5:$N$1004,"&lt;&gt;Cancelada")+COUNTIFS(Programação!$I$5:$I$1004,$A32,Programação!$L$5:$L$1004,"&gt;="&amp;$B$3,Programação!$L$5:$L$1004,"&lt;="&amp;$B$4,Programação!$N$5:$N$1004,"&lt;&gt;Cancelada"))</f>
        <v>8</v>
      </c>
      <c r="C32" s="63" t="n">
        <f aca="false">IF($A32="","",SUMIFS(Programação!$Y$5:$Y$1004,Programação!$G$5:$G$1004,$A32,Programação!$L$5:$L$1004,"&gt;="&amp;$B$3,Programação!$L$5:$L$1004,"&lt;="&amp;$B$4)+SUMIFS(Programação!$Y$5:$Y$1004,Programação!$H$5:$H$1004,$A32,Programação!$L$5:$L$1004,"&gt;="&amp;$B$3,Programação!$L$5:$L$1004,"&lt;="&amp;$B$4)+SUMIFS(Programação!$Y$5:$Y$1004,Programação!$I$5:$I$1004,$A32,Programação!$L$5:$L$1004,"&gt;="&amp;$B$3,Programação!$L$5:$L$1004,"&lt;="&amp;$B$4))</f>
        <v>8</v>
      </c>
      <c r="D32" s="64" t="n">
        <f aca="false">IF(OR($A32="",$B32=0),"",$C32/$B32)</f>
        <v>1</v>
      </c>
      <c r="E32" s="63" t="n">
        <f aca="true">IF($A32="","",COUNTIFS(Programação!$G$5:$G$1004,$A32,Programação!$L$5:$L$1004,"&gt;="&amp;$B$3,Programação!$L$5:$L$1004,"&lt;="&amp;$B$4,Programação!$L$5:$L$1004,"&lt;"&amp;TODAY(),Programação!$Y$5:$Y$1004,0,Programação!$N$5:$N$1004,"&lt;&gt;Cancelada")+COUNTIFS(Programação!$H$5:$H$1004,$A32,Programação!$L$5:$L$1004,"&gt;="&amp;$B$3,Programação!$L$5:$L$1004,"&lt;="&amp;$B$4,Programação!$L$5:$L$1004,"&lt;"&amp;TODAY(),Programação!$Y$5:$Y$1004,0,Programação!$N$5:$N$1004,"&lt;&gt;Cancelada")+COUNTIFS(Programação!$I$5:$I$1004,$A32,Programação!$L$5:$L$1004,"&gt;="&amp;$B$3,Programação!$L$5:$L$1004,"&lt;="&amp;$B$4,Programação!$L$5:$L$1004,"&lt;"&amp;TODAY(),Programação!$Y$5:$Y$1004,0,Programação!$N$5:$N$1004,"&lt;&gt;Cancelada"))</f>
        <v>0</v>
      </c>
      <c r="G32" s="23" t="str">
        <f aca="false">IF(Listas!B7="","",Listas!B7)</f>
        <v>F-150</v>
      </c>
      <c r="H32" s="63" t="n">
        <f aca="false">IF($G32="","",COUNTIFS(Programação!$C$5:$C$1004,$G32,Programação!$L$5:$L$1004,"&gt;="&amp;$B$3,Programação!$L$5:$L$1004,"&lt;="&amp;$B$4,Programação!$N$5:$N$1004,"&lt;&gt;Cancelada"))</f>
        <v>2</v>
      </c>
      <c r="I32" s="63" t="n">
        <f aca="false">IF($G32="","",SUMIFS(Programação!$Y$5:$Y$1004,Programação!$C$5:$C$1004,$G32,Programação!$L$5:$L$1004,"&gt;="&amp;$B$3,Programação!$L$5:$L$1004,"&lt;="&amp;$B$4))</f>
        <v>0</v>
      </c>
      <c r="J32" s="64" t="n">
        <f aca="false">IF(OR($G32="",$H32=0),"",$I32/$H32)</f>
        <v>0</v>
      </c>
      <c r="K32" s="63" t="n">
        <f aca="true">IF($G32="","",COUNTIFS(Programação!$C$5:$C$1004,$G32,Programação!$L$5:$L$1004,"&gt;="&amp;$B$3,Programação!$L$5:$L$1004,"&lt;="&amp;$B$4,Programação!$L$5:$L$1004,"&lt;"&amp;TODAY(),Programação!$Y$5:$Y$1004,0,Programação!$N$5:$N$1004,"&lt;&gt;Cancelada"))</f>
        <v>1</v>
      </c>
    </row>
    <row r="33" customFormat="false" ht="15.75" hidden="false" customHeight="true" outlineLevel="0" collapsed="false">
      <c r="A33" s="23" t="str">
        <f aca="false">IF(Listas!A8="","",Listas!A8)</f>
        <v>Gabriel</v>
      </c>
      <c r="B33" s="63" t="n">
        <f aca="false">IF($A33="","",COUNTIFS(Programação!$G$5:$G$1004,$A33,Programação!$L$5:$L$1004,"&gt;="&amp;$B$3,Programação!$L$5:$L$1004,"&lt;="&amp;$B$4,Programação!$N$5:$N$1004,"&lt;&gt;Cancelada")+COUNTIFS(Programação!$H$5:$H$1004,$A33,Programação!$L$5:$L$1004,"&gt;="&amp;$B$3,Programação!$L$5:$L$1004,"&lt;="&amp;$B$4,Programação!$N$5:$N$1004,"&lt;&gt;Cancelada")+COUNTIFS(Programação!$I$5:$I$1004,$A33,Programação!$L$5:$L$1004,"&gt;="&amp;$B$3,Programação!$L$5:$L$1004,"&lt;="&amp;$B$4,Programação!$N$5:$N$1004,"&lt;&gt;Cancelada"))</f>
        <v>36</v>
      </c>
      <c r="C33" s="63" t="n">
        <f aca="false">IF($A33="","",SUMIFS(Programação!$Y$5:$Y$1004,Programação!$G$5:$G$1004,$A33,Programação!$L$5:$L$1004,"&gt;="&amp;$B$3,Programação!$L$5:$L$1004,"&lt;="&amp;$B$4)+SUMIFS(Programação!$Y$5:$Y$1004,Programação!$H$5:$H$1004,$A33,Programação!$L$5:$L$1004,"&gt;="&amp;$B$3,Programação!$L$5:$L$1004,"&lt;="&amp;$B$4)+SUMIFS(Programação!$Y$5:$Y$1004,Programação!$I$5:$I$1004,$A33,Programação!$L$5:$L$1004,"&gt;="&amp;$B$3,Programação!$L$5:$L$1004,"&lt;="&amp;$B$4))</f>
        <v>20</v>
      </c>
      <c r="D33" s="64" t="n">
        <f aca="false">IF(OR($A33="",$B33=0),"",$C33/$B33)</f>
        <v>0.555555555555556</v>
      </c>
      <c r="E33" s="63" t="n">
        <f aca="true">IF($A33="","",COUNTIFS(Programação!$G$5:$G$1004,$A33,Programação!$L$5:$L$1004,"&gt;="&amp;$B$3,Programação!$L$5:$L$1004,"&lt;="&amp;$B$4,Programação!$L$5:$L$1004,"&lt;"&amp;TODAY(),Programação!$Y$5:$Y$1004,0,Programação!$N$5:$N$1004,"&lt;&gt;Cancelada")+COUNTIFS(Programação!$H$5:$H$1004,$A33,Programação!$L$5:$L$1004,"&gt;="&amp;$B$3,Programação!$L$5:$L$1004,"&lt;="&amp;$B$4,Programação!$L$5:$L$1004,"&lt;"&amp;TODAY(),Programação!$Y$5:$Y$1004,0,Programação!$N$5:$N$1004,"&lt;&gt;Cancelada")+COUNTIFS(Programação!$I$5:$I$1004,$A33,Programação!$L$5:$L$1004,"&gt;="&amp;$B$3,Programação!$L$5:$L$1004,"&lt;="&amp;$B$4,Programação!$L$5:$L$1004,"&lt;"&amp;TODAY(),Programação!$Y$5:$Y$1004,0,Programação!$N$5:$N$1004,"&lt;&gt;Cancelada"))</f>
        <v>0</v>
      </c>
      <c r="G33" s="23" t="str">
        <f aca="false">IF(Listas!B8="","",Listas!B8)</f>
        <v>F-246</v>
      </c>
      <c r="H33" s="63" t="n">
        <f aca="false">IF($G33="","",COUNTIFS(Programação!$C$5:$C$1004,$G33,Programação!$L$5:$L$1004,"&gt;="&amp;$B$3,Programação!$L$5:$L$1004,"&lt;="&amp;$B$4,Programação!$N$5:$N$1004,"&lt;&gt;Cancelada"))</f>
        <v>2</v>
      </c>
      <c r="I33" s="63" t="n">
        <f aca="false">IF($G33="","",SUMIFS(Programação!$Y$5:$Y$1004,Programação!$C$5:$C$1004,$G33,Programação!$L$5:$L$1004,"&gt;="&amp;$B$3,Programação!$L$5:$L$1004,"&lt;="&amp;$B$4))</f>
        <v>0</v>
      </c>
      <c r="J33" s="64" t="n">
        <f aca="false">IF(OR($G33="",$H33=0),"",$I33/$H33)</f>
        <v>0</v>
      </c>
      <c r="K33" s="63" t="n">
        <f aca="true">IF($G33="","",COUNTIFS(Programação!$C$5:$C$1004,$G33,Programação!$L$5:$L$1004,"&gt;="&amp;$B$3,Programação!$L$5:$L$1004,"&lt;="&amp;$B$4,Programação!$L$5:$L$1004,"&lt;"&amp;TODAY(),Programação!$Y$5:$Y$1004,0,Programação!$N$5:$N$1004,"&lt;&gt;Cancelada"))</f>
        <v>0</v>
      </c>
    </row>
    <row r="34" customFormat="false" ht="15.75" hidden="false" customHeight="true" outlineLevel="0" collapsed="false">
      <c r="A34" s="23" t="str">
        <f aca="false">IF(Listas!A9="","",Listas!A9)</f>
        <v>Heliton</v>
      </c>
      <c r="B34" s="63" t="n">
        <f aca="false">IF($A34="","",COUNTIFS(Programação!$G$5:$G$1004,$A34,Programação!$L$5:$L$1004,"&gt;="&amp;$B$3,Programação!$L$5:$L$1004,"&lt;="&amp;$B$4,Programação!$N$5:$N$1004,"&lt;&gt;Cancelada")+COUNTIFS(Programação!$H$5:$H$1004,$A34,Programação!$L$5:$L$1004,"&gt;="&amp;$B$3,Programação!$L$5:$L$1004,"&lt;="&amp;$B$4,Programação!$N$5:$N$1004,"&lt;&gt;Cancelada")+COUNTIFS(Programação!$I$5:$I$1004,$A34,Programação!$L$5:$L$1004,"&gt;="&amp;$B$3,Programação!$L$5:$L$1004,"&lt;="&amp;$B$4,Programação!$N$5:$N$1004,"&lt;&gt;Cancelada"))</f>
        <v>34</v>
      </c>
      <c r="C34" s="63" t="n">
        <f aca="false">IF($A34="","",SUMIFS(Programação!$Y$5:$Y$1004,Programação!$G$5:$G$1004,$A34,Programação!$L$5:$L$1004,"&gt;="&amp;$B$3,Programação!$L$5:$L$1004,"&lt;="&amp;$B$4)+SUMIFS(Programação!$Y$5:$Y$1004,Programação!$H$5:$H$1004,$A34,Programação!$L$5:$L$1004,"&gt;="&amp;$B$3,Programação!$L$5:$L$1004,"&lt;="&amp;$B$4)+SUMIFS(Programação!$Y$5:$Y$1004,Programação!$I$5:$I$1004,$A34,Programação!$L$5:$L$1004,"&gt;="&amp;$B$3,Programação!$L$5:$L$1004,"&lt;="&amp;$B$4))</f>
        <v>0</v>
      </c>
      <c r="D34" s="64" t="n">
        <f aca="false">IF(OR($A34="",$B34=0),"",$C34/$B34)</f>
        <v>0</v>
      </c>
      <c r="E34" s="63" t="n">
        <f aca="true">IF($A34="","",COUNTIFS(Programação!$G$5:$G$1004,$A34,Programação!$L$5:$L$1004,"&gt;="&amp;$B$3,Programação!$L$5:$L$1004,"&lt;="&amp;$B$4,Programação!$L$5:$L$1004,"&lt;"&amp;TODAY(),Programação!$Y$5:$Y$1004,0,Programação!$N$5:$N$1004,"&lt;&gt;Cancelada")+COUNTIFS(Programação!$H$5:$H$1004,$A34,Programação!$L$5:$L$1004,"&gt;="&amp;$B$3,Programação!$L$5:$L$1004,"&lt;="&amp;$B$4,Programação!$L$5:$L$1004,"&lt;"&amp;TODAY(),Programação!$Y$5:$Y$1004,0,Programação!$N$5:$N$1004,"&lt;&gt;Cancelada")+COUNTIFS(Programação!$I$5:$I$1004,$A34,Programação!$L$5:$L$1004,"&gt;="&amp;$B$3,Programação!$L$5:$L$1004,"&lt;="&amp;$B$4,Programação!$L$5:$L$1004,"&lt;"&amp;TODAY(),Programação!$Y$5:$Y$1004,0,Programação!$N$5:$N$1004,"&lt;&gt;Cancelada"))</f>
        <v>0</v>
      </c>
      <c r="G34" s="23" t="str">
        <f aca="false">IF(Listas!B9="","",Listas!B9)</f>
        <v>F-326</v>
      </c>
      <c r="H34" s="63" t="n">
        <f aca="false">IF($G34="","",COUNTIFS(Programação!$C$5:$C$1004,$G34,Programação!$L$5:$L$1004,"&gt;="&amp;$B$3,Programação!$L$5:$L$1004,"&lt;="&amp;$B$4,Programação!$N$5:$N$1004,"&lt;&gt;Cancelada"))</f>
        <v>5</v>
      </c>
      <c r="I34" s="63" t="n">
        <f aca="false">IF($G34="","",SUMIFS(Programação!$Y$5:$Y$1004,Programação!$C$5:$C$1004,$G34,Programação!$L$5:$L$1004,"&gt;="&amp;$B$3,Programação!$L$5:$L$1004,"&lt;="&amp;$B$4))</f>
        <v>5</v>
      </c>
      <c r="J34" s="64" t="n">
        <f aca="false">IF(OR($G34="",$H34=0),"",$I34/$H34)</f>
        <v>1</v>
      </c>
      <c r="K34" s="63" t="n">
        <f aca="true">IF($G34="","",COUNTIFS(Programação!$C$5:$C$1004,$G34,Programação!$L$5:$L$1004,"&gt;="&amp;$B$3,Programação!$L$5:$L$1004,"&lt;="&amp;$B$4,Programação!$L$5:$L$1004,"&lt;"&amp;TODAY(),Programação!$Y$5:$Y$1004,0,Programação!$N$5:$N$1004,"&lt;&gt;Cancelada"))</f>
        <v>0</v>
      </c>
    </row>
    <row r="35" customFormat="false" ht="15.75" hidden="false" customHeight="true" outlineLevel="0" collapsed="false">
      <c r="A35" s="23" t="str">
        <f aca="false">IF(Listas!A10="","",Listas!A10)</f>
        <v>Júnior</v>
      </c>
      <c r="B35" s="63" t="n">
        <f aca="false">IF($A35="","",COUNTIFS(Programação!$G$5:$G$1004,$A35,Programação!$L$5:$L$1004,"&gt;="&amp;$B$3,Programação!$L$5:$L$1004,"&lt;="&amp;$B$4,Programação!$N$5:$N$1004,"&lt;&gt;Cancelada")+COUNTIFS(Programação!$H$5:$H$1004,$A35,Programação!$L$5:$L$1004,"&gt;="&amp;$B$3,Programação!$L$5:$L$1004,"&lt;="&amp;$B$4,Programação!$N$5:$N$1004,"&lt;&gt;Cancelada")+COUNTIFS(Programação!$I$5:$I$1004,$A35,Programação!$L$5:$L$1004,"&gt;="&amp;$B$3,Programação!$L$5:$L$1004,"&lt;="&amp;$B$4,Programação!$N$5:$N$1004,"&lt;&gt;Cancelada"))</f>
        <v>41</v>
      </c>
      <c r="C35" s="63" t="n">
        <f aca="false">IF($A35="","",SUMIFS(Programação!$Y$5:$Y$1004,Programação!$G$5:$G$1004,$A35,Programação!$L$5:$L$1004,"&gt;="&amp;$B$3,Programação!$L$5:$L$1004,"&lt;="&amp;$B$4)+SUMIFS(Programação!$Y$5:$Y$1004,Programação!$H$5:$H$1004,$A35,Programação!$L$5:$L$1004,"&gt;="&amp;$B$3,Programação!$L$5:$L$1004,"&lt;="&amp;$B$4)+SUMIFS(Programação!$Y$5:$Y$1004,Programação!$I$5:$I$1004,$A35,Programação!$L$5:$L$1004,"&gt;="&amp;$B$3,Programação!$L$5:$L$1004,"&lt;="&amp;$B$4))</f>
        <v>32</v>
      </c>
      <c r="D35" s="64" t="n">
        <f aca="false">IF(OR($A35="",$B35=0),"",$C35/$B35)</f>
        <v>0.780487804878049</v>
      </c>
      <c r="E35" s="63" t="n">
        <f aca="true">IF($A35="","",COUNTIFS(Programação!$G$5:$G$1004,$A35,Programação!$L$5:$L$1004,"&gt;="&amp;$B$3,Programação!$L$5:$L$1004,"&lt;="&amp;$B$4,Programação!$L$5:$L$1004,"&lt;"&amp;TODAY(),Programação!$Y$5:$Y$1004,0,Programação!$N$5:$N$1004,"&lt;&gt;Cancelada")+COUNTIFS(Programação!$H$5:$H$1004,$A35,Programação!$L$5:$L$1004,"&gt;="&amp;$B$3,Programação!$L$5:$L$1004,"&lt;="&amp;$B$4,Programação!$L$5:$L$1004,"&lt;"&amp;TODAY(),Programação!$Y$5:$Y$1004,0,Programação!$N$5:$N$1004,"&lt;&gt;Cancelada")+COUNTIFS(Programação!$I$5:$I$1004,$A35,Programação!$L$5:$L$1004,"&gt;="&amp;$B$3,Programação!$L$5:$L$1004,"&lt;="&amp;$B$4,Programação!$L$5:$L$1004,"&lt;"&amp;TODAY(),Programação!$Y$5:$Y$1004,0,Programação!$N$5:$N$1004,"&lt;&gt;Cancelada"))</f>
        <v>1</v>
      </c>
      <c r="G35" s="23" t="str">
        <f aca="false">IF(Listas!B10="","",Listas!B10)</f>
        <v>F-327</v>
      </c>
      <c r="H35" s="63" t="n">
        <f aca="false">IF($G35="","",COUNTIFS(Programação!$C$5:$C$1004,$G35,Programação!$L$5:$L$1004,"&gt;="&amp;$B$3,Programação!$L$5:$L$1004,"&lt;="&amp;$B$4,Programação!$N$5:$N$1004,"&lt;&gt;Cancelada"))</f>
        <v>13</v>
      </c>
      <c r="I35" s="63" t="n">
        <f aca="false">IF($G35="","",SUMIFS(Programação!$Y$5:$Y$1004,Programação!$C$5:$C$1004,$G35,Programação!$L$5:$L$1004,"&gt;="&amp;$B$3,Programação!$L$5:$L$1004,"&lt;="&amp;$B$4))</f>
        <v>13</v>
      </c>
      <c r="J35" s="64" t="n">
        <f aca="false">IF(OR($G35="",$H35=0),"",$I35/$H35)</f>
        <v>1</v>
      </c>
      <c r="K35" s="63" t="n">
        <f aca="true">IF($G35="","",COUNTIFS(Programação!$C$5:$C$1004,$G35,Programação!$L$5:$L$1004,"&gt;="&amp;$B$3,Programação!$L$5:$L$1004,"&lt;="&amp;$B$4,Programação!$L$5:$L$1004,"&lt;"&amp;TODAY(),Programação!$Y$5:$Y$1004,0,Programação!$N$5:$N$1004,"&lt;&gt;Cancelada"))</f>
        <v>0</v>
      </c>
    </row>
    <row r="36" customFormat="false" ht="15.75" hidden="false" customHeight="true" outlineLevel="0" collapsed="false">
      <c r="A36" s="23" t="str">
        <f aca="false">IF(Listas!A11="","",Listas!A11)</f>
        <v>Luiz Paulo</v>
      </c>
      <c r="B36" s="63" t="n">
        <f aca="false">IF($A36="","",COUNTIFS(Programação!$G$5:$G$1004,$A36,Programação!$L$5:$L$1004,"&gt;="&amp;$B$3,Programação!$L$5:$L$1004,"&lt;="&amp;$B$4,Programação!$N$5:$N$1004,"&lt;&gt;Cancelada")+COUNTIFS(Programação!$H$5:$H$1004,$A36,Programação!$L$5:$L$1004,"&gt;="&amp;$B$3,Programação!$L$5:$L$1004,"&lt;="&amp;$B$4,Programação!$N$5:$N$1004,"&lt;&gt;Cancelada")+COUNTIFS(Programação!$I$5:$I$1004,$A36,Programação!$L$5:$L$1004,"&gt;="&amp;$B$3,Programação!$L$5:$L$1004,"&lt;="&amp;$B$4,Programação!$N$5:$N$1004,"&lt;&gt;Cancelada"))</f>
        <v>57</v>
      </c>
      <c r="C36" s="63" t="n">
        <f aca="false">IF($A36="","",SUMIFS(Programação!$Y$5:$Y$1004,Programação!$G$5:$G$1004,$A36,Programação!$L$5:$L$1004,"&gt;="&amp;$B$3,Programação!$L$5:$L$1004,"&lt;="&amp;$B$4)+SUMIFS(Programação!$Y$5:$Y$1004,Programação!$H$5:$H$1004,$A36,Programação!$L$5:$L$1004,"&gt;="&amp;$B$3,Programação!$L$5:$L$1004,"&lt;="&amp;$B$4)+SUMIFS(Programação!$Y$5:$Y$1004,Programação!$I$5:$I$1004,$A36,Programação!$L$5:$L$1004,"&gt;="&amp;$B$3,Programação!$L$5:$L$1004,"&lt;="&amp;$B$4))</f>
        <v>15</v>
      </c>
      <c r="D36" s="64" t="n">
        <f aca="false">IF(OR($A36="",$B36=0),"",$C36/$B36)</f>
        <v>0.263157894736842</v>
      </c>
      <c r="E36" s="63" t="n">
        <f aca="true">IF($A36="","",COUNTIFS(Programação!$G$5:$G$1004,$A36,Programação!$L$5:$L$1004,"&gt;="&amp;$B$3,Programação!$L$5:$L$1004,"&lt;="&amp;$B$4,Programação!$L$5:$L$1004,"&lt;"&amp;TODAY(),Programação!$Y$5:$Y$1004,0,Programação!$N$5:$N$1004,"&lt;&gt;Cancelada")+COUNTIFS(Programação!$H$5:$H$1004,$A36,Programação!$L$5:$L$1004,"&gt;="&amp;$B$3,Programação!$L$5:$L$1004,"&lt;="&amp;$B$4,Programação!$L$5:$L$1004,"&lt;"&amp;TODAY(),Programação!$Y$5:$Y$1004,0,Programação!$N$5:$N$1004,"&lt;&gt;Cancelada")+COUNTIFS(Programação!$I$5:$I$1004,$A36,Programação!$L$5:$L$1004,"&gt;="&amp;$B$3,Programação!$L$5:$L$1004,"&lt;="&amp;$B$4,Programação!$L$5:$L$1004,"&lt;"&amp;TODAY(),Programação!$Y$5:$Y$1004,0,Programação!$N$5:$N$1004,"&lt;&gt;Cancelada"))</f>
        <v>2</v>
      </c>
      <c r="G36" s="23" t="str">
        <f aca="false">IF(Listas!B11="","",Listas!B11)</f>
        <v>F-328</v>
      </c>
      <c r="H36" s="63" t="n">
        <f aca="false">IF($G36="","",COUNTIFS(Programação!$C$5:$C$1004,$G36,Programação!$L$5:$L$1004,"&gt;="&amp;$B$3,Programação!$L$5:$L$1004,"&lt;="&amp;$B$4,Programação!$N$5:$N$1004,"&lt;&gt;Cancelada"))</f>
        <v>2</v>
      </c>
      <c r="I36" s="63" t="n">
        <f aca="false">IF($G36="","",SUMIFS(Programação!$Y$5:$Y$1004,Programação!$C$5:$C$1004,$G36,Programação!$L$5:$L$1004,"&gt;="&amp;$B$3,Programação!$L$5:$L$1004,"&lt;="&amp;$B$4))</f>
        <v>2</v>
      </c>
      <c r="J36" s="64" t="n">
        <f aca="false">IF(OR($G36="",$H36=0),"",$I36/$H36)</f>
        <v>1</v>
      </c>
      <c r="K36" s="63" t="n">
        <f aca="true">IF($G36="","",COUNTIFS(Programação!$C$5:$C$1004,$G36,Programação!$L$5:$L$1004,"&gt;="&amp;$B$3,Programação!$L$5:$L$1004,"&lt;="&amp;$B$4,Programação!$L$5:$L$1004,"&lt;"&amp;TODAY(),Programação!$Y$5:$Y$1004,0,Programação!$N$5:$N$1004,"&lt;&gt;Cancelada"))</f>
        <v>0</v>
      </c>
    </row>
    <row r="37" customFormat="false" ht="15.75" hidden="false" customHeight="true" outlineLevel="0" collapsed="false">
      <c r="A37" s="23" t="str">
        <f aca="false">IF(Listas!A12="","",Listas!A12)</f>
        <v>Thawan</v>
      </c>
      <c r="B37" s="63" t="n">
        <f aca="false">IF($A37="","",COUNTIFS(Programação!$G$5:$G$1004,$A37,Programação!$L$5:$L$1004,"&gt;="&amp;$B$3,Programação!$L$5:$L$1004,"&lt;="&amp;$B$4,Programação!$N$5:$N$1004,"&lt;&gt;Cancelada")+COUNTIFS(Programação!$H$5:$H$1004,$A37,Programação!$L$5:$L$1004,"&gt;="&amp;$B$3,Programação!$L$5:$L$1004,"&lt;="&amp;$B$4,Programação!$N$5:$N$1004,"&lt;&gt;Cancelada")+COUNTIFS(Programação!$I$5:$I$1004,$A37,Programação!$L$5:$L$1004,"&gt;="&amp;$B$3,Programação!$L$5:$L$1004,"&lt;="&amp;$B$4,Programação!$N$5:$N$1004,"&lt;&gt;Cancelada"))</f>
        <v>6</v>
      </c>
      <c r="C37" s="63" t="n">
        <f aca="false">IF($A37="","",SUMIFS(Programação!$Y$5:$Y$1004,Programação!$G$5:$G$1004,$A37,Programação!$L$5:$L$1004,"&gt;="&amp;$B$3,Programação!$L$5:$L$1004,"&lt;="&amp;$B$4)+SUMIFS(Programação!$Y$5:$Y$1004,Programação!$H$5:$H$1004,$A37,Programação!$L$5:$L$1004,"&gt;="&amp;$B$3,Programação!$L$5:$L$1004,"&lt;="&amp;$B$4)+SUMIFS(Programação!$Y$5:$Y$1004,Programação!$I$5:$I$1004,$A37,Programação!$L$5:$L$1004,"&gt;="&amp;$B$3,Programação!$L$5:$L$1004,"&lt;="&amp;$B$4))</f>
        <v>6</v>
      </c>
      <c r="D37" s="64" t="n">
        <f aca="false">IF(OR($A37="",$B37=0),"",$C37/$B37)</f>
        <v>1</v>
      </c>
      <c r="E37" s="63" t="n">
        <f aca="true">IF($A37="","",COUNTIFS(Programação!$G$5:$G$1004,$A37,Programação!$L$5:$L$1004,"&gt;="&amp;$B$3,Programação!$L$5:$L$1004,"&lt;="&amp;$B$4,Programação!$L$5:$L$1004,"&lt;"&amp;TODAY(),Programação!$Y$5:$Y$1004,0,Programação!$N$5:$N$1004,"&lt;&gt;Cancelada")+COUNTIFS(Programação!$H$5:$H$1004,$A37,Programação!$L$5:$L$1004,"&gt;="&amp;$B$3,Programação!$L$5:$L$1004,"&lt;="&amp;$B$4,Programação!$L$5:$L$1004,"&lt;"&amp;TODAY(),Programação!$Y$5:$Y$1004,0,Programação!$N$5:$N$1004,"&lt;&gt;Cancelada")+COUNTIFS(Programação!$I$5:$I$1004,$A37,Programação!$L$5:$L$1004,"&gt;="&amp;$B$3,Programação!$L$5:$L$1004,"&lt;="&amp;$B$4,Programação!$L$5:$L$1004,"&lt;"&amp;TODAY(),Programação!$Y$5:$Y$1004,0,Programação!$N$5:$N$1004,"&lt;&gt;Cancelada"))</f>
        <v>0</v>
      </c>
      <c r="G37" s="23" t="str">
        <f aca="false">IF(Listas!B12="","",Listas!B12)</f>
        <v>F-331</v>
      </c>
      <c r="H37" s="63" t="n">
        <f aca="false">IF($G37="","",COUNTIFS(Programação!$C$5:$C$1004,$G37,Programação!$L$5:$L$1004,"&gt;="&amp;$B$3,Programação!$L$5:$L$1004,"&lt;="&amp;$B$4,Programação!$N$5:$N$1004,"&lt;&gt;Cancelada"))</f>
        <v>11</v>
      </c>
      <c r="I37" s="63" t="n">
        <f aca="false">IF($G37="","",SUMIFS(Programação!$Y$5:$Y$1004,Programação!$C$5:$C$1004,$G37,Programação!$L$5:$L$1004,"&gt;="&amp;$B$3,Programação!$L$5:$L$1004,"&lt;="&amp;$B$4))</f>
        <v>0</v>
      </c>
      <c r="J37" s="64" t="n">
        <f aca="false">IF(OR($G37="",$H37=0),"",$I37/$H37)</f>
        <v>0</v>
      </c>
      <c r="K37" s="63" t="n">
        <f aca="true">IF($G37="","",COUNTIFS(Programação!$C$5:$C$1004,$G37,Programação!$L$5:$L$1004,"&gt;="&amp;$B$3,Programação!$L$5:$L$1004,"&lt;="&amp;$B$4,Programação!$L$5:$L$1004,"&lt;"&amp;TODAY(),Programação!$Y$5:$Y$1004,0,Programação!$N$5:$N$1004,"&lt;&gt;Cancelada"))</f>
        <v>0</v>
      </c>
    </row>
    <row r="38" customFormat="false" ht="15.75" hidden="false" customHeight="true" outlineLevel="0" collapsed="false">
      <c r="A38" s="23" t="str">
        <f aca="false">IF(Listas!A13="","",Listas!A13)</f>
        <v>ASX (externo)</v>
      </c>
      <c r="B38" s="63" t="n">
        <f aca="false">IF($A38="","",COUNTIFS(Programação!$G$5:$G$1004,$A38,Programação!$L$5:$L$1004,"&gt;="&amp;$B$3,Programação!$L$5:$L$1004,"&lt;="&amp;$B$4,Programação!$N$5:$N$1004,"&lt;&gt;Cancelada")+COUNTIFS(Programação!$H$5:$H$1004,$A38,Programação!$L$5:$L$1004,"&gt;="&amp;$B$3,Programação!$L$5:$L$1004,"&lt;="&amp;$B$4,Programação!$N$5:$N$1004,"&lt;&gt;Cancelada")+COUNTIFS(Programação!$I$5:$I$1004,$A38,Programação!$L$5:$L$1004,"&gt;="&amp;$B$3,Programação!$L$5:$L$1004,"&lt;="&amp;$B$4,Programação!$N$5:$N$1004,"&lt;&gt;Cancelada"))</f>
        <v>34</v>
      </c>
      <c r="C38" s="63" t="n">
        <f aca="false">IF($A38="","",SUMIFS(Programação!$Y$5:$Y$1004,Programação!$G$5:$G$1004,$A38,Programação!$L$5:$L$1004,"&gt;="&amp;$B$3,Programação!$L$5:$L$1004,"&lt;="&amp;$B$4)+SUMIFS(Programação!$Y$5:$Y$1004,Programação!$H$5:$H$1004,$A38,Programação!$L$5:$L$1004,"&gt;="&amp;$B$3,Programação!$L$5:$L$1004,"&lt;="&amp;$B$4)+SUMIFS(Programação!$Y$5:$Y$1004,Programação!$I$5:$I$1004,$A38,Programação!$L$5:$L$1004,"&gt;="&amp;$B$3,Programação!$L$5:$L$1004,"&lt;="&amp;$B$4))</f>
        <v>0</v>
      </c>
      <c r="D38" s="64" t="n">
        <f aca="false">IF(OR($A38="",$B38=0),"",$C38/$B38)</f>
        <v>0</v>
      </c>
      <c r="E38" s="63" t="n">
        <f aca="true">IF($A38="","",COUNTIFS(Programação!$G$5:$G$1004,$A38,Programação!$L$5:$L$1004,"&gt;="&amp;$B$3,Programação!$L$5:$L$1004,"&lt;="&amp;$B$4,Programação!$L$5:$L$1004,"&lt;"&amp;TODAY(),Programação!$Y$5:$Y$1004,0,Programação!$N$5:$N$1004,"&lt;&gt;Cancelada")+COUNTIFS(Programação!$H$5:$H$1004,$A38,Programação!$L$5:$L$1004,"&gt;="&amp;$B$3,Programação!$L$5:$L$1004,"&lt;="&amp;$B$4,Programação!$L$5:$L$1004,"&lt;"&amp;TODAY(),Programação!$Y$5:$Y$1004,0,Programação!$N$5:$N$1004,"&lt;&gt;Cancelada")+COUNTIFS(Programação!$I$5:$I$1004,$A38,Programação!$L$5:$L$1004,"&gt;="&amp;$B$3,Programação!$L$5:$L$1004,"&lt;="&amp;$B$4,Programação!$L$5:$L$1004,"&lt;"&amp;TODAY(),Programação!$Y$5:$Y$1004,0,Programação!$N$5:$N$1004,"&lt;&gt;Cancelada"))</f>
        <v>12</v>
      </c>
      <c r="G38" s="23" t="str">
        <f aca="false">IF(Listas!B13="","",Listas!B13)</f>
        <v>F-457</v>
      </c>
      <c r="H38" s="63" t="n">
        <f aca="false">IF($G38="","",COUNTIFS(Programação!$C$5:$C$1004,$G38,Programação!$L$5:$L$1004,"&gt;="&amp;$B$3,Programação!$L$5:$L$1004,"&lt;="&amp;$B$4,Programação!$N$5:$N$1004,"&lt;&gt;Cancelada"))</f>
        <v>1</v>
      </c>
      <c r="I38" s="63" t="n">
        <f aca="false">IF($G38="","",SUMIFS(Programação!$Y$5:$Y$1004,Programação!$C$5:$C$1004,$G38,Programação!$L$5:$L$1004,"&gt;="&amp;$B$3,Programação!$L$5:$L$1004,"&lt;="&amp;$B$4))</f>
        <v>0</v>
      </c>
      <c r="J38" s="64" t="n">
        <f aca="false">IF(OR($G38="",$H38=0),"",$I38/$H38)</f>
        <v>0</v>
      </c>
      <c r="K38" s="63" t="n">
        <f aca="true">IF($G38="","",COUNTIFS(Programação!$C$5:$C$1004,$G38,Programação!$L$5:$L$1004,"&gt;="&amp;$B$3,Programação!$L$5:$L$1004,"&lt;="&amp;$B$4,Programação!$L$5:$L$1004,"&lt;"&amp;TODAY(),Programação!$Y$5:$Y$1004,0,Programação!$N$5:$N$1004,"&lt;&gt;Cancelada"))</f>
        <v>0</v>
      </c>
    </row>
    <row r="39" customFormat="false" ht="15.75" hidden="false" customHeight="true" outlineLevel="0" collapsed="false">
      <c r="A39" s="23" t="str">
        <f aca="false">IF(Listas!A14="","",Listas!A14)</f>
        <v>Eduardo da sticker (externo)</v>
      </c>
      <c r="B39" s="63" t="n">
        <f aca="false">IF($A39="","",COUNTIFS(Programação!$G$5:$G$1004,$A39,Programação!$L$5:$L$1004,"&gt;="&amp;$B$3,Programação!$L$5:$L$1004,"&lt;="&amp;$B$4,Programação!$N$5:$N$1004,"&lt;&gt;Cancelada")+COUNTIFS(Programação!$H$5:$H$1004,$A39,Programação!$L$5:$L$1004,"&gt;="&amp;$B$3,Programação!$L$5:$L$1004,"&lt;="&amp;$B$4,Programação!$N$5:$N$1004,"&lt;&gt;Cancelada")+COUNTIFS(Programação!$I$5:$I$1004,$A39,Programação!$L$5:$L$1004,"&gt;="&amp;$B$3,Programação!$L$5:$L$1004,"&lt;="&amp;$B$4,Programação!$N$5:$N$1004,"&lt;&gt;Cancelada"))</f>
        <v>10</v>
      </c>
      <c r="C39" s="63" t="n">
        <f aca="false">IF($A39="","",SUMIFS(Programação!$Y$5:$Y$1004,Programação!$G$5:$G$1004,$A39,Programação!$L$5:$L$1004,"&gt;="&amp;$B$3,Programação!$L$5:$L$1004,"&lt;="&amp;$B$4)+SUMIFS(Programação!$Y$5:$Y$1004,Programação!$H$5:$H$1004,$A39,Programação!$L$5:$L$1004,"&gt;="&amp;$B$3,Programação!$L$5:$L$1004,"&lt;="&amp;$B$4)+SUMIFS(Programação!$Y$5:$Y$1004,Programação!$I$5:$I$1004,$A39,Programação!$L$5:$L$1004,"&gt;="&amp;$B$3,Programação!$L$5:$L$1004,"&lt;="&amp;$B$4))</f>
        <v>10</v>
      </c>
      <c r="D39" s="64" t="n">
        <f aca="false">IF(OR($A39="",$B39=0),"",$C39/$B39)</f>
        <v>1</v>
      </c>
      <c r="E39" s="63" t="n">
        <f aca="true">IF($A39="","",COUNTIFS(Programação!$G$5:$G$1004,$A39,Programação!$L$5:$L$1004,"&gt;="&amp;$B$3,Programação!$L$5:$L$1004,"&lt;="&amp;$B$4,Programação!$L$5:$L$1004,"&lt;"&amp;TODAY(),Programação!$Y$5:$Y$1004,0,Programação!$N$5:$N$1004,"&lt;&gt;Cancelada")+COUNTIFS(Programação!$H$5:$H$1004,$A39,Programação!$L$5:$L$1004,"&gt;="&amp;$B$3,Programação!$L$5:$L$1004,"&lt;="&amp;$B$4,Programação!$L$5:$L$1004,"&lt;"&amp;TODAY(),Programação!$Y$5:$Y$1004,0,Programação!$N$5:$N$1004,"&lt;&gt;Cancelada")+COUNTIFS(Programação!$I$5:$I$1004,$A39,Programação!$L$5:$L$1004,"&gt;="&amp;$B$3,Programação!$L$5:$L$1004,"&lt;="&amp;$B$4,Programação!$L$5:$L$1004,"&lt;"&amp;TODAY(),Programação!$Y$5:$Y$1004,0,Programação!$N$5:$N$1004,"&lt;&gt;Cancelada"))</f>
        <v>0</v>
      </c>
      <c r="G39" s="23" t="str">
        <f aca="false">IF(Listas!B14="","",Listas!B14)</f>
        <v>F-458</v>
      </c>
      <c r="H39" s="63" t="n">
        <f aca="false">IF($G39="","",COUNTIFS(Programação!$C$5:$C$1004,$G39,Programação!$L$5:$L$1004,"&gt;="&amp;$B$3,Programação!$L$5:$L$1004,"&lt;="&amp;$B$4,Programação!$N$5:$N$1004,"&lt;&gt;Cancelada"))</f>
        <v>1</v>
      </c>
      <c r="I39" s="63" t="n">
        <f aca="false">IF($G39="","",SUMIFS(Programação!$Y$5:$Y$1004,Programação!$C$5:$C$1004,$G39,Programação!$L$5:$L$1004,"&gt;="&amp;$B$3,Programação!$L$5:$L$1004,"&lt;="&amp;$B$4))</f>
        <v>0</v>
      </c>
      <c r="J39" s="64" t="n">
        <f aca="false">IF(OR($G39="",$H39=0),"",$I39/$H39)</f>
        <v>0</v>
      </c>
      <c r="K39" s="63" t="n">
        <f aca="true">IF($G39="","",COUNTIFS(Programação!$C$5:$C$1004,$G39,Programação!$L$5:$L$1004,"&gt;="&amp;$B$3,Programação!$L$5:$L$1004,"&lt;="&amp;$B$4,Programação!$L$5:$L$1004,"&lt;"&amp;TODAY(),Programação!$Y$5:$Y$1004,0,Programação!$N$5:$N$1004,"&lt;&gt;Cancelada"))</f>
        <v>0</v>
      </c>
    </row>
    <row r="40" customFormat="false" ht="15.75" hidden="false" customHeight="true" outlineLevel="0" collapsed="false">
      <c r="A40" s="23" t="str">
        <f aca="false">IF(Listas!A15="","",Listas!A15)</f>
        <v>Molas Pinheiro (externo)</v>
      </c>
      <c r="B40" s="63" t="n">
        <f aca="false">IF($A40="","",COUNTIFS(Programação!$G$5:$G$1004,$A40,Programação!$L$5:$L$1004,"&gt;="&amp;$B$3,Programação!$L$5:$L$1004,"&lt;="&amp;$B$4,Programação!$N$5:$N$1004,"&lt;&gt;Cancelada")+COUNTIFS(Programação!$H$5:$H$1004,$A40,Programação!$L$5:$L$1004,"&gt;="&amp;$B$3,Programação!$L$5:$L$1004,"&lt;="&amp;$B$4,Programação!$N$5:$N$1004,"&lt;&gt;Cancelada")+COUNTIFS(Programação!$I$5:$I$1004,$A40,Programação!$L$5:$L$1004,"&gt;="&amp;$B$3,Programação!$L$5:$L$1004,"&lt;="&amp;$B$4,Programação!$N$5:$N$1004,"&lt;&gt;Cancelada"))</f>
        <v>2</v>
      </c>
      <c r="C40" s="63" t="n">
        <f aca="false">IF($A40="","",SUMIFS(Programação!$Y$5:$Y$1004,Programação!$G$5:$G$1004,$A40,Programação!$L$5:$L$1004,"&gt;="&amp;$B$3,Programação!$L$5:$L$1004,"&lt;="&amp;$B$4)+SUMIFS(Programação!$Y$5:$Y$1004,Programação!$H$5:$H$1004,$A40,Programação!$L$5:$L$1004,"&gt;="&amp;$B$3,Programação!$L$5:$L$1004,"&lt;="&amp;$B$4)+SUMIFS(Programação!$Y$5:$Y$1004,Programação!$I$5:$I$1004,$A40,Programação!$L$5:$L$1004,"&gt;="&amp;$B$3,Programação!$L$5:$L$1004,"&lt;="&amp;$B$4))</f>
        <v>0</v>
      </c>
      <c r="D40" s="64" t="n">
        <f aca="false">IF(OR($A40="",$B40=0),"",$C40/$B40)</f>
        <v>0</v>
      </c>
      <c r="E40" s="63" t="n">
        <f aca="true">IF($A40="","",COUNTIFS(Programação!$G$5:$G$1004,$A40,Programação!$L$5:$L$1004,"&gt;="&amp;$B$3,Programação!$L$5:$L$1004,"&lt;="&amp;$B$4,Programação!$L$5:$L$1004,"&lt;"&amp;TODAY(),Programação!$Y$5:$Y$1004,0,Programação!$N$5:$N$1004,"&lt;&gt;Cancelada")+COUNTIFS(Programação!$H$5:$H$1004,$A40,Programação!$L$5:$L$1004,"&gt;="&amp;$B$3,Programação!$L$5:$L$1004,"&lt;="&amp;$B$4,Programação!$L$5:$L$1004,"&lt;"&amp;TODAY(),Programação!$Y$5:$Y$1004,0,Programação!$N$5:$N$1004,"&lt;&gt;Cancelada")+COUNTIFS(Programação!$I$5:$I$1004,$A40,Programação!$L$5:$L$1004,"&gt;="&amp;$B$3,Programação!$L$5:$L$1004,"&lt;="&amp;$B$4,Programação!$L$5:$L$1004,"&lt;"&amp;TODAY(),Programação!$Y$5:$Y$1004,0,Programação!$N$5:$N$1004,"&lt;&gt;Cancelada"))</f>
        <v>1</v>
      </c>
      <c r="G40" s="23" t="str">
        <f aca="false">IF(Listas!B15="","",Listas!B15)</f>
        <v>F-485</v>
      </c>
      <c r="H40" s="63" t="n">
        <f aca="false">IF($G40="","",COUNTIFS(Programação!$C$5:$C$1004,$G40,Programação!$L$5:$L$1004,"&gt;="&amp;$B$3,Programação!$L$5:$L$1004,"&lt;="&amp;$B$4,Programação!$N$5:$N$1004,"&lt;&gt;Cancelada"))</f>
        <v>1</v>
      </c>
      <c r="I40" s="63" t="n">
        <f aca="false">IF($G40="","",SUMIFS(Programação!$Y$5:$Y$1004,Programação!$C$5:$C$1004,$G40,Programação!$L$5:$L$1004,"&gt;="&amp;$B$3,Programação!$L$5:$L$1004,"&lt;="&amp;$B$4))</f>
        <v>0</v>
      </c>
      <c r="J40" s="64" t="n">
        <f aca="false">IF(OR($G40="",$H40=0),"",$I40/$H40)</f>
        <v>0</v>
      </c>
      <c r="K40" s="63" t="n">
        <f aca="true">IF($G40="","",COUNTIFS(Programação!$C$5:$C$1004,$G40,Programação!$L$5:$L$1004,"&gt;="&amp;$B$3,Programação!$L$5:$L$1004,"&lt;="&amp;$B$4,Programação!$L$5:$L$1004,"&lt;"&amp;TODAY(),Programação!$Y$5:$Y$1004,0,Programação!$N$5:$N$1004,"&lt;&gt;Cancelada"))</f>
        <v>0</v>
      </c>
    </row>
    <row r="41" customFormat="false" ht="15.75" hidden="false" customHeight="true" outlineLevel="0" collapsed="false">
      <c r="A41" s="23" t="str">
        <f aca="false">IF(Listas!A16="","",Listas!A16)</f>
        <v>Rodo Ceará (externo)</v>
      </c>
      <c r="B41" s="63" t="n">
        <f aca="false">IF($A41="","",COUNTIFS(Programação!$G$5:$G$1004,$A41,Programação!$L$5:$L$1004,"&gt;="&amp;$B$3,Programação!$L$5:$L$1004,"&lt;="&amp;$B$4,Programação!$N$5:$N$1004,"&lt;&gt;Cancelada")+COUNTIFS(Programação!$H$5:$H$1004,$A41,Programação!$L$5:$L$1004,"&gt;="&amp;$B$3,Programação!$L$5:$L$1004,"&lt;="&amp;$B$4,Programação!$N$5:$N$1004,"&lt;&gt;Cancelada")+COUNTIFS(Programação!$I$5:$I$1004,$A41,Programação!$L$5:$L$1004,"&gt;="&amp;$B$3,Programação!$L$5:$L$1004,"&lt;="&amp;$B$4,Programação!$N$5:$N$1004,"&lt;&gt;Cancelada"))</f>
        <v>1</v>
      </c>
      <c r="C41" s="63" t="n">
        <f aca="false">IF($A41="","",SUMIFS(Programação!$Y$5:$Y$1004,Programação!$G$5:$G$1004,$A41,Programação!$L$5:$L$1004,"&gt;="&amp;$B$3,Programação!$L$5:$L$1004,"&lt;="&amp;$B$4)+SUMIFS(Programação!$Y$5:$Y$1004,Programação!$H$5:$H$1004,$A41,Programação!$L$5:$L$1004,"&gt;="&amp;$B$3,Programação!$L$5:$L$1004,"&lt;="&amp;$B$4)+SUMIFS(Programação!$Y$5:$Y$1004,Programação!$I$5:$I$1004,$A41,Programação!$L$5:$L$1004,"&gt;="&amp;$B$3,Programação!$L$5:$L$1004,"&lt;="&amp;$B$4))</f>
        <v>0</v>
      </c>
      <c r="D41" s="64" t="n">
        <f aca="false">IF(OR($A41="",$B41=0),"",$C41/$B41)</f>
        <v>0</v>
      </c>
      <c r="E41" s="63" t="n">
        <f aca="true">IF($A41="","",COUNTIFS(Programação!$G$5:$G$1004,$A41,Programação!$L$5:$L$1004,"&gt;="&amp;$B$3,Programação!$L$5:$L$1004,"&lt;="&amp;$B$4,Programação!$L$5:$L$1004,"&lt;"&amp;TODAY(),Programação!$Y$5:$Y$1004,0,Programação!$N$5:$N$1004,"&lt;&gt;Cancelada")+COUNTIFS(Programação!$H$5:$H$1004,$A41,Programação!$L$5:$L$1004,"&gt;="&amp;$B$3,Programação!$L$5:$L$1004,"&lt;="&amp;$B$4,Programação!$L$5:$L$1004,"&lt;"&amp;TODAY(),Programação!$Y$5:$Y$1004,0,Programação!$N$5:$N$1004,"&lt;&gt;Cancelada")+COUNTIFS(Programação!$I$5:$I$1004,$A41,Programação!$L$5:$L$1004,"&gt;="&amp;$B$3,Programação!$L$5:$L$1004,"&lt;="&amp;$B$4,Programação!$L$5:$L$1004,"&lt;"&amp;TODAY(),Programação!$Y$5:$Y$1004,0,Programação!$N$5:$N$1004,"&lt;&gt;Cancelada"))</f>
        <v>0</v>
      </c>
      <c r="G41" s="23" t="str">
        <f aca="false">IF(Listas!B16="","",Listas!B16)</f>
        <v>F-614</v>
      </c>
      <c r="H41" s="63" t="n">
        <f aca="false">IF($G41="","",COUNTIFS(Programação!$C$5:$C$1004,$G41,Programação!$L$5:$L$1004,"&gt;="&amp;$B$3,Programação!$L$5:$L$1004,"&lt;="&amp;$B$4,Programação!$N$5:$N$1004,"&lt;&gt;Cancelada"))</f>
        <v>1</v>
      </c>
      <c r="I41" s="63" t="n">
        <f aca="false">IF($G41="","",SUMIFS(Programação!$Y$5:$Y$1004,Programação!$C$5:$C$1004,$G41,Programação!$L$5:$L$1004,"&gt;="&amp;$B$3,Programação!$L$5:$L$1004,"&lt;="&amp;$B$4))</f>
        <v>1</v>
      </c>
      <c r="J41" s="64" t="n">
        <f aca="false">IF(OR($G41="",$H41=0),"",$I41/$H41)</f>
        <v>1</v>
      </c>
      <c r="K41" s="63" t="n">
        <f aca="true">IF($G41="","",COUNTIFS(Programação!$C$5:$C$1004,$G41,Programação!$L$5:$L$1004,"&gt;="&amp;$B$3,Programação!$L$5:$L$1004,"&lt;="&amp;$B$4,Programação!$L$5:$L$1004,"&lt;"&amp;TODAY(),Programação!$Y$5:$Y$1004,0,Programação!$N$5:$N$1004,"&lt;&gt;Cancelada"))</f>
        <v>0</v>
      </c>
    </row>
    <row r="42" customFormat="false" ht="15.75" hidden="false" customHeight="true" outlineLevel="0" collapsed="false">
      <c r="A42" s="23" t="str">
        <f aca="false">IF(Listas!A17="","",Listas!A17)</f>
        <v/>
      </c>
      <c r="B42" s="63" t="str">
        <f aca="false">IF($A42="","",COUNTIFS(Programação!$G$5:$G$1004,$A42,Programação!$L$5:$L$1004,"&gt;="&amp;$B$3,Programação!$L$5:$L$1004,"&lt;="&amp;$B$4,Programação!$N$5:$N$1004,"&lt;&gt;Cancelada")+COUNTIFS(Programação!$H$5:$H$1004,$A42,Programação!$L$5:$L$1004,"&gt;="&amp;$B$3,Programação!$L$5:$L$1004,"&lt;="&amp;$B$4,Programação!$N$5:$N$1004,"&lt;&gt;Cancelada")+COUNTIFS(Programação!$I$5:$I$1004,$A42,Programação!$L$5:$L$1004,"&gt;="&amp;$B$3,Programação!$L$5:$L$1004,"&lt;="&amp;$B$4,Programação!$N$5:$N$1004,"&lt;&gt;Cancelada"))</f>
        <v/>
      </c>
      <c r="C42" s="63" t="str">
        <f aca="false">IF($A42="","",SUMIFS(Programação!$Y$5:$Y$1004,Programação!$G$5:$G$1004,$A42,Programação!$L$5:$L$1004,"&gt;="&amp;$B$3,Programação!$L$5:$L$1004,"&lt;="&amp;$B$4)+SUMIFS(Programação!$Y$5:$Y$1004,Programação!$H$5:$H$1004,$A42,Programação!$L$5:$L$1004,"&gt;="&amp;$B$3,Programação!$L$5:$L$1004,"&lt;="&amp;$B$4)+SUMIFS(Programação!$Y$5:$Y$1004,Programação!$I$5:$I$1004,$A42,Programação!$L$5:$L$1004,"&gt;="&amp;$B$3,Programação!$L$5:$L$1004,"&lt;="&amp;$B$4))</f>
        <v/>
      </c>
      <c r="D42" s="64" t="str">
        <f aca="false">IF(OR($A42="",$B42=0),"",$C42/$B42)</f>
        <v/>
      </c>
      <c r="E42" s="63" t="str">
        <f aca="true">IF($A42="","",COUNTIFS(Programação!$G$5:$G$1004,$A42,Programação!$L$5:$L$1004,"&gt;="&amp;$B$3,Programação!$L$5:$L$1004,"&lt;="&amp;$B$4,Programação!$L$5:$L$1004,"&lt;"&amp;TODAY(),Programação!$Y$5:$Y$1004,0,Programação!$N$5:$N$1004,"&lt;&gt;Cancelada")+COUNTIFS(Programação!$H$5:$H$1004,$A42,Programação!$L$5:$L$1004,"&gt;="&amp;$B$3,Programação!$L$5:$L$1004,"&lt;="&amp;$B$4,Programação!$L$5:$L$1004,"&lt;"&amp;TODAY(),Programação!$Y$5:$Y$1004,0,Programação!$N$5:$N$1004,"&lt;&gt;Cancelada")+COUNTIFS(Programação!$I$5:$I$1004,$A42,Programação!$L$5:$L$1004,"&gt;="&amp;$B$3,Programação!$L$5:$L$1004,"&lt;="&amp;$B$4,Programação!$L$5:$L$1004,"&lt;"&amp;TODAY(),Programação!$Y$5:$Y$1004,0,Programação!$N$5:$N$1004,"&lt;&gt;Cancelada"))</f>
        <v/>
      </c>
      <c r="G42" s="23" t="str">
        <f aca="false">IF(Listas!B17="","",Listas!B17)</f>
        <v>F-617</v>
      </c>
      <c r="H42" s="63" t="n">
        <f aca="false">IF($G42="","",COUNTIFS(Programação!$C$5:$C$1004,$G42,Programação!$L$5:$L$1004,"&gt;="&amp;$B$3,Programação!$L$5:$L$1004,"&lt;="&amp;$B$4,Programação!$N$5:$N$1004,"&lt;&gt;Cancelada"))</f>
        <v>1</v>
      </c>
      <c r="I42" s="63" t="n">
        <f aca="false">IF($G42="","",SUMIFS(Programação!$Y$5:$Y$1004,Programação!$C$5:$C$1004,$G42,Programação!$L$5:$L$1004,"&gt;="&amp;$B$3,Programação!$L$5:$L$1004,"&lt;="&amp;$B$4))</f>
        <v>0</v>
      </c>
      <c r="J42" s="64" t="n">
        <f aca="false">IF(OR($G42="",$H42=0),"",$I42/$H42)</f>
        <v>0</v>
      </c>
      <c r="K42" s="63" t="n">
        <f aca="true">IF($G42="","",COUNTIFS(Programação!$C$5:$C$1004,$G42,Programação!$L$5:$L$1004,"&gt;="&amp;$B$3,Programação!$L$5:$L$1004,"&lt;="&amp;$B$4,Programação!$L$5:$L$1004,"&lt;"&amp;TODAY(),Programação!$Y$5:$Y$1004,0,Programação!$N$5:$N$1004,"&lt;&gt;Cancelada"))</f>
        <v>0</v>
      </c>
    </row>
    <row r="43" customFormat="false" ht="15.75" hidden="false" customHeight="true" outlineLevel="0" collapsed="false">
      <c r="A43" s="23" t="str">
        <f aca="false">IF(Listas!A18="","",Listas!A18)</f>
        <v/>
      </c>
      <c r="B43" s="63" t="str">
        <f aca="false">IF($A43="","",COUNTIFS(Programação!$G$5:$G$1004,$A43,Programação!$L$5:$L$1004,"&gt;="&amp;$B$3,Programação!$L$5:$L$1004,"&lt;="&amp;$B$4,Programação!$N$5:$N$1004,"&lt;&gt;Cancelada")+COUNTIFS(Programação!$H$5:$H$1004,$A43,Programação!$L$5:$L$1004,"&gt;="&amp;$B$3,Programação!$L$5:$L$1004,"&lt;="&amp;$B$4,Programação!$N$5:$N$1004,"&lt;&gt;Cancelada")+COUNTIFS(Programação!$I$5:$I$1004,$A43,Programação!$L$5:$L$1004,"&gt;="&amp;$B$3,Programação!$L$5:$L$1004,"&lt;="&amp;$B$4,Programação!$N$5:$N$1004,"&lt;&gt;Cancelada"))</f>
        <v/>
      </c>
      <c r="C43" s="63" t="str">
        <f aca="false">IF($A43="","",SUMIFS(Programação!$Y$5:$Y$1004,Programação!$G$5:$G$1004,$A43,Programação!$L$5:$L$1004,"&gt;="&amp;$B$3,Programação!$L$5:$L$1004,"&lt;="&amp;$B$4)+SUMIFS(Programação!$Y$5:$Y$1004,Programação!$H$5:$H$1004,$A43,Programação!$L$5:$L$1004,"&gt;="&amp;$B$3,Programação!$L$5:$L$1004,"&lt;="&amp;$B$4)+SUMIFS(Programação!$Y$5:$Y$1004,Programação!$I$5:$I$1004,$A43,Programação!$L$5:$L$1004,"&gt;="&amp;$B$3,Programação!$L$5:$L$1004,"&lt;="&amp;$B$4))</f>
        <v/>
      </c>
      <c r="D43" s="64" t="str">
        <f aca="false">IF(OR($A43="",$B43=0),"",$C43/$B43)</f>
        <v/>
      </c>
      <c r="E43" s="63" t="str">
        <f aca="true">IF($A43="","",COUNTIFS(Programação!$G$5:$G$1004,$A43,Programação!$L$5:$L$1004,"&gt;="&amp;$B$3,Programação!$L$5:$L$1004,"&lt;="&amp;$B$4,Programação!$L$5:$L$1004,"&lt;"&amp;TODAY(),Programação!$Y$5:$Y$1004,0,Programação!$N$5:$N$1004,"&lt;&gt;Cancelada")+COUNTIFS(Programação!$H$5:$H$1004,$A43,Programação!$L$5:$L$1004,"&gt;="&amp;$B$3,Programação!$L$5:$L$1004,"&lt;="&amp;$B$4,Programação!$L$5:$L$1004,"&lt;"&amp;TODAY(),Programação!$Y$5:$Y$1004,0,Programação!$N$5:$N$1004,"&lt;&gt;Cancelada")+COUNTIFS(Programação!$I$5:$I$1004,$A43,Programação!$L$5:$L$1004,"&gt;="&amp;$B$3,Programação!$L$5:$L$1004,"&lt;="&amp;$B$4,Programação!$L$5:$L$1004,"&lt;"&amp;TODAY(),Programação!$Y$5:$Y$1004,0,Programação!$N$5:$N$1004,"&lt;&gt;Cancelada"))</f>
        <v/>
      </c>
      <c r="G43" s="23" t="str">
        <f aca="false">IF(Listas!B18="","",Listas!B18)</f>
        <v>F-624</v>
      </c>
      <c r="H43" s="63" t="n">
        <f aca="false">IF($G43="","",COUNTIFS(Programação!$C$5:$C$1004,$G43,Programação!$L$5:$L$1004,"&gt;="&amp;$B$3,Programação!$L$5:$L$1004,"&lt;="&amp;$B$4,Programação!$N$5:$N$1004,"&lt;&gt;Cancelada"))</f>
        <v>21</v>
      </c>
      <c r="I43" s="63" t="n">
        <f aca="false">IF($G43="","",SUMIFS(Programação!$Y$5:$Y$1004,Programação!$C$5:$C$1004,$G43,Programação!$L$5:$L$1004,"&gt;="&amp;$B$3,Programação!$L$5:$L$1004,"&lt;="&amp;$B$4))</f>
        <v>20</v>
      </c>
      <c r="J43" s="64" t="n">
        <f aca="false">IF(OR($G43="",$H43=0),"",$I43/$H43)</f>
        <v>0.952380952380952</v>
      </c>
      <c r="K43" s="63" t="n">
        <f aca="true">IF($G43="","",COUNTIFS(Programação!$C$5:$C$1004,$G43,Programação!$L$5:$L$1004,"&gt;="&amp;$B$3,Programação!$L$5:$L$1004,"&lt;="&amp;$B$4,Programação!$L$5:$L$1004,"&lt;"&amp;TODAY(),Programação!$Y$5:$Y$1004,0,Programação!$N$5:$N$1004,"&lt;&gt;Cancelada"))</f>
        <v>0</v>
      </c>
    </row>
    <row r="44" customFormat="false" ht="15.75" hidden="false" customHeight="true" outlineLevel="0" collapsed="false">
      <c r="A44" s="23" t="str">
        <f aca="false">IF(Listas!A19="","",Listas!A19)</f>
        <v/>
      </c>
      <c r="B44" s="63" t="str">
        <f aca="false">IF($A44="","",COUNTIFS(Programação!$G$5:$G$1004,$A44,Programação!$L$5:$L$1004,"&gt;="&amp;$B$3,Programação!$L$5:$L$1004,"&lt;="&amp;$B$4,Programação!$N$5:$N$1004,"&lt;&gt;Cancelada")+COUNTIFS(Programação!$H$5:$H$1004,$A44,Programação!$L$5:$L$1004,"&gt;="&amp;$B$3,Programação!$L$5:$L$1004,"&lt;="&amp;$B$4,Programação!$N$5:$N$1004,"&lt;&gt;Cancelada")+COUNTIFS(Programação!$I$5:$I$1004,$A44,Programação!$L$5:$L$1004,"&gt;="&amp;$B$3,Programação!$L$5:$L$1004,"&lt;="&amp;$B$4,Programação!$N$5:$N$1004,"&lt;&gt;Cancelada"))</f>
        <v/>
      </c>
      <c r="C44" s="63" t="str">
        <f aca="false">IF($A44="","",SUMIFS(Programação!$Y$5:$Y$1004,Programação!$G$5:$G$1004,$A44,Programação!$L$5:$L$1004,"&gt;="&amp;$B$3,Programação!$L$5:$L$1004,"&lt;="&amp;$B$4)+SUMIFS(Programação!$Y$5:$Y$1004,Programação!$H$5:$H$1004,$A44,Programação!$L$5:$L$1004,"&gt;="&amp;$B$3,Programação!$L$5:$L$1004,"&lt;="&amp;$B$4)+SUMIFS(Programação!$Y$5:$Y$1004,Programação!$I$5:$I$1004,$A44,Programação!$L$5:$L$1004,"&gt;="&amp;$B$3,Programação!$L$5:$L$1004,"&lt;="&amp;$B$4))</f>
        <v/>
      </c>
      <c r="D44" s="64" t="str">
        <f aca="false">IF(OR($A44="",$B44=0),"",$C44/$B44)</f>
        <v/>
      </c>
      <c r="E44" s="63" t="str">
        <f aca="true">IF($A44="","",COUNTIFS(Programação!$G$5:$G$1004,$A44,Programação!$L$5:$L$1004,"&gt;="&amp;$B$3,Programação!$L$5:$L$1004,"&lt;="&amp;$B$4,Programação!$L$5:$L$1004,"&lt;"&amp;TODAY(),Programação!$Y$5:$Y$1004,0,Programação!$N$5:$N$1004,"&lt;&gt;Cancelada")+COUNTIFS(Programação!$H$5:$H$1004,$A44,Programação!$L$5:$L$1004,"&gt;="&amp;$B$3,Programação!$L$5:$L$1004,"&lt;="&amp;$B$4,Programação!$L$5:$L$1004,"&lt;"&amp;TODAY(),Programação!$Y$5:$Y$1004,0,Programação!$N$5:$N$1004,"&lt;&gt;Cancelada")+COUNTIFS(Programação!$I$5:$I$1004,$A44,Programação!$L$5:$L$1004,"&gt;="&amp;$B$3,Programação!$L$5:$L$1004,"&lt;="&amp;$B$4,Programação!$L$5:$L$1004,"&lt;"&amp;TODAY(),Programação!$Y$5:$Y$1004,0,Programação!$N$5:$N$1004,"&lt;&gt;Cancelada"))</f>
        <v/>
      </c>
      <c r="G44" s="23" t="str">
        <f aca="false">IF(Listas!B19="","",Listas!B19)</f>
        <v>F-626</v>
      </c>
      <c r="H44" s="63" t="n">
        <f aca="false">IF($G44="","",COUNTIFS(Programação!$C$5:$C$1004,$G44,Programação!$L$5:$L$1004,"&gt;="&amp;$B$3,Programação!$L$5:$L$1004,"&lt;="&amp;$B$4,Programação!$N$5:$N$1004,"&lt;&gt;Cancelada"))</f>
        <v>17</v>
      </c>
      <c r="I44" s="63" t="n">
        <f aca="false">IF($G44="","",SUMIFS(Programação!$Y$5:$Y$1004,Programação!$C$5:$C$1004,$G44,Programação!$L$5:$L$1004,"&gt;="&amp;$B$3,Programação!$L$5:$L$1004,"&lt;="&amp;$B$4))</f>
        <v>17</v>
      </c>
      <c r="J44" s="64" t="n">
        <f aca="false">IF(OR($G44="",$H44=0),"",$I44/$H44)</f>
        <v>1</v>
      </c>
      <c r="K44" s="63" t="n">
        <f aca="true">IF($G44="","",COUNTIFS(Programação!$C$5:$C$1004,$G44,Programação!$L$5:$L$1004,"&gt;="&amp;$B$3,Programação!$L$5:$L$1004,"&lt;="&amp;$B$4,Programação!$L$5:$L$1004,"&lt;"&amp;TODAY(),Programação!$Y$5:$Y$1004,0,Programação!$N$5:$N$1004,"&lt;&gt;Cancelada"))</f>
        <v>0</v>
      </c>
    </row>
    <row r="45" customFormat="false" ht="15.75" hidden="false" customHeight="true" outlineLevel="0" collapsed="false">
      <c r="G45" s="23" t="str">
        <f aca="false">IF(Listas!B20="","",Listas!B20)</f>
        <v>F-696</v>
      </c>
      <c r="H45" s="63" t="n">
        <f aca="false">IF($G45="","",COUNTIFS(Programação!$C$5:$C$1004,$G45,Programação!$L$5:$L$1004,"&gt;="&amp;$B$3,Programação!$L$5:$L$1004,"&lt;="&amp;$B$4,Programação!$N$5:$N$1004,"&lt;&gt;Cancelada"))</f>
        <v>1</v>
      </c>
      <c r="I45" s="63" t="n">
        <f aca="false">IF($G45="","",SUMIFS(Programação!$Y$5:$Y$1004,Programação!$C$5:$C$1004,$G45,Programação!$L$5:$L$1004,"&gt;="&amp;$B$3,Programação!$L$5:$L$1004,"&lt;="&amp;$B$4))</f>
        <v>0</v>
      </c>
      <c r="J45" s="64" t="n">
        <f aca="false">IF(OR($G45="",$H45=0),"",$I45/$H45)</f>
        <v>0</v>
      </c>
      <c r="K45" s="63" t="n">
        <f aca="true">IF($G45="","",COUNTIFS(Programação!$C$5:$C$1004,$G45,Programação!$L$5:$L$1004,"&gt;="&amp;$B$3,Programação!$L$5:$L$1004,"&lt;="&amp;$B$4,Programação!$L$5:$L$1004,"&lt;"&amp;TODAY(),Programação!$Y$5:$Y$1004,0,Programação!$N$5:$N$1004,"&lt;&gt;Cancelada"))</f>
        <v>1</v>
      </c>
    </row>
    <row r="46" customFormat="false" ht="15.75" hidden="false" customHeight="true" outlineLevel="0" collapsed="false">
      <c r="G46" s="23" t="str">
        <f aca="false">IF(Listas!B21="","",Listas!B21)</f>
        <v>F-763</v>
      </c>
      <c r="H46" s="63" t="n">
        <f aca="false">IF($G46="","",COUNTIFS(Programação!$C$5:$C$1004,$G46,Programação!$L$5:$L$1004,"&gt;="&amp;$B$3,Programação!$L$5:$L$1004,"&lt;="&amp;$B$4,Programação!$N$5:$N$1004,"&lt;&gt;Cancelada"))</f>
        <v>2</v>
      </c>
      <c r="I46" s="63" t="n">
        <f aca="false">IF($G46="","",SUMIFS(Programação!$Y$5:$Y$1004,Programação!$C$5:$C$1004,$G46,Programação!$L$5:$L$1004,"&gt;="&amp;$B$3,Programação!$L$5:$L$1004,"&lt;="&amp;$B$4))</f>
        <v>0</v>
      </c>
      <c r="J46" s="64" t="n">
        <f aca="false">IF(OR($G46="",$H46=0),"",$I46/$H46)</f>
        <v>0</v>
      </c>
      <c r="K46" s="63" t="n">
        <f aca="true">IF($G46="","",COUNTIFS(Programação!$C$5:$C$1004,$G46,Programação!$L$5:$L$1004,"&gt;="&amp;$B$3,Programação!$L$5:$L$1004,"&lt;="&amp;$B$4,Programação!$L$5:$L$1004,"&lt;"&amp;TODAY(),Programação!$Y$5:$Y$1004,0,Programação!$N$5:$N$1004,"&lt;&gt;Cancelada"))</f>
        <v>0</v>
      </c>
    </row>
    <row r="47" customFormat="false" ht="15.75" hidden="false" customHeight="true" outlineLevel="0" collapsed="false">
      <c r="G47" s="23" t="str">
        <f aca="false">IF(Listas!B22="","",Listas!B22)</f>
        <v>F-789</v>
      </c>
      <c r="H47" s="63" t="n">
        <f aca="false">IF($G47="","",COUNTIFS(Programação!$C$5:$C$1004,$G47,Programação!$L$5:$L$1004,"&gt;="&amp;$B$3,Programação!$L$5:$L$1004,"&lt;="&amp;$B$4,Programação!$N$5:$N$1004,"&lt;&gt;Cancelada"))</f>
        <v>10</v>
      </c>
      <c r="I47" s="63" t="n">
        <f aca="false">IF($G47="","",SUMIFS(Programação!$Y$5:$Y$1004,Programação!$C$5:$C$1004,$G47,Programação!$L$5:$L$1004,"&gt;="&amp;$B$3,Programação!$L$5:$L$1004,"&lt;="&amp;$B$4))</f>
        <v>10</v>
      </c>
      <c r="J47" s="64" t="n">
        <f aca="false">IF(OR($G47="",$H47=0),"",$I47/$H47)</f>
        <v>1</v>
      </c>
      <c r="K47" s="63" t="n">
        <f aca="true">IF($G47="","",COUNTIFS(Programação!$C$5:$C$1004,$G47,Programação!$L$5:$L$1004,"&gt;="&amp;$B$3,Programação!$L$5:$L$1004,"&lt;="&amp;$B$4,Programação!$L$5:$L$1004,"&lt;"&amp;TODAY(),Programação!$Y$5:$Y$1004,0,Programação!$N$5:$N$1004,"&lt;&gt;Cancelada"))</f>
        <v>0</v>
      </c>
    </row>
    <row r="48" customFormat="false" ht="15.75" hidden="false" customHeight="true" outlineLevel="0" collapsed="false">
      <c r="G48" s="23" t="str">
        <f aca="false">IF(Listas!B23="","",Listas!B23)</f>
        <v>F-815</v>
      </c>
      <c r="H48" s="63" t="n">
        <f aca="false">IF($G48="","",COUNTIFS(Programação!$C$5:$C$1004,$G48,Programação!$L$5:$L$1004,"&gt;="&amp;$B$3,Programação!$L$5:$L$1004,"&lt;="&amp;$B$4,Programação!$N$5:$N$1004,"&lt;&gt;Cancelada"))</f>
        <v>34</v>
      </c>
      <c r="I48" s="63" t="n">
        <f aca="false">IF($G48="","",SUMIFS(Programação!$Y$5:$Y$1004,Programação!$C$5:$C$1004,$G48,Programação!$L$5:$L$1004,"&gt;="&amp;$B$3,Programação!$L$5:$L$1004,"&lt;="&amp;$B$4))</f>
        <v>0</v>
      </c>
      <c r="J48" s="64" t="n">
        <f aca="false">IF(OR($G48="",$H48=0),"",$I48/$H48)</f>
        <v>0</v>
      </c>
      <c r="K48" s="63" t="n">
        <f aca="true">IF($G48="","",COUNTIFS(Programação!$C$5:$C$1004,$G48,Programação!$L$5:$L$1004,"&gt;="&amp;$B$3,Programação!$L$5:$L$1004,"&lt;="&amp;$B$4,Programação!$L$5:$L$1004,"&lt;"&amp;TODAY(),Programação!$Y$5:$Y$1004,0,Programação!$N$5:$N$1004,"&lt;&gt;Cancelada"))</f>
        <v>0</v>
      </c>
    </row>
    <row r="49" customFormat="false" ht="15.75" hidden="false" customHeight="true" outlineLevel="0" collapsed="false">
      <c r="G49" s="23" t="str">
        <f aca="false">IF(Listas!B24="","",Listas!B24)</f>
        <v>F-856</v>
      </c>
      <c r="H49" s="63" t="n">
        <f aca="false">IF($G49="","",COUNTIFS(Programação!$C$5:$C$1004,$G49,Programação!$L$5:$L$1004,"&gt;="&amp;$B$3,Programação!$L$5:$L$1004,"&lt;="&amp;$B$4,Programação!$N$5:$N$1004,"&lt;&gt;Cancelada"))</f>
        <v>5</v>
      </c>
      <c r="I49" s="63" t="n">
        <f aca="false">IF($G49="","",SUMIFS(Programação!$Y$5:$Y$1004,Programação!$C$5:$C$1004,$G49,Programação!$L$5:$L$1004,"&gt;="&amp;$B$3,Programação!$L$5:$L$1004,"&lt;="&amp;$B$4))</f>
        <v>0</v>
      </c>
      <c r="J49" s="64" t="n">
        <f aca="false">IF(OR($G49="",$H49=0),"",$I49/$H49)</f>
        <v>0</v>
      </c>
      <c r="K49" s="63" t="n">
        <f aca="true">IF($G49="","",COUNTIFS(Programação!$C$5:$C$1004,$G49,Programação!$L$5:$L$1004,"&gt;="&amp;$B$3,Programação!$L$5:$L$1004,"&lt;="&amp;$B$4,Programação!$L$5:$L$1004,"&lt;"&amp;TODAY(),Programação!$Y$5:$Y$1004,0,Programação!$N$5:$N$1004,"&lt;&gt;Cancelada"))</f>
        <v>0</v>
      </c>
    </row>
    <row r="50" customFormat="false" ht="15.75" hidden="false" customHeight="true" outlineLevel="0" collapsed="false">
      <c r="G50" s="23" t="str">
        <f aca="false">IF(Listas!B25="","",Listas!B25)</f>
        <v>F-871</v>
      </c>
      <c r="H50" s="63" t="n">
        <f aca="false">IF($G50="","",COUNTIFS(Programação!$C$5:$C$1004,$G50,Programação!$L$5:$L$1004,"&gt;="&amp;$B$3,Programação!$L$5:$L$1004,"&lt;="&amp;$B$4,Programação!$N$5:$N$1004,"&lt;&gt;Cancelada"))</f>
        <v>3</v>
      </c>
      <c r="I50" s="63" t="n">
        <f aca="false">IF($G50="","",SUMIFS(Programação!$Y$5:$Y$1004,Programação!$C$5:$C$1004,$G50,Programação!$L$5:$L$1004,"&gt;="&amp;$B$3,Programação!$L$5:$L$1004,"&lt;="&amp;$B$4))</f>
        <v>3</v>
      </c>
      <c r="J50" s="64" t="n">
        <f aca="false">IF(OR($G50="",$H50=0),"",$I50/$H50)</f>
        <v>1</v>
      </c>
      <c r="K50" s="63" t="n">
        <f aca="true">IF($G50="","",COUNTIFS(Programação!$C$5:$C$1004,$G50,Programação!$L$5:$L$1004,"&gt;="&amp;$B$3,Programação!$L$5:$L$1004,"&lt;="&amp;$B$4,Programação!$L$5:$L$1004,"&lt;"&amp;TODAY(),Programação!$Y$5:$Y$1004,0,Programação!$N$5:$N$1004,"&lt;&gt;Cancelada"))</f>
        <v>0</v>
      </c>
    </row>
    <row r="51" customFormat="false" ht="15.75" hidden="false" customHeight="true" outlineLevel="0" collapsed="false">
      <c r="G51" s="23" t="str">
        <f aca="false">IF(Listas!B26="","",Listas!B26)</f>
        <v>F-938</v>
      </c>
      <c r="H51" s="63" t="n">
        <f aca="false">IF($G51="","",COUNTIFS(Programação!$C$5:$C$1004,$G51,Programação!$L$5:$L$1004,"&gt;="&amp;$B$3,Programação!$L$5:$L$1004,"&lt;="&amp;$B$4,Programação!$N$5:$N$1004,"&lt;&gt;Cancelada"))</f>
        <v>3</v>
      </c>
      <c r="I51" s="63" t="n">
        <f aca="false">IF($G51="","",SUMIFS(Programação!$Y$5:$Y$1004,Programação!$C$5:$C$1004,$G51,Programação!$L$5:$L$1004,"&gt;="&amp;$B$3,Programação!$L$5:$L$1004,"&lt;="&amp;$B$4))</f>
        <v>0</v>
      </c>
      <c r="J51" s="64" t="n">
        <f aca="false">IF(OR($G51="",$H51=0),"",$I51/$H51)</f>
        <v>0</v>
      </c>
      <c r="K51" s="63" t="n">
        <f aca="true">IF($G51="","",COUNTIFS(Programação!$C$5:$C$1004,$G51,Programação!$L$5:$L$1004,"&gt;="&amp;$B$3,Programação!$L$5:$L$1004,"&lt;="&amp;$B$4,Programação!$L$5:$L$1004,"&lt;"&amp;TODAY(),Programação!$Y$5:$Y$1004,0,Programação!$N$5:$N$1004,"&lt;&gt;Cancelada"))</f>
        <v>0</v>
      </c>
    </row>
    <row r="52" customFormat="false" ht="15.75" hidden="false" customHeight="true" outlineLevel="0" collapsed="false">
      <c r="G52" s="23" t="str">
        <f aca="false">IF(Listas!B27="","",Listas!B27)</f>
        <v>F-964</v>
      </c>
      <c r="H52" s="63" t="n">
        <f aca="false">IF($G52="","",COUNTIFS(Programação!$C$5:$C$1004,$G52,Programação!$L$5:$L$1004,"&gt;="&amp;$B$3,Programação!$L$5:$L$1004,"&lt;="&amp;$B$4,Programação!$N$5:$N$1004,"&lt;&gt;Cancelada"))</f>
        <v>34</v>
      </c>
      <c r="I52" s="63" t="n">
        <f aca="false">IF($G52="","",SUMIFS(Programação!$Y$5:$Y$1004,Programação!$C$5:$C$1004,$G52,Programação!$L$5:$L$1004,"&gt;="&amp;$B$3,Programação!$L$5:$L$1004,"&lt;="&amp;$B$4))</f>
        <v>0</v>
      </c>
      <c r="J52" s="64" t="n">
        <f aca="false">IF(OR($G52="",$H52=0),"",$I52/$H52)</f>
        <v>0</v>
      </c>
      <c r="K52" s="63" t="n">
        <f aca="true">IF($G52="","",COUNTIFS(Programação!$C$5:$C$1004,$G52,Programação!$L$5:$L$1004,"&gt;="&amp;$B$3,Programação!$L$5:$L$1004,"&lt;="&amp;$B$4,Programação!$L$5:$L$1004,"&lt;"&amp;TODAY(),Programação!$Y$5:$Y$1004,0,Programação!$N$5:$N$1004,"&lt;&gt;Cancelada"))</f>
        <v>12</v>
      </c>
    </row>
    <row r="53" customFormat="false" ht="15.75" hidden="false" customHeight="true" outlineLevel="0" collapsed="false">
      <c r="G53" s="23" t="str">
        <f aca="false">IF(Listas!B28="","",Listas!B28)</f>
        <v/>
      </c>
      <c r="H53" s="63" t="str">
        <f aca="false">IF($G53="","",COUNTIFS(Programação!$C$5:$C$1004,$G53,Programação!$L$5:$L$1004,"&gt;="&amp;$B$3,Programação!$L$5:$L$1004,"&lt;="&amp;$B$4,Programação!$N$5:$N$1004,"&lt;&gt;Cancelada"))</f>
        <v/>
      </c>
      <c r="I53" s="63" t="str">
        <f aca="false">IF($G53="","",SUMIFS(Programação!$Y$5:$Y$1004,Programação!$C$5:$C$1004,$G53,Programação!$L$5:$L$1004,"&gt;="&amp;$B$3,Programação!$L$5:$L$1004,"&lt;="&amp;$B$4))</f>
        <v/>
      </c>
      <c r="J53" s="64" t="str">
        <f aca="false">IF(OR($G53="",$H53=0),"",$I53/$H53)</f>
        <v/>
      </c>
      <c r="K53" s="63" t="str">
        <f aca="true">IF($G53="","",COUNTIFS(Programação!$C$5:$C$1004,$G53,Programação!$L$5:$L$1004,"&gt;="&amp;$B$3,Programação!$L$5:$L$1004,"&lt;="&amp;$B$4,Programação!$L$5:$L$1004,"&lt;"&amp;TODAY(),Programação!$Y$5:$Y$1004,0,Programação!$N$5:$N$1004,"&lt;&gt;Cancelada"))</f>
        <v/>
      </c>
    </row>
    <row r="54" customFormat="false" ht="15.75" hidden="false" customHeight="true" outlineLevel="0" collapsed="false">
      <c r="G54" s="23" t="str">
        <f aca="false">IF(Listas!B29="","",Listas!B29)</f>
        <v/>
      </c>
      <c r="H54" s="63" t="str">
        <f aca="false">IF($G54="","",COUNTIFS(Programação!$C$5:$C$1004,$G54,Programação!$L$5:$L$1004,"&gt;="&amp;$B$3,Programação!$L$5:$L$1004,"&lt;="&amp;$B$4,Programação!$N$5:$N$1004,"&lt;&gt;Cancelada"))</f>
        <v/>
      </c>
      <c r="I54" s="63" t="str">
        <f aca="false">IF($G54="","",SUMIFS(Programação!$Y$5:$Y$1004,Programação!$C$5:$C$1004,$G54,Programação!$L$5:$L$1004,"&gt;="&amp;$B$3,Programação!$L$5:$L$1004,"&lt;="&amp;$B$4))</f>
        <v/>
      </c>
      <c r="J54" s="64" t="str">
        <f aca="false">IF(OR($G54="",$H54=0),"",$I54/$H54)</f>
        <v/>
      </c>
      <c r="K54" s="63" t="str">
        <f aca="true">IF($G54="","",COUNTIFS(Programação!$C$5:$C$1004,$G54,Programação!$L$5:$L$1004,"&gt;="&amp;$B$3,Programação!$L$5:$L$1004,"&lt;="&amp;$B$4,Programação!$L$5:$L$1004,"&lt;"&amp;TODAY(),Programação!$Y$5:$Y$1004,0,Programação!$N$5:$N$1004,"&lt;&gt;Cancelada"))</f>
        <v/>
      </c>
    </row>
    <row r="55" customFormat="false" ht="15.75" hidden="false" customHeight="true" outlineLevel="0" collapsed="false">
      <c r="G55" s="23" t="str">
        <f aca="false">IF(Listas!B30="","",Listas!B30)</f>
        <v/>
      </c>
      <c r="H55" s="63" t="str">
        <f aca="false">IF($G55="","",COUNTIFS(Programação!$C$5:$C$1004,$G55,Programação!$L$5:$L$1004,"&gt;="&amp;$B$3,Programação!$L$5:$L$1004,"&lt;="&amp;$B$4,Programação!$N$5:$N$1004,"&lt;&gt;Cancelada"))</f>
        <v/>
      </c>
      <c r="I55" s="63" t="str">
        <f aca="false">IF($G55="","",SUMIFS(Programação!$Y$5:$Y$1004,Programação!$C$5:$C$1004,$G55,Programação!$L$5:$L$1004,"&gt;="&amp;$B$3,Programação!$L$5:$L$1004,"&lt;="&amp;$B$4))</f>
        <v/>
      </c>
      <c r="J55" s="64" t="str">
        <f aca="false">IF(OR($G55="",$H55=0),"",$I55/$H55)</f>
        <v/>
      </c>
      <c r="K55" s="63" t="str">
        <f aca="true">IF($G55="","",COUNTIFS(Programação!$C$5:$C$1004,$G55,Programação!$L$5:$L$1004,"&gt;="&amp;$B$3,Programação!$L$5:$L$1004,"&lt;="&amp;$B$4,Programação!$L$5:$L$1004,"&lt;"&amp;TODAY(),Programação!$Y$5:$Y$1004,0,Programação!$N$5:$N$1004,"&lt;&gt;Cancelada"))</f>
        <v/>
      </c>
    </row>
    <row r="58" customFormat="false" ht="15" hidden="false" customHeight="false" outlineLevel="0" collapsed="false">
      <c r="A58" s="3" t="s">
        <v>397</v>
      </c>
      <c r="B58" s="3"/>
      <c r="C58" s="3"/>
      <c r="D58" s="3"/>
      <c r="E58" s="3"/>
    </row>
    <row r="59" customFormat="false" ht="15" hidden="false" customHeight="false" outlineLevel="0" collapsed="false">
      <c r="A59" s="32" t="s">
        <v>395</v>
      </c>
      <c r="B59" s="32" t="s">
        <v>396</v>
      </c>
      <c r="C59" s="32" t="s">
        <v>146</v>
      </c>
      <c r="D59" s="32" t="s">
        <v>354</v>
      </c>
      <c r="E59" s="32" t="s">
        <v>355</v>
      </c>
    </row>
    <row r="60" customFormat="false" ht="15.75" hidden="false" customHeight="true" outlineLevel="0" collapsed="false">
      <c r="A60" s="23" t="str">
        <f aca="false">IF(Listas!C5="","",Listas!C5)</f>
        <v>Corretiva</v>
      </c>
      <c r="B60" s="63" t="n">
        <f aca="false">IF($A60="","",COUNTIFS(Programação!$F$5:$F$1004,$A60,Programação!$L$5:$L$1004,"&gt;="&amp;$B$3,Programação!$L$5:$L$1004,"&lt;="&amp;$B$4,Programação!$N$5:$N$1004,"&lt;&gt;Cancelada"))</f>
        <v>155</v>
      </c>
      <c r="C60" s="63" t="n">
        <f aca="false">IF($A60="","",SUMIFS(Programação!$Y$5:$Y$1004,Programação!$F$5:$F$1004,$A60,Programação!$L$5:$L$1004,"&gt;="&amp;$B$3,Programação!$L$5:$L$1004,"&lt;="&amp;$B$4))</f>
        <v>70</v>
      </c>
      <c r="D60" s="64" t="n">
        <f aca="false">IF(OR($A60="",$B60=0),"",$C60/$B60)</f>
        <v>0.451612903225806</v>
      </c>
      <c r="E60" s="63" t="n">
        <f aca="true">IF($A60="","",COUNTIFS(Programação!$F$5:$F$1004,$A60,Programação!$L$5:$L$1004,"&gt;="&amp;$B$3,Programação!$L$5:$L$1004,"&lt;="&amp;$B$4,Programação!$L$5:$L$1004,"&lt;"&amp;TODAY(),Programação!$Y$5:$Y$1004,0,Programação!$N$5:$N$1004,"&lt;&gt;Cancelada"))</f>
        <v>16</v>
      </c>
    </row>
    <row r="61" customFormat="false" ht="15.75" hidden="false" customHeight="true" outlineLevel="0" collapsed="false">
      <c r="A61" s="23" t="str">
        <f aca="false">IF(Listas!C6="","",Listas!C6)</f>
        <v>Preventiva</v>
      </c>
      <c r="B61" s="63" t="n">
        <f aca="false">IF($A61="","",COUNTIFS(Programação!$F$5:$F$1004,$A61,Programação!$L$5:$L$1004,"&gt;="&amp;$B$3,Programação!$L$5:$L$1004,"&lt;="&amp;$B$4,Programação!$N$5:$N$1004,"&lt;&gt;Cancelada"))</f>
        <v>17</v>
      </c>
      <c r="C61" s="63" t="n">
        <f aca="false">IF($A61="","",SUMIFS(Programação!$Y$5:$Y$1004,Programação!$F$5:$F$1004,$A61,Programação!$L$5:$L$1004,"&gt;="&amp;$B$3,Programação!$L$5:$L$1004,"&lt;="&amp;$B$4))</f>
        <v>1</v>
      </c>
      <c r="D61" s="64" t="n">
        <f aca="false">IF(OR($A61="",$B61=0),"",$C61/$B61)</f>
        <v>0.0588235294117647</v>
      </c>
      <c r="E61" s="63" t="n">
        <f aca="true">IF($A61="","",COUNTIFS(Programação!$F$5:$F$1004,$A61,Programação!$L$5:$L$1004,"&gt;="&amp;$B$3,Programação!$L$5:$L$1004,"&lt;="&amp;$B$4,Programação!$L$5:$L$1004,"&lt;"&amp;TODAY(),Programação!$Y$5:$Y$1004,0,Programação!$N$5:$N$1004,"&lt;&gt;Cancelada"))</f>
        <v>0</v>
      </c>
    </row>
    <row r="62" customFormat="false" ht="15.75" hidden="false" customHeight="true" outlineLevel="0" collapsed="false">
      <c r="A62" s="23" t="str">
        <f aca="false">IF(Listas!C7="","",Listas!C7)</f>
        <v>Preditiva</v>
      </c>
      <c r="B62" s="63" t="n">
        <f aca="false">IF($A62="","",COUNTIFS(Programação!$F$5:$F$1004,$A62,Programação!$L$5:$L$1004,"&gt;="&amp;$B$3,Programação!$L$5:$L$1004,"&lt;="&amp;$B$4,Programação!$N$5:$N$1004,"&lt;&gt;Cancelada"))</f>
        <v>0</v>
      </c>
      <c r="C62" s="63" t="n">
        <f aca="false">IF($A62="","",SUMIFS(Programação!$Y$5:$Y$1004,Programação!$F$5:$F$1004,$A62,Programação!$L$5:$L$1004,"&gt;="&amp;$B$3,Programação!$L$5:$L$1004,"&lt;="&amp;$B$4))</f>
        <v>0</v>
      </c>
      <c r="D62" s="64" t="str">
        <f aca="false">IF(OR($A62="",$B62=0),"",$C62/$B62)</f>
        <v/>
      </c>
      <c r="E62" s="63" t="n">
        <f aca="true">IF($A62="","",COUNTIFS(Programação!$F$5:$F$1004,$A62,Programação!$L$5:$L$1004,"&gt;="&amp;$B$3,Programação!$L$5:$L$1004,"&lt;="&amp;$B$4,Programação!$L$5:$L$1004,"&lt;"&amp;TODAY(),Programação!$Y$5:$Y$1004,0,Programação!$N$5:$N$1004,"&lt;&gt;Cancelada"))</f>
        <v>0</v>
      </c>
    </row>
    <row r="63" customFormat="false" ht="15.75" hidden="false" customHeight="true" outlineLevel="0" collapsed="false">
      <c r="A63" s="23" t="str">
        <f aca="false">IF(Listas!C8="","",Listas!C8)</f>
        <v>Melhoria</v>
      </c>
      <c r="B63" s="63" t="n">
        <f aca="false">IF($A63="","",COUNTIFS(Programação!$F$5:$F$1004,$A63,Programação!$L$5:$L$1004,"&gt;="&amp;$B$3,Programação!$L$5:$L$1004,"&lt;="&amp;$B$4,Programação!$N$5:$N$1004,"&lt;&gt;Cancelada"))</f>
        <v>0</v>
      </c>
      <c r="C63" s="63" t="n">
        <f aca="false">IF($A63="","",SUMIFS(Programação!$Y$5:$Y$1004,Programação!$F$5:$F$1004,$A63,Programação!$L$5:$L$1004,"&gt;="&amp;$B$3,Programação!$L$5:$L$1004,"&lt;="&amp;$B$4))</f>
        <v>0</v>
      </c>
      <c r="D63" s="64" t="str">
        <f aca="false">IF(OR($A63="",$B63=0),"",$C63/$B63)</f>
        <v/>
      </c>
      <c r="E63" s="63" t="n">
        <f aca="true">IF($A63="","",COUNTIFS(Programação!$F$5:$F$1004,$A63,Programação!$L$5:$L$1004,"&gt;="&amp;$B$3,Programação!$L$5:$L$1004,"&lt;="&amp;$B$4,Programação!$L$5:$L$1004,"&lt;"&amp;TODAY(),Programação!$Y$5:$Y$1004,0,Programação!$N$5:$N$1004,"&lt;&gt;Cancelada"))</f>
        <v>0</v>
      </c>
    </row>
    <row r="64" customFormat="false" ht="15.75" hidden="false" customHeight="true" outlineLevel="0" collapsed="false">
      <c r="A64" s="23" t="str">
        <f aca="false">IF(Listas!C9="","",Listas!C9)</f>
        <v>Inspeção</v>
      </c>
      <c r="B64" s="63" t="n">
        <f aca="false">IF($A64="","",COUNTIFS(Programação!$F$5:$F$1004,$A64,Programação!$L$5:$L$1004,"&gt;="&amp;$B$3,Programação!$L$5:$L$1004,"&lt;="&amp;$B$4,Programação!$N$5:$N$1004,"&lt;&gt;Cancelada"))</f>
        <v>0</v>
      </c>
      <c r="C64" s="63" t="n">
        <f aca="false">IF($A64="","",SUMIFS(Programação!$Y$5:$Y$1004,Programação!$F$5:$F$1004,$A64,Programação!$L$5:$L$1004,"&gt;="&amp;$B$3,Programação!$L$5:$L$1004,"&lt;="&amp;$B$4))</f>
        <v>0</v>
      </c>
      <c r="D64" s="64" t="str">
        <f aca="false">IF(OR($A64="",$B64=0),"",$C64/$B64)</f>
        <v/>
      </c>
      <c r="E64" s="63" t="n">
        <f aca="true">IF($A64="","",COUNTIFS(Programação!$F$5:$F$1004,$A64,Programação!$L$5:$L$1004,"&gt;="&amp;$B$3,Programação!$L$5:$L$1004,"&lt;="&amp;$B$4,Programação!$L$5:$L$1004,"&lt;"&amp;TODAY(),Programação!$Y$5:$Y$1004,0,Programação!$N$5:$N$1004,"&lt;&gt;Cancelada"))</f>
        <v>0</v>
      </c>
    </row>
    <row r="65" customFormat="false" ht="15.75" hidden="false" customHeight="true" outlineLevel="0" collapsed="false">
      <c r="A65" s="23" t="str">
        <f aca="false">IF(Listas!C10="","",Listas!C10)</f>
        <v/>
      </c>
      <c r="B65" s="63" t="str">
        <f aca="false">IF($A65="","",COUNTIFS(Programação!$F$5:$F$1004,$A65,Programação!$L$5:$L$1004,"&gt;="&amp;$B$3,Programação!$L$5:$L$1004,"&lt;="&amp;$B$4,Programação!$N$5:$N$1004,"&lt;&gt;Cancelada"))</f>
        <v/>
      </c>
      <c r="C65" s="63" t="str">
        <f aca="false">IF($A65="","",SUMIFS(Programação!$Y$5:$Y$1004,Programação!$F$5:$F$1004,$A65,Programação!$L$5:$L$1004,"&gt;="&amp;$B$3,Programação!$L$5:$L$1004,"&lt;="&amp;$B$4))</f>
        <v/>
      </c>
      <c r="D65" s="64" t="str">
        <f aca="false">IF(OR($A65="",$B65=0),"",$C65/$B65)</f>
        <v/>
      </c>
      <c r="E65" s="63" t="str">
        <f aca="true">IF($A65="","",COUNTIFS(Programação!$F$5:$F$1004,$A65,Programação!$L$5:$L$1004,"&gt;="&amp;$B$3,Programação!$L$5:$L$1004,"&lt;="&amp;$B$4,Programação!$L$5:$L$1004,"&lt;"&amp;TODAY(),Programação!$Y$5:$Y$1004,0,Programação!$N$5:$N$1004,"&lt;&gt;Cancelada"))</f>
        <v/>
      </c>
    </row>
    <row r="66" customFormat="false" ht="15.75" hidden="false" customHeight="true" outlineLevel="0" collapsed="false">
      <c r="A66" s="23" t="str">
        <f aca="false">IF(Listas!C11="","",Listas!C11)</f>
        <v/>
      </c>
      <c r="B66" s="63" t="str">
        <f aca="false">IF($A66="","",COUNTIFS(Programação!$F$5:$F$1004,$A66,Programação!$L$5:$L$1004,"&gt;="&amp;$B$3,Programação!$L$5:$L$1004,"&lt;="&amp;$B$4,Programação!$N$5:$N$1004,"&lt;&gt;Cancelada"))</f>
        <v/>
      </c>
      <c r="C66" s="63" t="str">
        <f aca="false">IF($A66="","",SUMIFS(Programação!$Y$5:$Y$1004,Programação!$F$5:$F$1004,$A66,Programação!$L$5:$L$1004,"&gt;="&amp;$B$3,Programação!$L$5:$L$1004,"&lt;="&amp;$B$4))</f>
        <v/>
      </c>
      <c r="D66" s="64" t="str">
        <f aca="false">IF(OR($A66="",$B66=0),"",$C66/$B66)</f>
        <v/>
      </c>
      <c r="E66" s="63" t="str">
        <f aca="true">IF($A66="","",COUNTIFS(Programação!$F$5:$F$1004,$A66,Programação!$L$5:$L$1004,"&gt;="&amp;$B$3,Programação!$L$5:$L$1004,"&lt;="&amp;$B$4,Programação!$L$5:$L$1004,"&lt;"&amp;TODAY(),Programação!$Y$5:$Y$1004,0,Programação!$N$5:$N$1004,"&lt;&gt;Cancelada"))</f>
        <v/>
      </c>
    </row>
  </sheetData>
  <mergeCells count="23">
    <mergeCell ref="A1:K1"/>
    <mergeCell ref="C3:K3"/>
    <mergeCell ref="C4:K4"/>
    <mergeCell ref="A6:B9"/>
    <mergeCell ref="C6:K9"/>
    <mergeCell ref="C11:K11"/>
    <mergeCell ref="C12:K12"/>
    <mergeCell ref="C13:K13"/>
    <mergeCell ref="C14:K14"/>
    <mergeCell ref="C15:K15"/>
    <mergeCell ref="C16:K16"/>
    <mergeCell ref="C17:K17"/>
    <mergeCell ref="C18:K18"/>
    <mergeCell ref="C19:K19"/>
    <mergeCell ref="C20:K20"/>
    <mergeCell ref="C21:K21"/>
    <mergeCell ref="C22:K22"/>
    <mergeCell ref="C23:K23"/>
    <mergeCell ref="C24:K24"/>
    <mergeCell ref="C25:K25"/>
    <mergeCell ref="A28:E28"/>
    <mergeCell ref="G28:K28"/>
    <mergeCell ref="A58:E58"/>
  </mergeCells>
  <conditionalFormatting sqref="B20">
    <cfRule type="cellIs" priority="2" operator="greaterThan" aboveAverage="0" equalAverage="0" bottom="0" percent="0" rank="0" text="" dxfId="24">
      <formula>0</formula>
    </cfRule>
  </conditionalFormatting>
  <conditionalFormatting sqref="B14">
    <cfRule type="cellIs" priority="3" operator="greaterThanOrEqual" aboveAverage="0" equalAverage="0" bottom="0" percent="0" rank="0" text="" dxfId="25">
      <formula>0.85</formula>
    </cfRule>
    <cfRule type="cellIs" priority="4" operator="lessThan" aboveAverage="0" equalAverage="0" bottom="0" percent="0" rank="0" text="" dxfId="26">
      <formula>0.6</formula>
    </cfRule>
  </conditionalFormatting>
  <conditionalFormatting sqref="B16">
    <cfRule type="cellIs" priority="5" operator="greaterThanOrEqual" aboveAverage="0" equalAverage="0" bottom="0" percent="0" rank="0" text="" dxfId="25">
      <formula>0.85</formula>
    </cfRule>
    <cfRule type="cellIs" priority="6" operator="lessThan" aboveAverage="0" equalAverage="0" bottom="0" percent="0" rank="0" text="" dxfId="26">
      <formula>0.6</formula>
    </cfRule>
  </conditionalFormatting>
  <conditionalFormatting sqref="B19">
    <cfRule type="cellIs" priority="7" operator="greaterThanOrEqual" aboveAverage="0" equalAverage="0" bottom="0" percent="0" rank="0" text="" dxfId="25">
      <formula>0.85</formula>
    </cfRule>
    <cfRule type="cellIs" priority="8" operator="lessThan" aboveAverage="0" equalAverage="0" bottom="0" percent="0" rank="0" text="" dxfId="26">
      <formula>0.6</formula>
    </cfRule>
  </conditionalFormatting>
  <conditionalFormatting sqref="A6">
    <cfRule type="cellIs" priority="9" operator="greaterThanOrEqual" aboveAverage="0" equalAverage="0" bottom="0" percent="0" rank="0" text="" dxfId="27">
      <formula>0.85</formula>
    </cfRule>
    <cfRule type="cellIs" priority="10" operator="lessThan" aboveAverage="0" equalAverage="0" bottom="0" percent="0" rank="0" text="" dxfId="28">
      <formula>0.6</formula>
    </cfRule>
  </conditionalFormatting>
  <conditionalFormatting sqref="D30:D44">
    <cfRule type="cellIs" priority="11" operator="greaterThanOrEqual" aboveAverage="0" equalAverage="0" bottom="0" percent="0" rank="0" text="" dxfId="17">
      <formula>0.85</formula>
    </cfRule>
    <cfRule type="cellIs" priority="12" operator="lessThan" aboveAverage="0" equalAverage="0" bottom="0" percent="0" rank="0" text="" dxfId="16">
      <formula>0.6</formula>
    </cfRule>
  </conditionalFormatting>
  <conditionalFormatting sqref="E30:E44">
    <cfRule type="cellIs" priority="13" operator="greaterThan" aboveAverage="0" equalAverage="0" bottom="0" percent="0" rank="0" text="" dxfId="21">
      <formula>0</formula>
    </cfRule>
  </conditionalFormatting>
  <conditionalFormatting sqref="J30:J55">
    <cfRule type="cellIs" priority="14" operator="greaterThanOrEqual" aboveAverage="0" equalAverage="0" bottom="0" percent="0" rank="0" text="" dxfId="17">
      <formula>0.85</formula>
    </cfRule>
    <cfRule type="cellIs" priority="15" operator="lessThan" aboveAverage="0" equalAverage="0" bottom="0" percent="0" rank="0" text="" dxfId="16">
      <formula>0.6</formula>
    </cfRule>
  </conditionalFormatting>
  <conditionalFormatting sqref="K30:K55">
    <cfRule type="cellIs" priority="16" operator="greaterThan" aboveAverage="0" equalAverage="0" bottom="0" percent="0" rank="0" text="" dxfId="21">
      <formula>0</formula>
    </cfRule>
  </conditionalFormatting>
  <conditionalFormatting sqref="D60:D66">
    <cfRule type="cellIs" priority="17" operator="greaterThanOrEqual" aboveAverage="0" equalAverage="0" bottom="0" percent="0" rank="0" text="" dxfId="17">
      <formula>0.85</formula>
    </cfRule>
    <cfRule type="cellIs" priority="18" operator="lessThan" aboveAverage="0" equalAverage="0" bottom="0" percent="0" rank="0" text="" dxfId="16">
      <formula>0.6</formula>
    </cfRule>
  </conditionalFormatting>
  <conditionalFormatting sqref="E60:E66">
    <cfRule type="cellIs" priority="19" operator="greaterThan" aboveAverage="0" equalAverage="0" bottom="0" percent="0" rank="0" text="" dxfId="21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2026-08-27T00:17:18Z</dcterms:created>
  <dc:creator>openpyxl</dc:creator>
  <dc:description/>
  <dc:language>en-US</dc:language>
  <cp:lastModifiedBy/>
  <dcterms:modified xsi:type="dcterms:W3CDTF">2026-08-27T00:17:20Z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