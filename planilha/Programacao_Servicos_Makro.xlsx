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Listas" sheetId="2" state="visible" r:id="rId4"/>
    <sheet name="Programação" sheetId="3" state="visible" r:id="rId5"/>
    <sheet name="Semana" sheetId="4" state="visible" r:id="rId6"/>
    <sheet name="Aderência" sheetId="5" state="visible" r:id="rId7"/>
  </sheets>
  <definedNames>
    <definedName function="false" hidden="false" localSheetId="1" name="_xlnm.Print_Area" vbProcedure="false">Listas!$A$1:$F$84</definedName>
    <definedName function="false" hidden="false" localSheetId="2" name="_xlnm.Print_Area" vbProcedure="false">Programação!$A$1:$S$182</definedName>
    <definedName function="false" hidden="false" localSheetId="2" name="_xlnm.Print_Titles" vbProcedure="false">Programação!$1:$3</definedName>
    <definedName function="false" hidden="true" localSheetId="2" name="_xlnm._FilterDatabase" vbProcedure="false">Programação!$A$3:$Z$1004</definedName>
    <definedName function="false" hidden="false" localSheetId="3" name="_xlnm.Print_Area" vbProcedure="false">Semana!$A$1:$L$39</definedName>
    <definedName function="false" hidden="false" localSheetId="3" name="_xlnm.Print_Titles" vbProcedure="false">Semana!$1:$12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Sai sozinha do que você preencheu. Não digite aqui.
Na carteira · Programada · Hoje · Em execução · VENCIDA · Concluída · Concluída com atraso · Cancelada</t>
        </r>
      </text>
    </comment>
    <comment ref="F3" authorId="0">
      <text>
        <r>
          <rPr>
            <sz val="10"/>
            <rFont val="Arial"/>
            <family val="2"/>
          </rPr>
          <t xml:space="preserve">A ATIVIDADE é a unidade: “trocar as lonas”, “regular a catraca”.
Um serviço com três atividades ocupa três linhas — mesma OS, mesmo Serviço.
A aderência é medida por aqui.</t>
        </r>
      </text>
    </comment>
    <comment ref="H3" authorId="0">
      <text>
        <r>
          <rPr>
            <sz val="10"/>
            <rFont val="Arial"/>
            <family val="2"/>
          </rPr>
          <t xml:space="preserve">PROGRAMADA (ou em branco): estava no plano da semana.
EXTRA: entrou depois — quebra, urgência, pedido da operação.
Extra NÃO entra no denominador da aderência: não dá para cobrar cumprimento de uma coisa que nunca foi programada. Ela tem contador próprio, que mostra quanto da semana foi para o imprevisto.</t>
        </r>
      </text>
    </comment>
    <comment ref="I3" authorId="0">
      <text>
        <r>
          <rPr>
            <sz val="10"/>
            <rFont val="Arial"/>
            <family val="2"/>
          </rPr>
          <t xml:space="preserve">Até três pessoas na mesma atividade, uma por coluna.
Na aba Semana e na Aderência, a atividade entra na carga de cada uma delas — e conta uma vez só no total.
Empresa externa: escreva o nome com “(externo)” no fim.</t>
        </r>
      </text>
    </comment>
    <comment ref="L3" authorId="0">
      <text>
        <r>
          <rPr>
            <sz val="10"/>
            <rFont val="Arial"/>
            <family val="2"/>
          </rPr>
          <t xml:space="preserve">A SEGUNDA-FEIRA da semana. Escreva numa linha e arraste para baixo.
Para repetir a semana passada: copie as linhas, cole no fim e troque só esta coluna — todas as datas andam junto.</t>
        </r>
      </text>
    </comment>
    <comment ref="M3" authorId="0">
      <text>
        <r>
          <rPr>
            <sz val="10"/>
            <rFont val="Arial"/>
            <family val="2"/>
          </rPr>
          <t xml:space="preserve">Seg, Ter, Qua, Qui, Sex, Sáb ou Dom.
Semana + Dia = Data programada.</t>
        </r>
      </text>
    </comment>
    <comment ref="O3" authorId="0">
      <text>
        <r>
          <rPr>
            <sz val="10"/>
            <rFont val="Arial"/>
            <family val="2"/>
          </rPr>
          <t xml:space="preserve">Preencher esta data já conclui a atividade.</t>
        </r>
      </text>
    </comment>
    <comment ref="Q3" authorId="0">
      <text>
        <r>
          <rPr>
            <sz val="10"/>
            <rFont val="Arial"/>
            <family val="2"/>
          </rPr>
          <t xml:space="preserve">Só ao REPROGRAMAR: guarde aqui a data que estava antes.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que estavam no plano da semana</t>
        </r>
      </text>
    </comment>
    <comment ref="C3" authorId="0">
      <text>
        <r>
          <rPr>
            <sz val="10"/>
            <rFont val="Arial"/>
            <family val="2"/>
          </rPr>
          <t xml:space="preserve">Clique na célula e abra a setinha: a lista traz todas as segundas-feiras.
A grade inteira, os números e a faixa “onde tem programação” acompanham o que você escolher aqui.</t>
        </r>
      </text>
    </comment>
    <comment ref="C5" authorId="0">
      <text>
        <r>
          <rPr>
            <sz val="10"/>
            <rFont val="Arial"/>
            <family val="2"/>
          </rPr>
          <t xml:space="preserve">do plano, quantas saíram</t>
        </r>
      </text>
    </comment>
    <comment ref="E5" authorId="0">
      <text>
        <r>
          <rPr>
            <sz val="10"/>
            <rFont val="Arial"/>
            <family val="2"/>
          </rPr>
          <t xml:space="preserve">concluídas ÷ programadas</t>
        </r>
      </text>
    </comment>
    <comment ref="G5" authorId="0">
      <text>
        <r>
          <rPr>
            <sz val="10"/>
            <rFont val="Arial"/>
            <family val="2"/>
          </rPr>
          <t xml:space="preserve">entraram fora da programação — quebra, urgência, pedido da operação</t>
        </r>
      </text>
    </comment>
    <comment ref="I5" authorId="0">
      <text>
        <r>
          <rPr>
            <sz val="10"/>
            <rFont val="Arial"/>
            <family val="2"/>
          </rPr>
          <t xml:space="preserve">o dia passou e não saiu</t>
        </r>
      </text>
    </comment>
    <comment ref="I12" authorId="0">
      <text>
        <r>
          <rPr>
            <sz val="10"/>
            <rFont val="Arial"/>
            <family val="2"/>
          </rPr>
          <t xml:space="preserve">Tudo que a pessoa tem na semana — plano e extra programação juntos. A grade é carga de trabalho; quem separa plano de extra é a faixa lá em cima e a aba Aderência.</t>
        </r>
      </text>
    </comment>
    <comment ref="K5" authorId="0">
      <text>
        <r>
          <rPr>
            <sz val="10"/>
            <rFont val="Arial"/>
            <family val="2"/>
          </rPr>
          <t xml:space="preserve">ainda sem dia — não depende da semana escolhida</t>
        </r>
      </text>
    </comment>
  </commentList>
</comments>
</file>

<file path=xl/sharedStrings.xml><?xml version="1.0" encoding="utf-8"?>
<sst xmlns="http://schemas.openxmlformats.org/spreadsheetml/2006/main" count="1667" uniqueCount="419">
  <si>
    <t xml:space="preserve">PROGRAMAÇÃO DE SERVIÇOS  ·  MAKRO TRANSPORTES</t>
  </si>
  <si>
    <t xml:space="preserve">Planejamento e Controle de Manutenção  ·  aderência medida por atividade</t>
  </si>
  <si>
    <t xml:space="preserve">TROCAR DE SEMANA — uma célula só</t>
  </si>
  <si>
    <t xml:space="preserve">►</t>
  </si>
  <si>
    <t xml:space="preserve">Na aba SEMANA, clique na célula amarela grande e abra a setinha: a lista traz todas as segundas-feiras. Escolha uma e a grade inteira acompanha — os dias no topo, os números de cada executante e o resumo.</t>
  </si>
  <si>
    <t xml:space="preserve">◄</t>
  </si>
  <si>
    <t xml:space="preserve">Logo abaixo, a faixa ONDE TEM PROGRAMAÇÃO mostra quantas atividades existem em cada uma das quatro semanas antes e depois. Assim você vê onde tem trabalho antes de trocar.</t>
  </si>
  <si>
    <t xml:space="preserve">MONTAR A PROGRAMAÇÃO DA SEMANA — quatro passos</t>
  </si>
  <si>
    <t xml:space="preserve">1</t>
  </si>
  <si>
    <t xml:space="preserve">Na aba PROGRAMAÇÃO, clique na setinha do filtro da coluna SITUAÇÃO e deixe marcado só “Na carteira”. Sobram as atividades sem dia.</t>
  </si>
  <si>
    <t xml:space="preserve">2</t>
  </si>
  <si>
    <t xml:space="preserve">Nas que você vai fazer, escreva a SEGUNDA-FEIRA na coluna SEMANA. Escreva numa linha e arraste para baixo — vale para todas.</t>
  </si>
  <si>
    <t xml:space="preserve">3</t>
  </si>
  <si>
    <t xml:space="preserve">Escolha o DIA (Seg, Ter, Qua…) e quem faz, em EXECUTANTE 1, 2 e 3. A coluna Data programada e a SITUAÇÃO, lá na frente, se preenchem sozinhas.</t>
  </si>
  <si>
    <t xml:space="preserve">4</t>
  </si>
  <si>
    <t xml:space="preserve">Tire o filtro e volte à aba SEMANA: ela mostra a carga que cada um ficou por dia, e apaga os zeros para o que tem trabalho saltar aos olhos.</t>
  </si>
  <si>
    <t xml:space="preserve">VÁRIOS EXECUTANTES NA MESMA ATIVIDADE</t>
  </si>
  <si>
    <t xml:space="preserve">São três colunas — Executante 1, 2 e 3 — cada uma com sua caixa de seleção. Serviço feito a quatro mãos entra na carga de cada um deles na aba Semana e na Aderência, e conta uma vez só no total da oficina.</t>
  </si>
  <si>
    <t xml:space="preserve">Empresa externa: escreva o nome com “(externo)” no fim, em qualquer uma das três. A coluna Oficina se marca sozinha como Terceirizada.</t>
  </si>
  <si>
    <t xml:space="preserve">SERVIÇO EXTRA PROGRAMAÇÃO</t>
  </si>
  <si>
    <t xml:space="preserve">Na coluna ORIGEM, escolha EXTRA quando a atividade entrou fora do plano: quebra na estrada, urgência, pedido da operação. Em branco (ou “Programada”) quer dizer que estava no plano da semana.</t>
  </si>
  <si>
    <t xml:space="preserve">Extra NÃO entra no denominador da aderência — não dá para cobrar cumprimento de uma coisa que nunca foi programada. Ela ganha contador próprio na faixa da aba Semana e três indicadores na aba Aderência, entre eles “quanto da semana foi extra”. É esse número que explica uma aderência baixa numa semana em que a oficina não parou.</t>
  </si>
  <si>
    <t xml:space="preserve">Na grade da aba Semana, plano e extra aparecem juntos: ali o que importa é a carga de trabalho de cada um, venha de onde vier.</t>
  </si>
  <si>
    <t xml:space="preserve">REPETIR A SEMANA QUE PASSOU</t>
  </si>
  <si>
    <t xml:space="preserve">Selecione as linhas da semana passada, copie e cole no fim da lista.</t>
  </si>
  <si>
    <t xml:space="preserve">Troque só a coluna SEMANA pela nova segunda-feira. Todas as datas andam junto — é para isso que Semana e Dia são separados.</t>
  </si>
  <si>
    <t xml:space="preserve">Apague o que ficou em CONCLUÍDA EM e em MARCAR nas linhas coladas.</t>
  </si>
  <si>
    <t xml:space="preserve">O DIA A DIA</t>
  </si>
  <si>
    <t xml:space="preserve">Concluiu uma atividade?</t>
  </si>
  <si>
    <t xml:space="preserve">Escreva a data em CONCLUÍDA EM. Só isso — a situação muda sozinha e a aderência já conta.</t>
  </si>
  <si>
    <t xml:space="preserve">Vai empurrar para outro dia?</t>
  </si>
  <si>
    <t xml:space="preserve">Antes de mudar, copie a data de hoje para a coluna 1ª DATA. Depois troque o Dia (ou a Semana) e escreva o MOTIVO.</t>
  </si>
  <si>
    <t xml:space="preserve">Cancelou?</t>
  </si>
  <si>
    <t xml:space="preserve">Escolha “Cancelada” na coluna MARCAR. Sai dos dois lados da conta.</t>
  </si>
  <si>
    <t xml:space="preserve">Serviço novo sem dia ainda?</t>
  </si>
  <si>
    <t xml:space="preserve">Escreva tudo menos a Semana e o Dia. Fica na carteira até você programar.</t>
  </si>
  <si>
    <t xml:space="preserve">COMO A ADERÊNCIA É CALCULADA</t>
  </si>
  <si>
    <t xml:space="preserve">Aderência  =  atividades concluídas  ÷  atividades programadas no período</t>
  </si>
  <si>
    <t xml:space="preserve">Cada linha da aba Programação é uma ATIVIDADE. Um serviço com três atividades ocupa três linhas: se duas saírem e uma ficar, a aderência mostra 67% — nem some da conta, nem finge que fechou.</t>
  </si>
  <si>
    <t xml:space="preserve">    •  Pontualidade — das concluídas, quantas saíram até o próprio dia.</t>
  </si>
  <si>
    <t xml:space="preserve">    •  Aderência ao plano original — mede contra a 1ª data programada. É a única que não melhora quando se empurra o serviço para a frente.</t>
  </si>
  <si>
    <t xml:space="preserve">AS CORES DA ABA PROGRAMAÇÃO</t>
  </si>
  <si>
    <t xml:space="preserve">Amarelo</t>
  </si>
  <si>
    <t xml:space="preserve">o que é o serviço — preenche sempre</t>
  </si>
  <si>
    <t xml:space="preserve">Verde claro</t>
  </si>
  <si>
    <t xml:space="preserve">quem faz — até três executantes</t>
  </si>
  <si>
    <t xml:space="preserve">Azul claro</t>
  </si>
  <si>
    <t xml:space="preserve">semana e dia — é onde se programa</t>
  </si>
  <si>
    <t xml:space="preserve">Cinza claro</t>
  </si>
  <si>
    <t xml:space="preserve">só quando acontecer: concluir, cancelar, reprogramar</t>
  </si>
  <si>
    <t xml:space="preserve">Cinza</t>
  </si>
  <si>
    <t xml:space="preserve">calculado — Situação na frente, o resto no fim; não digite</t>
  </si>
  <si>
    <t xml:space="preserve">Laranja</t>
  </si>
  <si>
    <t xml:space="preserve">origem EXTRA — entrou fora da programação</t>
  </si>
  <si>
    <t xml:space="preserve">Vermelho</t>
  </si>
  <si>
    <t xml:space="preserve">vencida, ou aderência abaixo de 60%</t>
  </si>
  <si>
    <t xml:space="preserve">Verde</t>
  </si>
  <si>
    <t xml:space="preserve">concluída no prazo, ou aderência de 85% para cima</t>
  </si>
  <si>
    <t xml:space="preserve">A planilha veio com a semana de 24/08 a 28/08/26: 172 atividades em 26 serviços. Ficaram de fora 2 serviço(s) programados antes desta semana (F-627, F-966) e a carteira sem dia, porque você pediu só o desta semana.</t>
  </si>
  <si>
    <t xml:space="preserve">Há 1.000 linhas prontas na aba Programação, com as fórmulas das colunas cinzas já em todas elas. Para imprimir a semana: filtre a coluna Data programada pelo período e mande imprimir — sai só o que o filtro deixou visível.</t>
  </si>
  <si>
    <t xml:space="preserve">LISTAS DE APOIO</t>
  </si>
  <si>
    <t xml:space="preserve">Alimentam as caixas de seleção. Acrescente nomes aqui e as caixas acompanham. Não deixe linha em branco no meio de uma lista.</t>
  </si>
  <si>
    <t xml:space="preserve">Executantes</t>
  </si>
  <si>
    <t xml:space="preserve">Frotas</t>
  </si>
  <si>
    <t xml:space="preserve">Tipo de serviço</t>
  </si>
  <si>
    <t xml:space="preserve">Marcar</t>
  </si>
  <si>
    <t xml:space="preserve">Motivo da reprogramação</t>
  </si>
  <si>
    <t xml:space="preserve">Dia</t>
  </si>
  <si>
    <t xml:space="preserve">Semanas</t>
  </si>
  <si>
    <t xml:space="preserve">Segundas-feiras que aparecem na caixa de seleção da aba Semana. Vão de 23/02/2026 a 14/08/2028.</t>
  </si>
  <si>
    <t xml:space="preserve">Adilton</t>
  </si>
  <si>
    <t xml:space="preserve">F-1064</t>
  </si>
  <si>
    <t xml:space="preserve">Corretiva</t>
  </si>
  <si>
    <t xml:space="preserve">Concluída</t>
  </si>
  <si>
    <t xml:space="preserve">Peça não chegou</t>
  </si>
  <si>
    <t xml:space="preserve">Seg</t>
  </si>
  <si>
    <t xml:space="preserve">Airton</t>
  </si>
  <si>
    <t xml:space="preserve">F-1065</t>
  </si>
  <si>
    <t xml:space="preserve">Preventiva</t>
  </si>
  <si>
    <t xml:space="preserve">Em execução</t>
  </si>
  <si>
    <t xml:space="preserve">Frota em viagem</t>
  </si>
  <si>
    <t xml:space="preserve">Ter</t>
  </si>
  <si>
    <t xml:space="preserve">Alexandre</t>
  </si>
  <si>
    <t xml:space="preserve">F-150</t>
  </si>
  <si>
    <t xml:space="preserve">Preditiva</t>
  </si>
  <si>
    <t xml:space="preserve">Cancelada</t>
  </si>
  <si>
    <t xml:space="preserve">Falta de mão de obra</t>
  </si>
  <si>
    <t xml:space="preserve">Qua</t>
  </si>
  <si>
    <t xml:space="preserve">Gabriel</t>
  </si>
  <si>
    <t xml:space="preserve">F-246</t>
  </si>
  <si>
    <t xml:space="preserve">Melhoria</t>
  </si>
  <si>
    <t xml:space="preserve">Serviço maior que o previsto</t>
  </si>
  <si>
    <t xml:space="preserve">Qui</t>
  </si>
  <si>
    <t xml:space="preserve">Heliton</t>
  </si>
  <si>
    <t xml:space="preserve">F-326</t>
  </si>
  <si>
    <t xml:space="preserve">Inspeção</t>
  </si>
  <si>
    <t xml:space="preserve">Mudou a prioridade</t>
  </si>
  <si>
    <t xml:space="preserve">Sex</t>
  </si>
  <si>
    <t xml:space="preserve">Júnior</t>
  </si>
  <si>
    <t xml:space="preserve">F-327</t>
  </si>
  <si>
    <t xml:space="preserve">Oficina cheia</t>
  </si>
  <si>
    <t xml:space="preserve">Sáb</t>
  </si>
  <si>
    <t xml:space="preserve">Luiz Paulo</t>
  </si>
  <si>
    <t xml:space="preserve">F-328</t>
  </si>
  <si>
    <t xml:space="preserve">Aguardando terceiro</t>
  </si>
  <si>
    <t xml:space="preserve">Dom</t>
  </si>
  <si>
    <t xml:space="preserve">Thawan</t>
  </si>
  <si>
    <t xml:space="preserve">F-331</t>
  </si>
  <si>
    <t xml:space="preserve">Box bloqueado</t>
  </si>
  <si>
    <t xml:space="preserve">ASX (externo)</t>
  </si>
  <si>
    <t xml:space="preserve">F-457</t>
  </si>
  <si>
    <t xml:space="preserve">Eduardo da sticker (externo)</t>
  </si>
  <si>
    <t xml:space="preserve">F-458</t>
  </si>
  <si>
    <t xml:space="preserve">Molas Pinheiro (externo)</t>
  </si>
  <si>
    <t xml:space="preserve">F-485</t>
  </si>
  <si>
    <t xml:space="preserve">Rodo Ceará (externo)</t>
  </si>
  <si>
    <t xml:space="preserve">F-614</t>
  </si>
  <si>
    <t xml:space="preserve">F-617</t>
  </si>
  <si>
    <t xml:space="preserve">F-624</t>
  </si>
  <si>
    <t xml:space="preserve">F-626</t>
  </si>
  <si>
    <t xml:space="preserve">F-696</t>
  </si>
  <si>
    <t xml:space="preserve">F-763</t>
  </si>
  <si>
    <t xml:space="preserve">F-789</t>
  </si>
  <si>
    <t xml:space="preserve">F-815</t>
  </si>
  <si>
    <t xml:space="preserve">F-856</t>
  </si>
  <si>
    <t xml:space="preserve">F-871</t>
  </si>
  <si>
    <t xml:space="preserve">F-938</t>
  </si>
  <si>
    <t xml:space="preserve">F-964</t>
  </si>
  <si>
    <t xml:space="preserve">PROGRAMAÇÃO DE SERVIÇOS  ·  MAKRO TRANSPORTES  ·  uma linha por atividade</t>
  </si>
  <si>
    <t xml:space="preserve">CALCULADO</t>
  </si>
  <si>
    <t xml:space="preserve">1 · O QUE É O SERVIÇO</t>
  </si>
  <si>
    <t xml:space="preserve">2 · QUEM FAZ — até três</t>
  </si>
  <si>
    <t xml:space="preserve">3 · PROGRAMAR — semana e dia</t>
  </si>
  <si>
    <t xml:space="preserve">4 · SÓ QUANDO ACONTECER</t>
  </si>
  <si>
    <t xml:space="preserve">CALCULADO — não digite aqui</t>
  </si>
  <si>
    <t xml:space="preserve">Nº</t>
  </si>
  <si>
    <t xml:space="preserve">Situação</t>
  </si>
  <si>
    <t xml:space="preserve">OS</t>
  </si>
  <si>
    <t xml:space="preserve">Frota</t>
  </si>
  <si>
    <t xml:space="preserve">Serviço</t>
  </si>
  <si>
    <t xml:space="preserve">Atividade</t>
  </si>
  <si>
    <t xml:space="preserve">Tipo</t>
  </si>
  <si>
    <t xml:space="preserve">Origem</t>
  </si>
  <si>
    <t xml:space="preserve">Executante 1</t>
  </si>
  <si>
    <t xml:space="preserve">Executante 2</t>
  </si>
  <si>
    <t xml:space="preserve">Executante 3</t>
  </si>
  <si>
    <t xml:space="preserve">Semana</t>
  </si>
  <si>
    <t xml:space="preserve">Data programada</t>
  </si>
  <si>
    <t xml:space="preserve">Concluída em</t>
  </si>
  <si>
    <t xml:space="preserve">1ª data</t>
  </si>
  <si>
    <t xml:space="preserve">Motivo</t>
  </si>
  <si>
    <t xml:space="preserve">Obs.</t>
  </si>
  <si>
    <t xml:space="preserve">Oficina</t>
  </si>
  <si>
    <t xml:space="preserve">Plano</t>
  </si>
  <si>
    <t xml:space="preserve">No prazo</t>
  </si>
  <si>
    <t xml:space="preserve">No plano</t>
  </si>
  <si>
    <t xml:space="preserve">Atraso</t>
  </si>
  <si>
    <t xml:space="preserve">Reprog.</t>
  </si>
  <si>
    <t xml:space="preserve">Concl.</t>
  </si>
  <si>
    <t xml:space="preserve">Enbuxamento e aperto das folgas dos tirantes</t>
  </si>
  <si>
    <t xml:space="preserve">Enbuxamento</t>
  </si>
  <si>
    <t xml:space="preserve">Aperto das folgas dos tirantes</t>
  </si>
  <si>
    <t xml:space="preserve">Calibração e troca de pneus</t>
  </si>
  <si>
    <t xml:space="preserve">Calibrar e trocar pneus</t>
  </si>
  <si>
    <t xml:space="preserve">Troca e calibração de pneus</t>
  </si>
  <si>
    <t xml:space="preserve">021188</t>
  </si>
  <si>
    <t xml:space="preserve">Realizar troca de pneus</t>
  </si>
  <si>
    <t xml:space="preserve">Sistema: Pneus</t>
  </si>
  <si>
    <t xml:space="preserve">Substituir batentes dos eixos traseiros LE e LD gastos (serviço empresa especializada/20390836 (4 unidades))</t>
  </si>
  <si>
    <t xml:space="preserve">Soldar base do paralama dianteiro LD avariada (20453900)</t>
  </si>
  <si>
    <t xml:space="preserve">Substituir acabamento do retrovisor inferior LD (item em aplicação direta ou realizar pedido 21169971)</t>
  </si>
  <si>
    <t xml:space="preserve">CARCAÇA INTERNA DO FAROL (20453627)</t>
  </si>
  <si>
    <t xml:space="preserve">Realizar adesivagem</t>
  </si>
  <si>
    <t xml:space="preserve">Adesivar frota</t>
  </si>
  <si>
    <t xml:space="preserve">Montar adesivos 327</t>
  </si>
  <si>
    <t xml:space="preserve">Realizar lavagem e corrigir vazamento na bomba de direção (serviço interno Matriz)</t>
  </si>
  <si>
    <t xml:space="preserve">Realizar regulagem do travamento das portas, motorista relata que as mesmas estão abrindo em movimento (serviço interno Matriz)</t>
  </si>
  <si>
    <t xml:space="preserve">Corrigir ligação da chave geral (serviço interno Matriz)</t>
  </si>
  <si>
    <t xml:space="preserve">Verificado intercooler com reparos, ficando apenas em observação de substituição (serviço interno Matriz)</t>
  </si>
  <si>
    <t xml:space="preserve">Substituir buchas das abraçadeiras do tanque LD gastas e corrigir/substituir tanque amassado (serviço interno Matriz)</t>
  </si>
  <si>
    <t xml:space="preserve">Repor tampa da caixa de fusíveis LD (OS 20352 · 20398773)</t>
  </si>
  <si>
    <t xml:space="preserve">Fixar banco do passageiro LD (serviço interno Matriz)</t>
  </si>
  <si>
    <t xml:space="preserve">Corrigir empeno do aro segundo eixo LD (serviço interno Matriz)</t>
  </si>
  <si>
    <t xml:space="preserve">Programar substituição das juntas do escapamento gastas (serviço interno Matriz/20855371, realizar acompanhamento (6 unidades))</t>
  </si>
  <si>
    <t xml:space="preserve">Substituir estribo da cabine LD (3175928/realizar acompanhamento)</t>
  </si>
  <si>
    <t xml:space="preserve">Substituir para-sol avariado (82245535)</t>
  </si>
  <si>
    <t xml:space="preserve">Repor acabamento do cinto do banco do motorista (0586501)</t>
  </si>
  <si>
    <t xml:space="preserve">Realizar reparo no engate de marchas</t>
  </si>
  <si>
    <t xml:space="preserve">Realizar reparo na marcha ré (Dificuldade no engate)</t>
  </si>
  <si>
    <t xml:space="preserve">Mangote do arrefecimento folgado</t>
  </si>
  <si>
    <t xml:space="preserve">Realizar troca de óleo e filtro</t>
  </si>
  <si>
    <t xml:space="preserve">Reprogramada por conta de box bloqueado por conta de guindaste</t>
  </si>
  <si>
    <t xml:space="preserve">Diagnosticar e corrigir falha no sistema do motor: temperatura dos gases de escape (serviço interno base Mossoró)</t>
  </si>
  <si>
    <t xml:space="preserve">Substituir bomba d'água com princípio de vazamento pelo selo lateral (20538820)</t>
  </si>
  <si>
    <t xml:space="preserve">Realizar lavagem e sanar vazamento na bomba de direção hidráulica (serviço interno base Mossoró)</t>
  </si>
  <si>
    <t xml:space="preserve">Sanar vazamento na mangueira da bomba de direção (serviço interno base Mossoró solicitar codigo do tubo original)</t>
  </si>
  <si>
    <t xml:space="preserve">Corrigir fixação elétrica solta na frente do intercooler (serviço interno base Mossoró)</t>
  </si>
  <si>
    <t xml:space="preserve">Fixar chicote elétrico solto na longarina LD (serviço interno base Mossoró)</t>
  </si>
  <si>
    <t xml:space="preserve">Repor acabamento inferior frontal do parachoque (20711859)</t>
  </si>
  <si>
    <t xml:space="preserve">Repor vidrala sanefa/carga e corrigir empeno no varão (1628953 peça adaptada)</t>
  </si>
  <si>
    <t xml:space="preserve">Corrigir iluminação interna da cabine (serviço interno base Mossoró)</t>
  </si>
  <si>
    <t xml:space="preserve">Fixar mangueiras soltas na longarina LE (serviço interno base Mossoró)</t>
  </si>
  <si>
    <t xml:space="preserve">Verificar válvula de freio</t>
  </si>
  <si>
    <t xml:space="preserve">Sistema: Freios</t>
  </si>
  <si>
    <t xml:space="preserve">021186</t>
  </si>
  <si>
    <t xml:space="preserve">Realizar troca ou calibração dos pneus</t>
  </si>
  <si>
    <t xml:space="preserve">Mudou a prioridade trocado pela frota 1064 e 1065</t>
  </si>
  <si>
    <t xml:space="preserve">Preventiva da frota 614 João Camara RN</t>
  </si>
  <si>
    <t xml:space="preserve">Realizar troca de oleo e filtros</t>
  </si>
  <si>
    <t xml:space="preserve">Trocar pneus</t>
  </si>
  <si>
    <t xml:space="preserve">Baixa de pendências backlog</t>
  </si>
  <si>
    <t xml:space="preserve">1. Substituir reservatório do líquido de arrefecimento contaminado</t>
  </si>
  <si>
    <t xml:space="preserve">Sistema: Estruturas</t>
  </si>
  <si>
    <t xml:space="preserve">2. Realizar lavagem e corrigir vazamento na bomba de direção hidráulica</t>
  </si>
  <si>
    <t xml:space="preserve">3. Substituir tirante V traseiro empenado</t>
  </si>
  <si>
    <t xml:space="preserve">4. Corrigir vazamento de ar no freio de estacionamento (maneco)</t>
  </si>
  <si>
    <t xml:space="preserve">5. Repor batedores dianteiros da cabine</t>
  </si>
  <si>
    <t xml:space="preserve">6. Substituir lanterna do pisca dianteiro LD avariada</t>
  </si>
  <si>
    <t xml:space="preserve">7. Substituir extensão da porta LE avariada</t>
  </si>
  <si>
    <t xml:space="preserve">8. Substituir saia lateral da cabine LD</t>
  </si>
  <si>
    <t xml:space="preserve">9. Programar recuperação da barra de direção curta com início de folga</t>
  </si>
  <si>
    <t xml:space="preserve">10. Substituir junta da tampa do módulo i-shift, apresentando princípio de vazamento</t>
  </si>
  <si>
    <t xml:space="preserve">11. Substituir amortecedores dianteiros estourados, apresentando início de vazamento</t>
  </si>
  <si>
    <t xml:space="preserve">13. Substituir paralama dianteiro LD avariado</t>
  </si>
  <si>
    <t xml:space="preserve">14. Substituir lente da lanterna traseira LD avariada</t>
  </si>
  <si>
    <t xml:space="preserve">* Vazamento: Conjunto de mangueiras dianteiras LE — realizar lavagem para identificar a origem do vazamento.</t>
  </si>
  <si>
    <t xml:space="preserve">* Corujinha lateral: Avaria no lado direito (LD).</t>
  </si>
  <si>
    <t xml:space="preserve">* Vidros: Revisar a visibilidade dos vidros frontal e laterais.</t>
  </si>
  <si>
    <t xml:space="preserve">* Grade frontal: Apresenta avaria.</t>
  </si>
  <si>
    <t xml:space="preserve">* Corote: Verificar fixação, pois está batendo no para-lama.</t>
  </si>
  <si>
    <t xml:space="preserve">* Lameira: Avaria no lado esquerdo (LE).</t>
  </si>
  <si>
    <t xml:space="preserve">* Para-lama: Parafuso do lado direito (LD) folgado.</t>
  </si>
  <si>
    <t xml:space="preserve">Tapeçaria</t>
  </si>
  <si>
    <t xml:space="preserve">Realizar tapeçaria</t>
  </si>
  <si>
    <t xml:space="preserve">Trocar o cabeçote</t>
  </si>
  <si>
    <t xml:space="preserve">Trocar cabeçote de combustível</t>
  </si>
  <si>
    <t xml:space="preserve">Bomba de combustível</t>
  </si>
  <si>
    <t xml:space="preserve">Realizar ajuste no velocímetro</t>
  </si>
  <si>
    <t xml:space="preserve">Programar a substituição das juntas do coletor de escapamento (20855371 (6 unidades))</t>
  </si>
  <si>
    <t xml:space="preserve">Programar recuperação das barras de direção curta e longa (serviço empresa especializada)</t>
  </si>
  <si>
    <t xml:space="preserve">Programar substituição da lona de freio terceiro eixo LD avariada (serviço empresa especializada)</t>
  </si>
  <si>
    <t xml:space="preserve">Programar substituição lona de freio dianteira LD avariada (serviço empresa especializada)</t>
  </si>
  <si>
    <t xml:space="preserve">Programar substituição da lona de freio dianteiro LE avariada (serviço empresa especializada)</t>
  </si>
  <si>
    <t xml:space="preserve">Programar substituição das mangueiras do trocador de calor da caixa de marchas devido vazamento (21818292/21818296)</t>
  </si>
  <si>
    <t xml:space="preserve">Substituir vedação do sensor de velocidade da caixa de marchas devido vazamento (serviço interno Matriz)</t>
  </si>
  <si>
    <t xml:space="preserve">Substituir vedação do tubo de enchimento de óleo no cárter devido vazamento (serviço interno Matriz)</t>
  </si>
  <si>
    <t xml:space="preserve">Repor silenciador da válvula APU (4350995)</t>
  </si>
  <si>
    <t xml:space="preserve">Corrigir esguicho do limpador LE (serviço interno Matriz)</t>
  </si>
  <si>
    <t xml:space="preserve">Realizar lavagem e verificar vazamento LE do motor, se da junta do cárter (serviço interno Matriz/20541940)</t>
  </si>
  <si>
    <t xml:space="preserve">Substituir vedação do sensor de nível de temperatura de óleo do cárter devido vazamento (serviço interno Matriz)</t>
  </si>
  <si>
    <t xml:space="preserve">Corrigir fixação carenagem frontal LE, repor parafusos (serviço interno Matriz)</t>
  </si>
  <si>
    <t xml:space="preserve">Aplicar faixas refletivas</t>
  </si>
  <si>
    <t xml:space="preserve">Aplicar faixa refletiva</t>
  </si>
  <si>
    <t xml:space="preserve">Calibrar ou trocar pneus</t>
  </si>
  <si>
    <t xml:space="preserve">Corrigir iluminação da lanterna traseira LE e LD (serviço interno Matriz)</t>
  </si>
  <si>
    <t xml:space="preserve">Corrigir iluminação das lanternas laterais LD e LE (serviço interno Matriz)</t>
  </si>
  <si>
    <t xml:space="preserve">Corrigir iluminação traseira: luz e sirene de ré (serviço interno Matriz)</t>
  </si>
  <si>
    <t xml:space="preserve">Extrair parafuso quebrado da tampa do cubo de roda primeiro eixo LD (serviço interno Matriz)</t>
  </si>
  <si>
    <t xml:space="preserve">Corrigir empeno no pé de apoio da carreta LD (serviço interno Matriz)</t>
  </si>
  <si>
    <t xml:space="preserve">Corrigir trinca na estrutura acima do primeiro eixo LE (serviço interno Matriz)</t>
  </si>
  <si>
    <t xml:space="preserve">Repor estepe do implemento (serviço interno Matriz)</t>
  </si>
  <si>
    <t xml:space="preserve">Corrigir estrutura das grades de proteção do ciclista LD (serviço empresa especializada)</t>
  </si>
  <si>
    <t xml:space="preserve">Fixar grades de proteção do ciclista LE (serviço interno Matriz)</t>
  </si>
  <si>
    <t xml:space="preserve">Baixa de pendências backlog — F-815</t>
  </si>
  <si>
    <t xml:space="preserve">Completar nível de óleo do motor e corrigir vazamentos no mesmo (OS ABRIR OS · serviço interno Matriz)</t>
  </si>
  <si>
    <t xml:space="preserve">Gerada pela importação do backlog (Cópia de 03- ACOMPANHAMENTO DE BACKLOG (Salvo automaticamente).xlsx)</t>
  </si>
  <si>
    <t xml:space="preserve">Substituir junta da tampa de válvulas com vazamento (OS 7157 · 20804638 (junta motor D11))</t>
  </si>
  <si>
    <t xml:space="preserve">Recuperar mangueira de lubrificação do compressor com vazamento (OS ABRIR OS · serviço interno Matriz)</t>
  </si>
  <si>
    <t xml:space="preserve">Substituir vedação do tubo de respiro da tampa de válvulas (OS ABRIR OS · verificar item em estoque)</t>
  </si>
  <si>
    <t xml:space="preserve">Recuperar caixa de direção com vazamento (OS ABRIR OS · serviço empresa especializada)</t>
  </si>
  <si>
    <t xml:space="preserve">Corrigir vazamento nas mangueiras do reservatório de óleo hidráulico: recuperar as mesmas, substituir abraçadeiras e etc (OS ABRIR OS ·</t>
  </si>
  <si>
    <t xml:space="preserve">Realizar lavagem e corrigir vazamento nas conexões da bomba de direção (OS ABRIR OS · serviço interno Matriz)</t>
  </si>
  <si>
    <t xml:space="preserve">Completar nível do líquido de arrefecimento (OS ABRIR OS · serviço interno Matriz)</t>
  </si>
  <si>
    <t xml:space="preserve">Corrigir vazamento no diferencial do segundo eixo (OS ABRIR OS · serviço interno Matriz)</t>
  </si>
  <si>
    <t xml:space="preserve">Substituir chave geral avariada (OS 7158 · 21243844)</t>
  </si>
  <si>
    <t xml:space="preserve">Repor tampa de proteção das tomadas frontais (erraque) LD (OS 7159 · 20410141)</t>
  </si>
  <si>
    <t xml:space="preserve">Corrigir iluminação da luz de freio traseira LE e revisar demais luzes (OS ABRIR OS · serviço interno Matriz)</t>
  </si>
  <si>
    <t xml:space="preserve">Fixar módulo do motor, evitando excesso de vibração no mesmo (OS ABRIR OS · serviço interno Matriz)</t>
  </si>
  <si>
    <t xml:space="preserve">Fixar grade frontal LD (OS ABRIR OS · serviço interno Matriz)</t>
  </si>
  <si>
    <t xml:space="preserve">Substituir estepe furado (OS ABRIR OS · serviço interno Matriz)</t>
  </si>
  <si>
    <t xml:space="preserve">Substituir amortecedor dianteiro da cabine LD com desgaste nas buchas, apresentando ruído "ferro com ferro" ao movimentar a mesma (OS</t>
  </si>
  <si>
    <t xml:space="preserve">Substituir reservatório do limpador de parabrisas avariado (OS ABRIR OS · verificar possível correção ou realizar pedido 20360593)</t>
  </si>
  <si>
    <t xml:space="preserve">Substituir vedação da tampa do cubo de roda dianteiro LD (OS 7161 · 3986189)</t>
  </si>
  <si>
    <t xml:space="preserve">Substituir vareta de verificação do nível de óleo hidráulico avariada (OS ABRIR OS · 1696362)</t>
  </si>
  <si>
    <t xml:space="preserve">Substituir flexível do escapamento avariado, evitando danificar mangueiras e chicotes (OS 7162 · 20442244)</t>
  </si>
  <si>
    <t xml:space="preserve">Programar substituição das lonas de freio segundo eixo LD (OS ABRIR OS · serviço empresa especializada, programar próxima parada)</t>
  </si>
  <si>
    <t xml:space="preserve">Substituir farol LE avariado (OS ABRIR OS · 21035645 (realizar acompanhamento))</t>
  </si>
  <si>
    <t xml:space="preserve">Substituir vedação dos pescadores do tanque LD e LE devido vazamento (20732301 (2 unidades) (acompanhamento))</t>
  </si>
  <si>
    <t xml:space="preserve">Repor tampa do reservatório do limpador de parabrisas (OS 7164 · 24425399)</t>
  </si>
  <si>
    <t xml:space="preserve">Fixar farol LD (OS ABRIR OS · serviço interno Matriz)</t>
  </si>
  <si>
    <t xml:space="preserve">Substituir farol de neblina LE avariado (OS ABRIR OS · 21297918 (acompanhamento))</t>
  </si>
  <si>
    <t xml:space="preserve">Substituir paralama traseiro LE avariado (OS ABRIR OS · 812975614 (acompanhamento))</t>
  </si>
  <si>
    <t xml:space="preserve">Retirar mangueiras não utilizadas do rodoar (OS ABRIR OS · serviço interno Matriz)</t>
  </si>
  <si>
    <t xml:space="preserve">Corrigir fixação do friso do para-sol LE (OS ABRIR OS · serviço interno Matriz)</t>
  </si>
  <si>
    <t xml:space="preserve">Corrigir e isolar fiação de iluminação do reboque exposta (OS ABRIR OS · serviço interno Matriz)</t>
  </si>
  <si>
    <t xml:space="preserve">Corrigir iluminação interna das portas LE e LD (OS ABRIR OS · serviço interno Matriz)</t>
  </si>
  <si>
    <t xml:space="preserve">Repor acabamento do alto-falante da porta LD (OS ABRIR OS · 20732048)</t>
  </si>
  <si>
    <t xml:space="preserve">Trocar parabrisa</t>
  </si>
  <si>
    <t xml:space="preserve">Calibração e troca de pneus Luiz</t>
  </si>
  <si>
    <t xml:space="preserve">Sistema: Motor</t>
  </si>
  <si>
    <t xml:space="preserve">Diagnosticar e corrigir falha intermitente na transmissão (perdendo indicação de neutro no painel) (serviço interno Matriz)</t>
  </si>
  <si>
    <t xml:space="preserve">Instalar cabo anti-tombamento da cabine (fabricação sob medida, adaptação) (serviço interno Matriz)</t>
  </si>
  <si>
    <t xml:space="preserve">Repor patilha de indicação das marchas na alavanca (2T2 711 144 C)</t>
  </si>
  <si>
    <t xml:space="preserve">Repor acabamento da maçaneta interna da porta LD (2R2 867 158 A)</t>
  </si>
  <si>
    <t xml:space="preserve">Instalar puxador e maquna doo vidro</t>
  </si>
  <si>
    <t xml:space="preserve">Instalar puxador</t>
  </si>
  <si>
    <t xml:space="preserve">Máquina do vidro</t>
  </si>
  <si>
    <t xml:space="preserve">Cabo do puxador</t>
  </si>
  <si>
    <t xml:space="preserve">PE</t>
  </si>
  <si>
    <t xml:space="preserve">Trocar palhetas do climatizador</t>
  </si>
  <si>
    <t xml:space="preserve">Limpeza do climatizador</t>
  </si>
  <si>
    <t xml:space="preserve">Alinhar</t>
  </si>
  <si>
    <t xml:space="preserve">7186 7166 7187 7189 7166 7171 7198 7199 7200 7194 7185</t>
  </si>
  <si>
    <t xml:space="preserve">inspeção backlog</t>
  </si>
  <si>
    <t xml:space="preserve">Verificado vestígio de óleo no reservatório de ar, ficando em observação recuperar o compressor pneumático</t>
  </si>
  <si>
    <t xml:space="preserve">Realizar lavagem para verificação de vazamento de óleo diesel na dianteira do motor LE</t>
  </si>
  <si>
    <t xml:space="preserve">Substituir anéis de vedação das unidades devido vazamento nas mesmas</t>
  </si>
  <si>
    <t xml:space="preserve">Realizar lavagem e verificar vazamento nas juntas das tampas de válvulas, se é escorrido do vazamento de óleo diesel</t>
  </si>
  <si>
    <t xml:space="preserve">Corrigir engate das marchas: substituir pino de bloqueio de marcha, realizar testes e concluir diagnóstico</t>
  </si>
  <si>
    <t xml:space="preserve">Substituir mangote superior do radiador ressecado</t>
  </si>
  <si>
    <t xml:space="preserve">Substituir farol LE avariado</t>
  </si>
  <si>
    <t xml:space="preserve">Fixar lanterna do pisca LE</t>
  </si>
  <si>
    <t xml:space="preserve">Instalar lanternas traseiras e placa de trânsito</t>
  </si>
  <si>
    <t xml:space="preserve">Fixar base do chicote elétrico e das mangueiras da carreta</t>
  </si>
  <si>
    <t xml:space="preserve">Fixar tubo de enchimento frontal evitando danificar o mesmo com atrito da ventoinha</t>
  </si>
  <si>
    <t xml:space="preserve">Reposicionar e instalar cardan do veículo</t>
  </si>
  <si>
    <t xml:space="preserve">Substituir anéis de vedação das unidades devido vazamento nas mesmas (OS 7166 · A 023 997 64 48 (6 unidades)/A 023 997 65 48 (6</t>
  </si>
  <si>
    <t xml:space="preserve">Realizar lavagem do conjunto do filtro racor e verificar vazamento no mesmo (A 000 470 24 90 (realizar acompanhamento))</t>
  </si>
  <si>
    <t xml:space="preserve">Recuperar barra de direção curta com desgaste (OS 7185 · serviço empresa especializada)</t>
  </si>
  <si>
    <t xml:space="preserve">Recuperar barra de direção longa com desgaste (OS 7185 · serviço empresa especializada)</t>
  </si>
  <si>
    <t xml:space="preserve">Repor espelho retrovisor inferior LE (OS 7168 · A 000 810 24 79/A 002 811 31 33 (retrovisor auxiliar completo))</t>
  </si>
  <si>
    <t xml:space="preserve">Repor parafuso de fixação do painel frontal (OS 7189 · serviço interno Matriz)</t>
  </si>
  <si>
    <t xml:space="preserve">Corrigir instalação elétrica da tomada 12V e do acendedor de cigarros (OS 7171 · serviço interno Matriz/A 694 820 01 53/A 696 825 01 54)</t>
  </si>
  <si>
    <t xml:space="preserve">Retirar borracha inferior da cabine devido atrito com reservatório de arrefecimento, evitando danificar o mesmo (OS 7193 · serviço interno</t>
  </si>
  <si>
    <t xml:space="preserve">Corrigir feixes de molas dianteiros: LE com mais molas devido transporte da lança do munck (OS 7185 · serviço empresa especializada)</t>
  </si>
  <si>
    <t xml:space="preserve">Retirar espelhos das rodas traseiras, especialmente LE, para melhor visualização do desgaste das lonas de freio (OS 7190 · serviço interno</t>
  </si>
  <si>
    <t xml:space="preserve">Realizar regulagem dos freios segundo eixo LD (OS 7205 · serviço interno Matriz)</t>
  </si>
  <si>
    <t xml:space="preserve">Repor parafuso da bieleta traseira LE (fixação com a barra estabilizadora) (OS 7192 · serviço interno Matriz)</t>
  </si>
  <si>
    <t xml:space="preserve">Repor acabamento das abraçadeiras do retrovisor LD (OS 7168 · A 000 811 36 07)</t>
  </si>
  <si>
    <t xml:space="preserve">Substituir janela de inspeção frontal (A 940 888 11 23)</t>
  </si>
  <si>
    <t xml:space="preserve">Repor acabamento inferior do braço do retrovisor LD (OS 7168 · A 000 811 04 61)</t>
  </si>
  <si>
    <t xml:space="preserve">Reapertar parafusos de fixação do paralama dianteiro LD (OS 7195 · serviço interno Matriz)</t>
  </si>
  <si>
    <t xml:space="preserve">Repor borracha de vedação da porta LD (OS 7168 · A 958 721 00 80 (2 unidades))</t>
  </si>
  <si>
    <t xml:space="preserve">Fixar acabamento da tomada OBD (OS 7196 · serviço interno Matriz)</t>
  </si>
  <si>
    <t xml:space="preserve">Retirar manta inferior da cabine (OS 7197 · serviço interno Matriz)</t>
  </si>
  <si>
    <t xml:space="preserve">Programar substituição das buchas da barra estabilizadora dianteira (OS 7185 · serviço empresa especializada)</t>
  </si>
  <si>
    <t xml:space="preserve">Substituir letreiro do modelo Axor "3344" (A 943 817 13 14 (certificar com fornecedor))</t>
  </si>
  <si>
    <t xml:space="preserve">Recuperar pisante do estribo LD avariado (serviço interno Matriz)</t>
  </si>
  <si>
    <t xml:space="preserve">Trocar e calibrar pneus</t>
  </si>
  <si>
    <t xml:space="preserve">GRADE DA SEMANA  ·  atividades por executante e por dia</t>
  </si>
  <si>
    <t xml:space="preserve">SEMANA:</t>
  </si>
  <si>
    <t xml:space="preserve">até</t>
  </si>
  <si>
    <t xml:space="preserve">◀  clique na seta da célula amarela e escolha a segunda-feira</t>
  </si>
  <si>
    <t xml:space="preserve">NESTA SEMANA</t>
  </si>
  <si>
    <t xml:space="preserve">PROGRAMADAS</t>
  </si>
  <si>
    <t xml:space="preserve">CONCLUÍDAS</t>
  </si>
  <si>
    <t xml:space="preserve">ADERÊNCIA</t>
  </si>
  <si>
    <t xml:space="preserve">EXTRA</t>
  </si>
  <si>
    <t xml:space="preserve">VENCIDAS</t>
  </si>
  <si>
    <t xml:space="preserve">NA CARTEIRA</t>
  </si>
  <si>
    <t xml:space="preserve">ONDE TEM PROGRAMAÇÃO</t>
  </si>
  <si>
    <t xml:space="preserve">atividades programadas em cada semana — a do meio é a que você escolheu</t>
  </si>
  <si>
    <t xml:space="preserve">semana de</t>
  </si>
  <si>
    <t xml:space="preserve">atividades</t>
  </si>
  <si>
    <t xml:space="preserve">Executante</t>
  </si>
  <si>
    <t xml:space="preserve">Total</t>
  </si>
  <si>
    <t xml:space="preserve">Concluídas</t>
  </si>
  <si>
    <t xml:space="preserve">% feito</t>
  </si>
  <si>
    <t xml:space="preserve">Vencidas</t>
  </si>
  <si>
    <t xml:space="preserve">— sem executante definido —</t>
  </si>
  <si>
    <t xml:space="preserve">TOTAL — plano + extra</t>
  </si>
  <si>
    <t xml:space="preserve">Para programar o que está na carteira: na aba Programação, filtre a coluna Situação por “Na carteira” e escreva a Semana e o Dia.</t>
  </si>
  <si>
    <t xml:space="preserve">ADERÊNCIA DA PROGRAMAÇÃO  ·  medida por atividade</t>
  </si>
  <si>
    <t xml:space="preserve">De:</t>
  </si>
  <si>
    <t xml:space="preserve">←  vem da semana escolhida na aba Semana; escreva outras datas para analisar o mês, o trimestre…</t>
  </si>
  <si>
    <t xml:space="preserve">Até:</t>
  </si>
  <si>
    <t xml:space="preserve">As atividades entram pelo dia para o qual foram PROGRAMADAS.</t>
  </si>
  <si>
    <t xml:space="preserve">Indicador</t>
  </si>
  <si>
    <t xml:space="preserve">Valor</t>
  </si>
  <si>
    <t xml:space="preserve">Como é medido</t>
  </si>
  <si>
    <t xml:space="preserve">Atividades programadas</t>
  </si>
  <si>
    <t xml:space="preserve">estavam no plano da semana — extra programação não entra aqui</t>
  </si>
  <si>
    <t xml:space="preserve">do plano, quantas saíram</t>
  </si>
  <si>
    <t xml:space="preserve">Aderência por atividade</t>
  </si>
  <si>
    <t xml:space="preserve">concluídas ÷ programadas — o indicador principal</t>
  </si>
  <si>
    <t xml:space="preserve">Concluídas no prazo</t>
  </si>
  <si>
    <t xml:space="preserve">concluídas até o próprio dia — só conta quem tem data de conclusão</t>
  </si>
  <si>
    <t xml:space="preserve">Pontualidade</t>
  </si>
  <si>
    <t xml:space="preserve">concluídas no prazo ÷ concluídas COM data</t>
  </si>
  <si>
    <t xml:space="preserve">Programadas no plano original</t>
  </si>
  <si>
    <t xml:space="preserve">pela 1ª data programada, e não pela data de hoje</t>
  </si>
  <si>
    <t xml:space="preserve">Concluídas até a 1ª data</t>
  </si>
  <si>
    <t xml:space="preserve">entregues sem precisar empurrar o dia</t>
  </si>
  <si>
    <t xml:space="preserve">Aderência ao plano original</t>
  </si>
  <si>
    <t xml:space="preserve">não melhora quando se reprograma — mostra se a semana combinada foi cumprida</t>
  </si>
  <si>
    <t xml:space="preserve">o dia passou e a atividade não foi concluída nem cancelada</t>
  </si>
  <si>
    <t xml:space="preserve">Canceladas</t>
  </si>
  <si>
    <t xml:space="preserve">fora do cálculo da aderência</t>
  </si>
  <si>
    <t xml:space="preserve">Extra programação</t>
  </si>
  <si>
    <t xml:space="preserve">entraram fora do plano: quebra, urgência, pedido da operação</t>
  </si>
  <si>
    <t xml:space="preserve">Extras concluídas</t>
  </si>
  <si>
    <t xml:space="preserve">quanto do imprevisto a oficina deu conta de resolver</t>
  </si>
  <si>
    <t xml:space="preserve">Quanto da semana foi extra</t>
  </si>
  <si>
    <t xml:space="preserve">extra ÷ (plano + extra) — o quanto do trabalho não estava combinado</t>
  </si>
  <si>
    <t xml:space="preserve">Atividades reprogramadas</t>
  </si>
  <si>
    <t xml:space="preserve">a 1ª data programada é diferente da data de hoje</t>
  </si>
  <si>
    <t xml:space="preserve">Atraso médio, quando atrasa</t>
  </si>
  <si>
    <t xml:space="preserve">dias entre o programado e o concluído, só das que passaram do dia</t>
  </si>
  <si>
    <t xml:space="preserve">Na carteira, sem dia</t>
  </si>
  <si>
    <t xml:space="preserve">não depende do período — é o que ainda espera encaixe</t>
  </si>
  <si>
    <t xml:space="preserve">Atividades em empresa externa</t>
  </si>
  <si>
    <t xml:space="preserve">algum executante escrito com “(externo)” no fim</t>
  </si>
  <si>
    <t xml:space="preserve">POR EXECUTANTE  ·  soma as três colunas de quem faz</t>
  </si>
  <si>
    <t xml:space="preserve">POR FROTA</t>
  </si>
  <si>
    <t xml:space="preserve">Nome</t>
  </si>
  <si>
    <t xml:space="preserve">Progr.</t>
  </si>
  <si>
    <t xml:space="preserve">Aderência</t>
  </si>
  <si>
    <t xml:space="preserve">Extra</t>
  </si>
  <si>
    <t xml:space="preserve">POR TIPO DE SERVIÇO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</si>
</sst>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General"/>
    <numFmt numFmtId="167" formatCode="0"/>
    <numFmt numFmtId="168" formatCode="0%"/>
    <numFmt numFmtId="169" formatCode="dd/mm"/>
    <numFmt numFmtId="170" formatCode="[$-416]ddd\ dd/mm;@"/>
    <numFmt numFmtId="171" formatCode="0.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11"/>
      <color rgb="FF13164E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sz val="10.5"/>
      <name val="Arial"/>
      <family val="0"/>
      <charset val="1"/>
    </font>
    <font>
      <sz val="10"/>
      <color rgb="FF14181F"/>
      <name val="Arial"/>
      <family val="0"/>
      <charset val="1"/>
    </font>
    <font>
      <b val="true"/>
      <sz val="10"/>
      <color rgb="FF13164E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3164E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116B3E"/>
      <name val="Arial"/>
      <family val="0"/>
      <charset val="1"/>
    </font>
    <font>
      <sz val="10"/>
      <color rgb="FF4A54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4A54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4A5464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10"/>
      <name val="Arial"/>
      <family val="2"/>
    </font>
    <font>
      <b val="true"/>
      <sz val="14"/>
      <color rgb="FF13164E"/>
      <name val="Arial"/>
      <family val="0"/>
      <charset val="1"/>
    </font>
    <font>
      <sz val="11"/>
      <color rgb="FF4A5464"/>
      <name val="Arial"/>
      <family val="0"/>
      <charset val="1"/>
    </font>
    <font>
      <b val="true"/>
      <sz val="14"/>
      <color rgb="FF4A5464"/>
      <name val="Arial"/>
      <family val="0"/>
      <charset val="1"/>
    </font>
    <font>
      <i val="true"/>
      <sz val="10"/>
      <color rgb="FF13164E"/>
      <name val="Arial"/>
      <family val="0"/>
      <charset val="1"/>
    </font>
    <font>
      <b val="true"/>
      <sz val="8.5"/>
      <color rgb="FF4A5464"/>
      <name val="Arial"/>
      <family val="0"/>
      <charset val="1"/>
    </font>
    <font>
      <b val="true"/>
      <sz val="18"/>
      <color rgb="FF13164E"/>
      <name val="Arial"/>
      <family val="0"/>
      <charset val="1"/>
    </font>
    <font>
      <b val="true"/>
      <sz val="18"/>
      <color rgb="FF116B3E"/>
      <name val="Arial"/>
      <family val="0"/>
      <charset val="1"/>
    </font>
    <font>
      <b val="true"/>
      <sz val="18"/>
      <color rgb="FF9A4C00"/>
      <name val="Arial"/>
      <family val="0"/>
      <charset val="1"/>
    </font>
    <font>
      <b val="true"/>
      <sz val="18"/>
      <color rgb="FFB00020"/>
      <name val="Arial"/>
      <family val="0"/>
      <charset val="1"/>
    </font>
    <font>
      <b val="true"/>
      <sz val="18"/>
      <color rgb="FF4A5464"/>
      <name val="Arial"/>
      <family val="0"/>
      <charset val="1"/>
    </font>
    <font>
      <b val="true"/>
      <sz val="10"/>
      <color rgb="FF4A5464"/>
      <name val="Arial"/>
      <family val="0"/>
      <charset val="1"/>
    </font>
    <font>
      <b val="true"/>
      <sz val="12"/>
      <color rgb="FF4A54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40"/>
      <color rgb="FF13164E"/>
      <name val="Arial"/>
      <family val="0"/>
      <charset val="1"/>
    </font>
    <font>
      <sz val="12"/>
      <color rgb="FF14181F"/>
      <name val="Arial"/>
      <family val="0"/>
      <charset val="1"/>
    </font>
    <font>
      <b val="true"/>
      <sz val="11"/>
      <color rgb="FF14181F"/>
      <name val="Arial"/>
      <family val="0"/>
      <charset val="1"/>
    </font>
    <font>
      <sz val="9"/>
      <color rgb="FF4A5464"/>
      <name val="Arial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13164E"/>
        <bgColor rgb="FF14181F"/>
      </patternFill>
    </fill>
    <fill>
      <patternFill patternType="solid">
        <fgColor rgb="FF2A3170"/>
        <bgColor rgb="FF333333"/>
      </patternFill>
    </fill>
    <fill>
      <patternFill patternType="solid">
        <fgColor rgb="FFEDF1F9"/>
        <bgColor rgb="FFEEF1F7"/>
      </patternFill>
    </fill>
    <fill>
      <patternFill patternType="solid">
        <fgColor rgb="FFFFF3CF"/>
        <bgColor rgb="FFFDF0D8"/>
      </patternFill>
    </fill>
    <fill>
      <patternFill patternType="solid">
        <fgColor rgb="FFF6FBF5"/>
        <bgColor rgb="FFF4F9FF"/>
      </patternFill>
    </fill>
    <fill>
      <patternFill patternType="solid">
        <fgColor rgb="FFF4F9FF"/>
        <bgColor rgb="FFF6FBF5"/>
      </patternFill>
    </fill>
    <fill>
      <patternFill patternType="solid">
        <fgColor rgb="FFEDEFF4"/>
        <bgColor rgb="FFEEF1F7"/>
      </patternFill>
    </fill>
    <fill>
      <patternFill patternType="solid">
        <fgColor rgb="FFEEF1F7"/>
        <bgColor rgb="FFEDF1F9"/>
      </patternFill>
    </fill>
    <fill>
      <patternFill patternType="solid">
        <fgColor rgb="FFFFE0B2"/>
        <bgColor rgb="FFFFF3CF"/>
      </patternFill>
    </fill>
    <fill>
      <patternFill patternType="solid">
        <fgColor rgb="FFFDE4E7"/>
        <bgColor rgb="FFFFF1E0"/>
      </patternFill>
    </fill>
    <fill>
      <patternFill patternType="solid">
        <fgColor rgb="FFE3F5EA"/>
        <bgColor rgb="FFE9F3E6"/>
      </patternFill>
    </fill>
    <fill>
      <patternFill patternType="solid">
        <fgColor rgb="FFD9DEE8"/>
        <bgColor rgb="FFDCE9FA"/>
      </patternFill>
    </fill>
    <fill>
      <patternFill patternType="solid">
        <fgColor rgb="FFE9F3E6"/>
        <bgColor rgb="FFE3F5EA"/>
      </patternFill>
    </fill>
    <fill>
      <patternFill patternType="solid">
        <fgColor rgb="FFDCE9FA"/>
        <bgColor rgb="FFE7EEFB"/>
      </patternFill>
    </fill>
    <fill>
      <patternFill patternType="solid">
        <fgColor rgb="FFFFF1E0"/>
        <bgColor rgb="FFFDF0D8"/>
      </patternFill>
    </fill>
    <fill>
      <patternFill patternType="solid">
        <fgColor rgb="FFFFFFFF"/>
        <bgColor rgb="FFF6FBF5"/>
      </patternFill>
    </fill>
    <fill>
      <patternFill patternType="solid">
        <fgColor rgb="FFE7EEFB"/>
        <bgColor rgb="FFEDF1F9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  <diagonal/>
    </border>
    <border diagonalUp="false" diagonalDown="false">
      <left style="thin">
        <color rgb="FFC8D0DE"/>
      </left>
      <right/>
      <top style="thin">
        <color rgb="FFC8D0DE"/>
      </top>
      <bottom style="thin">
        <color rgb="FFC8D0DE"/>
      </bottom>
      <diagonal/>
    </border>
    <border diagonalUp="false" diagonalDown="false"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2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6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9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22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6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8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9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1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32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3" fillId="1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1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5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9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20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3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2">
    <dxf>
      <fill>
        <patternFill patternType="solid">
          <fgColor rgb="FF2A3170"/>
          <bgColor rgb="FF000000"/>
        </patternFill>
      </fill>
    </dxf>
    <dxf>
      <fill>
        <patternFill patternType="solid">
          <fgColor rgb="FFEEF1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A546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5EA"/>
          <bgColor rgb="FF000000"/>
        </patternFill>
      </fill>
    </dxf>
    <dxf>
      <fill>
        <patternFill patternType="solid">
          <fgColor rgb="FFE7EEFB"/>
          <bgColor rgb="FF000000"/>
        </patternFill>
      </fill>
    </dxf>
    <dxf>
      <fill>
        <patternFill patternType="solid">
          <fgColor rgb="FFFDE4E7"/>
          <bgColor rgb="FF000000"/>
        </patternFill>
      </fill>
    </dxf>
    <dxf>
      <fill>
        <patternFill patternType="solid">
          <fgColor rgb="FF116B3E"/>
          <bgColor rgb="FF000000"/>
        </patternFill>
      </fill>
    </dxf>
    <dxf>
      <fill>
        <patternFill patternType="solid">
          <fgColor rgb="FF1749C4"/>
          <bgColor rgb="FF000000"/>
        </patternFill>
      </fill>
    </dxf>
    <dxf>
      <fill>
        <patternFill patternType="solid">
          <fgColor rgb="FFB00020"/>
          <bgColor rgb="FF000000"/>
        </patternFill>
      </fill>
    </dxf>
    <dxf>
      <fill>
        <patternFill patternType="solid">
          <fgColor rgb="FF13164E"/>
          <bgColor rgb="FF000000"/>
        </patternFill>
      </fill>
    </dxf>
    <dxf>
      <fill>
        <patternFill patternType="solid">
          <fgColor rgb="FF14181F"/>
          <bgColor rgb="FF000000"/>
        </patternFill>
      </fill>
    </dxf>
    <dxf>
      <fill>
        <patternFill patternType="solid">
          <fgColor rgb="FFF6FBF5"/>
          <bgColor rgb="FF000000"/>
        </patternFill>
      </fill>
    </dxf>
    <dxf>
      <fill>
        <patternFill patternType="solid">
          <fgColor rgb="FFF4F9FF"/>
          <bgColor rgb="FF000000"/>
        </patternFill>
      </fill>
    </dxf>
    <dxf>
      <font>
        <name val="Arial"/>
        <charset val="1"/>
        <family val="0"/>
        <b val="1"/>
        <color rgb="FFB00020"/>
        <sz val="10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116B3E"/>
        <sz val="10"/>
      </font>
      <fill>
        <patternFill>
          <bgColor rgb="FFE3F5EA"/>
        </patternFill>
      </fill>
    </dxf>
    <dxf>
      <font>
        <name val="Arial"/>
        <charset val="1"/>
        <family val="0"/>
        <b val="1"/>
        <color rgb="FF8A5A05"/>
        <sz val="10"/>
      </font>
      <fill>
        <patternFill>
          <bgColor rgb="FFFDF0D8"/>
        </patternFill>
      </fill>
    </dxf>
    <dxf>
      <font>
        <name val="Arial"/>
        <charset val="1"/>
        <family val="0"/>
        <b val="1"/>
        <color rgb="FF1749C4"/>
        <sz val="10"/>
      </font>
      <fill>
        <patternFill>
          <bgColor rgb="FFE7EEFB"/>
        </patternFill>
      </fill>
    </dxf>
    <dxf>
      <font>
        <name val="Arial"/>
        <charset val="1"/>
        <family val="0"/>
        <b val="1"/>
        <color rgb="FF4A5464"/>
        <sz val="10"/>
      </font>
      <fill>
        <patternFill>
          <bgColor rgb="FFD9DEE8"/>
        </patternFill>
      </fill>
    </dxf>
    <dxf>
      <font>
        <name val="Arial"/>
        <charset val="1"/>
        <family val="0"/>
        <b val="1"/>
        <color rgb="FFB00020"/>
        <sz val="10"/>
      </font>
    </dxf>
    <dxf>
      <font>
        <name val="Arial"/>
        <charset val="1"/>
        <family val="0"/>
        <b val="1"/>
        <color rgb="FF9A4C00"/>
        <sz val="10"/>
      </font>
      <fill>
        <patternFill>
          <bgColor rgb="FFFFE0B2"/>
        </patternFill>
      </fill>
    </dxf>
    <dxf>
      <border diagonalUp="false" diagonalDown="false">
        <left/>
        <right/>
        <top style="medium">
          <color rgb="FF9AA8BF"/>
        </top>
        <bottom/>
        <diagonal/>
      </border>
    </dxf>
    <dxf>
      <font>
        <name val="Arial"/>
        <charset val="1"/>
        <family val="0"/>
        <color rgb="FFB9C2D0"/>
        <sz val="12"/>
      </font>
    </dxf>
    <dxf>
      <font>
        <name val="Arial"/>
        <charset val="1"/>
        <family val="0"/>
        <color rgb="FFC3CBD8"/>
        <sz val="10"/>
      </font>
    </dxf>
    <dxf>
      <font>
        <name val="Arial"/>
        <charset val="1"/>
        <family val="0"/>
        <b val="1"/>
        <color rgb="FFB00020"/>
        <sz val="11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116B3E"/>
        <sz val="11"/>
      </font>
    </dxf>
    <dxf>
      <font>
        <name val="Arial"/>
        <charset val="1"/>
        <family val="0"/>
        <b val="1"/>
        <color rgb="FFB00020"/>
        <sz val="11"/>
      </font>
    </dxf>
    <dxf>
      <font>
        <name val="Arial"/>
        <charset val="1"/>
        <family val="0"/>
        <b val="1"/>
        <color rgb="FF116B3E"/>
        <sz val="40"/>
      </font>
    </dxf>
    <dxf>
      <font>
        <name val="Arial"/>
        <charset val="1"/>
        <family val="0"/>
        <b val="1"/>
        <color rgb="FFB00020"/>
        <sz val="40"/>
      </font>
    </dxf>
    <dxf>
      <font>
        <name val="Arial"/>
        <charset val="1"/>
        <family val="0"/>
        <b val="1"/>
        <color rgb="FF9A4C00"/>
        <sz val="10"/>
      </font>
      <fill>
        <patternFill>
          <bgColor rgb="FFFFF1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1E0"/>
      <rgbColor rgb="FFFF00FF"/>
      <rgbColor rgb="FF00FFFF"/>
      <rgbColor rgb="FFB00020"/>
      <rgbColor rgb="FF116B3E"/>
      <rgbColor rgb="FF13164E"/>
      <rgbColor rgb="FF8A5A05"/>
      <rgbColor rgb="FF800080"/>
      <rgbColor rgb="FF008080"/>
      <rgbColor rgb="FFB9C2D0"/>
      <rgbColor rgb="FF808080"/>
      <rgbColor rgb="FFE7EEFB"/>
      <rgbColor rgb="FF993366"/>
      <rgbColor rgb="FFFFF3CF"/>
      <rgbColor rgb="FFE3F5EA"/>
      <rgbColor rgb="FF660066"/>
      <rgbColor rgb="FFEEF1F7"/>
      <rgbColor rgb="FF1749C4"/>
      <rgbColor rgb="FFC8D0DE"/>
      <rgbColor rgb="FF000080"/>
      <rgbColor rgb="FFFF00FF"/>
      <rgbColor rgb="FFF6FBF5"/>
      <rgbColor rgb="FF00FFFF"/>
      <rgbColor rgb="FF800080"/>
      <rgbColor rgb="FF800000"/>
      <rgbColor rgb="FF008080"/>
      <rgbColor rgb="FF0000FF"/>
      <rgbColor rgb="FF00CCFF"/>
      <rgbColor rgb="FFDCE9FA"/>
      <rgbColor rgb="FFE9F3E6"/>
      <rgbColor rgb="FFFDF0D8"/>
      <rgbColor rgb="FFC3CBD8"/>
      <rgbColor rgb="FFFDE4E7"/>
      <rgbColor rgb="FFD9DEE8"/>
      <rgbColor rgb="FFFFE0B2"/>
      <rgbColor rgb="FF3366FF"/>
      <rgbColor rgb="FF33CCCC"/>
      <rgbColor rgb="FFEDF1F9"/>
      <rgbColor rgb="FFEDEFF4"/>
      <rgbColor rgb="FFF4F9FF"/>
      <rgbColor rgb="FFFF6600"/>
      <rgbColor rgb="FF4A5464"/>
      <rgbColor rgb="FF9AA8BF"/>
      <rgbColor rgb="FF003366"/>
      <rgbColor rgb="FF339966"/>
      <rgbColor rgb="FF14181F"/>
      <rgbColor rgb="FF333300"/>
      <rgbColor rgb="FF9A4C00"/>
      <rgbColor rgb="FF993366"/>
      <rgbColor rgb="FF2A317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7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24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</row>
    <row r="5" customFormat="false" ht="33.75" hidden="false" customHeight="true" outlineLevel="0" collapsed="false">
      <c r="A5" s="4" t="s">
        <v>3</v>
      </c>
      <c r="B5" s="5" t="s">
        <v>4</v>
      </c>
      <c r="C5" s="5"/>
      <c r="D5" s="5"/>
      <c r="E5" s="5"/>
      <c r="F5" s="5"/>
      <c r="G5" s="5"/>
      <c r="H5" s="5"/>
    </row>
    <row r="6" customFormat="false" ht="33.75" hidden="false" customHeight="true" outlineLevel="0" collapsed="false">
      <c r="A6" s="4" t="s">
        <v>5</v>
      </c>
      <c r="B6" s="5" t="s">
        <v>6</v>
      </c>
      <c r="C6" s="5"/>
      <c r="D6" s="5"/>
      <c r="E6" s="5"/>
      <c r="F6" s="5"/>
      <c r="G6" s="5"/>
      <c r="H6" s="5"/>
    </row>
    <row r="8" customFormat="false" ht="24" hidden="false" customHeight="true" outlineLevel="0" collapsed="false">
      <c r="A8" s="3" t="s">
        <v>7</v>
      </c>
      <c r="B8" s="3"/>
      <c r="C8" s="3"/>
      <c r="D8" s="3"/>
      <c r="E8" s="3"/>
      <c r="F8" s="3"/>
      <c r="G8" s="3"/>
      <c r="H8" s="3"/>
    </row>
    <row r="9" customFormat="false" ht="33.75" hidden="false" customHeight="true" outlineLevel="0" collapsed="false">
      <c r="A9" s="6" t="s">
        <v>8</v>
      </c>
      <c r="B9" s="5" t="s">
        <v>9</v>
      </c>
      <c r="C9" s="5"/>
      <c r="D9" s="5"/>
      <c r="E9" s="5"/>
      <c r="F9" s="5"/>
      <c r="G9" s="5"/>
      <c r="H9" s="5"/>
    </row>
    <row r="10" customFormat="false" ht="33.75" hidden="false" customHeight="true" outlineLevel="0" collapsed="false">
      <c r="A10" s="6" t="s">
        <v>10</v>
      </c>
      <c r="B10" s="5" t="s">
        <v>11</v>
      </c>
      <c r="C10" s="5"/>
      <c r="D10" s="5"/>
      <c r="E10" s="5"/>
      <c r="F10" s="5"/>
      <c r="G10" s="5"/>
      <c r="H10" s="5"/>
    </row>
    <row r="11" customFormat="false" ht="33.75" hidden="false" customHeight="true" outlineLevel="0" collapsed="false">
      <c r="A11" s="6" t="s">
        <v>12</v>
      </c>
      <c r="B11" s="5" t="s">
        <v>13</v>
      </c>
      <c r="C11" s="5"/>
      <c r="D11" s="5"/>
      <c r="E11" s="5"/>
      <c r="F11" s="5"/>
      <c r="G11" s="5"/>
      <c r="H11" s="5"/>
    </row>
    <row r="12" customFormat="false" ht="33.75" hidden="false" customHeight="true" outlineLevel="0" collapsed="false">
      <c r="A12" s="6" t="s">
        <v>14</v>
      </c>
      <c r="B12" s="5" t="s">
        <v>15</v>
      </c>
      <c r="C12" s="5"/>
      <c r="D12" s="5"/>
      <c r="E12" s="5"/>
      <c r="F12" s="5"/>
      <c r="G12" s="5"/>
      <c r="H12" s="5"/>
    </row>
    <row r="14" customFormat="false" ht="24" hidden="false" customHeight="true" outlineLevel="0" collapsed="false">
      <c r="A14" s="3" t="s">
        <v>16</v>
      </c>
      <c r="B14" s="3"/>
      <c r="C14" s="3"/>
      <c r="D14" s="3"/>
      <c r="E14" s="3"/>
      <c r="F14" s="3"/>
      <c r="G14" s="3"/>
      <c r="H14" s="3"/>
    </row>
    <row r="15" customFormat="false" ht="31.5" hidden="false" customHeight="true" outlineLevel="0" collapsed="false">
      <c r="A15" s="7" t="s">
        <v>17</v>
      </c>
      <c r="B15" s="7"/>
      <c r="C15" s="7"/>
      <c r="D15" s="7"/>
      <c r="E15" s="7"/>
      <c r="F15" s="7"/>
      <c r="G15" s="7"/>
      <c r="H15" s="7"/>
    </row>
    <row r="16" customFormat="false" ht="27.75" hidden="false" customHeight="true" outlineLevel="0" collapsed="false">
      <c r="A16" s="7" t="s">
        <v>18</v>
      </c>
      <c r="B16" s="7"/>
      <c r="C16" s="7"/>
      <c r="D16" s="7"/>
      <c r="E16" s="7"/>
      <c r="F16" s="7"/>
      <c r="G16" s="7"/>
      <c r="H16" s="7"/>
    </row>
    <row r="18" customFormat="false" ht="24" hidden="false" customHeight="true" outlineLevel="0" collapsed="false">
      <c r="A18" s="3" t="s">
        <v>19</v>
      </c>
      <c r="B18" s="3"/>
      <c r="C18" s="3"/>
      <c r="D18" s="3"/>
      <c r="E18" s="3"/>
      <c r="F18" s="3"/>
      <c r="G18" s="3"/>
      <c r="H18" s="3"/>
    </row>
    <row r="19" customFormat="false" ht="30" hidden="false" customHeight="true" outlineLevel="0" collapsed="false">
      <c r="A19" s="7" t="s">
        <v>20</v>
      </c>
      <c r="B19" s="7"/>
      <c r="C19" s="7"/>
      <c r="D19" s="7"/>
      <c r="E19" s="7"/>
      <c r="F19" s="7"/>
      <c r="G19" s="7"/>
      <c r="H19" s="7"/>
    </row>
    <row r="20" customFormat="false" ht="42" hidden="false" customHeight="true" outlineLevel="0" collapsed="false">
      <c r="A20" s="7" t="s">
        <v>21</v>
      </c>
      <c r="B20" s="7"/>
      <c r="C20" s="7"/>
      <c r="D20" s="7"/>
      <c r="E20" s="7"/>
      <c r="F20" s="7"/>
      <c r="G20" s="7"/>
      <c r="H20" s="7"/>
    </row>
    <row r="21" customFormat="false" ht="27.75" hidden="false" customHeight="true" outlineLevel="0" collapsed="false">
      <c r="A21" s="7" t="s">
        <v>22</v>
      </c>
      <c r="B21" s="7"/>
      <c r="C21" s="7"/>
      <c r="D21" s="7"/>
      <c r="E21" s="7"/>
      <c r="F21" s="7"/>
      <c r="G21" s="7"/>
      <c r="H21" s="7"/>
    </row>
    <row r="23" customFormat="false" ht="24" hidden="false" customHeight="true" outlineLevel="0" collapsed="false">
      <c r="A23" s="3" t="s">
        <v>23</v>
      </c>
      <c r="B23" s="3"/>
      <c r="C23" s="3"/>
      <c r="D23" s="3"/>
      <c r="E23" s="3"/>
      <c r="F23" s="3"/>
      <c r="G23" s="3"/>
      <c r="H23" s="3"/>
    </row>
    <row r="24" customFormat="false" ht="33.75" hidden="false" customHeight="true" outlineLevel="0" collapsed="false">
      <c r="A24" s="4" t="s">
        <v>8</v>
      </c>
      <c r="B24" s="5" t="s">
        <v>24</v>
      </c>
      <c r="C24" s="5"/>
      <c r="D24" s="5"/>
      <c r="E24" s="5"/>
      <c r="F24" s="5"/>
      <c r="G24" s="5"/>
      <c r="H24" s="5"/>
    </row>
    <row r="25" customFormat="false" ht="33.75" hidden="false" customHeight="true" outlineLevel="0" collapsed="false">
      <c r="A25" s="4" t="s">
        <v>10</v>
      </c>
      <c r="B25" s="5" t="s">
        <v>25</v>
      </c>
      <c r="C25" s="5"/>
      <c r="D25" s="5"/>
      <c r="E25" s="5"/>
      <c r="F25" s="5"/>
      <c r="G25" s="5"/>
      <c r="H25" s="5"/>
    </row>
    <row r="26" customFormat="false" ht="33.75" hidden="false" customHeight="true" outlineLevel="0" collapsed="false">
      <c r="A26" s="4" t="s">
        <v>12</v>
      </c>
      <c r="B26" s="5" t="s">
        <v>26</v>
      </c>
      <c r="C26" s="5"/>
      <c r="D26" s="5"/>
      <c r="E26" s="5"/>
      <c r="F26" s="5"/>
      <c r="G26" s="5"/>
      <c r="H26" s="5"/>
    </row>
    <row r="28" customFormat="false" ht="24" hidden="false" customHeight="true" outlineLevel="0" collapsed="false">
      <c r="A28" s="3" t="s">
        <v>27</v>
      </c>
      <c r="B28" s="3"/>
      <c r="C28" s="3"/>
      <c r="D28" s="3"/>
      <c r="E28" s="3"/>
      <c r="F28" s="3"/>
      <c r="G28" s="3"/>
      <c r="H28" s="3"/>
    </row>
    <row r="29" customFormat="false" ht="30" hidden="false" customHeight="true" outlineLevel="0" collapsed="false">
      <c r="A29" s="8" t="s">
        <v>28</v>
      </c>
      <c r="B29" s="8"/>
      <c r="C29" s="9" t="s">
        <v>29</v>
      </c>
      <c r="D29" s="9"/>
      <c r="E29" s="9"/>
      <c r="F29" s="9"/>
      <c r="G29" s="9"/>
      <c r="H29" s="9"/>
    </row>
    <row r="30" customFormat="false" ht="30" hidden="false" customHeight="true" outlineLevel="0" collapsed="false">
      <c r="A30" s="8" t="s">
        <v>30</v>
      </c>
      <c r="B30" s="8"/>
      <c r="C30" s="9" t="s">
        <v>31</v>
      </c>
      <c r="D30" s="9"/>
      <c r="E30" s="9"/>
      <c r="F30" s="9"/>
      <c r="G30" s="9"/>
      <c r="H30" s="9"/>
    </row>
    <row r="31" customFormat="false" ht="30" hidden="false" customHeight="true" outlineLevel="0" collapsed="false">
      <c r="A31" s="8" t="s">
        <v>32</v>
      </c>
      <c r="B31" s="8"/>
      <c r="C31" s="9" t="s">
        <v>33</v>
      </c>
      <c r="D31" s="9"/>
      <c r="E31" s="9"/>
      <c r="F31" s="9"/>
      <c r="G31" s="9"/>
      <c r="H31" s="9"/>
    </row>
    <row r="32" customFormat="false" ht="30" hidden="false" customHeight="true" outlineLevel="0" collapsed="false">
      <c r="A32" s="8" t="s">
        <v>34</v>
      </c>
      <c r="B32" s="8"/>
      <c r="C32" s="9" t="s">
        <v>35</v>
      </c>
      <c r="D32" s="9"/>
      <c r="E32" s="9"/>
      <c r="F32" s="9"/>
      <c r="G32" s="9"/>
      <c r="H32" s="9"/>
    </row>
    <row r="34" customFormat="false" ht="24" hidden="false" customHeight="true" outlineLevel="0" collapsed="false">
      <c r="A34" s="3" t="s">
        <v>36</v>
      </c>
      <c r="B34" s="3"/>
      <c r="C34" s="3"/>
      <c r="D34" s="3"/>
      <c r="E34" s="3"/>
      <c r="F34" s="3"/>
      <c r="G34" s="3"/>
      <c r="H34" s="3"/>
    </row>
    <row r="35" customFormat="false" ht="25.5" hidden="false" customHeight="true" outlineLevel="0" collapsed="false">
      <c r="A35" s="10" t="s">
        <v>37</v>
      </c>
      <c r="B35" s="10"/>
      <c r="C35" s="10"/>
      <c r="D35" s="10"/>
      <c r="E35" s="10"/>
      <c r="F35" s="10"/>
      <c r="G35" s="10"/>
      <c r="H35" s="10"/>
    </row>
    <row r="36" customFormat="false" ht="30" hidden="false" customHeight="true" outlineLevel="0" collapsed="false">
      <c r="A36" s="7" t="s">
        <v>38</v>
      </c>
      <c r="B36" s="7"/>
      <c r="C36" s="7"/>
      <c r="D36" s="7"/>
      <c r="E36" s="7"/>
      <c r="F36" s="7"/>
      <c r="G36" s="7"/>
      <c r="H36" s="7"/>
    </row>
    <row r="37" customFormat="false" ht="15.75" hidden="false" customHeight="true" outlineLevel="0" collapsed="false">
      <c r="A37" s="7" t="s">
        <v>39</v>
      </c>
      <c r="B37" s="7"/>
      <c r="C37" s="7"/>
      <c r="D37" s="7"/>
      <c r="E37" s="7"/>
      <c r="F37" s="7"/>
      <c r="G37" s="7"/>
      <c r="H37" s="7"/>
    </row>
    <row r="38" customFormat="false" ht="27.75" hidden="false" customHeight="true" outlineLevel="0" collapsed="false">
      <c r="A38" s="7" t="s">
        <v>40</v>
      </c>
      <c r="B38" s="7"/>
      <c r="C38" s="7"/>
      <c r="D38" s="7"/>
      <c r="E38" s="7"/>
      <c r="F38" s="7"/>
      <c r="G38" s="7"/>
      <c r="H38" s="7"/>
    </row>
    <row r="40" customFormat="false" ht="24" hidden="false" customHeight="true" outlineLevel="0" collapsed="false">
      <c r="A40" s="3" t="s">
        <v>41</v>
      </c>
      <c r="B40" s="3"/>
      <c r="C40" s="3"/>
      <c r="D40" s="3"/>
      <c r="E40" s="3"/>
      <c r="F40" s="3"/>
      <c r="G40" s="3"/>
      <c r="H40" s="3"/>
    </row>
    <row r="41" customFormat="false" ht="18" hidden="false" customHeight="true" outlineLevel="0" collapsed="false">
      <c r="A41" s="11" t="s">
        <v>42</v>
      </c>
      <c r="B41" s="12" t="s">
        <v>43</v>
      </c>
      <c r="C41" s="12"/>
      <c r="D41" s="12"/>
      <c r="E41" s="12"/>
      <c r="F41" s="12"/>
      <c r="G41" s="12"/>
      <c r="H41" s="12"/>
    </row>
    <row r="42" customFormat="false" ht="18" hidden="false" customHeight="true" outlineLevel="0" collapsed="false">
      <c r="A42" s="13" t="s">
        <v>44</v>
      </c>
      <c r="B42" s="12" t="s">
        <v>45</v>
      </c>
      <c r="C42" s="12"/>
      <c r="D42" s="12"/>
      <c r="E42" s="12"/>
      <c r="F42" s="12"/>
      <c r="G42" s="12"/>
      <c r="H42" s="12"/>
    </row>
    <row r="43" customFormat="false" ht="18" hidden="false" customHeight="true" outlineLevel="0" collapsed="false">
      <c r="A43" s="14" t="s">
        <v>46</v>
      </c>
      <c r="B43" s="12" t="s">
        <v>47</v>
      </c>
      <c r="C43" s="12"/>
      <c r="D43" s="12"/>
      <c r="E43" s="12"/>
      <c r="F43" s="12"/>
      <c r="G43" s="12"/>
      <c r="H43" s="12"/>
    </row>
    <row r="44" customFormat="false" ht="18" hidden="false" customHeight="true" outlineLevel="0" collapsed="false">
      <c r="A44" s="15" t="s">
        <v>48</v>
      </c>
      <c r="B44" s="12" t="s">
        <v>49</v>
      </c>
      <c r="C44" s="12"/>
      <c r="D44" s="12"/>
      <c r="E44" s="12"/>
      <c r="F44" s="12"/>
      <c r="G44" s="12"/>
      <c r="H44" s="12"/>
    </row>
    <row r="45" customFormat="false" ht="18" hidden="false" customHeight="true" outlineLevel="0" collapsed="false">
      <c r="A45" s="16" t="s">
        <v>50</v>
      </c>
      <c r="B45" s="12" t="s">
        <v>51</v>
      </c>
      <c r="C45" s="12"/>
      <c r="D45" s="12"/>
      <c r="E45" s="12"/>
      <c r="F45" s="12"/>
      <c r="G45" s="12"/>
      <c r="H45" s="12"/>
    </row>
    <row r="46" customFormat="false" ht="18" hidden="false" customHeight="true" outlineLevel="0" collapsed="false">
      <c r="A46" s="17" t="s">
        <v>52</v>
      </c>
      <c r="B46" s="12" t="s">
        <v>53</v>
      </c>
      <c r="C46" s="12"/>
      <c r="D46" s="12"/>
      <c r="E46" s="12"/>
      <c r="F46" s="12"/>
      <c r="G46" s="12"/>
      <c r="H46" s="12"/>
    </row>
    <row r="47" customFormat="false" ht="18" hidden="false" customHeight="true" outlineLevel="0" collapsed="false">
      <c r="A47" s="18" t="s">
        <v>54</v>
      </c>
      <c r="B47" s="12" t="s">
        <v>55</v>
      </c>
      <c r="C47" s="12"/>
      <c r="D47" s="12"/>
      <c r="E47" s="12"/>
      <c r="F47" s="12"/>
      <c r="G47" s="12"/>
      <c r="H47" s="12"/>
    </row>
    <row r="48" customFormat="false" ht="18" hidden="false" customHeight="true" outlineLevel="0" collapsed="false">
      <c r="A48" s="19" t="s">
        <v>56</v>
      </c>
      <c r="B48" s="12" t="s">
        <v>57</v>
      </c>
      <c r="C48" s="12"/>
      <c r="D48" s="12"/>
      <c r="E48" s="12"/>
      <c r="F48" s="12"/>
      <c r="G48" s="12"/>
      <c r="H48" s="12"/>
    </row>
    <row r="50" customFormat="false" ht="42" hidden="false" customHeight="true" outlineLevel="0" collapsed="false">
      <c r="A50" s="20" t="s">
        <v>58</v>
      </c>
      <c r="B50" s="20"/>
      <c r="C50" s="20"/>
      <c r="D50" s="20"/>
      <c r="E50" s="20"/>
      <c r="F50" s="20"/>
      <c r="G50" s="20"/>
      <c r="H50" s="20"/>
    </row>
    <row r="52" customFormat="false" ht="31.5" hidden="false" customHeight="true" outlineLevel="0" collapsed="false">
      <c r="A52" s="21" t="s">
        <v>59</v>
      </c>
      <c r="B52" s="21"/>
      <c r="C52" s="21"/>
      <c r="D52" s="21"/>
      <c r="E52" s="21"/>
      <c r="F52" s="21"/>
      <c r="G52" s="21"/>
      <c r="H52" s="21"/>
    </row>
  </sheetData>
  <mergeCells count="46">
    <mergeCell ref="A1:H1"/>
    <mergeCell ref="A2:H2"/>
    <mergeCell ref="A4:H4"/>
    <mergeCell ref="B5:H5"/>
    <mergeCell ref="B6:H6"/>
    <mergeCell ref="A8:H8"/>
    <mergeCell ref="B9:H9"/>
    <mergeCell ref="B10:H10"/>
    <mergeCell ref="B11:H11"/>
    <mergeCell ref="B12:H12"/>
    <mergeCell ref="A14:H14"/>
    <mergeCell ref="A15:H15"/>
    <mergeCell ref="A16:H16"/>
    <mergeCell ref="A18:H18"/>
    <mergeCell ref="A19:H19"/>
    <mergeCell ref="A20:H20"/>
    <mergeCell ref="A21:H21"/>
    <mergeCell ref="A23:H23"/>
    <mergeCell ref="B24:H24"/>
    <mergeCell ref="B25:H25"/>
    <mergeCell ref="B26:H26"/>
    <mergeCell ref="A28:H28"/>
    <mergeCell ref="A29:B29"/>
    <mergeCell ref="C29:H29"/>
    <mergeCell ref="A30:B30"/>
    <mergeCell ref="C30:H30"/>
    <mergeCell ref="A31:B31"/>
    <mergeCell ref="C31:H31"/>
    <mergeCell ref="A32:B32"/>
    <mergeCell ref="C32:H32"/>
    <mergeCell ref="A34:H34"/>
    <mergeCell ref="A35:H35"/>
    <mergeCell ref="A36:H36"/>
    <mergeCell ref="A37:H37"/>
    <mergeCell ref="A38:H38"/>
    <mergeCell ref="A40:H40"/>
    <mergeCell ref="B41:H41"/>
    <mergeCell ref="B42:H42"/>
    <mergeCell ref="B43:H43"/>
    <mergeCell ref="B44:H44"/>
    <mergeCell ref="B45:H45"/>
    <mergeCell ref="B46:H46"/>
    <mergeCell ref="B47:H47"/>
    <mergeCell ref="B48:H48"/>
    <mergeCell ref="A50:H50"/>
    <mergeCell ref="A52:H52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I1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28"/>
    <col collapsed="false" customWidth="true" hidden="false" outlineLevel="0" max="6" min="6" style="0" width="8"/>
    <col collapsed="false" customWidth="true" hidden="false" outlineLevel="0" max="7" min="7" style="0" width="13"/>
  </cols>
  <sheetData>
    <row r="1" customFormat="false" ht="24" hidden="false" customHeight="true" outlineLevel="0" collapsed="false">
      <c r="A1" s="22" t="s">
        <v>60</v>
      </c>
      <c r="B1" s="22"/>
      <c r="C1" s="22"/>
      <c r="D1" s="22"/>
      <c r="E1" s="22"/>
      <c r="F1" s="22"/>
      <c r="G1" s="22"/>
    </row>
    <row r="2" customFormat="false" ht="15" hidden="false" customHeight="false" outlineLevel="0" collapsed="false">
      <c r="A2" s="23" t="s">
        <v>61</v>
      </c>
      <c r="B2" s="23"/>
      <c r="C2" s="23"/>
      <c r="D2" s="23"/>
      <c r="E2" s="23"/>
      <c r="F2" s="23"/>
      <c r="G2" s="23"/>
    </row>
    <row r="4" customFormat="false" ht="15" hidden="false" customHeight="false" outlineLevel="0" collapsed="false">
      <c r="A4" s="24" t="s">
        <v>62</v>
      </c>
      <c r="B4" s="24" t="s">
        <v>63</v>
      </c>
      <c r="C4" s="24" t="s">
        <v>64</v>
      </c>
      <c r="D4" s="24" t="s">
        <v>65</v>
      </c>
      <c r="E4" s="24" t="s">
        <v>66</v>
      </c>
      <c r="F4" s="24" t="s">
        <v>67</v>
      </c>
      <c r="G4" s="24" t="s">
        <v>68</v>
      </c>
      <c r="I4" s="25" t="s">
        <v>69</v>
      </c>
    </row>
    <row r="5" customFormat="false" ht="15" hidden="false" customHeight="false" outlineLevel="0" collapsed="false">
      <c r="A5" s="26" t="s">
        <v>70</v>
      </c>
      <c r="B5" s="26" t="s">
        <v>71</v>
      </c>
      <c r="C5" s="26" t="s">
        <v>72</v>
      </c>
      <c r="D5" s="26" t="s">
        <v>73</v>
      </c>
      <c r="E5" s="26" t="s">
        <v>74</v>
      </c>
      <c r="F5" s="26" t="s">
        <v>75</v>
      </c>
      <c r="G5" s="27" t="n">
        <v>46076</v>
      </c>
    </row>
    <row r="6" customFormat="false" ht="15" hidden="false" customHeight="false" outlineLevel="0" collapsed="false">
      <c r="A6" s="26" t="s">
        <v>76</v>
      </c>
      <c r="B6" s="26" t="s">
        <v>77</v>
      </c>
      <c r="C6" s="26" t="s">
        <v>78</v>
      </c>
      <c r="D6" s="26" t="s">
        <v>79</v>
      </c>
      <c r="E6" s="26" t="s">
        <v>80</v>
      </c>
      <c r="F6" s="26" t="s">
        <v>81</v>
      </c>
      <c r="G6" s="27" t="n">
        <v>46083</v>
      </c>
    </row>
    <row r="7" customFormat="false" ht="15" hidden="false" customHeight="false" outlineLevel="0" collapsed="false">
      <c r="A7" s="26" t="s">
        <v>82</v>
      </c>
      <c r="B7" s="26" t="s">
        <v>83</v>
      </c>
      <c r="C7" s="26" t="s">
        <v>84</v>
      </c>
      <c r="D7" s="26" t="s">
        <v>85</v>
      </c>
      <c r="E7" s="26" t="s">
        <v>86</v>
      </c>
      <c r="F7" s="26" t="s">
        <v>87</v>
      </c>
      <c r="G7" s="27" t="n">
        <v>46090</v>
      </c>
    </row>
    <row r="8" customFormat="false" ht="15" hidden="false" customHeight="false" outlineLevel="0" collapsed="false">
      <c r="A8" s="26" t="s">
        <v>88</v>
      </c>
      <c r="B8" s="26" t="s">
        <v>89</v>
      </c>
      <c r="C8" s="26" t="s">
        <v>90</v>
      </c>
      <c r="D8" s="26"/>
      <c r="E8" s="26" t="s">
        <v>91</v>
      </c>
      <c r="F8" s="26" t="s">
        <v>92</v>
      </c>
      <c r="G8" s="27" t="n">
        <v>46097</v>
      </c>
    </row>
    <row r="9" customFormat="false" ht="15" hidden="false" customHeight="false" outlineLevel="0" collapsed="false">
      <c r="A9" s="26" t="s">
        <v>93</v>
      </c>
      <c r="B9" s="26" t="s">
        <v>94</v>
      </c>
      <c r="C9" s="26" t="s">
        <v>95</v>
      </c>
      <c r="D9" s="26"/>
      <c r="E9" s="26" t="s">
        <v>96</v>
      </c>
      <c r="F9" s="26" t="s">
        <v>97</v>
      </c>
      <c r="G9" s="27" t="n">
        <v>46104</v>
      </c>
    </row>
    <row r="10" customFormat="false" ht="15" hidden="false" customHeight="false" outlineLevel="0" collapsed="false">
      <c r="A10" s="26" t="s">
        <v>98</v>
      </c>
      <c r="B10" s="26" t="s">
        <v>99</v>
      </c>
      <c r="C10" s="26"/>
      <c r="D10" s="26"/>
      <c r="E10" s="26" t="s">
        <v>100</v>
      </c>
      <c r="F10" s="26" t="s">
        <v>101</v>
      </c>
      <c r="G10" s="27" t="n">
        <v>46111</v>
      </c>
    </row>
    <row r="11" customFormat="false" ht="15" hidden="false" customHeight="false" outlineLevel="0" collapsed="false">
      <c r="A11" s="26" t="s">
        <v>102</v>
      </c>
      <c r="B11" s="26" t="s">
        <v>103</v>
      </c>
      <c r="C11" s="26"/>
      <c r="D11" s="26"/>
      <c r="E11" s="26" t="s">
        <v>104</v>
      </c>
      <c r="F11" s="26" t="s">
        <v>105</v>
      </c>
      <c r="G11" s="27" t="n">
        <v>46118</v>
      </c>
    </row>
    <row r="12" customFormat="false" ht="15" hidden="false" customHeight="false" outlineLevel="0" collapsed="false">
      <c r="A12" s="26" t="s">
        <v>106</v>
      </c>
      <c r="B12" s="26" t="s">
        <v>107</v>
      </c>
      <c r="C12" s="26"/>
      <c r="D12" s="26"/>
      <c r="E12" s="26" t="s">
        <v>108</v>
      </c>
      <c r="F12" s="26"/>
      <c r="G12" s="27" t="n">
        <v>46125</v>
      </c>
    </row>
    <row r="13" customFormat="false" ht="15" hidden="false" customHeight="false" outlineLevel="0" collapsed="false">
      <c r="A13" s="26" t="s">
        <v>109</v>
      </c>
      <c r="B13" s="26" t="s">
        <v>110</v>
      </c>
      <c r="C13" s="26"/>
      <c r="D13" s="26"/>
      <c r="E13" s="26"/>
      <c r="F13" s="26"/>
      <c r="G13" s="27" t="n">
        <v>46132</v>
      </c>
    </row>
    <row r="14" customFormat="false" ht="15" hidden="false" customHeight="false" outlineLevel="0" collapsed="false">
      <c r="A14" s="26" t="s">
        <v>111</v>
      </c>
      <c r="B14" s="26" t="s">
        <v>112</v>
      </c>
      <c r="C14" s="26"/>
      <c r="D14" s="26"/>
      <c r="E14" s="26"/>
      <c r="F14" s="26"/>
      <c r="G14" s="27" t="n">
        <v>46139</v>
      </c>
    </row>
    <row r="15" customFormat="false" ht="15" hidden="false" customHeight="false" outlineLevel="0" collapsed="false">
      <c r="A15" s="26" t="s">
        <v>113</v>
      </c>
      <c r="B15" s="26" t="s">
        <v>114</v>
      </c>
      <c r="C15" s="26"/>
      <c r="D15" s="26"/>
      <c r="E15" s="26"/>
      <c r="F15" s="26"/>
      <c r="G15" s="27" t="n">
        <v>46146</v>
      </c>
    </row>
    <row r="16" customFormat="false" ht="15" hidden="false" customHeight="false" outlineLevel="0" collapsed="false">
      <c r="A16" s="26" t="s">
        <v>115</v>
      </c>
      <c r="B16" s="26" t="s">
        <v>116</v>
      </c>
      <c r="C16" s="26"/>
      <c r="D16" s="26"/>
      <c r="E16" s="26"/>
      <c r="F16" s="26"/>
      <c r="G16" s="27" t="n">
        <v>46153</v>
      </c>
    </row>
    <row r="17" customFormat="false" ht="15" hidden="false" customHeight="false" outlineLevel="0" collapsed="false">
      <c r="A17" s="26"/>
      <c r="B17" s="26" t="s">
        <v>117</v>
      </c>
      <c r="C17" s="26"/>
      <c r="D17" s="26"/>
      <c r="E17" s="26"/>
      <c r="F17" s="26"/>
      <c r="G17" s="27" t="n">
        <v>46160</v>
      </c>
    </row>
    <row r="18" customFormat="false" ht="15" hidden="false" customHeight="false" outlineLevel="0" collapsed="false">
      <c r="A18" s="26"/>
      <c r="B18" s="26" t="s">
        <v>118</v>
      </c>
      <c r="C18" s="26"/>
      <c r="D18" s="26"/>
      <c r="E18" s="26"/>
      <c r="F18" s="26"/>
      <c r="G18" s="27" t="n">
        <v>46167</v>
      </c>
    </row>
    <row r="19" customFormat="false" ht="15" hidden="false" customHeight="false" outlineLevel="0" collapsed="false">
      <c r="A19" s="26"/>
      <c r="B19" s="26" t="s">
        <v>119</v>
      </c>
      <c r="C19" s="26"/>
      <c r="D19" s="26"/>
      <c r="E19" s="26"/>
      <c r="F19" s="26"/>
      <c r="G19" s="27" t="n">
        <v>46174</v>
      </c>
    </row>
    <row r="20" customFormat="false" ht="15" hidden="false" customHeight="false" outlineLevel="0" collapsed="false">
      <c r="A20" s="26"/>
      <c r="B20" s="26" t="s">
        <v>120</v>
      </c>
      <c r="C20" s="26"/>
      <c r="D20" s="26"/>
      <c r="E20" s="26"/>
      <c r="F20" s="26"/>
      <c r="G20" s="27" t="n">
        <v>46181</v>
      </c>
    </row>
    <row r="21" customFormat="false" ht="15" hidden="false" customHeight="false" outlineLevel="0" collapsed="false">
      <c r="A21" s="26"/>
      <c r="B21" s="26" t="s">
        <v>121</v>
      </c>
      <c r="C21" s="26"/>
      <c r="D21" s="26"/>
      <c r="E21" s="26"/>
      <c r="F21" s="26"/>
      <c r="G21" s="27" t="n">
        <v>46188</v>
      </c>
    </row>
    <row r="22" customFormat="false" ht="15" hidden="false" customHeight="false" outlineLevel="0" collapsed="false">
      <c r="A22" s="26"/>
      <c r="B22" s="26" t="s">
        <v>122</v>
      </c>
      <c r="C22" s="26"/>
      <c r="D22" s="26"/>
      <c r="E22" s="26"/>
      <c r="F22" s="26"/>
      <c r="G22" s="27" t="n">
        <v>46195</v>
      </c>
    </row>
    <row r="23" customFormat="false" ht="15" hidden="false" customHeight="false" outlineLevel="0" collapsed="false">
      <c r="A23" s="26"/>
      <c r="B23" s="26" t="s">
        <v>123</v>
      </c>
      <c r="C23" s="26"/>
      <c r="D23" s="26"/>
      <c r="E23" s="26"/>
      <c r="F23" s="26"/>
      <c r="G23" s="27" t="n">
        <v>46202</v>
      </c>
    </row>
    <row r="24" customFormat="false" ht="15" hidden="false" customHeight="false" outlineLevel="0" collapsed="false">
      <c r="A24" s="26"/>
      <c r="B24" s="26" t="s">
        <v>124</v>
      </c>
      <c r="C24" s="26"/>
      <c r="D24" s="26"/>
      <c r="E24" s="26"/>
      <c r="F24" s="26"/>
      <c r="G24" s="27" t="n">
        <v>46209</v>
      </c>
    </row>
    <row r="25" customFormat="false" ht="15" hidden="false" customHeight="false" outlineLevel="0" collapsed="false">
      <c r="A25" s="26"/>
      <c r="B25" s="26" t="s">
        <v>125</v>
      </c>
      <c r="C25" s="26"/>
      <c r="D25" s="26"/>
      <c r="E25" s="26"/>
      <c r="F25" s="26"/>
      <c r="G25" s="27" t="n">
        <v>46216</v>
      </c>
    </row>
    <row r="26" customFormat="false" ht="15" hidden="false" customHeight="false" outlineLevel="0" collapsed="false">
      <c r="A26" s="26"/>
      <c r="B26" s="26" t="s">
        <v>126</v>
      </c>
      <c r="C26" s="26"/>
      <c r="D26" s="26"/>
      <c r="E26" s="26"/>
      <c r="F26" s="26"/>
      <c r="G26" s="27" t="n">
        <v>46223</v>
      </c>
    </row>
    <row r="27" customFormat="false" ht="15" hidden="false" customHeight="false" outlineLevel="0" collapsed="false">
      <c r="A27" s="26"/>
      <c r="B27" s="26" t="s">
        <v>127</v>
      </c>
      <c r="C27" s="26"/>
      <c r="D27" s="26"/>
      <c r="E27" s="26"/>
      <c r="F27" s="26"/>
      <c r="G27" s="27" t="n">
        <v>46230</v>
      </c>
    </row>
    <row r="28" customFormat="false" ht="15" hidden="false" customHeight="false" outlineLevel="0" collapsed="false">
      <c r="A28" s="26"/>
      <c r="B28" s="26"/>
      <c r="C28" s="26"/>
      <c r="D28" s="26"/>
      <c r="E28" s="26"/>
      <c r="F28" s="26"/>
      <c r="G28" s="27" t="n">
        <v>46237</v>
      </c>
    </row>
    <row r="29" customFormat="false" ht="15" hidden="false" customHeight="false" outlineLevel="0" collapsed="false">
      <c r="A29" s="26"/>
      <c r="B29" s="26"/>
      <c r="C29" s="26"/>
      <c r="D29" s="26"/>
      <c r="E29" s="26"/>
      <c r="F29" s="26"/>
      <c r="G29" s="27" t="n">
        <v>46244</v>
      </c>
    </row>
    <row r="30" customFormat="false" ht="15" hidden="false" customHeight="false" outlineLevel="0" collapsed="false">
      <c r="A30" s="26"/>
      <c r="B30" s="26"/>
      <c r="C30" s="26"/>
      <c r="D30" s="26"/>
      <c r="E30" s="26"/>
      <c r="F30" s="26"/>
      <c r="G30" s="27" t="n">
        <v>46251</v>
      </c>
    </row>
    <row r="31" customFormat="false" ht="15" hidden="false" customHeight="false" outlineLevel="0" collapsed="false">
      <c r="A31" s="26"/>
      <c r="B31" s="26"/>
      <c r="C31" s="26"/>
      <c r="D31" s="26"/>
      <c r="E31" s="26"/>
      <c r="F31" s="26"/>
      <c r="G31" s="27" t="n">
        <v>46258</v>
      </c>
    </row>
    <row r="32" customFormat="false" ht="15" hidden="false" customHeight="false" outlineLevel="0" collapsed="false">
      <c r="A32" s="26"/>
      <c r="B32" s="26"/>
      <c r="C32" s="26"/>
      <c r="D32" s="26"/>
      <c r="E32" s="26"/>
      <c r="F32" s="26"/>
      <c r="G32" s="27" t="n">
        <v>46265</v>
      </c>
    </row>
    <row r="33" customFormat="false" ht="15" hidden="false" customHeight="false" outlineLevel="0" collapsed="false">
      <c r="A33" s="26"/>
      <c r="B33" s="26"/>
      <c r="C33" s="26"/>
      <c r="D33" s="26"/>
      <c r="E33" s="26"/>
      <c r="F33" s="26"/>
      <c r="G33" s="27" t="n">
        <v>46272</v>
      </c>
    </row>
    <row r="34" customFormat="false" ht="15" hidden="false" customHeight="false" outlineLevel="0" collapsed="false">
      <c r="A34" s="26"/>
      <c r="B34" s="26"/>
      <c r="C34" s="26"/>
      <c r="D34" s="26"/>
      <c r="E34" s="26"/>
      <c r="F34" s="26"/>
      <c r="G34" s="27" t="n">
        <v>46279</v>
      </c>
    </row>
    <row r="35" customFormat="false" ht="15" hidden="false" customHeight="false" outlineLevel="0" collapsed="false">
      <c r="A35" s="26"/>
      <c r="B35" s="26"/>
      <c r="C35" s="26"/>
      <c r="D35" s="26"/>
      <c r="E35" s="26"/>
      <c r="F35" s="26"/>
      <c r="G35" s="27" t="n">
        <v>46286</v>
      </c>
    </row>
    <row r="36" customFormat="false" ht="15" hidden="false" customHeight="false" outlineLevel="0" collapsed="false">
      <c r="A36" s="26"/>
      <c r="B36" s="26"/>
      <c r="C36" s="26"/>
      <c r="D36" s="26"/>
      <c r="E36" s="26"/>
      <c r="F36" s="26"/>
      <c r="G36" s="27" t="n">
        <v>46293</v>
      </c>
    </row>
    <row r="37" customFormat="false" ht="15" hidden="false" customHeight="false" outlineLevel="0" collapsed="false">
      <c r="A37" s="26"/>
      <c r="B37" s="26"/>
      <c r="C37" s="26"/>
      <c r="D37" s="26"/>
      <c r="E37" s="26"/>
      <c r="F37" s="26"/>
      <c r="G37" s="27" t="n">
        <v>46300</v>
      </c>
    </row>
    <row r="38" customFormat="false" ht="15" hidden="false" customHeight="false" outlineLevel="0" collapsed="false">
      <c r="A38" s="26"/>
      <c r="B38" s="26"/>
      <c r="C38" s="26"/>
      <c r="D38" s="26"/>
      <c r="E38" s="26"/>
      <c r="F38" s="26"/>
      <c r="G38" s="27" t="n">
        <v>46307</v>
      </c>
    </row>
    <row r="39" customFormat="false" ht="15" hidden="false" customHeight="false" outlineLevel="0" collapsed="false">
      <c r="A39" s="26"/>
      <c r="B39" s="26"/>
      <c r="C39" s="26"/>
      <c r="D39" s="26"/>
      <c r="E39" s="26"/>
      <c r="F39" s="26"/>
      <c r="G39" s="27" t="n">
        <v>46314</v>
      </c>
    </row>
    <row r="40" customFormat="false" ht="15" hidden="false" customHeight="false" outlineLevel="0" collapsed="false">
      <c r="A40" s="26"/>
      <c r="B40" s="26"/>
      <c r="C40" s="26"/>
      <c r="D40" s="26"/>
      <c r="E40" s="26"/>
      <c r="F40" s="26"/>
      <c r="G40" s="27" t="n">
        <v>46321</v>
      </c>
    </row>
    <row r="41" customFormat="false" ht="15" hidden="false" customHeight="false" outlineLevel="0" collapsed="false">
      <c r="A41" s="26"/>
      <c r="B41" s="26"/>
      <c r="C41" s="26"/>
      <c r="D41" s="26"/>
      <c r="E41" s="26"/>
      <c r="F41" s="26"/>
      <c r="G41" s="27" t="n">
        <v>46328</v>
      </c>
    </row>
    <row r="42" customFormat="false" ht="15" hidden="false" customHeight="false" outlineLevel="0" collapsed="false">
      <c r="A42" s="26"/>
      <c r="B42" s="26"/>
      <c r="C42" s="26"/>
      <c r="D42" s="26"/>
      <c r="E42" s="26"/>
      <c r="F42" s="26"/>
      <c r="G42" s="27" t="n">
        <v>46335</v>
      </c>
    </row>
    <row r="43" customFormat="false" ht="15" hidden="false" customHeight="false" outlineLevel="0" collapsed="false">
      <c r="A43" s="26"/>
      <c r="B43" s="26"/>
      <c r="C43" s="26"/>
      <c r="D43" s="26"/>
      <c r="E43" s="26"/>
      <c r="F43" s="26"/>
      <c r="G43" s="27" t="n">
        <v>46342</v>
      </c>
    </row>
    <row r="44" customFormat="false" ht="15" hidden="false" customHeight="false" outlineLevel="0" collapsed="false">
      <c r="A44" s="26"/>
      <c r="B44" s="26"/>
      <c r="C44" s="26"/>
      <c r="D44" s="26"/>
      <c r="E44" s="26"/>
      <c r="F44" s="26"/>
      <c r="G44" s="27" t="n">
        <v>46349</v>
      </c>
    </row>
    <row r="45" customFormat="false" ht="15" hidden="false" customHeight="false" outlineLevel="0" collapsed="false">
      <c r="A45" s="26"/>
      <c r="B45" s="26"/>
      <c r="C45" s="26"/>
      <c r="D45" s="26"/>
      <c r="E45" s="26"/>
      <c r="F45" s="26"/>
      <c r="G45" s="27" t="n">
        <v>46356</v>
      </c>
    </row>
    <row r="46" customFormat="false" ht="15" hidden="false" customHeight="false" outlineLevel="0" collapsed="false">
      <c r="A46" s="26"/>
      <c r="B46" s="26"/>
      <c r="C46" s="26"/>
      <c r="D46" s="26"/>
      <c r="E46" s="26"/>
      <c r="F46" s="26"/>
      <c r="G46" s="27" t="n">
        <v>46363</v>
      </c>
    </row>
    <row r="47" customFormat="false" ht="15" hidden="false" customHeight="false" outlineLevel="0" collapsed="false">
      <c r="A47" s="26"/>
      <c r="B47" s="26"/>
      <c r="C47" s="26"/>
      <c r="D47" s="26"/>
      <c r="E47" s="26"/>
      <c r="F47" s="26"/>
      <c r="G47" s="27" t="n">
        <v>46370</v>
      </c>
    </row>
    <row r="48" customFormat="false" ht="15" hidden="false" customHeight="false" outlineLevel="0" collapsed="false">
      <c r="A48" s="26"/>
      <c r="B48" s="26"/>
      <c r="C48" s="26"/>
      <c r="D48" s="26"/>
      <c r="E48" s="26"/>
      <c r="F48" s="26"/>
      <c r="G48" s="27" t="n">
        <v>46377</v>
      </c>
    </row>
    <row r="49" customFormat="false" ht="15" hidden="false" customHeight="false" outlineLevel="0" collapsed="false">
      <c r="A49" s="26"/>
      <c r="B49" s="26"/>
      <c r="C49" s="26"/>
      <c r="D49" s="26"/>
      <c r="E49" s="26"/>
      <c r="F49" s="26"/>
      <c r="G49" s="27" t="n">
        <v>46384</v>
      </c>
    </row>
    <row r="50" customFormat="false" ht="15" hidden="false" customHeight="false" outlineLevel="0" collapsed="false">
      <c r="A50" s="26"/>
      <c r="B50" s="26"/>
      <c r="C50" s="26"/>
      <c r="D50" s="26"/>
      <c r="E50" s="26"/>
      <c r="F50" s="26"/>
      <c r="G50" s="27" t="n">
        <v>46391</v>
      </c>
    </row>
    <row r="51" customFormat="false" ht="15" hidden="false" customHeight="false" outlineLevel="0" collapsed="false">
      <c r="A51" s="26"/>
      <c r="B51" s="26"/>
      <c r="C51" s="26"/>
      <c r="D51" s="26"/>
      <c r="E51" s="26"/>
      <c r="F51" s="26"/>
      <c r="G51" s="27" t="n">
        <v>46398</v>
      </c>
    </row>
    <row r="52" customFormat="false" ht="15" hidden="false" customHeight="false" outlineLevel="0" collapsed="false">
      <c r="A52" s="26"/>
      <c r="B52" s="26"/>
      <c r="C52" s="26"/>
      <c r="D52" s="26"/>
      <c r="E52" s="26"/>
      <c r="F52" s="26"/>
      <c r="G52" s="27" t="n">
        <v>46405</v>
      </c>
    </row>
    <row r="53" customFormat="false" ht="15" hidden="false" customHeight="false" outlineLevel="0" collapsed="false">
      <c r="A53" s="26"/>
      <c r="B53" s="26"/>
      <c r="C53" s="26"/>
      <c r="D53" s="26"/>
      <c r="E53" s="26"/>
      <c r="F53" s="26"/>
      <c r="G53" s="27" t="n">
        <v>46412</v>
      </c>
    </row>
    <row r="54" customFormat="false" ht="15" hidden="false" customHeight="false" outlineLevel="0" collapsed="false">
      <c r="A54" s="26"/>
      <c r="B54" s="26"/>
      <c r="C54" s="26"/>
      <c r="D54" s="26"/>
      <c r="E54" s="26"/>
      <c r="F54" s="26"/>
      <c r="G54" s="27" t="n">
        <v>46419</v>
      </c>
    </row>
    <row r="55" customFormat="false" ht="15" hidden="false" customHeight="false" outlineLevel="0" collapsed="false">
      <c r="A55" s="26"/>
      <c r="B55" s="26"/>
      <c r="C55" s="26"/>
      <c r="D55" s="26"/>
      <c r="E55" s="26"/>
      <c r="F55" s="26"/>
      <c r="G55" s="27" t="n">
        <v>46426</v>
      </c>
    </row>
    <row r="56" customFormat="false" ht="15" hidden="false" customHeight="false" outlineLevel="0" collapsed="false">
      <c r="A56" s="26"/>
      <c r="B56" s="26"/>
      <c r="C56" s="26"/>
      <c r="D56" s="26"/>
      <c r="E56" s="26"/>
      <c r="F56" s="26"/>
      <c r="G56" s="27" t="n">
        <v>46433</v>
      </c>
    </row>
    <row r="57" customFormat="false" ht="15" hidden="false" customHeight="false" outlineLevel="0" collapsed="false">
      <c r="A57" s="26"/>
      <c r="B57" s="26"/>
      <c r="C57" s="26"/>
      <c r="D57" s="26"/>
      <c r="E57" s="26"/>
      <c r="F57" s="26"/>
      <c r="G57" s="27" t="n">
        <v>46440</v>
      </c>
    </row>
    <row r="58" customFormat="false" ht="15" hidden="false" customHeight="false" outlineLevel="0" collapsed="false">
      <c r="A58" s="26"/>
      <c r="B58" s="26"/>
      <c r="C58" s="26"/>
      <c r="D58" s="26"/>
      <c r="E58" s="26"/>
      <c r="F58" s="26"/>
      <c r="G58" s="27" t="n">
        <v>46447</v>
      </c>
    </row>
    <row r="59" customFormat="false" ht="15" hidden="false" customHeight="false" outlineLevel="0" collapsed="false">
      <c r="A59" s="26"/>
      <c r="B59" s="26"/>
      <c r="C59" s="26"/>
      <c r="D59" s="26"/>
      <c r="E59" s="26"/>
      <c r="F59" s="26"/>
      <c r="G59" s="27" t="n">
        <v>46454</v>
      </c>
    </row>
    <row r="60" customFormat="false" ht="15" hidden="false" customHeight="false" outlineLevel="0" collapsed="false">
      <c r="A60" s="26"/>
      <c r="B60" s="26"/>
      <c r="C60" s="26"/>
      <c r="D60" s="26"/>
      <c r="E60" s="26"/>
      <c r="F60" s="26"/>
      <c r="G60" s="27" t="n">
        <v>46461</v>
      </c>
    </row>
    <row r="61" customFormat="false" ht="15" hidden="false" customHeight="false" outlineLevel="0" collapsed="false">
      <c r="A61" s="26"/>
      <c r="B61" s="26"/>
      <c r="C61" s="26"/>
      <c r="D61" s="26"/>
      <c r="E61" s="26"/>
      <c r="F61" s="26"/>
      <c r="G61" s="27" t="n">
        <v>46468</v>
      </c>
    </row>
    <row r="62" customFormat="false" ht="15" hidden="false" customHeight="false" outlineLevel="0" collapsed="false">
      <c r="A62" s="26"/>
      <c r="B62" s="26"/>
      <c r="C62" s="26"/>
      <c r="D62" s="26"/>
      <c r="E62" s="26"/>
      <c r="F62" s="26"/>
      <c r="G62" s="27" t="n">
        <v>46475</v>
      </c>
    </row>
    <row r="63" customFormat="false" ht="15" hidden="false" customHeight="false" outlineLevel="0" collapsed="false">
      <c r="A63" s="26"/>
      <c r="B63" s="26"/>
      <c r="C63" s="26"/>
      <c r="D63" s="26"/>
      <c r="E63" s="26"/>
      <c r="F63" s="26"/>
      <c r="G63" s="27" t="n">
        <v>46482</v>
      </c>
    </row>
    <row r="64" customFormat="false" ht="15" hidden="false" customHeight="false" outlineLevel="0" collapsed="false">
      <c r="A64" s="26"/>
      <c r="B64" s="26"/>
      <c r="C64" s="26"/>
      <c r="D64" s="26"/>
      <c r="E64" s="26"/>
      <c r="F64" s="26"/>
      <c r="G64" s="27" t="n">
        <v>46489</v>
      </c>
    </row>
    <row r="65" customFormat="false" ht="15" hidden="false" customHeight="false" outlineLevel="0" collapsed="false">
      <c r="A65" s="26"/>
      <c r="B65" s="26"/>
      <c r="C65" s="26"/>
      <c r="D65" s="26"/>
      <c r="E65" s="26"/>
      <c r="F65" s="26"/>
      <c r="G65" s="27" t="n">
        <v>46496</v>
      </c>
    </row>
    <row r="66" customFormat="false" ht="15" hidden="false" customHeight="false" outlineLevel="0" collapsed="false">
      <c r="A66" s="26"/>
      <c r="B66" s="26"/>
      <c r="C66" s="26"/>
      <c r="D66" s="26"/>
      <c r="E66" s="26"/>
      <c r="F66" s="26"/>
      <c r="G66" s="27" t="n">
        <v>46503</v>
      </c>
    </row>
    <row r="67" customFormat="false" ht="15" hidden="false" customHeight="false" outlineLevel="0" collapsed="false">
      <c r="A67" s="26"/>
      <c r="B67" s="26"/>
      <c r="C67" s="26"/>
      <c r="D67" s="26"/>
      <c r="E67" s="26"/>
      <c r="F67" s="26"/>
      <c r="G67" s="27" t="n">
        <v>46510</v>
      </c>
    </row>
    <row r="68" customFormat="false" ht="15" hidden="false" customHeight="false" outlineLevel="0" collapsed="false">
      <c r="A68" s="26"/>
      <c r="B68" s="26"/>
      <c r="C68" s="26"/>
      <c r="D68" s="26"/>
      <c r="E68" s="26"/>
      <c r="F68" s="26"/>
      <c r="G68" s="27" t="n">
        <v>46517</v>
      </c>
    </row>
    <row r="69" customFormat="false" ht="15" hidden="false" customHeight="false" outlineLevel="0" collapsed="false">
      <c r="A69" s="26"/>
      <c r="B69" s="26"/>
      <c r="C69" s="26"/>
      <c r="D69" s="26"/>
      <c r="E69" s="26"/>
      <c r="F69" s="26"/>
      <c r="G69" s="27" t="n">
        <v>46524</v>
      </c>
    </row>
    <row r="70" customFormat="false" ht="15" hidden="false" customHeight="false" outlineLevel="0" collapsed="false">
      <c r="A70" s="26"/>
      <c r="B70" s="26"/>
      <c r="C70" s="26"/>
      <c r="D70" s="26"/>
      <c r="E70" s="26"/>
      <c r="F70" s="26"/>
      <c r="G70" s="27" t="n">
        <v>46531</v>
      </c>
    </row>
    <row r="71" customFormat="false" ht="15" hidden="false" customHeight="false" outlineLevel="0" collapsed="false">
      <c r="A71" s="26"/>
      <c r="B71" s="26"/>
      <c r="C71" s="26"/>
      <c r="D71" s="26"/>
      <c r="E71" s="26"/>
      <c r="F71" s="26"/>
      <c r="G71" s="27" t="n">
        <v>46538</v>
      </c>
    </row>
    <row r="72" customFormat="false" ht="15" hidden="false" customHeight="false" outlineLevel="0" collapsed="false">
      <c r="A72" s="26"/>
      <c r="B72" s="26"/>
      <c r="C72" s="26"/>
      <c r="D72" s="26"/>
      <c r="E72" s="26"/>
      <c r="F72" s="26"/>
      <c r="G72" s="27" t="n">
        <v>46545</v>
      </c>
    </row>
    <row r="73" customFormat="false" ht="15" hidden="false" customHeight="false" outlineLevel="0" collapsed="false">
      <c r="A73" s="26"/>
      <c r="B73" s="26"/>
      <c r="C73" s="26"/>
      <c r="D73" s="26"/>
      <c r="E73" s="26"/>
      <c r="F73" s="26"/>
      <c r="G73" s="27" t="n">
        <v>46552</v>
      </c>
    </row>
    <row r="74" customFormat="false" ht="15" hidden="false" customHeight="false" outlineLevel="0" collapsed="false">
      <c r="A74" s="26"/>
      <c r="B74" s="26"/>
      <c r="C74" s="26"/>
      <c r="D74" s="26"/>
      <c r="E74" s="26"/>
      <c r="F74" s="26"/>
      <c r="G74" s="27" t="n">
        <v>46559</v>
      </c>
    </row>
    <row r="75" customFormat="false" ht="15" hidden="false" customHeight="false" outlineLevel="0" collapsed="false">
      <c r="A75" s="26"/>
      <c r="B75" s="26"/>
      <c r="C75" s="26"/>
      <c r="D75" s="26"/>
      <c r="E75" s="26"/>
      <c r="F75" s="26"/>
      <c r="G75" s="27" t="n">
        <v>46566</v>
      </c>
    </row>
    <row r="76" customFormat="false" ht="15" hidden="false" customHeight="false" outlineLevel="0" collapsed="false">
      <c r="A76" s="26"/>
      <c r="B76" s="26"/>
      <c r="C76" s="26"/>
      <c r="D76" s="26"/>
      <c r="E76" s="26"/>
      <c r="F76" s="26"/>
      <c r="G76" s="27" t="n">
        <v>46573</v>
      </c>
    </row>
    <row r="77" customFormat="false" ht="15" hidden="false" customHeight="false" outlineLevel="0" collapsed="false">
      <c r="A77" s="26"/>
      <c r="B77" s="26"/>
      <c r="C77" s="26"/>
      <c r="D77" s="26"/>
      <c r="E77" s="26"/>
      <c r="F77" s="26"/>
      <c r="G77" s="27" t="n">
        <v>46580</v>
      </c>
    </row>
    <row r="78" customFormat="false" ht="15" hidden="false" customHeight="false" outlineLevel="0" collapsed="false">
      <c r="A78" s="26"/>
      <c r="B78" s="26"/>
      <c r="C78" s="26"/>
      <c r="D78" s="26"/>
      <c r="E78" s="26"/>
      <c r="F78" s="26"/>
      <c r="G78" s="27" t="n">
        <v>46587</v>
      </c>
    </row>
    <row r="79" customFormat="false" ht="15" hidden="false" customHeight="false" outlineLevel="0" collapsed="false">
      <c r="A79" s="26"/>
      <c r="B79" s="26"/>
      <c r="C79" s="26"/>
      <c r="D79" s="26"/>
      <c r="E79" s="26"/>
      <c r="F79" s="26"/>
      <c r="G79" s="27" t="n">
        <v>46594</v>
      </c>
    </row>
    <row r="80" customFormat="false" ht="15" hidden="false" customHeight="false" outlineLevel="0" collapsed="false">
      <c r="A80" s="26"/>
      <c r="B80" s="26"/>
      <c r="C80" s="26"/>
      <c r="D80" s="26"/>
      <c r="E80" s="26"/>
      <c r="F80" s="26"/>
      <c r="G80" s="27" t="n">
        <v>46601</v>
      </c>
    </row>
    <row r="81" customFormat="false" ht="15" hidden="false" customHeight="false" outlineLevel="0" collapsed="false">
      <c r="A81" s="26"/>
      <c r="B81" s="26"/>
      <c r="C81" s="26"/>
      <c r="D81" s="26"/>
      <c r="E81" s="26"/>
      <c r="F81" s="26"/>
      <c r="G81" s="27" t="n">
        <v>46608</v>
      </c>
    </row>
    <row r="82" customFormat="false" ht="15" hidden="false" customHeight="false" outlineLevel="0" collapsed="false">
      <c r="A82" s="26"/>
      <c r="B82" s="26"/>
      <c r="C82" s="26"/>
      <c r="D82" s="26"/>
      <c r="E82" s="26"/>
      <c r="F82" s="26"/>
      <c r="G82" s="27" t="n">
        <v>46615</v>
      </c>
    </row>
    <row r="83" customFormat="false" ht="15" hidden="false" customHeight="false" outlineLevel="0" collapsed="false">
      <c r="A83" s="26"/>
      <c r="B83" s="26"/>
      <c r="C83" s="26"/>
      <c r="D83" s="26"/>
      <c r="E83" s="26"/>
      <c r="F83" s="26"/>
      <c r="G83" s="27" t="n">
        <v>46622</v>
      </c>
    </row>
    <row r="84" customFormat="false" ht="15" hidden="false" customHeight="false" outlineLevel="0" collapsed="false">
      <c r="A84" s="26"/>
      <c r="B84" s="26"/>
      <c r="C84" s="26"/>
      <c r="D84" s="26"/>
      <c r="E84" s="26"/>
      <c r="F84" s="26"/>
      <c r="G84" s="27" t="n">
        <v>46629</v>
      </c>
    </row>
    <row r="85" customFormat="false" ht="15" hidden="false" customHeight="false" outlineLevel="0" collapsed="false">
      <c r="G85" s="27" t="n">
        <v>46636</v>
      </c>
    </row>
    <row r="86" customFormat="false" ht="15" hidden="false" customHeight="false" outlineLevel="0" collapsed="false">
      <c r="G86" s="27" t="n">
        <v>46643</v>
      </c>
    </row>
    <row r="87" customFormat="false" ht="15" hidden="false" customHeight="false" outlineLevel="0" collapsed="false">
      <c r="G87" s="27" t="n">
        <v>46650</v>
      </c>
    </row>
    <row r="88" customFormat="false" ht="15" hidden="false" customHeight="false" outlineLevel="0" collapsed="false">
      <c r="G88" s="27" t="n">
        <v>46657</v>
      </c>
    </row>
    <row r="89" customFormat="false" ht="15" hidden="false" customHeight="false" outlineLevel="0" collapsed="false">
      <c r="G89" s="27" t="n">
        <v>46664</v>
      </c>
    </row>
    <row r="90" customFormat="false" ht="15" hidden="false" customHeight="false" outlineLevel="0" collapsed="false">
      <c r="G90" s="27" t="n">
        <v>46671</v>
      </c>
    </row>
    <row r="91" customFormat="false" ht="15" hidden="false" customHeight="false" outlineLevel="0" collapsed="false">
      <c r="G91" s="27" t="n">
        <v>46678</v>
      </c>
    </row>
    <row r="92" customFormat="false" ht="15" hidden="false" customHeight="false" outlineLevel="0" collapsed="false">
      <c r="G92" s="27" t="n">
        <v>46685</v>
      </c>
    </row>
    <row r="93" customFormat="false" ht="15" hidden="false" customHeight="false" outlineLevel="0" collapsed="false">
      <c r="G93" s="27" t="n">
        <v>46692</v>
      </c>
    </row>
    <row r="94" customFormat="false" ht="15" hidden="false" customHeight="false" outlineLevel="0" collapsed="false">
      <c r="G94" s="27" t="n">
        <v>46699</v>
      </c>
    </row>
    <row r="95" customFormat="false" ht="15" hidden="false" customHeight="false" outlineLevel="0" collapsed="false">
      <c r="G95" s="27" t="n">
        <v>46706</v>
      </c>
    </row>
    <row r="96" customFormat="false" ht="15" hidden="false" customHeight="false" outlineLevel="0" collapsed="false">
      <c r="G96" s="27" t="n">
        <v>46713</v>
      </c>
    </row>
    <row r="97" customFormat="false" ht="15" hidden="false" customHeight="false" outlineLevel="0" collapsed="false">
      <c r="G97" s="27" t="n">
        <v>46720</v>
      </c>
    </row>
    <row r="98" customFormat="false" ht="15" hidden="false" customHeight="false" outlineLevel="0" collapsed="false">
      <c r="G98" s="27" t="n">
        <v>46727</v>
      </c>
    </row>
    <row r="99" customFormat="false" ht="15" hidden="false" customHeight="false" outlineLevel="0" collapsed="false">
      <c r="G99" s="27" t="n">
        <v>46734</v>
      </c>
    </row>
    <row r="100" customFormat="false" ht="15" hidden="false" customHeight="false" outlineLevel="0" collapsed="false">
      <c r="G100" s="27" t="n">
        <v>46741</v>
      </c>
    </row>
    <row r="101" customFormat="false" ht="15" hidden="false" customHeight="false" outlineLevel="0" collapsed="false">
      <c r="G101" s="27" t="n">
        <v>46748</v>
      </c>
    </row>
    <row r="102" customFormat="false" ht="15" hidden="false" customHeight="false" outlineLevel="0" collapsed="false">
      <c r="G102" s="27" t="n">
        <v>46755</v>
      </c>
    </row>
    <row r="103" customFormat="false" ht="15" hidden="false" customHeight="false" outlineLevel="0" collapsed="false">
      <c r="G103" s="27" t="n">
        <v>46762</v>
      </c>
    </row>
    <row r="104" customFormat="false" ht="15" hidden="false" customHeight="false" outlineLevel="0" collapsed="false">
      <c r="G104" s="27" t="n">
        <v>46769</v>
      </c>
    </row>
    <row r="105" customFormat="false" ht="15" hidden="false" customHeight="false" outlineLevel="0" collapsed="false">
      <c r="G105" s="27" t="n">
        <v>46776</v>
      </c>
    </row>
    <row r="106" customFormat="false" ht="15" hidden="false" customHeight="false" outlineLevel="0" collapsed="false">
      <c r="G106" s="27" t="n">
        <v>46783</v>
      </c>
    </row>
    <row r="107" customFormat="false" ht="15" hidden="false" customHeight="false" outlineLevel="0" collapsed="false">
      <c r="G107" s="27" t="n">
        <v>46790</v>
      </c>
    </row>
    <row r="108" customFormat="false" ht="15" hidden="false" customHeight="false" outlineLevel="0" collapsed="false">
      <c r="G108" s="27" t="n">
        <v>46797</v>
      </c>
    </row>
    <row r="109" customFormat="false" ht="15" hidden="false" customHeight="false" outlineLevel="0" collapsed="false">
      <c r="G109" s="27" t="n">
        <v>46804</v>
      </c>
    </row>
    <row r="110" customFormat="false" ht="15" hidden="false" customHeight="false" outlineLevel="0" collapsed="false">
      <c r="G110" s="27" t="n">
        <v>46811</v>
      </c>
    </row>
    <row r="111" customFormat="false" ht="15" hidden="false" customHeight="false" outlineLevel="0" collapsed="false">
      <c r="G111" s="27" t="n">
        <v>46818</v>
      </c>
    </row>
    <row r="112" customFormat="false" ht="15" hidden="false" customHeight="false" outlineLevel="0" collapsed="false">
      <c r="G112" s="27" t="n">
        <v>46825</v>
      </c>
    </row>
    <row r="113" customFormat="false" ht="15" hidden="false" customHeight="false" outlineLevel="0" collapsed="false">
      <c r="G113" s="27" t="n">
        <v>46832</v>
      </c>
    </row>
    <row r="114" customFormat="false" ht="15" hidden="false" customHeight="false" outlineLevel="0" collapsed="false">
      <c r="G114" s="27" t="n">
        <v>46839</v>
      </c>
    </row>
    <row r="115" customFormat="false" ht="15" hidden="false" customHeight="false" outlineLevel="0" collapsed="false">
      <c r="G115" s="27" t="n">
        <v>46846</v>
      </c>
    </row>
    <row r="116" customFormat="false" ht="15" hidden="false" customHeight="false" outlineLevel="0" collapsed="false">
      <c r="G116" s="27" t="n">
        <v>46853</v>
      </c>
    </row>
    <row r="117" customFormat="false" ht="15" hidden="false" customHeight="false" outlineLevel="0" collapsed="false">
      <c r="G117" s="27" t="n">
        <v>46860</v>
      </c>
    </row>
    <row r="118" customFormat="false" ht="15" hidden="false" customHeight="false" outlineLevel="0" collapsed="false">
      <c r="G118" s="27" t="n">
        <v>46867</v>
      </c>
    </row>
    <row r="119" customFormat="false" ht="15" hidden="false" customHeight="false" outlineLevel="0" collapsed="false">
      <c r="G119" s="27" t="n">
        <v>46874</v>
      </c>
    </row>
    <row r="120" customFormat="false" ht="15" hidden="false" customHeight="false" outlineLevel="0" collapsed="false">
      <c r="G120" s="27" t="n">
        <v>46881</v>
      </c>
    </row>
    <row r="121" customFormat="false" ht="15" hidden="false" customHeight="false" outlineLevel="0" collapsed="false">
      <c r="G121" s="27" t="n">
        <v>46888</v>
      </c>
    </row>
    <row r="122" customFormat="false" ht="15" hidden="false" customHeight="false" outlineLevel="0" collapsed="false">
      <c r="G122" s="27" t="n">
        <v>46895</v>
      </c>
    </row>
    <row r="123" customFormat="false" ht="15" hidden="false" customHeight="false" outlineLevel="0" collapsed="false">
      <c r="G123" s="27" t="n">
        <v>46902</v>
      </c>
    </row>
    <row r="124" customFormat="false" ht="15" hidden="false" customHeight="false" outlineLevel="0" collapsed="false">
      <c r="G124" s="27" t="n">
        <v>46909</v>
      </c>
    </row>
    <row r="125" customFormat="false" ht="15" hidden="false" customHeight="false" outlineLevel="0" collapsed="false">
      <c r="G125" s="27" t="n">
        <v>46916</v>
      </c>
    </row>
    <row r="126" customFormat="false" ht="15" hidden="false" customHeight="false" outlineLevel="0" collapsed="false">
      <c r="G126" s="27" t="n">
        <v>46923</v>
      </c>
    </row>
    <row r="127" customFormat="false" ht="15" hidden="false" customHeight="false" outlineLevel="0" collapsed="false">
      <c r="G127" s="27" t="n">
        <v>46930</v>
      </c>
    </row>
    <row r="128" customFormat="false" ht="15" hidden="false" customHeight="false" outlineLevel="0" collapsed="false">
      <c r="G128" s="27" t="n">
        <v>46937</v>
      </c>
    </row>
    <row r="129" customFormat="false" ht="15" hidden="false" customHeight="false" outlineLevel="0" collapsed="false">
      <c r="G129" s="27" t="n">
        <v>46944</v>
      </c>
    </row>
    <row r="130" customFormat="false" ht="15" hidden="false" customHeight="false" outlineLevel="0" collapsed="false">
      <c r="G130" s="27" t="n">
        <v>46951</v>
      </c>
    </row>
    <row r="131" customFormat="false" ht="15" hidden="false" customHeight="false" outlineLevel="0" collapsed="false">
      <c r="G131" s="27" t="n">
        <v>46958</v>
      </c>
    </row>
    <row r="132" customFormat="false" ht="15" hidden="false" customHeight="false" outlineLevel="0" collapsed="false">
      <c r="G132" s="27" t="n">
        <v>46965</v>
      </c>
    </row>
    <row r="133" customFormat="false" ht="15" hidden="false" customHeight="false" outlineLevel="0" collapsed="false">
      <c r="G133" s="27" t="n">
        <v>46972</v>
      </c>
    </row>
    <row r="134" customFormat="false" ht="15" hidden="false" customHeight="false" outlineLevel="0" collapsed="false">
      <c r="G134" s="27" t="n">
        <v>46979</v>
      </c>
    </row>
  </sheetData>
  <mergeCells count="2">
    <mergeCell ref="A1:G1"/>
    <mergeCell ref="A2:G2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Z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26"/>
    <col collapsed="false" customWidth="true" hidden="false" outlineLevel="0" max="6" min="6" style="0" width="42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11" min="9" style="0" width="17"/>
    <col collapsed="false" customWidth="true" hidden="false" outlineLevel="0" max="12" min="12" style="0" width="11"/>
    <col collapsed="false" customWidth="true" hidden="false" outlineLevel="0" max="13" min="13" style="0" width="7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1"/>
    <col collapsed="false" customWidth="true" hidden="false" outlineLevel="0" max="18" min="18" style="0" width="22"/>
    <col collapsed="false" customWidth="true" hidden="false" outlineLevel="0" max="19" min="19" style="0" width="24"/>
    <col collapsed="false" customWidth="true" hidden="false" outlineLevel="0" max="20" min="20" style="0" width="12"/>
    <col collapsed="false" customWidth="true" hidden="false" outlineLevel="0" max="21" min="21" style="0" width="11"/>
    <col collapsed="false" customWidth="true" hidden="false" outlineLevel="0" max="26" min="22" style="0" width="8"/>
  </cols>
  <sheetData>
    <row r="1" customFormat="false" ht="30" hidden="false" customHeight="true" outlineLevel="0" collapsed="false">
      <c r="A1" s="28" t="s">
        <v>128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 customFormat="false" ht="18" hidden="false" customHeight="true" outlineLevel="0" collapsed="false">
      <c r="A2" s="29" t="s">
        <v>129</v>
      </c>
      <c r="B2" s="29"/>
      <c r="C2" s="30" t="s">
        <v>130</v>
      </c>
      <c r="D2" s="30"/>
      <c r="E2" s="30"/>
      <c r="F2" s="30"/>
      <c r="G2" s="30"/>
      <c r="H2" s="30"/>
      <c r="I2" s="31" t="s">
        <v>131</v>
      </c>
      <c r="J2" s="31"/>
      <c r="K2" s="31"/>
      <c r="L2" s="32" t="s">
        <v>132</v>
      </c>
      <c r="M2" s="32"/>
      <c r="N2" s="32"/>
      <c r="O2" s="33" t="s">
        <v>133</v>
      </c>
      <c r="P2" s="33"/>
      <c r="Q2" s="33"/>
      <c r="R2" s="33"/>
      <c r="S2" s="33"/>
      <c r="T2" s="29" t="s">
        <v>134</v>
      </c>
      <c r="U2" s="29"/>
      <c r="V2" s="29"/>
      <c r="W2" s="29"/>
      <c r="X2" s="29"/>
      <c r="Y2" s="29"/>
      <c r="Z2" s="29"/>
    </row>
    <row r="3" customFormat="false" ht="30" hidden="false" customHeight="true" outlineLevel="0" collapsed="false">
      <c r="A3" s="34" t="s">
        <v>135</v>
      </c>
      <c r="B3" s="34" t="s">
        <v>136</v>
      </c>
      <c r="C3" s="35" t="s">
        <v>137</v>
      </c>
      <c r="D3" s="35" t="s">
        <v>138</v>
      </c>
      <c r="E3" s="35" t="s">
        <v>139</v>
      </c>
      <c r="F3" s="35" t="s">
        <v>140</v>
      </c>
      <c r="G3" s="35" t="s">
        <v>141</v>
      </c>
      <c r="H3" s="35" t="s">
        <v>142</v>
      </c>
      <c r="I3" s="35" t="s">
        <v>143</v>
      </c>
      <c r="J3" s="35" t="s">
        <v>144</v>
      </c>
      <c r="K3" s="35" t="s">
        <v>145</v>
      </c>
      <c r="L3" s="35" t="s">
        <v>146</v>
      </c>
      <c r="M3" s="35" t="s">
        <v>67</v>
      </c>
      <c r="N3" s="34" t="s">
        <v>147</v>
      </c>
      <c r="O3" s="35" t="s">
        <v>148</v>
      </c>
      <c r="P3" s="35" t="s">
        <v>65</v>
      </c>
      <c r="Q3" s="35" t="s">
        <v>149</v>
      </c>
      <c r="R3" s="35" t="s">
        <v>150</v>
      </c>
      <c r="S3" s="35" t="s">
        <v>151</v>
      </c>
      <c r="T3" s="34" t="s">
        <v>152</v>
      </c>
      <c r="U3" s="34" t="s">
        <v>153</v>
      </c>
      <c r="V3" s="34" t="s">
        <v>154</v>
      </c>
      <c r="W3" s="34" t="s">
        <v>155</v>
      </c>
      <c r="X3" s="34" t="s">
        <v>156</v>
      </c>
      <c r="Y3" s="34" t="s">
        <v>157</v>
      </c>
      <c r="Z3" s="34" t="s">
        <v>158</v>
      </c>
    </row>
    <row r="5" customFormat="false" ht="16.5" hidden="false" customHeight="true" outlineLevel="0" collapsed="false">
      <c r="A5" s="36" t="n">
        <f aca="false">IF($F5="","",COUNTA($F$5:$F5))</f>
        <v>1</v>
      </c>
      <c r="B5" s="37" t="str">
        <f aca="true">IF($F5="","",IF($P5="Cancelada","Cancelada",IF(OR($O5&lt;&gt;"",$P5="Concluída"),IF(OR($N5="",$O5="",$O5&lt;=$N5),"Concluída","Concluída com atraso"),IF($N5="","Na carteira",IF($N5&lt;TODAY(),"VENCIDA",IF($P5="Em execução","Em execução",IF($N5=TODAY(),"Hoje","Programada")))))))</f>
        <v>VENCIDA</v>
      </c>
      <c r="C5" s="38"/>
      <c r="D5" s="38" t="s">
        <v>83</v>
      </c>
      <c r="E5" s="38" t="s">
        <v>159</v>
      </c>
      <c r="F5" s="38" t="s">
        <v>160</v>
      </c>
      <c r="G5" s="39" t="s">
        <v>72</v>
      </c>
      <c r="H5" s="39"/>
      <c r="I5" s="40" t="s">
        <v>113</v>
      </c>
      <c r="J5" s="40"/>
      <c r="K5" s="40"/>
      <c r="L5" s="41" t="n">
        <v>46258</v>
      </c>
      <c r="M5" s="42" t="s">
        <v>87</v>
      </c>
      <c r="N5" s="43" t="n">
        <f aca="false">IF(OR($L5="",$M5=""),"",$L5+MATCH($M5,Listas!$F$5:$F$11,0)-1)</f>
        <v>46260</v>
      </c>
      <c r="O5" s="44"/>
      <c r="P5" s="39" t="s">
        <v>79</v>
      </c>
      <c r="Q5" s="44"/>
      <c r="R5" s="38"/>
      <c r="S5" s="38"/>
      <c r="T5" s="36" t="str">
        <f aca="false">IF($F5="","",IF(ISNUMBER(SEARCH("(externo)",$I5&amp;$J5&amp;$K5)),"Terceirizada","Interna"))</f>
        <v>Terceirizada</v>
      </c>
      <c r="U5" s="43" t="n">
        <f aca="false">IF($N5="","",IF($Q5="",$N5,$Q5))</f>
        <v>46260</v>
      </c>
      <c r="V5" s="36" t="n">
        <f aca="false">IF($F5="","",IF(OR($O5="",$N5=""),0,IF($O5&lt;=$N5,1,0)))</f>
        <v>0</v>
      </c>
      <c r="W5" s="36" t="n">
        <f aca="false">IF($F5="","",IF(OR($O5="",$U5=""),0,IF($O5&lt;=$U5,1,0)))</f>
        <v>0</v>
      </c>
      <c r="X5" s="37" t="str">
        <f aca="false">IF(OR($O5="",$N5=""),"",MAX(0,$O5-$N5))</f>
        <v/>
      </c>
      <c r="Y5" s="36" t="n">
        <f aca="false">IF($F5="","",IF(AND($Q5&lt;&gt;"",$N5&lt;&gt;"",$Q5&lt;&gt;$N5),1,0))</f>
        <v>0</v>
      </c>
      <c r="Z5" s="36" t="n">
        <f aca="false">IF($F5="","",IF($P5="Cancelada",0,IF(OR($O5&lt;&gt;"",$P5="Concluída"),1,0)))</f>
        <v>0</v>
      </c>
    </row>
    <row r="6" customFormat="false" ht="16.5" hidden="false" customHeight="true" outlineLevel="0" collapsed="false">
      <c r="A6" s="36" t="n">
        <f aca="false">IF($F6="","",COUNTA($F$5:$F6))</f>
        <v>2</v>
      </c>
      <c r="B6" s="37" t="str">
        <f aca="true">IF($F6="","",IF($P6="Cancelada","Cancelada",IF(OR($O6&lt;&gt;"",$P6="Concluída"),IF(OR($N6="",$O6="",$O6&lt;=$N6),"Concluída","Concluída com atraso"),IF($N6="","Na carteira",IF($N6&lt;TODAY(),"VENCIDA",IF($P6="Em execução","Em execução",IF($N6=TODAY(),"Hoje","Programada")))))))</f>
        <v>Em execução</v>
      </c>
      <c r="C6" s="38"/>
      <c r="D6" s="38" t="s">
        <v>83</v>
      </c>
      <c r="E6" s="38" t="s">
        <v>159</v>
      </c>
      <c r="F6" s="38" t="s">
        <v>161</v>
      </c>
      <c r="G6" s="39" t="s">
        <v>72</v>
      </c>
      <c r="H6" s="39"/>
      <c r="I6" s="40" t="s">
        <v>113</v>
      </c>
      <c r="J6" s="40"/>
      <c r="K6" s="40"/>
      <c r="L6" s="41" t="n">
        <v>46258</v>
      </c>
      <c r="M6" s="42" t="s">
        <v>92</v>
      </c>
      <c r="N6" s="43" t="n">
        <f aca="false">IF(OR($L6="",$M6=""),"",$L6+MATCH($M6,Listas!$F$5:$F$11,0)-1)</f>
        <v>46261</v>
      </c>
      <c r="O6" s="44"/>
      <c r="P6" s="39" t="s">
        <v>79</v>
      </c>
      <c r="Q6" s="44"/>
      <c r="R6" s="38"/>
      <c r="S6" s="38"/>
      <c r="T6" s="36" t="str">
        <f aca="false">IF($F6="","",IF(ISNUMBER(SEARCH("(externo)",$I6&amp;$J6&amp;$K6)),"Terceirizada","Interna"))</f>
        <v>Terceirizada</v>
      </c>
      <c r="U6" s="43" t="n">
        <f aca="false">IF($N6="","",IF($Q6="",$N6,$Q6))</f>
        <v>46261</v>
      </c>
      <c r="V6" s="36" t="n">
        <f aca="false">IF($F6="","",IF(OR($O6="",$N6=""),0,IF($O6&lt;=$N6,1,0)))</f>
        <v>0</v>
      </c>
      <c r="W6" s="36" t="n">
        <f aca="false">IF($F6="","",IF(OR($O6="",$U6=""),0,IF($O6&lt;=$U6,1,0)))</f>
        <v>0</v>
      </c>
      <c r="X6" s="37" t="str">
        <f aca="false">IF(OR($O6="",$N6=""),"",MAX(0,$O6-$N6))</f>
        <v/>
      </c>
      <c r="Y6" s="36" t="n">
        <f aca="false">IF($F6="","",IF(AND($Q6&lt;&gt;"",$N6&lt;&gt;"",$Q6&lt;&gt;$N6),1,0))</f>
        <v>0</v>
      </c>
      <c r="Z6" s="36" t="n">
        <f aca="false">IF($F6="","",IF($P6="Cancelada",0,IF(OR($O6&lt;&gt;"",$P6="Concluída"),1,0)))</f>
        <v>0</v>
      </c>
    </row>
    <row r="7" customFormat="false" ht="16.5" hidden="false" customHeight="true" outlineLevel="0" collapsed="false">
      <c r="A7" s="36" t="n">
        <f aca="false">IF($F7="","",COUNTA($F$5:$F7))</f>
        <v>3</v>
      </c>
      <c r="B7" s="37" t="str">
        <f aca="true">IF($F7="","",IF($P7="Cancelada","Cancelada",IF(OR($O7&lt;&gt;"",$P7="Concluída"),IF(OR($N7="",$O7="",$O7&lt;=$N7),"Concluída","Concluída com atraso"),IF($N7="","Na carteira",IF($N7&lt;TODAY(),"VENCIDA",IF($P7="Em execução","Em execução",IF($N7=TODAY(),"Hoje","Programada")))))))</f>
        <v>Hoje</v>
      </c>
      <c r="C7" s="38"/>
      <c r="D7" s="38" t="s">
        <v>89</v>
      </c>
      <c r="E7" s="38" t="s">
        <v>162</v>
      </c>
      <c r="F7" s="38" t="s">
        <v>163</v>
      </c>
      <c r="G7" s="39" t="s">
        <v>72</v>
      </c>
      <c r="H7" s="39"/>
      <c r="I7" s="40" t="s">
        <v>76</v>
      </c>
      <c r="J7" s="40" t="s">
        <v>102</v>
      </c>
      <c r="K7" s="40"/>
      <c r="L7" s="41" t="n">
        <v>46258</v>
      </c>
      <c r="M7" s="42" t="s">
        <v>92</v>
      </c>
      <c r="N7" s="43" t="n">
        <f aca="false">IF(OR($L7="",$M7=""),"",$L7+MATCH($M7,Listas!$F$5:$F$11,0)-1)</f>
        <v>46261</v>
      </c>
      <c r="O7" s="44"/>
      <c r="P7" s="39"/>
      <c r="Q7" s="44"/>
      <c r="R7" s="38"/>
      <c r="S7" s="38"/>
      <c r="T7" s="36" t="str">
        <f aca="false">IF($F7="","",IF(ISNUMBER(SEARCH("(externo)",$I7&amp;$J7&amp;$K7)),"Terceirizada","Interna"))</f>
        <v>Interna</v>
      </c>
      <c r="U7" s="43" t="n">
        <f aca="false">IF($N7="","",IF($Q7="",$N7,$Q7))</f>
        <v>46261</v>
      </c>
      <c r="V7" s="36" t="n">
        <f aca="false">IF($F7="","",IF(OR($O7="",$N7=""),0,IF($O7&lt;=$N7,1,0)))</f>
        <v>0</v>
      </c>
      <c r="W7" s="36" t="n">
        <f aca="false">IF($F7="","",IF(OR($O7="",$U7=""),0,IF($O7&lt;=$U7,1,0)))</f>
        <v>0</v>
      </c>
      <c r="X7" s="37" t="str">
        <f aca="false">IF(OR($O7="",$N7=""),"",MAX(0,$O7-$N7))</f>
        <v/>
      </c>
      <c r="Y7" s="36" t="n">
        <f aca="false">IF($F7="","",IF(AND($Q7&lt;&gt;"",$N7&lt;&gt;"",$Q7&lt;&gt;$N7),1,0))</f>
        <v>0</v>
      </c>
      <c r="Z7" s="36" t="n">
        <f aca="false">IF($F7="","",IF($P7="Cancelada",0,IF(OR($O7&lt;&gt;"",$P7="Concluída"),1,0)))</f>
        <v>0</v>
      </c>
    </row>
    <row r="8" customFormat="false" ht="16.5" hidden="false" customHeight="true" outlineLevel="0" collapsed="false">
      <c r="A8" s="36" t="n">
        <f aca="false">IF($F8="","",COUNTA($F$5:$F8))</f>
        <v>4</v>
      </c>
      <c r="B8" s="37" t="str">
        <f aca="true">IF($F8="","",IF($P8="Cancelada","Cancelada",IF(OR($O8&lt;&gt;"",$P8="Concluída"),IF(OR($N8="",$O8="",$O8&lt;=$N8),"Concluída","Concluída com atraso"),IF($N8="","Na carteira",IF($N8&lt;TODAY(),"VENCIDA",IF($P8="Em execução","Em execução",IF($N8=TODAY(),"Hoje","Programada")))))))</f>
        <v>Hoje</v>
      </c>
      <c r="C8" s="38"/>
      <c r="D8" s="38" t="s">
        <v>89</v>
      </c>
      <c r="E8" s="38" t="s">
        <v>162</v>
      </c>
      <c r="F8" s="38" t="s">
        <v>164</v>
      </c>
      <c r="G8" s="39" t="s">
        <v>72</v>
      </c>
      <c r="H8" s="39"/>
      <c r="I8" s="40" t="s">
        <v>76</v>
      </c>
      <c r="J8" s="40" t="s">
        <v>102</v>
      </c>
      <c r="K8" s="40"/>
      <c r="L8" s="41" t="n">
        <v>46258</v>
      </c>
      <c r="M8" s="42" t="s">
        <v>92</v>
      </c>
      <c r="N8" s="43" t="n">
        <f aca="false">IF(OR($L8="",$M8=""),"",$L8+MATCH($M8,Listas!$F$5:$F$11,0)-1)</f>
        <v>46261</v>
      </c>
      <c r="O8" s="44"/>
      <c r="P8" s="39"/>
      <c r="Q8" s="44"/>
      <c r="R8" s="38"/>
      <c r="S8" s="38"/>
      <c r="T8" s="36" t="str">
        <f aca="false">IF($F8="","",IF(ISNUMBER(SEARCH("(externo)",$I8&amp;$J8&amp;$K8)),"Terceirizada","Interna"))</f>
        <v>Interna</v>
      </c>
      <c r="U8" s="43" t="n">
        <f aca="false">IF($N8="","",IF($Q8="",$N8,$Q8))</f>
        <v>46261</v>
      </c>
      <c r="V8" s="36" t="n">
        <f aca="false">IF($F8="","",IF(OR($O8="",$N8=""),0,IF($O8&lt;=$N8,1,0)))</f>
        <v>0</v>
      </c>
      <c r="W8" s="36" t="n">
        <f aca="false">IF($F8="","",IF(OR($O8="",$U8=""),0,IF($O8&lt;=$U8,1,0)))</f>
        <v>0</v>
      </c>
      <c r="X8" s="37" t="str">
        <f aca="false">IF(OR($O8="",$N8=""),"",MAX(0,$O8-$N8))</f>
        <v/>
      </c>
      <c r="Y8" s="36" t="n">
        <f aca="false">IF($F8="","",IF(AND($Q8&lt;&gt;"",$N8&lt;&gt;"",$Q8&lt;&gt;$N8),1,0))</f>
        <v>0</v>
      </c>
      <c r="Z8" s="36" t="n">
        <f aca="false">IF($F8="","",IF($P8="Cancelada",0,IF(OR($O8&lt;&gt;"",$P8="Concluída"),1,0)))</f>
        <v>0</v>
      </c>
    </row>
    <row r="9" customFormat="false" ht="16.5" hidden="false" customHeight="true" outlineLevel="0" collapsed="false">
      <c r="A9" s="36" t="n">
        <f aca="false">IF($F9="","",COUNTA($F$5:$F9))</f>
        <v>5</v>
      </c>
      <c r="B9" s="37" t="str">
        <f aca="true">IF($F9="","",IF($P9="Cancelada","Cancelada",IF(OR($O9&lt;&gt;"",$P9="Concluída"),IF(OR($N9="",$O9="",$O9&lt;=$N9),"Concluída","Concluída com atraso"),IF($N9="","Na carteira",IF($N9&lt;TODAY(),"VENCIDA",IF($P9="Em execução","Em execução",IF($N9=TODAY(),"Hoje","Programada")))))))</f>
        <v>Concluída</v>
      </c>
      <c r="C9" s="38" t="s">
        <v>165</v>
      </c>
      <c r="D9" s="38" t="s">
        <v>94</v>
      </c>
      <c r="E9" s="38" t="s">
        <v>162</v>
      </c>
      <c r="F9" s="38" t="s">
        <v>166</v>
      </c>
      <c r="G9" s="39" t="s">
        <v>72</v>
      </c>
      <c r="H9" s="39"/>
      <c r="I9" s="40" t="s">
        <v>76</v>
      </c>
      <c r="J9" s="40" t="s">
        <v>102</v>
      </c>
      <c r="K9" s="40"/>
      <c r="L9" s="41" t="n">
        <v>46258</v>
      </c>
      <c r="M9" s="42" t="s">
        <v>87</v>
      </c>
      <c r="N9" s="43" t="n">
        <f aca="false">IF(OR($L9="",$M9=""),"",$L9+MATCH($M9,Listas!$F$5:$F$11,0)-1)</f>
        <v>46260</v>
      </c>
      <c r="O9" s="44"/>
      <c r="P9" s="39" t="s">
        <v>73</v>
      </c>
      <c r="Q9" s="44"/>
      <c r="R9" s="38"/>
      <c r="S9" s="38" t="s">
        <v>167</v>
      </c>
      <c r="T9" s="36" t="str">
        <f aca="false">IF($F9="","",IF(ISNUMBER(SEARCH("(externo)",$I9&amp;$J9&amp;$K9)),"Terceirizada","Interna"))</f>
        <v>Interna</v>
      </c>
      <c r="U9" s="43" t="n">
        <f aca="false">IF($N9="","",IF($Q9="",$N9,$Q9))</f>
        <v>46260</v>
      </c>
      <c r="V9" s="36" t="n">
        <f aca="false">IF($F9="","",IF(OR($O9="",$N9=""),0,IF($O9&lt;=$N9,1,0)))</f>
        <v>0</v>
      </c>
      <c r="W9" s="36" t="n">
        <f aca="false">IF($F9="","",IF(OR($O9="",$U9=""),0,IF($O9&lt;=$U9,1,0)))</f>
        <v>0</v>
      </c>
      <c r="X9" s="37" t="str">
        <f aca="false">IF(OR($O9="",$N9=""),"",MAX(0,$O9-$N9))</f>
        <v/>
      </c>
      <c r="Y9" s="36" t="n">
        <f aca="false">IF($F9="","",IF(AND($Q9&lt;&gt;"",$N9&lt;&gt;"",$Q9&lt;&gt;$N9),1,0))</f>
        <v>0</v>
      </c>
      <c r="Z9" s="36" t="n">
        <f aca="false">IF($F9="","",IF($P9="Cancelada",0,IF(OR($O9&lt;&gt;"",$P9="Concluída"),1,0)))</f>
        <v>1</v>
      </c>
    </row>
    <row r="10" customFormat="false" ht="16.5" hidden="false" customHeight="true" outlineLevel="0" collapsed="false">
      <c r="A10" s="36" t="n">
        <f aca="false">IF($F10="","",COUNTA($F$5:$F10))</f>
        <v>6</v>
      </c>
      <c r="B10" s="37" t="str">
        <f aca="true">IF($F10="","",IF($P10="Cancelada","Cancelada",IF(OR($O10&lt;&gt;"",$P10="Concluída"),IF(OR($N10="",$O10="",$O10&lt;=$N10),"Concluída","Concluída com atraso"),IF($N10="","Na carteira",IF($N10&lt;TODAY(),"VENCIDA",IF($P10="Em execução","Em execução",IF($N10=TODAY(),"Hoje","Programada")))))))</f>
        <v>Concluída</v>
      </c>
      <c r="C10" s="38" t="s">
        <v>165</v>
      </c>
      <c r="D10" s="38" t="s">
        <v>94</v>
      </c>
      <c r="E10" s="38" t="s">
        <v>162</v>
      </c>
      <c r="F10" s="38" t="s">
        <v>168</v>
      </c>
      <c r="G10" s="39" t="s">
        <v>72</v>
      </c>
      <c r="H10" s="39"/>
      <c r="I10" s="40" t="s">
        <v>76</v>
      </c>
      <c r="J10" s="40" t="s">
        <v>102</v>
      </c>
      <c r="K10" s="40"/>
      <c r="L10" s="41" t="n">
        <v>46258</v>
      </c>
      <c r="M10" s="42" t="s">
        <v>87</v>
      </c>
      <c r="N10" s="43" t="n">
        <f aca="false">IF(OR($L10="",$M10=""),"",$L10+MATCH($M10,Listas!$F$5:$F$11,0)-1)</f>
        <v>46260</v>
      </c>
      <c r="O10" s="44"/>
      <c r="P10" s="39" t="s">
        <v>73</v>
      </c>
      <c r="Q10" s="44"/>
      <c r="R10" s="38"/>
      <c r="S10" s="38" t="s">
        <v>167</v>
      </c>
      <c r="T10" s="36" t="str">
        <f aca="false">IF($F10="","",IF(ISNUMBER(SEARCH("(externo)",$I10&amp;$J10&amp;$K10)),"Terceirizada","Interna"))</f>
        <v>Interna</v>
      </c>
      <c r="U10" s="43" t="n">
        <f aca="false">IF($N10="","",IF($Q10="",$N10,$Q10))</f>
        <v>46260</v>
      </c>
      <c r="V10" s="36" t="n">
        <f aca="false">IF($F10="","",IF(OR($O10="",$N10=""),0,IF($O10&lt;=$N10,1,0)))</f>
        <v>0</v>
      </c>
      <c r="W10" s="36" t="n">
        <f aca="false">IF($F10="","",IF(OR($O10="",$U10=""),0,IF($O10&lt;=$U10,1,0)))</f>
        <v>0</v>
      </c>
      <c r="X10" s="37" t="str">
        <f aca="false">IF(OR($O10="",$N10=""),"",MAX(0,$O10-$N10))</f>
        <v/>
      </c>
      <c r="Y10" s="36" t="n">
        <f aca="false">IF($F10="","",IF(AND($Q10&lt;&gt;"",$N10&lt;&gt;"",$Q10&lt;&gt;$N10),1,0))</f>
        <v>0</v>
      </c>
      <c r="Z10" s="36" t="n">
        <f aca="false">IF($F10="","",IF($P10="Cancelada",0,IF(OR($O10&lt;&gt;"",$P10="Concluída"),1,0)))</f>
        <v>1</v>
      </c>
    </row>
    <row r="11" customFormat="false" ht="16.5" hidden="false" customHeight="true" outlineLevel="0" collapsed="false">
      <c r="A11" s="36" t="n">
        <f aca="false">IF($F11="","",COUNTA($F$5:$F11))</f>
        <v>7</v>
      </c>
      <c r="B11" s="37" t="str">
        <f aca="true">IF($F11="","",IF($P11="Cancelada","Cancelada",IF(OR($O11&lt;&gt;"",$P11="Concluída"),IF(OR($N11="",$O11="",$O11&lt;=$N11),"Concluída","Concluída com atraso"),IF($N11="","Na carteira",IF($N11&lt;TODAY(),"VENCIDA",IF($P11="Em execução","Em execução",IF($N11=TODAY(),"Hoje","Programada")))))))</f>
        <v>Concluída</v>
      </c>
      <c r="C11" s="38" t="s">
        <v>165</v>
      </c>
      <c r="D11" s="38" t="s">
        <v>94</v>
      </c>
      <c r="E11" s="38" t="s">
        <v>162</v>
      </c>
      <c r="F11" s="38" t="s">
        <v>169</v>
      </c>
      <c r="G11" s="39" t="s">
        <v>72</v>
      </c>
      <c r="H11" s="39"/>
      <c r="I11" s="40" t="s">
        <v>76</v>
      </c>
      <c r="J11" s="40" t="s">
        <v>102</v>
      </c>
      <c r="K11" s="40"/>
      <c r="L11" s="41" t="n">
        <v>46258</v>
      </c>
      <c r="M11" s="42" t="s">
        <v>87</v>
      </c>
      <c r="N11" s="43" t="n">
        <f aca="false">IF(OR($L11="",$M11=""),"",$L11+MATCH($M11,Listas!$F$5:$F$11,0)-1)</f>
        <v>46260</v>
      </c>
      <c r="O11" s="44"/>
      <c r="P11" s="39" t="s">
        <v>73</v>
      </c>
      <c r="Q11" s="44"/>
      <c r="R11" s="38"/>
      <c r="S11" s="38" t="s">
        <v>167</v>
      </c>
      <c r="T11" s="36" t="str">
        <f aca="false">IF($F11="","",IF(ISNUMBER(SEARCH("(externo)",$I11&amp;$J11&amp;$K11)),"Terceirizada","Interna"))</f>
        <v>Interna</v>
      </c>
      <c r="U11" s="43" t="n">
        <f aca="false">IF($N11="","",IF($Q11="",$N11,$Q11))</f>
        <v>46260</v>
      </c>
      <c r="V11" s="36" t="n">
        <f aca="false">IF($F11="","",IF(OR($O11="",$N11=""),0,IF($O11&lt;=$N11,1,0)))</f>
        <v>0</v>
      </c>
      <c r="W11" s="36" t="n">
        <f aca="false">IF($F11="","",IF(OR($O11="",$U11=""),0,IF($O11&lt;=$U11,1,0)))</f>
        <v>0</v>
      </c>
      <c r="X11" s="37" t="str">
        <f aca="false">IF(OR($O11="",$N11=""),"",MAX(0,$O11-$N11))</f>
        <v/>
      </c>
      <c r="Y11" s="36" t="n">
        <f aca="false">IF($F11="","",IF(AND($Q11&lt;&gt;"",$N11&lt;&gt;"",$Q11&lt;&gt;$N11),1,0))</f>
        <v>0</v>
      </c>
      <c r="Z11" s="36" t="n">
        <f aca="false">IF($F11="","",IF($P11="Cancelada",0,IF(OR($O11&lt;&gt;"",$P11="Concluída"),1,0)))</f>
        <v>1</v>
      </c>
    </row>
    <row r="12" customFormat="false" ht="16.5" hidden="false" customHeight="true" outlineLevel="0" collapsed="false">
      <c r="A12" s="36" t="n">
        <f aca="false">IF($F12="","",COUNTA($F$5:$F12))</f>
        <v>8</v>
      </c>
      <c r="B12" s="37" t="str">
        <f aca="true">IF($F12="","",IF($P12="Cancelada","Cancelada",IF(OR($O12&lt;&gt;"",$P12="Concluída"),IF(OR($N12="",$O12="",$O12&lt;=$N12),"Concluída","Concluída com atraso"),IF($N12="","Na carteira",IF($N12&lt;TODAY(),"VENCIDA",IF($P12="Em execução","Em execução",IF($N12=TODAY(),"Hoje","Programada")))))))</f>
        <v>Concluída</v>
      </c>
      <c r="C12" s="38" t="s">
        <v>165</v>
      </c>
      <c r="D12" s="38" t="s">
        <v>94</v>
      </c>
      <c r="E12" s="38" t="s">
        <v>162</v>
      </c>
      <c r="F12" s="38" t="s">
        <v>170</v>
      </c>
      <c r="G12" s="39" t="s">
        <v>72</v>
      </c>
      <c r="H12" s="39"/>
      <c r="I12" s="40" t="s">
        <v>76</v>
      </c>
      <c r="J12" s="40" t="s">
        <v>102</v>
      </c>
      <c r="K12" s="40"/>
      <c r="L12" s="41" t="n">
        <v>46258</v>
      </c>
      <c r="M12" s="42" t="s">
        <v>87</v>
      </c>
      <c r="N12" s="43" t="n">
        <f aca="false">IF(OR($L12="",$M12=""),"",$L12+MATCH($M12,Listas!$F$5:$F$11,0)-1)</f>
        <v>46260</v>
      </c>
      <c r="O12" s="44"/>
      <c r="P12" s="39" t="s">
        <v>73</v>
      </c>
      <c r="Q12" s="44"/>
      <c r="R12" s="38"/>
      <c r="S12" s="38" t="s">
        <v>167</v>
      </c>
      <c r="T12" s="36" t="str">
        <f aca="false">IF($F12="","",IF(ISNUMBER(SEARCH("(externo)",$I12&amp;$J12&amp;$K12)),"Terceirizada","Interna"))</f>
        <v>Interna</v>
      </c>
      <c r="U12" s="43" t="n">
        <f aca="false">IF($N12="","",IF($Q12="",$N12,$Q12))</f>
        <v>46260</v>
      </c>
      <c r="V12" s="36" t="n">
        <f aca="false">IF($F12="","",IF(OR($O12="",$N12=""),0,IF($O12&lt;=$N12,1,0)))</f>
        <v>0</v>
      </c>
      <c r="W12" s="36" t="n">
        <f aca="false">IF($F12="","",IF(OR($O12="",$U12=""),0,IF($O12&lt;=$U12,1,0)))</f>
        <v>0</v>
      </c>
      <c r="X12" s="37" t="str">
        <f aca="false">IF(OR($O12="",$N12=""),"",MAX(0,$O12-$N12))</f>
        <v/>
      </c>
      <c r="Y12" s="36" t="n">
        <f aca="false">IF($F12="","",IF(AND($Q12&lt;&gt;"",$N12&lt;&gt;"",$Q12&lt;&gt;$N12),1,0))</f>
        <v>0</v>
      </c>
      <c r="Z12" s="36" t="n">
        <f aca="false">IF($F12="","",IF($P12="Cancelada",0,IF(OR($O12&lt;&gt;"",$P12="Concluída"),1,0)))</f>
        <v>1</v>
      </c>
    </row>
    <row r="13" customFormat="false" ht="16.5" hidden="false" customHeight="true" outlineLevel="0" collapsed="false">
      <c r="A13" s="36" t="n">
        <f aca="false">IF($F13="","",COUNTA($F$5:$F13))</f>
        <v>9</v>
      </c>
      <c r="B13" s="37" t="str">
        <f aca="true">IF($F13="","",IF($P13="Cancelada","Cancelada",IF(OR($O13&lt;&gt;"",$P13="Concluída"),IF(OR($N13="",$O13="",$O13&lt;=$N13),"Concluída","Concluída com atraso"),IF($N13="","Na carteira",IF($N13&lt;TODAY(),"VENCIDA",IF($P13="Em execução","Em execução",IF($N13=TODAY(),"Hoje","Programada")))))))</f>
        <v>Concluída</v>
      </c>
      <c r="C13" s="38" t="s">
        <v>165</v>
      </c>
      <c r="D13" s="38" t="s">
        <v>94</v>
      </c>
      <c r="E13" s="38" t="s">
        <v>162</v>
      </c>
      <c r="F13" s="38" t="s">
        <v>171</v>
      </c>
      <c r="G13" s="39" t="s">
        <v>72</v>
      </c>
      <c r="H13" s="39"/>
      <c r="I13" s="40" t="s">
        <v>76</v>
      </c>
      <c r="J13" s="40" t="s">
        <v>102</v>
      </c>
      <c r="K13" s="40"/>
      <c r="L13" s="41" t="n">
        <v>46258</v>
      </c>
      <c r="M13" s="42" t="s">
        <v>87</v>
      </c>
      <c r="N13" s="43" t="n">
        <f aca="false">IF(OR($L13="",$M13=""),"",$L13+MATCH($M13,Listas!$F$5:$F$11,0)-1)</f>
        <v>46260</v>
      </c>
      <c r="O13" s="44"/>
      <c r="P13" s="39" t="s">
        <v>73</v>
      </c>
      <c r="Q13" s="44"/>
      <c r="R13" s="38"/>
      <c r="S13" s="38" t="s">
        <v>167</v>
      </c>
      <c r="T13" s="36" t="str">
        <f aca="false">IF($F13="","",IF(ISNUMBER(SEARCH("(externo)",$I13&amp;$J13&amp;$K13)),"Terceirizada","Interna"))</f>
        <v>Interna</v>
      </c>
      <c r="U13" s="43" t="n">
        <f aca="false">IF($N13="","",IF($Q13="",$N13,$Q13))</f>
        <v>46260</v>
      </c>
      <c r="V13" s="36" t="n">
        <f aca="false">IF($F13="","",IF(OR($O13="",$N13=""),0,IF($O13&lt;=$N13,1,0)))</f>
        <v>0</v>
      </c>
      <c r="W13" s="36" t="n">
        <f aca="false">IF($F13="","",IF(OR($O13="",$U13=""),0,IF($O13&lt;=$U13,1,0)))</f>
        <v>0</v>
      </c>
      <c r="X13" s="37" t="str">
        <f aca="false">IF(OR($O13="",$N13=""),"",MAX(0,$O13-$N13))</f>
        <v/>
      </c>
      <c r="Y13" s="36" t="n">
        <f aca="false">IF($F13="","",IF(AND($Q13&lt;&gt;"",$N13&lt;&gt;"",$Q13&lt;&gt;$N13),1,0))</f>
        <v>0</v>
      </c>
      <c r="Z13" s="36" t="n">
        <f aca="false">IF($F13="","",IF($P13="Cancelada",0,IF(OR($O13&lt;&gt;"",$P13="Concluída"),1,0)))</f>
        <v>1</v>
      </c>
    </row>
    <row r="14" customFormat="false" ht="16.5" hidden="false" customHeight="true" outlineLevel="0" collapsed="false">
      <c r="A14" s="36" t="n">
        <f aca="false">IF($F14="","",COUNTA($F$5:$F14))</f>
        <v>10</v>
      </c>
      <c r="B14" s="37" t="str">
        <f aca="true">IF($F14="","",IF($P14="Cancelada","Cancelada",IF(OR($O14&lt;&gt;"",$P14="Concluída"),IF(OR($N14="",$O14="",$O14&lt;=$N14),"Concluída","Concluída com atraso"),IF($N14="","Na carteira",IF($N14&lt;TODAY(),"VENCIDA",IF($P14="Em execução","Em execução",IF($N14=TODAY(),"Hoje","Programada")))))))</f>
        <v>Concluída</v>
      </c>
      <c r="C14" s="38"/>
      <c r="D14" s="38" t="s">
        <v>99</v>
      </c>
      <c r="E14" s="38" t="s">
        <v>172</v>
      </c>
      <c r="F14" s="38" t="s">
        <v>173</v>
      </c>
      <c r="G14" s="39" t="s">
        <v>72</v>
      </c>
      <c r="H14" s="39"/>
      <c r="I14" s="40" t="s">
        <v>111</v>
      </c>
      <c r="J14" s="40"/>
      <c r="K14" s="40"/>
      <c r="L14" s="41" t="n">
        <v>46258</v>
      </c>
      <c r="M14" s="42" t="s">
        <v>81</v>
      </c>
      <c r="N14" s="43" t="n">
        <f aca="false">IF(OR($L14="",$M14=""),"",$L14+MATCH($M14,Listas!$F$5:$F$11,0)-1)</f>
        <v>46259</v>
      </c>
      <c r="O14" s="44"/>
      <c r="P14" s="39" t="s">
        <v>73</v>
      </c>
      <c r="Q14" s="44"/>
      <c r="R14" s="38"/>
      <c r="S14" s="38"/>
      <c r="T14" s="36" t="str">
        <f aca="false">IF($F14="","",IF(ISNUMBER(SEARCH("(externo)",$I14&amp;$J14&amp;$K14)),"Terceirizada","Interna"))</f>
        <v>Terceirizada</v>
      </c>
      <c r="U14" s="43" t="n">
        <f aca="false">IF($N14="","",IF($Q14="",$N14,$Q14))</f>
        <v>46259</v>
      </c>
      <c r="V14" s="36" t="n">
        <f aca="false">IF($F14="","",IF(OR($O14="",$N14=""),0,IF($O14&lt;=$N14,1,0)))</f>
        <v>0</v>
      </c>
      <c r="W14" s="36" t="n">
        <f aca="false">IF($F14="","",IF(OR($O14="",$U14=""),0,IF($O14&lt;=$U14,1,0)))</f>
        <v>0</v>
      </c>
      <c r="X14" s="37" t="str">
        <f aca="false">IF(OR($O14="",$N14=""),"",MAX(0,$O14-$N14))</f>
        <v/>
      </c>
      <c r="Y14" s="36" t="n">
        <f aca="false">IF($F14="","",IF(AND($Q14&lt;&gt;"",$N14&lt;&gt;"",$Q14&lt;&gt;$N14),1,0))</f>
        <v>0</v>
      </c>
      <c r="Z14" s="36" t="n">
        <f aca="false">IF($F14="","",IF($P14="Cancelada",0,IF(OR($O14&lt;&gt;"",$P14="Concluída"),1,0)))</f>
        <v>1</v>
      </c>
    </row>
    <row r="15" customFormat="false" ht="16.5" hidden="false" customHeight="true" outlineLevel="0" collapsed="false">
      <c r="A15" s="36" t="n">
        <f aca="false">IF($F15="","",COUNTA($F$5:$F15))</f>
        <v>11</v>
      </c>
      <c r="B15" s="37" t="str">
        <f aca="true">IF($F15="","",IF($P15="Cancelada","Cancelada",IF(OR($O15&lt;&gt;"",$P15="Concluída"),IF(OR($N15="",$O15="",$O15&lt;=$N15),"Concluída","Concluída com atraso"),IF($N15="","Na carteira",IF($N15&lt;TODAY(),"VENCIDA",IF($P15="Em execução","Em execução",IF($N15=TODAY(),"Hoje","Programada")))))))</f>
        <v>Concluída</v>
      </c>
      <c r="C15" s="38"/>
      <c r="D15" s="38" t="s">
        <v>99</v>
      </c>
      <c r="E15" s="38" t="s">
        <v>174</v>
      </c>
      <c r="F15" s="38" t="s">
        <v>175</v>
      </c>
      <c r="G15" s="39" t="s">
        <v>72</v>
      </c>
      <c r="H15" s="39"/>
      <c r="I15" s="40" t="s">
        <v>98</v>
      </c>
      <c r="J15" s="40"/>
      <c r="K15" s="40"/>
      <c r="L15" s="41" t="n">
        <v>46258</v>
      </c>
      <c r="M15" s="42" t="s">
        <v>87</v>
      </c>
      <c r="N15" s="43" t="n">
        <f aca="false">IF(OR($L15="",$M15=""),"",$L15+MATCH($M15,Listas!$F$5:$F$11,0)-1)</f>
        <v>46260</v>
      </c>
      <c r="O15" s="44"/>
      <c r="P15" s="39" t="s">
        <v>73</v>
      </c>
      <c r="Q15" s="44"/>
      <c r="R15" s="38"/>
      <c r="S15" s="38"/>
      <c r="T15" s="36" t="str">
        <f aca="false">IF($F15="","",IF(ISNUMBER(SEARCH("(externo)",$I15&amp;$J15&amp;$K15)),"Terceirizada","Interna"))</f>
        <v>Interna</v>
      </c>
      <c r="U15" s="43" t="n">
        <f aca="false">IF($N15="","",IF($Q15="",$N15,$Q15))</f>
        <v>46260</v>
      </c>
      <c r="V15" s="36" t="n">
        <f aca="false">IF($F15="","",IF(OR($O15="",$N15=""),0,IF($O15&lt;=$N15,1,0)))</f>
        <v>0</v>
      </c>
      <c r="W15" s="36" t="n">
        <f aca="false">IF($F15="","",IF(OR($O15="",$U15=""),0,IF($O15&lt;=$U15,1,0)))</f>
        <v>0</v>
      </c>
      <c r="X15" s="37" t="str">
        <f aca="false">IF(OR($O15="",$N15=""),"",MAX(0,$O15-$N15))</f>
        <v/>
      </c>
      <c r="Y15" s="36" t="n">
        <f aca="false">IF($F15="","",IF(AND($Q15&lt;&gt;"",$N15&lt;&gt;"",$Q15&lt;&gt;$N15),1,0))</f>
        <v>0</v>
      </c>
      <c r="Z15" s="36" t="n">
        <f aca="false">IF($F15="","",IF($P15="Cancelada",0,IF(OR($O15&lt;&gt;"",$P15="Concluída"),1,0)))</f>
        <v>1</v>
      </c>
    </row>
    <row r="16" customFormat="false" ht="16.5" hidden="false" customHeight="true" outlineLevel="0" collapsed="false">
      <c r="A16" s="36" t="n">
        <f aca="false">IF($F16="","",COUNTA($F$5:$F16))</f>
        <v>12</v>
      </c>
      <c r="B16" s="37" t="str">
        <f aca="true">IF($F16="","",IF($P16="Cancelada","Cancelada",IF(OR($O16&lt;&gt;"",$P16="Concluída"),IF(OR($N16="",$O16="",$O16&lt;=$N16),"Concluída","Concluída com atraso"),IF($N16="","Na carteira",IF($N16&lt;TODAY(),"VENCIDA",IF($P16="Em execução","Em execução",IF($N16=TODAY(),"Hoje","Programada")))))))</f>
        <v>Concluída</v>
      </c>
      <c r="C16" s="38"/>
      <c r="D16" s="38" t="s">
        <v>99</v>
      </c>
      <c r="E16" s="38" t="s">
        <v>174</v>
      </c>
      <c r="F16" s="38" t="s">
        <v>176</v>
      </c>
      <c r="G16" s="39" t="s">
        <v>72</v>
      </c>
      <c r="H16" s="39"/>
      <c r="I16" s="40" t="s">
        <v>98</v>
      </c>
      <c r="J16" s="40"/>
      <c r="K16" s="40"/>
      <c r="L16" s="41" t="n">
        <v>46258</v>
      </c>
      <c r="M16" s="42" t="s">
        <v>87</v>
      </c>
      <c r="N16" s="43" t="n">
        <f aca="false">IF(OR($L16="",$M16=""),"",$L16+MATCH($M16,Listas!$F$5:$F$11,0)-1)</f>
        <v>46260</v>
      </c>
      <c r="O16" s="44"/>
      <c r="P16" s="39" t="s">
        <v>73</v>
      </c>
      <c r="Q16" s="44"/>
      <c r="R16" s="38"/>
      <c r="S16" s="38"/>
      <c r="T16" s="36" t="str">
        <f aca="false">IF($F16="","",IF(ISNUMBER(SEARCH("(externo)",$I16&amp;$J16&amp;$K16)),"Terceirizada","Interna"))</f>
        <v>Interna</v>
      </c>
      <c r="U16" s="43" t="n">
        <f aca="false">IF($N16="","",IF($Q16="",$N16,$Q16))</f>
        <v>46260</v>
      </c>
      <c r="V16" s="36" t="n">
        <f aca="false">IF($F16="","",IF(OR($O16="",$N16=""),0,IF($O16&lt;=$N16,1,0)))</f>
        <v>0</v>
      </c>
      <c r="W16" s="36" t="n">
        <f aca="false">IF($F16="","",IF(OR($O16="",$U16=""),0,IF($O16&lt;=$U16,1,0)))</f>
        <v>0</v>
      </c>
      <c r="X16" s="37" t="str">
        <f aca="false">IF(OR($O16="",$N16=""),"",MAX(0,$O16-$N16))</f>
        <v/>
      </c>
      <c r="Y16" s="36" t="n">
        <f aca="false">IF($F16="","",IF(AND($Q16&lt;&gt;"",$N16&lt;&gt;"",$Q16&lt;&gt;$N16),1,0))</f>
        <v>0</v>
      </c>
      <c r="Z16" s="36" t="n">
        <f aca="false">IF($F16="","",IF($P16="Cancelada",0,IF(OR($O16&lt;&gt;"",$P16="Concluída"),1,0)))</f>
        <v>1</v>
      </c>
    </row>
    <row r="17" customFormat="false" ht="16.5" hidden="false" customHeight="true" outlineLevel="0" collapsed="false">
      <c r="A17" s="36" t="n">
        <f aca="false">IF($F17="","",COUNTA($F$5:$F17))</f>
        <v>13</v>
      </c>
      <c r="B17" s="37" t="str">
        <f aca="true">IF($F17="","",IF($P17="Cancelada","Cancelada",IF(OR($O17&lt;&gt;"",$P17="Concluída"),IF(OR($N17="",$O17="",$O17&lt;=$N17),"Concluída","Concluída com atraso"),IF($N17="","Na carteira",IF($N17&lt;TODAY(),"VENCIDA",IF($P17="Em execução","Em execução",IF($N17=TODAY(),"Hoje","Programada")))))))</f>
        <v>Concluída</v>
      </c>
      <c r="C17" s="38"/>
      <c r="D17" s="38" t="s">
        <v>99</v>
      </c>
      <c r="E17" s="38" t="s">
        <v>174</v>
      </c>
      <c r="F17" s="38" t="s">
        <v>177</v>
      </c>
      <c r="G17" s="39" t="s">
        <v>72</v>
      </c>
      <c r="H17" s="39"/>
      <c r="I17" s="40" t="s">
        <v>98</v>
      </c>
      <c r="J17" s="40"/>
      <c r="K17" s="40"/>
      <c r="L17" s="41" t="n">
        <v>46258</v>
      </c>
      <c r="M17" s="42" t="s">
        <v>87</v>
      </c>
      <c r="N17" s="43" t="n">
        <f aca="false">IF(OR($L17="",$M17=""),"",$L17+MATCH($M17,Listas!$F$5:$F$11,0)-1)</f>
        <v>46260</v>
      </c>
      <c r="O17" s="44"/>
      <c r="P17" s="39" t="s">
        <v>73</v>
      </c>
      <c r="Q17" s="44"/>
      <c r="R17" s="38"/>
      <c r="S17" s="38"/>
      <c r="T17" s="36" t="str">
        <f aca="false">IF($F17="","",IF(ISNUMBER(SEARCH("(externo)",$I17&amp;$J17&amp;$K17)),"Terceirizada","Interna"))</f>
        <v>Interna</v>
      </c>
      <c r="U17" s="43" t="n">
        <f aca="false">IF($N17="","",IF($Q17="",$N17,$Q17))</f>
        <v>46260</v>
      </c>
      <c r="V17" s="36" t="n">
        <f aca="false">IF($F17="","",IF(OR($O17="",$N17=""),0,IF($O17&lt;=$N17,1,0)))</f>
        <v>0</v>
      </c>
      <c r="W17" s="36" t="n">
        <f aca="false">IF($F17="","",IF(OR($O17="",$U17=""),0,IF($O17&lt;=$U17,1,0)))</f>
        <v>0</v>
      </c>
      <c r="X17" s="37" t="str">
        <f aca="false">IF(OR($O17="",$N17=""),"",MAX(0,$O17-$N17))</f>
        <v/>
      </c>
      <c r="Y17" s="36" t="n">
        <f aca="false">IF($F17="","",IF(AND($Q17&lt;&gt;"",$N17&lt;&gt;"",$Q17&lt;&gt;$N17),1,0))</f>
        <v>0</v>
      </c>
      <c r="Z17" s="36" t="n">
        <f aca="false">IF($F17="","",IF($P17="Cancelada",0,IF(OR($O17&lt;&gt;"",$P17="Concluída"),1,0)))</f>
        <v>1</v>
      </c>
    </row>
    <row r="18" customFormat="false" ht="16.5" hidden="false" customHeight="true" outlineLevel="0" collapsed="false">
      <c r="A18" s="36" t="n">
        <f aca="false">IF($F18="","",COUNTA($F$5:$F18))</f>
        <v>14</v>
      </c>
      <c r="B18" s="37" t="str">
        <f aca="true">IF($F18="","",IF($P18="Cancelada","Cancelada",IF(OR($O18&lt;&gt;"",$P18="Concluída"),IF(OR($N18="",$O18="",$O18&lt;=$N18),"Concluída","Concluída com atraso"),IF($N18="","Na carteira",IF($N18&lt;TODAY(),"VENCIDA",IF($P18="Em execução","Em execução",IF($N18=TODAY(),"Hoje","Programada")))))))</f>
        <v>Concluída</v>
      </c>
      <c r="C18" s="38"/>
      <c r="D18" s="38" t="s">
        <v>99</v>
      </c>
      <c r="E18" s="38" t="s">
        <v>174</v>
      </c>
      <c r="F18" s="38" t="s">
        <v>178</v>
      </c>
      <c r="G18" s="39" t="s">
        <v>72</v>
      </c>
      <c r="H18" s="39"/>
      <c r="I18" s="40" t="s">
        <v>98</v>
      </c>
      <c r="J18" s="40"/>
      <c r="K18" s="40"/>
      <c r="L18" s="41" t="n">
        <v>46258</v>
      </c>
      <c r="M18" s="42" t="s">
        <v>87</v>
      </c>
      <c r="N18" s="43" t="n">
        <f aca="false">IF(OR($L18="",$M18=""),"",$L18+MATCH($M18,Listas!$F$5:$F$11,0)-1)</f>
        <v>46260</v>
      </c>
      <c r="O18" s="44"/>
      <c r="P18" s="39" t="s">
        <v>73</v>
      </c>
      <c r="Q18" s="44"/>
      <c r="R18" s="38"/>
      <c r="S18" s="38"/>
      <c r="T18" s="36" t="str">
        <f aca="false">IF($F18="","",IF(ISNUMBER(SEARCH("(externo)",$I18&amp;$J18&amp;$K18)),"Terceirizada","Interna"))</f>
        <v>Interna</v>
      </c>
      <c r="U18" s="43" t="n">
        <f aca="false">IF($N18="","",IF($Q18="",$N18,$Q18))</f>
        <v>46260</v>
      </c>
      <c r="V18" s="36" t="n">
        <f aca="false">IF($F18="","",IF(OR($O18="",$N18=""),0,IF($O18&lt;=$N18,1,0)))</f>
        <v>0</v>
      </c>
      <c r="W18" s="36" t="n">
        <f aca="false">IF($F18="","",IF(OR($O18="",$U18=""),0,IF($O18&lt;=$U18,1,0)))</f>
        <v>0</v>
      </c>
      <c r="X18" s="37" t="str">
        <f aca="false">IF(OR($O18="",$N18=""),"",MAX(0,$O18-$N18))</f>
        <v/>
      </c>
      <c r="Y18" s="36" t="n">
        <f aca="false">IF($F18="","",IF(AND($Q18&lt;&gt;"",$N18&lt;&gt;"",$Q18&lt;&gt;$N18),1,0))</f>
        <v>0</v>
      </c>
      <c r="Z18" s="36" t="n">
        <f aca="false">IF($F18="","",IF($P18="Cancelada",0,IF(OR($O18&lt;&gt;"",$P18="Concluída"),1,0)))</f>
        <v>1</v>
      </c>
    </row>
    <row r="19" customFormat="false" ht="16.5" hidden="false" customHeight="true" outlineLevel="0" collapsed="false">
      <c r="A19" s="36" t="n">
        <f aca="false">IF($F19="","",COUNTA($F$5:$F19))</f>
        <v>15</v>
      </c>
      <c r="B19" s="37" t="str">
        <f aca="true">IF($F19="","",IF($P19="Cancelada","Cancelada",IF(OR($O19&lt;&gt;"",$P19="Concluída"),IF(OR($N19="",$O19="",$O19&lt;=$N19),"Concluída","Concluída com atraso"),IF($N19="","Na carteira",IF($N19&lt;TODAY(),"VENCIDA",IF($P19="Em execução","Em execução",IF($N19=TODAY(),"Hoje","Programada")))))))</f>
        <v>Concluída</v>
      </c>
      <c r="C19" s="38"/>
      <c r="D19" s="38" t="s">
        <v>99</v>
      </c>
      <c r="E19" s="38" t="s">
        <v>174</v>
      </c>
      <c r="F19" s="38" t="s">
        <v>179</v>
      </c>
      <c r="G19" s="39" t="s">
        <v>72</v>
      </c>
      <c r="H19" s="39"/>
      <c r="I19" s="40" t="s">
        <v>98</v>
      </c>
      <c r="J19" s="40"/>
      <c r="K19" s="40"/>
      <c r="L19" s="41" t="n">
        <v>46258</v>
      </c>
      <c r="M19" s="42" t="s">
        <v>87</v>
      </c>
      <c r="N19" s="43" t="n">
        <f aca="false">IF(OR($L19="",$M19=""),"",$L19+MATCH($M19,Listas!$F$5:$F$11,0)-1)</f>
        <v>46260</v>
      </c>
      <c r="O19" s="44"/>
      <c r="P19" s="39" t="s">
        <v>73</v>
      </c>
      <c r="Q19" s="44"/>
      <c r="R19" s="38"/>
      <c r="S19" s="38"/>
      <c r="T19" s="36" t="str">
        <f aca="false">IF($F19="","",IF(ISNUMBER(SEARCH("(externo)",$I19&amp;$J19&amp;$K19)),"Terceirizada","Interna"))</f>
        <v>Interna</v>
      </c>
      <c r="U19" s="43" t="n">
        <f aca="false">IF($N19="","",IF($Q19="",$N19,$Q19))</f>
        <v>46260</v>
      </c>
      <c r="V19" s="36" t="n">
        <f aca="false">IF($F19="","",IF(OR($O19="",$N19=""),0,IF($O19&lt;=$N19,1,0)))</f>
        <v>0</v>
      </c>
      <c r="W19" s="36" t="n">
        <f aca="false">IF($F19="","",IF(OR($O19="",$U19=""),0,IF($O19&lt;=$U19,1,0)))</f>
        <v>0</v>
      </c>
      <c r="X19" s="37" t="str">
        <f aca="false">IF(OR($O19="",$N19=""),"",MAX(0,$O19-$N19))</f>
        <v/>
      </c>
      <c r="Y19" s="36" t="n">
        <f aca="false">IF($F19="","",IF(AND($Q19&lt;&gt;"",$N19&lt;&gt;"",$Q19&lt;&gt;$N19),1,0))</f>
        <v>0</v>
      </c>
      <c r="Z19" s="36" t="n">
        <f aca="false">IF($F19="","",IF($P19="Cancelada",0,IF(OR($O19&lt;&gt;"",$P19="Concluída"),1,0)))</f>
        <v>1</v>
      </c>
    </row>
    <row r="20" customFormat="false" ht="16.5" hidden="false" customHeight="true" outlineLevel="0" collapsed="false">
      <c r="A20" s="36" t="n">
        <f aca="false">IF($F20="","",COUNTA($F$5:$F20))</f>
        <v>16</v>
      </c>
      <c r="B20" s="37" t="str">
        <f aca="true">IF($F20="","",IF($P20="Cancelada","Cancelada",IF(OR($O20&lt;&gt;"",$P20="Concluída"),IF(OR($N20="",$O20="",$O20&lt;=$N20),"Concluída","Concluída com atraso"),IF($N20="","Na carteira",IF($N20&lt;TODAY(),"VENCIDA",IF($P20="Em execução","Em execução",IF($N20=TODAY(),"Hoje","Programada")))))))</f>
        <v>Concluída</v>
      </c>
      <c r="C20" s="38"/>
      <c r="D20" s="38" t="s">
        <v>99</v>
      </c>
      <c r="E20" s="38" t="s">
        <v>174</v>
      </c>
      <c r="F20" s="38" t="s">
        <v>180</v>
      </c>
      <c r="G20" s="39" t="s">
        <v>72</v>
      </c>
      <c r="H20" s="39"/>
      <c r="I20" s="40" t="s">
        <v>98</v>
      </c>
      <c r="J20" s="40"/>
      <c r="K20" s="40"/>
      <c r="L20" s="41" t="n">
        <v>46258</v>
      </c>
      <c r="M20" s="42" t="s">
        <v>87</v>
      </c>
      <c r="N20" s="43" t="n">
        <f aca="false">IF(OR($L20="",$M20=""),"",$L20+MATCH($M20,Listas!$F$5:$F$11,0)-1)</f>
        <v>46260</v>
      </c>
      <c r="O20" s="44"/>
      <c r="P20" s="39" t="s">
        <v>73</v>
      </c>
      <c r="Q20" s="44"/>
      <c r="R20" s="38"/>
      <c r="S20" s="38"/>
      <c r="T20" s="36" t="str">
        <f aca="false">IF($F20="","",IF(ISNUMBER(SEARCH("(externo)",$I20&amp;$J20&amp;$K20)),"Terceirizada","Interna"))</f>
        <v>Interna</v>
      </c>
      <c r="U20" s="43" t="n">
        <f aca="false">IF($N20="","",IF($Q20="",$N20,$Q20))</f>
        <v>46260</v>
      </c>
      <c r="V20" s="36" t="n">
        <f aca="false">IF($F20="","",IF(OR($O20="",$N20=""),0,IF($O20&lt;=$N20,1,0)))</f>
        <v>0</v>
      </c>
      <c r="W20" s="36" t="n">
        <f aca="false">IF($F20="","",IF(OR($O20="",$U20=""),0,IF($O20&lt;=$U20,1,0)))</f>
        <v>0</v>
      </c>
      <c r="X20" s="37" t="str">
        <f aca="false">IF(OR($O20="",$N20=""),"",MAX(0,$O20-$N20))</f>
        <v/>
      </c>
      <c r="Y20" s="36" t="n">
        <f aca="false">IF($F20="","",IF(AND($Q20&lt;&gt;"",$N20&lt;&gt;"",$Q20&lt;&gt;$N20),1,0))</f>
        <v>0</v>
      </c>
      <c r="Z20" s="36" t="n">
        <f aca="false">IF($F20="","",IF($P20="Cancelada",0,IF(OR($O20&lt;&gt;"",$P20="Concluída"),1,0)))</f>
        <v>1</v>
      </c>
    </row>
    <row r="21" customFormat="false" ht="16.5" hidden="false" customHeight="true" outlineLevel="0" collapsed="false">
      <c r="A21" s="36" t="n">
        <f aca="false">IF($F21="","",COUNTA($F$5:$F21))</f>
        <v>17</v>
      </c>
      <c r="B21" s="37" t="str">
        <f aca="true">IF($F21="","",IF($P21="Cancelada","Cancelada",IF(OR($O21&lt;&gt;"",$P21="Concluída"),IF(OR($N21="",$O21="",$O21&lt;=$N21),"Concluída","Concluída com atraso"),IF($N21="","Na carteira",IF($N21&lt;TODAY(),"VENCIDA",IF($P21="Em execução","Em execução",IF($N21=TODAY(),"Hoje","Programada")))))))</f>
        <v>Concluída</v>
      </c>
      <c r="C21" s="38"/>
      <c r="D21" s="38" t="s">
        <v>99</v>
      </c>
      <c r="E21" s="38" t="s">
        <v>174</v>
      </c>
      <c r="F21" s="38" t="s">
        <v>181</v>
      </c>
      <c r="G21" s="39" t="s">
        <v>72</v>
      </c>
      <c r="H21" s="39"/>
      <c r="I21" s="40" t="s">
        <v>98</v>
      </c>
      <c r="J21" s="40"/>
      <c r="K21" s="40"/>
      <c r="L21" s="41" t="n">
        <v>46258</v>
      </c>
      <c r="M21" s="42" t="s">
        <v>87</v>
      </c>
      <c r="N21" s="43" t="n">
        <f aca="false">IF(OR($L21="",$M21=""),"",$L21+MATCH($M21,Listas!$F$5:$F$11,0)-1)</f>
        <v>46260</v>
      </c>
      <c r="O21" s="44"/>
      <c r="P21" s="39" t="s">
        <v>73</v>
      </c>
      <c r="Q21" s="44"/>
      <c r="R21" s="38"/>
      <c r="S21" s="38"/>
      <c r="T21" s="36" t="str">
        <f aca="false">IF($F21="","",IF(ISNUMBER(SEARCH("(externo)",$I21&amp;$J21&amp;$K21)),"Terceirizada","Interna"))</f>
        <v>Interna</v>
      </c>
      <c r="U21" s="43" t="n">
        <f aca="false">IF($N21="","",IF($Q21="",$N21,$Q21))</f>
        <v>46260</v>
      </c>
      <c r="V21" s="36" t="n">
        <f aca="false">IF($F21="","",IF(OR($O21="",$N21=""),0,IF($O21&lt;=$N21,1,0)))</f>
        <v>0</v>
      </c>
      <c r="W21" s="36" t="n">
        <f aca="false">IF($F21="","",IF(OR($O21="",$U21=""),0,IF($O21&lt;=$U21,1,0)))</f>
        <v>0</v>
      </c>
      <c r="X21" s="37" t="str">
        <f aca="false">IF(OR($O21="",$N21=""),"",MAX(0,$O21-$N21))</f>
        <v/>
      </c>
      <c r="Y21" s="36" t="n">
        <f aca="false">IF($F21="","",IF(AND($Q21&lt;&gt;"",$N21&lt;&gt;"",$Q21&lt;&gt;$N21),1,0))</f>
        <v>0</v>
      </c>
      <c r="Z21" s="36" t="n">
        <f aca="false">IF($F21="","",IF($P21="Cancelada",0,IF(OR($O21&lt;&gt;"",$P21="Concluída"),1,0)))</f>
        <v>1</v>
      </c>
    </row>
    <row r="22" customFormat="false" ht="16.5" hidden="false" customHeight="true" outlineLevel="0" collapsed="false">
      <c r="A22" s="36" t="n">
        <f aca="false">IF($F22="","",COUNTA($F$5:$F22))</f>
        <v>18</v>
      </c>
      <c r="B22" s="37" t="str">
        <f aca="true">IF($F22="","",IF($P22="Cancelada","Cancelada",IF(OR($O22&lt;&gt;"",$P22="Concluída"),IF(OR($N22="",$O22="",$O22&lt;=$N22),"Concluída","Concluída com atraso"),IF($N22="","Na carteira",IF($N22&lt;TODAY(),"VENCIDA",IF($P22="Em execução","Em execução",IF($N22=TODAY(),"Hoje","Programada")))))))</f>
        <v>Concluída</v>
      </c>
      <c r="C22" s="38"/>
      <c r="D22" s="38" t="s">
        <v>99</v>
      </c>
      <c r="E22" s="38" t="s">
        <v>174</v>
      </c>
      <c r="F22" s="38" t="s">
        <v>182</v>
      </c>
      <c r="G22" s="39" t="s">
        <v>72</v>
      </c>
      <c r="H22" s="39"/>
      <c r="I22" s="40" t="s">
        <v>98</v>
      </c>
      <c r="J22" s="40"/>
      <c r="K22" s="40"/>
      <c r="L22" s="41" t="n">
        <v>46258</v>
      </c>
      <c r="M22" s="42" t="s">
        <v>87</v>
      </c>
      <c r="N22" s="43" t="n">
        <f aca="false">IF(OR($L22="",$M22=""),"",$L22+MATCH($M22,Listas!$F$5:$F$11,0)-1)</f>
        <v>46260</v>
      </c>
      <c r="O22" s="44"/>
      <c r="P22" s="39" t="s">
        <v>73</v>
      </c>
      <c r="Q22" s="44"/>
      <c r="R22" s="38"/>
      <c r="S22" s="38"/>
      <c r="T22" s="36" t="str">
        <f aca="false">IF($F22="","",IF(ISNUMBER(SEARCH("(externo)",$I22&amp;$J22&amp;$K22)),"Terceirizada","Interna"))</f>
        <v>Interna</v>
      </c>
      <c r="U22" s="43" t="n">
        <f aca="false">IF($N22="","",IF($Q22="",$N22,$Q22))</f>
        <v>46260</v>
      </c>
      <c r="V22" s="36" t="n">
        <f aca="false">IF($F22="","",IF(OR($O22="",$N22=""),0,IF($O22&lt;=$N22,1,0)))</f>
        <v>0</v>
      </c>
      <c r="W22" s="36" t="n">
        <f aca="false">IF($F22="","",IF(OR($O22="",$U22=""),0,IF($O22&lt;=$U22,1,0)))</f>
        <v>0</v>
      </c>
      <c r="X22" s="37" t="str">
        <f aca="false">IF(OR($O22="",$N22=""),"",MAX(0,$O22-$N22))</f>
        <v/>
      </c>
      <c r="Y22" s="36" t="n">
        <f aca="false">IF($F22="","",IF(AND($Q22&lt;&gt;"",$N22&lt;&gt;"",$Q22&lt;&gt;$N22),1,0))</f>
        <v>0</v>
      </c>
      <c r="Z22" s="36" t="n">
        <f aca="false">IF($F22="","",IF($P22="Cancelada",0,IF(OR($O22&lt;&gt;"",$P22="Concluída"),1,0)))</f>
        <v>1</v>
      </c>
    </row>
    <row r="23" customFormat="false" ht="16.5" hidden="false" customHeight="true" outlineLevel="0" collapsed="false">
      <c r="A23" s="36" t="n">
        <f aca="false">IF($F23="","",COUNTA($F$5:$F23))</f>
        <v>19</v>
      </c>
      <c r="B23" s="37" t="str">
        <f aca="true">IF($F23="","",IF($P23="Cancelada","Cancelada",IF(OR($O23&lt;&gt;"",$P23="Concluída"),IF(OR($N23="",$O23="",$O23&lt;=$N23),"Concluída","Concluída com atraso"),IF($N23="","Na carteira",IF($N23&lt;TODAY(),"VENCIDA",IF($P23="Em execução","Em execução",IF($N23=TODAY(),"Hoje","Programada")))))))</f>
        <v>Concluída</v>
      </c>
      <c r="C23" s="38"/>
      <c r="D23" s="38" t="s">
        <v>99</v>
      </c>
      <c r="E23" s="38" t="s">
        <v>174</v>
      </c>
      <c r="F23" s="38" t="s">
        <v>183</v>
      </c>
      <c r="G23" s="39" t="s">
        <v>72</v>
      </c>
      <c r="H23" s="39"/>
      <c r="I23" s="40" t="s">
        <v>98</v>
      </c>
      <c r="J23" s="40"/>
      <c r="K23" s="40"/>
      <c r="L23" s="41" t="n">
        <v>46258</v>
      </c>
      <c r="M23" s="42" t="s">
        <v>87</v>
      </c>
      <c r="N23" s="43" t="n">
        <f aca="false">IF(OR($L23="",$M23=""),"",$L23+MATCH($M23,Listas!$F$5:$F$11,0)-1)</f>
        <v>46260</v>
      </c>
      <c r="O23" s="44"/>
      <c r="P23" s="39" t="s">
        <v>73</v>
      </c>
      <c r="Q23" s="44"/>
      <c r="R23" s="38"/>
      <c r="S23" s="38"/>
      <c r="T23" s="36" t="str">
        <f aca="false">IF($F23="","",IF(ISNUMBER(SEARCH("(externo)",$I23&amp;$J23&amp;$K23)),"Terceirizada","Interna"))</f>
        <v>Interna</v>
      </c>
      <c r="U23" s="43" t="n">
        <f aca="false">IF($N23="","",IF($Q23="",$N23,$Q23))</f>
        <v>46260</v>
      </c>
      <c r="V23" s="36" t="n">
        <f aca="false">IF($F23="","",IF(OR($O23="",$N23=""),0,IF($O23&lt;=$N23,1,0)))</f>
        <v>0</v>
      </c>
      <c r="W23" s="36" t="n">
        <f aca="false">IF($F23="","",IF(OR($O23="",$U23=""),0,IF($O23&lt;=$U23,1,0)))</f>
        <v>0</v>
      </c>
      <c r="X23" s="37" t="str">
        <f aca="false">IF(OR($O23="",$N23=""),"",MAX(0,$O23-$N23))</f>
        <v/>
      </c>
      <c r="Y23" s="36" t="n">
        <f aca="false">IF($F23="","",IF(AND($Q23&lt;&gt;"",$N23&lt;&gt;"",$Q23&lt;&gt;$N23),1,0))</f>
        <v>0</v>
      </c>
      <c r="Z23" s="36" t="n">
        <f aca="false">IF($F23="","",IF($P23="Cancelada",0,IF(OR($O23&lt;&gt;"",$P23="Concluída"),1,0)))</f>
        <v>1</v>
      </c>
    </row>
    <row r="24" customFormat="false" ht="16.5" hidden="false" customHeight="true" outlineLevel="0" collapsed="false">
      <c r="A24" s="36" t="n">
        <f aca="false">IF($F24="","",COUNTA($F$5:$F24))</f>
        <v>20</v>
      </c>
      <c r="B24" s="37" t="str">
        <f aca="true">IF($F24="","",IF($P24="Cancelada","Cancelada",IF(OR($O24&lt;&gt;"",$P24="Concluída"),IF(OR($N24="",$O24="",$O24&lt;=$N24),"Concluída","Concluída com atraso"),IF($N24="","Na carteira",IF($N24&lt;TODAY(),"VENCIDA",IF($P24="Em execução","Em execução",IF($N24=TODAY(),"Hoje","Programada")))))))</f>
        <v>Concluída</v>
      </c>
      <c r="C24" s="38"/>
      <c r="D24" s="38" t="s">
        <v>99</v>
      </c>
      <c r="E24" s="38" t="s">
        <v>174</v>
      </c>
      <c r="F24" s="38" t="s">
        <v>184</v>
      </c>
      <c r="G24" s="39" t="s">
        <v>72</v>
      </c>
      <c r="H24" s="39"/>
      <c r="I24" s="40" t="s">
        <v>98</v>
      </c>
      <c r="J24" s="40"/>
      <c r="K24" s="40"/>
      <c r="L24" s="41" t="n">
        <v>46258</v>
      </c>
      <c r="M24" s="42" t="s">
        <v>87</v>
      </c>
      <c r="N24" s="43" t="n">
        <f aca="false">IF(OR($L24="",$M24=""),"",$L24+MATCH($M24,Listas!$F$5:$F$11,0)-1)</f>
        <v>46260</v>
      </c>
      <c r="O24" s="44"/>
      <c r="P24" s="39" t="s">
        <v>73</v>
      </c>
      <c r="Q24" s="44"/>
      <c r="R24" s="38"/>
      <c r="S24" s="38"/>
      <c r="T24" s="36" t="str">
        <f aca="false">IF($F24="","",IF(ISNUMBER(SEARCH("(externo)",$I24&amp;$J24&amp;$K24)),"Terceirizada","Interna"))</f>
        <v>Interna</v>
      </c>
      <c r="U24" s="43" t="n">
        <f aca="false">IF($N24="","",IF($Q24="",$N24,$Q24))</f>
        <v>46260</v>
      </c>
      <c r="V24" s="36" t="n">
        <f aca="false">IF($F24="","",IF(OR($O24="",$N24=""),0,IF($O24&lt;=$N24,1,0)))</f>
        <v>0</v>
      </c>
      <c r="W24" s="36" t="n">
        <f aca="false">IF($F24="","",IF(OR($O24="",$U24=""),0,IF($O24&lt;=$U24,1,0)))</f>
        <v>0</v>
      </c>
      <c r="X24" s="37" t="str">
        <f aca="false">IF(OR($O24="",$N24=""),"",MAX(0,$O24-$N24))</f>
        <v/>
      </c>
      <c r="Y24" s="36" t="n">
        <f aca="false">IF($F24="","",IF(AND($Q24&lt;&gt;"",$N24&lt;&gt;"",$Q24&lt;&gt;$N24),1,0))</f>
        <v>0</v>
      </c>
      <c r="Z24" s="36" t="n">
        <f aca="false">IF($F24="","",IF($P24="Cancelada",0,IF(OR($O24&lt;&gt;"",$P24="Concluída"),1,0)))</f>
        <v>1</v>
      </c>
    </row>
    <row r="25" customFormat="false" ht="16.5" hidden="false" customHeight="true" outlineLevel="0" collapsed="false">
      <c r="A25" s="36" t="n">
        <f aca="false">IF($F25="","",COUNTA($F$5:$F25))</f>
        <v>21</v>
      </c>
      <c r="B25" s="37" t="str">
        <f aca="true">IF($F25="","",IF($P25="Cancelada","Cancelada",IF(OR($O25&lt;&gt;"",$P25="Concluída"),IF(OR($N25="",$O25="",$O25&lt;=$N25),"Concluída","Concluída com atraso"),IF($N25="","Na carteira",IF($N25&lt;TODAY(),"VENCIDA",IF($P25="Em execução","Em execução",IF($N25=TODAY(),"Hoje","Programada")))))))</f>
        <v>Concluída</v>
      </c>
      <c r="C25" s="38"/>
      <c r="D25" s="38" t="s">
        <v>99</v>
      </c>
      <c r="E25" s="38" t="s">
        <v>174</v>
      </c>
      <c r="F25" s="38" t="s">
        <v>185</v>
      </c>
      <c r="G25" s="39" t="s">
        <v>72</v>
      </c>
      <c r="H25" s="39"/>
      <c r="I25" s="40" t="s">
        <v>98</v>
      </c>
      <c r="J25" s="40"/>
      <c r="K25" s="40"/>
      <c r="L25" s="41" t="n">
        <v>46258</v>
      </c>
      <c r="M25" s="42" t="s">
        <v>87</v>
      </c>
      <c r="N25" s="43" t="n">
        <f aca="false">IF(OR($L25="",$M25=""),"",$L25+MATCH($M25,Listas!$F$5:$F$11,0)-1)</f>
        <v>46260</v>
      </c>
      <c r="O25" s="44"/>
      <c r="P25" s="39" t="s">
        <v>73</v>
      </c>
      <c r="Q25" s="44"/>
      <c r="R25" s="38"/>
      <c r="S25" s="38"/>
      <c r="T25" s="36" t="str">
        <f aca="false">IF($F25="","",IF(ISNUMBER(SEARCH("(externo)",$I25&amp;$J25&amp;$K25)),"Terceirizada","Interna"))</f>
        <v>Interna</v>
      </c>
      <c r="U25" s="43" t="n">
        <f aca="false">IF($N25="","",IF($Q25="",$N25,$Q25))</f>
        <v>46260</v>
      </c>
      <c r="V25" s="36" t="n">
        <f aca="false">IF($F25="","",IF(OR($O25="",$N25=""),0,IF($O25&lt;=$N25,1,0)))</f>
        <v>0</v>
      </c>
      <c r="W25" s="36" t="n">
        <f aca="false">IF($F25="","",IF(OR($O25="",$U25=""),0,IF($O25&lt;=$U25,1,0)))</f>
        <v>0</v>
      </c>
      <c r="X25" s="37" t="str">
        <f aca="false">IF(OR($O25="",$N25=""),"",MAX(0,$O25-$N25))</f>
        <v/>
      </c>
      <c r="Y25" s="36" t="n">
        <f aca="false">IF($F25="","",IF(AND($Q25&lt;&gt;"",$N25&lt;&gt;"",$Q25&lt;&gt;$N25),1,0))</f>
        <v>0</v>
      </c>
      <c r="Z25" s="36" t="n">
        <f aca="false">IF($F25="","",IF($P25="Cancelada",0,IF(OR($O25&lt;&gt;"",$P25="Concluída"),1,0)))</f>
        <v>1</v>
      </c>
    </row>
    <row r="26" customFormat="false" ht="16.5" hidden="false" customHeight="true" outlineLevel="0" collapsed="false">
      <c r="A26" s="36" t="n">
        <f aca="false">IF($F26="","",COUNTA($F$5:$F26))</f>
        <v>22</v>
      </c>
      <c r="B26" s="37" t="str">
        <f aca="true">IF($F26="","",IF($P26="Cancelada","Cancelada",IF(OR($O26&lt;&gt;"",$P26="Concluída"),IF(OR($N26="",$O26="",$O26&lt;=$N26),"Concluída","Concluída com atraso"),IF($N26="","Na carteira",IF($N26&lt;TODAY(),"VENCIDA",IF($P26="Em execução","Em execução",IF($N26=TODAY(),"Hoje","Programada")))))))</f>
        <v>Concluída</v>
      </c>
      <c r="C26" s="38"/>
      <c r="D26" s="38" t="s">
        <v>99</v>
      </c>
      <c r="E26" s="38" t="s">
        <v>174</v>
      </c>
      <c r="F26" s="38" t="s">
        <v>186</v>
      </c>
      <c r="G26" s="39" t="s">
        <v>72</v>
      </c>
      <c r="H26" s="39"/>
      <c r="I26" s="40" t="s">
        <v>98</v>
      </c>
      <c r="J26" s="40"/>
      <c r="K26" s="40"/>
      <c r="L26" s="41" t="n">
        <v>46258</v>
      </c>
      <c r="M26" s="42" t="s">
        <v>87</v>
      </c>
      <c r="N26" s="43" t="n">
        <f aca="false">IF(OR($L26="",$M26=""),"",$L26+MATCH($M26,Listas!$F$5:$F$11,0)-1)</f>
        <v>46260</v>
      </c>
      <c r="O26" s="44"/>
      <c r="P26" s="39" t="s">
        <v>73</v>
      </c>
      <c r="Q26" s="44"/>
      <c r="R26" s="38"/>
      <c r="S26" s="38"/>
      <c r="T26" s="36" t="str">
        <f aca="false">IF($F26="","",IF(ISNUMBER(SEARCH("(externo)",$I26&amp;$J26&amp;$K26)),"Terceirizada","Interna"))</f>
        <v>Interna</v>
      </c>
      <c r="U26" s="43" t="n">
        <f aca="false">IF($N26="","",IF($Q26="",$N26,$Q26))</f>
        <v>46260</v>
      </c>
      <c r="V26" s="36" t="n">
        <f aca="false">IF($F26="","",IF(OR($O26="",$N26=""),0,IF($O26&lt;=$N26,1,0)))</f>
        <v>0</v>
      </c>
      <c r="W26" s="36" t="n">
        <f aca="false">IF($F26="","",IF(OR($O26="",$U26=""),0,IF($O26&lt;=$U26,1,0)))</f>
        <v>0</v>
      </c>
      <c r="X26" s="37" t="str">
        <f aca="false">IF(OR($O26="",$N26=""),"",MAX(0,$O26-$N26))</f>
        <v/>
      </c>
      <c r="Y26" s="36" t="n">
        <f aca="false">IF($F26="","",IF(AND($Q26&lt;&gt;"",$N26&lt;&gt;"",$Q26&lt;&gt;$N26),1,0))</f>
        <v>0</v>
      </c>
      <c r="Z26" s="36" t="n">
        <f aca="false">IF($F26="","",IF($P26="Cancelada",0,IF(OR($O26&lt;&gt;"",$P26="Concluída"),1,0)))</f>
        <v>1</v>
      </c>
    </row>
    <row r="27" customFormat="false" ht="16.5" hidden="false" customHeight="true" outlineLevel="0" collapsed="false">
      <c r="A27" s="36" t="n">
        <f aca="false">IF($F27="","",COUNTA($F$5:$F27))</f>
        <v>23</v>
      </c>
      <c r="B27" s="37" t="str">
        <f aca="true">IF($F27="","",IF($P27="Cancelada","Cancelada",IF(OR($O27&lt;&gt;"",$P27="Concluída"),IF(OR($N27="",$O27="",$O27&lt;=$N27),"Concluída","Concluída com atraso"),IF($N27="","Na carteira",IF($N27&lt;TODAY(),"VENCIDA",IF($P27="Em execução","Em execução",IF($N27=TODAY(),"Hoje","Programada")))))))</f>
        <v>Concluída</v>
      </c>
      <c r="C27" s="38"/>
      <c r="D27" s="38" t="s">
        <v>103</v>
      </c>
      <c r="E27" s="38" t="s">
        <v>187</v>
      </c>
      <c r="F27" s="38" t="s">
        <v>188</v>
      </c>
      <c r="G27" s="39" t="s">
        <v>72</v>
      </c>
      <c r="H27" s="39"/>
      <c r="I27" s="40" t="s">
        <v>106</v>
      </c>
      <c r="J27" s="40"/>
      <c r="K27" s="40"/>
      <c r="L27" s="41" t="n">
        <v>46258</v>
      </c>
      <c r="M27" s="42" t="s">
        <v>75</v>
      </c>
      <c r="N27" s="43" t="n">
        <f aca="false">IF(OR($L27="",$M27=""),"",$L27+MATCH($M27,Listas!$F$5:$F$11,0)-1)</f>
        <v>46258</v>
      </c>
      <c r="O27" s="44"/>
      <c r="P27" s="39" t="s">
        <v>73</v>
      </c>
      <c r="Q27" s="44"/>
      <c r="R27" s="38"/>
      <c r="S27" s="38"/>
      <c r="T27" s="36" t="str">
        <f aca="false">IF($F27="","",IF(ISNUMBER(SEARCH("(externo)",$I27&amp;$J27&amp;$K27)),"Terceirizada","Interna"))</f>
        <v>Interna</v>
      </c>
      <c r="U27" s="43" t="n">
        <f aca="false">IF($N27="","",IF($Q27="",$N27,$Q27))</f>
        <v>46258</v>
      </c>
      <c r="V27" s="36" t="n">
        <f aca="false">IF($F27="","",IF(OR($O27="",$N27=""),0,IF($O27&lt;=$N27,1,0)))</f>
        <v>0</v>
      </c>
      <c r="W27" s="36" t="n">
        <f aca="false">IF($F27="","",IF(OR($O27="",$U27=""),0,IF($O27&lt;=$U27,1,0)))</f>
        <v>0</v>
      </c>
      <c r="X27" s="37" t="str">
        <f aca="false">IF(OR($O27="",$N27=""),"",MAX(0,$O27-$N27))</f>
        <v/>
      </c>
      <c r="Y27" s="36" t="n">
        <f aca="false">IF($F27="","",IF(AND($Q27&lt;&gt;"",$N27&lt;&gt;"",$Q27&lt;&gt;$N27),1,0))</f>
        <v>0</v>
      </c>
      <c r="Z27" s="36" t="n">
        <f aca="false">IF($F27="","",IF($P27="Cancelada",0,IF(OR($O27&lt;&gt;"",$P27="Concluída"),1,0)))</f>
        <v>1</v>
      </c>
    </row>
    <row r="28" customFormat="false" ht="16.5" hidden="false" customHeight="true" outlineLevel="0" collapsed="false">
      <c r="A28" s="36" t="n">
        <f aca="false">IF($F28="","",COUNTA($F$5:$F28))</f>
        <v>24</v>
      </c>
      <c r="B28" s="37" t="str">
        <f aca="true">IF($F28="","",IF($P28="Cancelada","Cancelada",IF(OR($O28&lt;&gt;"",$P28="Concluída"),IF(OR($N28="",$O28="",$O28&lt;=$N28),"Concluída","Concluída com atraso"),IF($N28="","Na carteira",IF($N28&lt;TODAY(),"VENCIDA",IF($P28="Em execução","Em execução",IF($N28=TODAY(),"Hoje","Programada")))))))</f>
        <v>Concluída</v>
      </c>
      <c r="C28" s="38"/>
      <c r="D28" s="38" t="s">
        <v>103</v>
      </c>
      <c r="E28" s="38" t="s">
        <v>187</v>
      </c>
      <c r="F28" s="38" t="s">
        <v>189</v>
      </c>
      <c r="G28" s="39" t="s">
        <v>72</v>
      </c>
      <c r="H28" s="39"/>
      <c r="I28" s="40" t="s">
        <v>106</v>
      </c>
      <c r="J28" s="40"/>
      <c r="K28" s="40"/>
      <c r="L28" s="41" t="n">
        <v>46258</v>
      </c>
      <c r="M28" s="42" t="s">
        <v>75</v>
      </c>
      <c r="N28" s="43" t="n">
        <f aca="false">IF(OR($L28="",$M28=""),"",$L28+MATCH($M28,Listas!$F$5:$F$11,0)-1)</f>
        <v>46258</v>
      </c>
      <c r="O28" s="44"/>
      <c r="P28" s="39" t="s">
        <v>73</v>
      </c>
      <c r="Q28" s="44"/>
      <c r="R28" s="38"/>
      <c r="S28" s="38"/>
      <c r="T28" s="36" t="str">
        <f aca="false">IF($F28="","",IF(ISNUMBER(SEARCH("(externo)",$I28&amp;$J28&amp;$K28)),"Terceirizada","Interna"))</f>
        <v>Interna</v>
      </c>
      <c r="U28" s="43" t="n">
        <f aca="false">IF($N28="","",IF($Q28="",$N28,$Q28))</f>
        <v>46258</v>
      </c>
      <c r="V28" s="36" t="n">
        <f aca="false">IF($F28="","",IF(OR($O28="",$N28=""),0,IF($O28&lt;=$N28,1,0)))</f>
        <v>0</v>
      </c>
      <c r="W28" s="36" t="n">
        <f aca="false">IF($F28="","",IF(OR($O28="",$U28=""),0,IF($O28&lt;=$U28,1,0)))</f>
        <v>0</v>
      </c>
      <c r="X28" s="37" t="str">
        <f aca="false">IF(OR($O28="",$N28=""),"",MAX(0,$O28-$N28))</f>
        <v/>
      </c>
      <c r="Y28" s="36" t="n">
        <f aca="false">IF($F28="","",IF(AND($Q28&lt;&gt;"",$N28&lt;&gt;"",$Q28&lt;&gt;$N28),1,0))</f>
        <v>0</v>
      </c>
      <c r="Z28" s="36" t="n">
        <f aca="false">IF($F28="","",IF($P28="Cancelada",0,IF(OR($O28&lt;&gt;"",$P28="Concluída"),1,0)))</f>
        <v>1</v>
      </c>
    </row>
    <row r="29" customFormat="false" ht="16.5" hidden="false" customHeight="true" outlineLevel="0" collapsed="false">
      <c r="A29" s="36" t="n">
        <f aca="false">IF($F29="","",COUNTA($F$5:$F29))</f>
        <v>25</v>
      </c>
      <c r="B29" s="37" t="str">
        <f aca="true">IF($F29="","",IF($P29="Cancelada","Cancelada",IF(OR($O29&lt;&gt;"",$P29="Concluída"),IF(OR($N29="",$O29="",$O29&lt;=$N29),"Concluída","Concluída com atraso"),IF($N29="","Na carteira",IF($N29&lt;TODAY(),"VENCIDA",IF($P29="Em execução","Em execução",IF($N29=TODAY(),"Hoje","Programada")))))))</f>
        <v>Hoje</v>
      </c>
      <c r="C29" s="38"/>
      <c r="D29" s="38" t="s">
        <v>107</v>
      </c>
      <c r="E29" s="38" t="s">
        <v>78</v>
      </c>
      <c r="F29" s="38" t="s">
        <v>190</v>
      </c>
      <c r="G29" s="39" t="s">
        <v>78</v>
      </c>
      <c r="H29" s="39"/>
      <c r="I29" s="40" t="s">
        <v>70</v>
      </c>
      <c r="J29" s="40" t="s">
        <v>88</v>
      </c>
      <c r="K29" s="40"/>
      <c r="L29" s="41" t="n">
        <v>46258</v>
      </c>
      <c r="M29" s="42" t="s">
        <v>92</v>
      </c>
      <c r="N29" s="43" t="n">
        <f aca="false">IF(OR($L29="",$M29=""),"",$L29+MATCH($M29,Listas!$F$5:$F$11,0)-1)</f>
        <v>46261</v>
      </c>
      <c r="O29" s="44"/>
      <c r="P29" s="39"/>
      <c r="Q29" s="44" t="n">
        <v>46260</v>
      </c>
      <c r="R29" s="38"/>
      <c r="S29" s="38" t="s">
        <v>191</v>
      </c>
      <c r="T29" s="36" t="str">
        <f aca="false">IF($F29="","",IF(ISNUMBER(SEARCH("(externo)",$I29&amp;$J29&amp;$K29)),"Terceirizada","Interna"))</f>
        <v>Interna</v>
      </c>
      <c r="U29" s="43" t="n">
        <f aca="false">IF($N29="","",IF($Q29="",$N29,$Q29))</f>
        <v>46260</v>
      </c>
      <c r="V29" s="36" t="n">
        <f aca="false">IF($F29="","",IF(OR($O29="",$N29=""),0,IF($O29&lt;=$N29,1,0)))</f>
        <v>0</v>
      </c>
      <c r="W29" s="36" t="n">
        <f aca="false">IF($F29="","",IF(OR($O29="",$U29=""),0,IF($O29&lt;=$U29,1,0)))</f>
        <v>0</v>
      </c>
      <c r="X29" s="37" t="str">
        <f aca="false">IF(OR($O29="",$N29=""),"",MAX(0,$O29-$N29))</f>
        <v/>
      </c>
      <c r="Y29" s="36" t="n">
        <f aca="false">IF($F29="","",IF(AND($Q29&lt;&gt;"",$N29&lt;&gt;"",$Q29&lt;&gt;$N29),1,0))</f>
        <v>1</v>
      </c>
      <c r="Z29" s="36" t="n">
        <f aca="false">IF($F29="","",IF($P29="Cancelada",0,IF(OR($O29&lt;&gt;"",$P29="Concluída"),1,0)))</f>
        <v>0</v>
      </c>
    </row>
    <row r="30" customFormat="false" ht="16.5" hidden="false" customHeight="true" outlineLevel="0" collapsed="false">
      <c r="A30" s="36" t="n">
        <f aca="false">IF($F30="","",COUNTA($F$5:$F30))</f>
        <v>26</v>
      </c>
      <c r="B30" s="37" t="str">
        <f aca="true">IF($F30="","",IF($P30="Cancelada","Cancelada",IF(OR($O30&lt;&gt;"",$P30="Concluída"),IF(OR($N30="",$O30="",$O30&lt;=$N30),"Concluída","Concluída com atraso"),IF($N30="","Na carteira",IF($N30&lt;TODAY(),"VENCIDA",IF($P30="Em execução","Em execução",IF($N30=TODAY(),"Hoje","Programada")))))))</f>
        <v>Hoje</v>
      </c>
      <c r="C30" s="38"/>
      <c r="D30" s="38" t="s">
        <v>107</v>
      </c>
      <c r="E30" s="38" t="s">
        <v>78</v>
      </c>
      <c r="F30" s="38" t="s">
        <v>192</v>
      </c>
      <c r="G30" s="39" t="s">
        <v>78</v>
      </c>
      <c r="H30" s="39"/>
      <c r="I30" s="40" t="s">
        <v>70</v>
      </c>
      <c r="J30" s="40" t="s">
        <v>88</v>
      </c>
      <c r="K30" s="40"/>
      <c r="L30" s="41" t="n">
        <v>46258</v>
      </c>
      <c r="M30" s="42" t="s">
        <v>92</v>
      </c>
      <c r="N30" s="43" t="n">
        <f aca="false">IF(OR($L30="",$M30=""),"",$L30+MATCH($M30,Listas!$F$5:$F$11,0)-1)</f>
        <v>46261</v>
      </c>
      <c r="O30" s="44"/>
      <c r="P30" s="39"/>
      <c r="Q30" s="44" t="n">
        <v>46260</v>
      </c>
      <c r="R30" s="38"/>
      <c r="S30" s="38" t="s">
        <v>191</v>
      </c>
      <c r="T30" s="36" t="str">
        <f aca="false">IF($F30="","",IF(ISNUMBER(SEARCH("(externo)",$I30&amp;$J30&amp;$K30)),"Terceirizada","Interna"))</f>
        <v>Interna</v>
      </c>
      <c r="U30" s="43" t="n">
        <f aca="false">IF($N30="","",IF($Q30="",$N30,$Q30))</f>
        <v>46260</v>
      </c>
      <c r="V30" s="36" t="n">
        <f aca="false">IF($F30="","",IF(OR($O30="",$N30=""),0,IF($O30&lt;=$N30,1,0)))</f>
        <v>0</v>
      </c>
      <c r="W30" s="36" t="n">
        <f aca="false">IF($F30="","",IF(OR($O30="",$U30=""),0,IF($O30&lt;=$U30,1,0)))</f>
        <v>0</v>
      </c>
      <c r="X30" s="37" t="str">
        <f aca="false">IF(OR($O30="",$N30=""),"",MAX(0,$O30-$N30))</f>
        <v/>
      </c>
      <c r="Y30" s="36" t="n">
        <f aca="false">IF($F30="","",IF(AND($Q30&lt;&gt;"",$N30&lt;&gt;"",$Q30&lt;&gt;$N30),1,0))</f>
        <v>1</v>
      </c>
      <c r="Z30" s="36" t="n">
        <f aca="false">IF($F30="","",IF($P30="Cancelada",0,IF(OR($O30&lt;&gt;"",$P30="Concluída"),1,0)))</f>
        <v>0</v>
      </c>
    </row>
    <row r="31" customFormat="false" ht="16.5" hidden="false" customHeight="true" outlineLevel="0" collapsed="false">
      <c r="A31" s="36" t="n">
        <f aca="false">IF($F31="","",COUNTA($F$5:$F31))</f>
        <v>27</v>
      </c>
      <c r="B31" s="37" t="str">
        <f aca="true">IF($F31="","",IF($P31="Cancelada","Cancelada",IF(OR($O31&lt;&gt;"",$P31="Concluída"),IF(OR($N31="",$O31="",$O31&lt;=$N31),"Concluída","Concluída com atraso"),IF($N31="","Na carteira",IF($N31&lt;TODAY(),"VENCIDA",IF($P31="Em execução","Em execução",IF($N31=TODAY(),"Hoje","Programada")))))))</f>
        <v>Hoje</v>
      </c>
      <c r="C31" s="38"/>
      <c r="D31" s="38" t="s">
        <v>107</v>
      </c>
      <c r="E31" s="38" t="s">
        <v>78</v>
      </c>
      <c r="F31" s="38" t="s">
        <v>193</v>
      </c>
      <c r="G31" s="39" t="s">
        <v>78</v>
      </c>
      <c r="H31" s="39"/>
      <c r="I31" s="40" t="s">
        <v>70</v>
      </c>
      <c r="J31" s="40" t="s">
        <v>88</v>
      </c>
      <c r="K31" s="40"/>
      <c r="L31" s="41" t="n">
        <v>46258</v>
      </c>
      <c r="M31" s="42" t="s">
        <v>92</v>
      </c>
      <c r="N31" s="43" t="n">
        <f aca="false">IF(OR($L31="",$M31=""),"",$L31+MATCH($M31,Listas!$F$5:$F$11,0)-1)</f>
        <v>46261</v>
      </c>
      <c r="O31" s="44"/>
      <c r="P31" s="39"/>
      <c r="Q31" s="44" t="n">
        <v>46260</v>
      </c>
      <c r="R31" s="38"/>
      <c r="S31" s="38" t="s">
        <v>191</v>
      </c>
      <c r="T31" s="36" t="str">
        <f aca="false">IF($F31="","",IF(ISNUMBER(SEARCH("(externo)",$I31&amp;$J31&amp;$K31)),"Terceirizada","Interna"))</f>
        <v>Interna</v>
      </c>
      <c r="U31" s="43" t="n">
        <f aca="false">IF($N31="","",IF($Q31="",$N31,$Q31))</f>
        <v>46260</v>
      </c>
      <c r="V31" s="36" t="n">
        <f aca="false">IF($F31="","",IF(OR($O31="",$N31=""),0,IF($O31&lt;=$N31,1,0)))</f>
        <v>0</v>
      </c>
      <c r="W31" s="36" t="n">
        <f aca="false">IF($F31="","",IF(OR($O31="",$U31=""),0,IF($O31&lt;=$U31,1,0)))</f>
        <v>0</v>
      </c>
      <c r="X31" s="37" t="str">
        <f aca="false">IF(OR($O31="",$N31=""),"",MAX(0,$O31-$N31))</f>
        <v/>
      </c>
      <c r="Y31" s="36" t="n">
        <f aca="false">IF($F31="","",IF(AND($Q31&lt;&gt;"",$N31&lt;&gt;"",$Q31&lt;&gt;$N31),1,0))</f>
        <v>1</v>
      </c>
      <c r="Z31" s="36" t="n">
        <f aca="false">IF($F31="","",IF($P31="Cancelada",0,IF(OR($O31&lt;&gt;"",$P31="Concluída"),1,0)))</f>
        <v>0</v>
      </c>
    </row>
    <row r="32" customFormat="false" ht="16.5" hidden="false" customHeight="true" outlineLevel="0" collapsed="false">
      <c r="A32" s="36" t="n">
        <f aca="false">IF($F32="","",COUNTA($F$5:$F32))</f>
        <v>28</v>
      </c>
      <c r="B32" s="37" t="str">
        <f aca="true">IF($F32="","",IF($P32="Cancelada","Cancelada",IF(OR($O32&lt;&gt;"",$P32="Concluída"),IF(OR($N32="",$O32="",$O32&lt;=$N32),"Concluída","Concluída com atraso"),IF($N32="","Na carteira",IF($N32&lt;TODAY(),"VENCIDA",IF($P32="Em execução","Em execução",IF($N32=TODAY(),"Hoje","Programada")))))))</f>
        <v>Hoje</v>
      </c>
      <c r="C32" s="38"/>
      <c r="D32" s="38" t="s">
        <v>107</v>
      </c>
      <c r="E32" s="38" t="s">
        <v>78</v>
      </c>
      <c r="F32" s="38" t="s">
        <v>194</v>
      </c>
      <c r="G32" s="39" t="s">
        <v>78</v>
      </c>
      <c r="H32" s="39"/>
      <c r="I32" s="40" t="s">
        <v>70</v>
      </c>
      <c r="J32" s="40" t="s">
        <v>88</v>
      </c>
      <c r="K32" s="40"/>
      <c r="L32" s="41" t="n">
        <v>46258</v>
      </c>
      <c r="M32" s="42" t="s">
        <v>92</v>
      </c>
      <c r="N32" s="43" t="n">
        <f aca="false">IF(OR($L32="",$M32=""),"",$L32+MATCH($M32,Listas!$F$5:$F$11,0)-1)</f>
        <v>46261</v>
      </c>
      <c r="O32" s="44"/>
      <c r="P32" s="39"/>
      <c r="Q32" s="44" t="n">
        <v>46260</v>
      </c>
      <c r="R32" s="38"/>
      <c r="S32" s="38" t="s">
        <v>191</v>
      </c>
      <c r="T32" s="36" t="str">
        <f aca="false">IF($F32="","",IF(ISNUMBER(SEARCH("(externo)",$I32&amp;$J32&amp;$K32)),"Terceirizada","Interna"))</f>
        <v>Interna</v>
      </c>
      <c r="U32" s="43" t="n">
        <f aca="false">IF($N32="","",IF($Q32="",$N32,$Q32))</f>
        <v>46260</v>
      </c>
      <c r="V32" s="36" t="n">
        <f aca="false">IF($F32="","",IF(OR($O32="",$N32=""),0,IF($O32&lt;=$N32,1,0)))</f>
        <v>0</v>
      </c>
      <c r="W32" s="36" t="n">
        <f aca="false">IF($F32="","",IF(OR($O32="",$U32=""),0,IF($O32&lt;=$U32,1,0)))</f>
        <v>0</v>
      </c>
      <c r="X32" s="37" t="str">
        <f aca="false">IF(OR($O32="",$N32=""),"",MAX(0,$O32-$N32))</f>
        <v/>
      </c>
      <c r="Y32" s="36" t="n">
        <f aca="false">IF($F32="","",IF(AND($Q32&lt;&gt;"",$N32&lt;&gt;"",$Q32&lt;&gt;$N32),1,0))</f>
        <v>1</v>
      </c>
      <c r="Z32" s="36" t="n">
        <f aca="false">IF($F32="","",IF($P32="Cancelada",0,IF(OR($O32&lt;&gt;"",$P32="Concluída"),1,0)))</f>
        <v>0</v>
      </c>
    </row>
    <row r="33" customFormat="false" ht="16.5" hidden="false" customHeight="true" outlineLevel="0" collapsed="false">
      <c r="A33" s="36" t="n">
        <f aca="false">IF($F33="","",COUNTA($F$5:$F33))</f>
        <v>29</v>
      </c>
      <c r="B33" s="37" t="str">
        <f aca="true">IF($F33="","",IF($P33="Cancelada","Cancelada",IF(OR($O33&lt;&gt;"",$P33="Concluída"),IF(OR($N33="",$O33="",$O33&lt;=$N33),"Concluída","Concluída com atraso"),IF($N33="","Na carteira",IF($N33&lt;TODAY(),"VENCIDA",IF($P33="Em execução","Em execução",IF($N33=TODAY(),"Hoje","Programada")))))))</f>
        <v>Hoje</v>
      </c>
      <c r="C33" s="38"/>
      <c r="D33" s="38" t="s">
        <v>107</v>
      </c>
      <c r="E33" s="38" t="s">
        <v>78</v>
      </c>
      <c r="F33" s="38" t="s">
        <v>195</v>
      </c>
      <c r="G33" s="39" t="s">
        <v>78</v>
      </c>
      <c r="H33" s="39"/>
      <c r="I33" s="40" t="s">
        <v>70</v>
      </c>
      <c r="J33" s="40" t="s">
        <v>88</v>
      </c>
      <c r="K33" s="40"/>
      <c r="L33" s="41" t="n">
        <v>46258</v>
      </c>
      <c r="M33" s="42" t="s">
        <v>92</v>
      </c>
      <c r="N33" s="43" t="n">
        <f aca="false">IF(OR($L33="",$M33=""),"",$L33+MATCH($M33,Listas!$F$5:$F$11,0)-1)</f>
        <v>46261</v>
      </c>
      <c r="O33" s="44"/>
      <c r="P33" s="39"/>
      <c r="Q33" s="44" t="n">
        <v>46260</v>
      </c>
      <c r="R33" s="38"/>
      <c r="S33" s="38" t="s">
        <v>191</v>
      </c>
      <c r="T33" s="36" t="str">
        <f aca="false">IF($F33="","",IF(ISNUMBER(SEARCH("(externo)",$I33&amp;$J33&amp;$K33)),"Terceirizada","Interna"))</f>
        <v>Interna</v>
      </c>
      <c r="U33" s="43" t="n">
        <f aca="false">IF($N33="","",IF($Q33="",$N33,$Q33))</f>
        <v>46260</v>
      </c>
      <c r="V33" s="36" t="n">
        <f aca="false">IF($F33="","",IF(OR($O33="",$N33=""),0,IF($O33&lt;=$N33,1,0)))</f>
        <v>0</v>
      </c>
      <c r="W33" s="36" t="n">
        <f aca="false">IF($F33="","",IF(OR($O33="",$U33=""),0,IF($O33&lt;=$U33,1,0)))</f>
        <v>0</v>
      </c>
      <c r="X33" s="37" t="str">
        <f aca="false">IF(OR($O33="",$N33=""),"",MAX(0,$O33-$N33))</f>
        <v/>
      </c>
      <c r="Y33" s="36" t="n">
        <f aca="false">IF($F33="","",IF(AND($Q33&lt;&gt;"",$N33&lt;&gt;"",$Q33&lt;&gt;$N33),1,0))</f>
        <v>1</v>
      </c>
      <c r="Z33" s="36" t="n">
        <f aca="false">IF($F33="","",IF($P33="Cancelada",0,IF(OR($O33&lt;&gt;"",$P33="Concluída"),1,0)))</f>
        <v>0</v>
      </c>
    </row>
    <row r="34" customFormat="false" ht="16.5" hidden="false" customHeight="true" outlineLevel="0" collapsed="false">
      <c r="A34" s="36" t="n">
        <f aca="false">IF($F34="","",COUNTA($F$5:$F34))</f>
        <v>30</v>
      </c>
      <c r="B34" s="37" t="str">
        <f aca="true">IF($F34="","",IF($P34="Cancelada","Cancelada",IF(OR($O34&lt;&gt;"",$P34="Concluída"),IF(OR($N34="",$O34="",$O34&lt;=$N34),"Concluída","Concluída com atraso"),IF($N34="","Na carteira",IF($N34&lt;TODAY(),"VENCIDA",IF($P34="Em execução","Em execução",IF($N34=TODAY(),"Hoje","Programada")))))))</f>
        <v>Hoje</v>
      </c>
      <c r="C34" s="38"/>
      <c r="D34" s="38" t="s">
        <v>107</v>
      </c>
      <c r="E34" s="38" t="s">
        <v>78</v>
      </c>
      <c r="F34" s="38" t="s">
        <v>196</v>
      </c>
      <c r="G34" s="39" t="s">
        <v>78</v>
      </c>
      <c r="H34" s="39"/>
      <c r="I34" s="40" t="s">
        <v>70</v>
      </c>
      <c r="J34" s="40" t="s">
        <v>88</v>
      </c>
      <c r="K34" s="40"/>
      <c r="L34" s="41" t="n">
        <v>46258</v>
      </c>
      <c r="M34" s="42" t="s">
        <v>92</v>
      </c>
      <c r="N34" s="43" t="n">
        <f aca="false">IF(OR($L34="",$M34=""),"",$L34+MATCH($M34,Listas!$F$5:$F$11,0)-1)</f>
        <v>46261</v>
      </c>
      <c r="O34" s="44"/>
      <c r="P34" s="39"/>
      <c r="Q34" s="44" t="n">
        <v>46260</v>
      </c>
      <c r="R34" s="38"/>
      <c r="S34" s="38" t="s">
        <v>191</v>
      </c>
      <c r="T34" s="36" t="str">
        <f aca="false">IF($F34="","",IF(ISNUMBER(SEARCH("(externo)",$I34&amp;$J34&amp;$K34)),"Terceirizada","Interna"))</f>
        <v>Interna</v>
      </c>
      <c r="U34" s="43" t="n">
        <f aca="false">IF($N34="","",IF($Q34="",$N34,$Q34))</f>
        <v>46260</v>
      </c>
      <c r="V34" s="36" t="n">
        <f aca="false">IF($F34="","",IF(OR($O34="",$N34=""),0,IF($O34&lt;=$N34,1,0)))</f>
        <v>0</v>
      </c>
      <c r="W34" s="36" t="n">
        <f aca="false">IF($F34="","",IF(OR($O34="",$U34=""),0,IF($O34&lt;=$U34,1,0)))</f>
        <v>0</v>
      </c>
      <c r="X34" s="37" t="str">
        <f aca="false">IF(OR($O34="",$N34=""),"",MAX(0,$O34-$N34))</f>
        <v/>
      </c>
      <c r="Y34" s="36" t="n">
        <f aca="false">IF($F34="","",IF(AND($Q34&lt;&gt;"",$N34&lt;&gt;"",$Q34&lt;&gt;$N34),1,0))</f>
        <v>1</v>
      </c>
      <c r="Z34" s="36" t="n">
        <f aca="false">IF($F34="","",IF($P34="Cancelada",0,IF(OR($O34&lt;&gt;"",$P34="Concluída"),1,0)))</f>
        <v>0</v>
      </c>
    </row>
    <row r="35" customFormat="false" ht="16.5" hidden="false" customHeight="true" outlineLevel="0" collapsed="false">
      <c r="A35" s="36" t="n">
        <f aca="false">IF($F35="","",COUNTA($F$5:$F35))</f>
        <v>31</v>
      </c>
      <c r="B35" s="37" t="str">
        <f aca="true">IF($F35="","",IF($P35="Cancelada","Cancelada",IF(OR($O35&lt;&gt;"",$P35="Concluída"),IF(OR($N35="",$O35="",$O35&lt;=$N35),"Concluída","Concluída com atraso"),IF($N35="","Na carteira",IF($N35&lt;TODAY(),"VENCIDA",IF($P35="Em execução","Em execução",IF($N35=TODAY(),"Hoje","Programada")))))))</f>
        <v>Hoje</v>
      </c>
      <c r="C35" s="38"/>
      <c r="D35" s="38" t="s">
        <v>107</v>
      </c>
      <c r="E35" s="38" t="s">
        <v>78</v>
      </c>
      <c r="F35" s="38" t="s">
        <v>197</v>
      </c>
      <c r="G35" s="39" t="s">
        <v>78</v>
      </c>
      <c r="H35" s="39"/>
      <c r="I35" s="40" t="s">
        <v>70</v>
      </c>
      <c r="J35" s="40" t="s">
        <v>88</v>
      </c>
      <c r="K35" s="40"/>
      <c r="L35" s="41" t="n">
        <v>46258</v>
      </c>
      <c r="M35" s="42" t="s">
        <v>92</v>
      </c>
      <c r="N35" s="43" t="n">
        <f aca="false">IF(OR($L35="",$M35=""),"",$L35+MATCH($M35,Listas!$F$5:$F$11,0)-1)</f>
        <v>46261</v>
      </c>
      <c r="O35" s="44"/>
      <c r="P35" s="39"/>
      <c r="Q35" s="44" t="n">
        <v>46260</v>
      </c>
      <c r="R35" s="38"/>
      <c r="S35" s="38" t="s">
        <v>191</v>
      </c>
      <c r="T35" s="36" t="str">
        <f aca="false">IF($F35="","",IF(ISNUMBER(SEARCH("(externo)",$I35&amp;$J35&amp;$K35)),"Terceirizada","Interna"))</f>
        <v>Interna</v>
      </c>
      <c r="U35" s="43" t="n">
        <f aca="false">IF($N35="","",IF($Q35="",$N35,$Q35))</f>
        <v>46260</v>
      </c>
      <c r="V35" s="36" t="n">
        <f aca="false">IF($F35="","",IF(OR($O35="",$N35=""),0,IF($O35&lt;=$N35,1,0)))</f>
        <v>0</v>
      </c>
      <c r="W35" s="36" t="n">
        <f aca="false">IF($F35="","",IF(OR($O35="",$U35=""),0,IF($O35&lt;=$U35,1,0)))</f>
        <v>0</v>
      </c>
      <c r="X35" s="37" t="str">
        <f aca="false">IF(OR($O35="",$N35=""),"",MAX(0,$O35-$N35))</f>
        <v/>
      </c>
      <c r="Y35" s="36" t="n">
        <f aca="false">IF($F35="","",IF(AND($Q35&lt;&gt;"",$N35&lt;&gt;"",$Q35&lt;&gt;$N35),1,0))</f>
        <v>1</v>
      </c>
      <c r="Z35" s="36" t="n">
        <f aca="false">IF($F35="","",IF($P35="Cancelada",0,IF(OR($O35&lt;&gt;"",$P35="Concluída"),1,0)))</f>
        <v>0</v>
      </c>
    </row>
    <row r="36" customFormat="false" ht="16.5" hidden="false" customHeight="true" outlineLevel="0" collapsed="false">
      <c r="A36" s="36" t="n">
        <f aca="false">IF($F36="","",COUNTA($F$5:$F36))</f>
        <v>32</v>
      </c>
      <c r="B36" s="37" t="str">
        <f aca="true">IF($F36="","",IF($P36="Cancelada","Cancelada",IF(OR($O36&lt;&gt;"",$P36="Concluída"),IF(OR($N36="",$O36="",$O36&lt;=$N36),"Concluída","Concluída com atraso"),IF($N36="","Na carteira",IF($N36&lt;TODAY(),"VENCIDA",IF($P36="Em execução","Em execução",IF($N36=TODAY(),"Hoje","Programada")))))))</f>
        <v>Hoje</v>
      </c>
      <c r="C36" s="38"/>
      <c r="D36" s="38" t="s">
        <v>107</v>
      </c>
      <c r="E36" s="38" t="s">
        <v>78</v>
      </c>
      <c r="F36" s="38" t="s">
        <v>198</v>
      </c>
      <c r="G36" s="39" t="s">
        <v>78</v>
      </c>
      <c r="H36" s="39"/>
      <c r="I36" s="40" t="s">
        <v>70</v>
      </c>
      <c r="J36" s="40" t="s">
        <v>88</v>
      </c>
      <c r="K36" s="40"/>
      <c r="L36" s="41" t="n">
        <v>46258</v>
      </c>
      <c r="M36" s="42" t="s">
        <v>92</v>
      </c>
      <c r="N36" s="43" t="n">
        <f aca="false">IF(OR($L36="",$M36=""),"",$L36+MATCH($M36,Listas!$F$5:$F$11,0)-1)</f>
        <v>46261</v>
      </c>
      <c r="O36" s="44"/>
      <c r="P36" s="39"/>
      <c r="Q36" s="44" t="n">
        <v>46260</v>
      </c>
      <c r="R36" s="38"/>
      <c r="S36" s="38" t="s">
        <v>191</v>
      </c>
      <c r="T36" s="36" t="str">
        <f aca="false">IF($F36="","",IF(ISNUMBER(SEARCH("(externo)",$I36&amp;$J36&amp;$K36)),"Terceirizada","Interna"))</f>
        <v>Interna</v>
      </c>
      <c r="U36" s="43" t="n">
        <f aca="false">IF($N36="","",IF($Q36="",$N36,$Q36))</f>
        <v>46260</v>
      </c>
      <c r="V36" s="36" t="n">
        <f aca="false">IF($F36="","",IF(OR($O36="",$N36=""),0,IF($O36&lt;=$N36,1,0)))</f>
        <v>0</v>
      </c>
      <c r="W36" s="36" t="n">
        <f aca="false">IF($F36="","",IF(OR($O36="",$U36=""),0,IF($O36&lt;=$U36,1,0)))</f>
        <v>0</v>
      </c>
      <c r="X36" s="37" t="str">
        <f aca="false">IF(OR($O36="",$N36=""),"",MAX(0,$O36-$N36))</f>
        <v/>
      </c>
      <c r="Y36" s="36" t="n">
        <f aca="false">IF($F36="","",IF(AND($Q36&lt;&gt;"",$N36&lt;&gt;"",$Q36&lt;&gt;$N36),1,0))</f>
        <v>1</v>
      </c>
      <c r="Z36" s="36" t="n">
        <f aca="false">IF($F36="","",IF($P36="Cancelada",0,IF(OR($O36&lt;&gt;"",$P36="Concluída"),1,0)))</f>
        <v>0</v>
      </c>
    </row>
    <row r="37" customFormat="false" ht="16.5" hidden="false" customHeight="true" outlineLevel="0" collapsed="false">
      <c r="A37" s="36" t="n">
        <f aca="false">IF($F37="","",COUNTA($F$5:$F37))</f>
        <v>33</v>
      </c>
      <c r="B37" s="37" t="str">
        <f aca="true">IF($F37="","",IF($P37="Cancelada","Cancelada",IF(OR($O37&lt;&gt;"",$P37="Concluída"),IF(OR($N37="",$O37="",$O37&lt;=$N37),"Concluída","Concluída com atraso"),IF($N37="","Na carteira",IF($N37&lt;TODAY(),"VENCIDA",IF($P37="Em execução","Em execução",IF($N37=TODAY(),"Hoje","Programada")))))))</f>
        <v>Hoje</v>
      </c>
      <c r="C37" s="38"/>
      <c r="D37" s="38" t="s">
        <v>107</v>
      </c>
      <c r="E37" s="38" t="s">
        <v>78</v>
      </c>
      <c r="F37" s="38" t="s">
        <v>199</v>
      </c>
      <c r="G37" s="39" t="s">
        <v>78</v>
      </c>
      <c r="H37" s="39"/>
      <c r="I37" s="40" t="s">
        <v>70</v>
      </c>
      <c r="J37" s="40" t="s">
        <v>88</v>
      </c>
      <c r="K37" s="40"/>
      <c r="L37" s="41" t="n">
        <v>46258</v>
      </c>
      <c r="M37" s="42" t="s">
        <v>92</v>
      </c>
      <c r="N37" s="43" t="n">
        <f aca="false">IF(OR($L37="",$M37=""),"",$L37+MATCH($M37,Listas!$F$5:$F$11,0)-1)</f>
        <v>46261</v>
      </c>
      <c r="O37" s="44"/>
      <c r="P37" s="39"/>
      <c r="Q37" s="44" t="n">
        <v>46260</v>
      </c>
      <c r="R37" s="38"/>
      <c r="S37" s="38" t="s">
        <v>191</v>
      </c>
      <c r="T37" s="36" t="str">
        <f aca="false">IF($F37="","",IF(ISNUMBER(SEARCH("(externo)",$I37&amp;$J37&amp;$K37)),"Terceirizada","Interna"))</f>
        <v>Interna</v>
      </c>
      <c r="U37" s="43" t="n">
        <f aca="false">IF($N37="","",IF($Q37="",$N37,$Q37))</f>
        <v>46260</v>
      </c>
      <c r="V37" s="36" t="n">
        <f aca="false">IF($F37="","",IF(OR($O37="",$N37=""),0,IF($O37&lt;=$N37,1,0)))</f>
        <v>0</v>
      </c>
      <c r="W37" s="36" t="n">
        <f aca="false">IF($F37="","",IF(OR($O37="",$U37=""),0,IF($O37&lt;=$U37,1,0)))</f>
        <v>0</v>
      </c>
      <c r="X37" s="37" t="str">
        <f aca="false">IF(OR($O37="",$N37=""),"",MAX(0,$O37-$N37))</f>
        <v/>
      </c>
      <c r="Y37" s="36" t="n">
        <f aca="false">IF($F37="","",IF(AND($Q37&lt;&gt;"",$N37&lt;&gt;"",$Q37&lt;&gt;$N37),1,0))</f>
        <v>1</v>
      </c>
      <c r="Z37" s="36" t="n">
        <f aca="false">IF($F37="","",IF($P37="Cancelada",0,IF(OR($O37&lt;&gt;"",$P37="Concluída"),1,0)))</f>
        <v>0</v>
      </c>
    </row>
    <row r="38" customFormat="false" ht="16.5" hidden="false" customHeight="true" outlineLevel="0" collapsed="false">
      <c r="A38" s="36" t="n">
        <f aca="false">IF($F38="","",COUNTA($F$5:$F38))</f>
        <v>34</v>
      </c>
      <c r="B38" s="37" t="str">
        <f aca="true">IF($F38="","",IF($P38="Cancelada","Cancelada",IF(OR($O38&lt;&gt;"",$P38="Concluída"),IF(OR($N38="",$O38="",$O38&lt;=$N38),"Concluída","Concluída com atraso"),IF($N38="","Na carteira",IF($N38&lt;TODAY(),"VENCIDA",IF($P38="Em execução","Em execução",IF($N38=TODAY(),"Hoje","Programada")))))))</f>
        <v>Hoje</v>
      </c>
      <c r="C38" s="38"/>
      <c r="D38" s="38" t="s">
        <v>107</v>
      </c>
      <c r="E38" s="38" t="s">
        <v>78</v>
      </c>
      <c r="F38" s="38" t="s">
        <v>200</v>
      </c>
      <c r="G38" s="39" t="s">
        <v>78</v>
      </c>
      <c r="H38" s="39"/>
      <c r="I38" s="40" t="s">
        <v>70</v>
      </c>
      <c r="J38" s="40" t="s">
        <v>88</v>
      </c>
      <c r="K38" s="40"/>
      <c r="L38" s="41" t="n">
        <v>46258</v>
      </c>
      <c r="M38" s="42" t="s">
        <v>92</v>
      </c>
      <c r="N38" s="43" t="n">
        <f aca="false">IF(OR($L38="",$M38=""),"",$L38+MATCH($M38,Listas!$F$5:$F$11,0)-1)</f>
        <v>46261</v>
      </c>
      <c r="O38" s="44"/>
      <c r="P38" s="39"/>
      <c r="Q38" s="44" t="n">
        <v>46260</v>
      </c>
      <c r="R38" s="38"/>
      <c r="S38" s="38" t="s">
        <v>191</v>
      </c>
      <c r="T38" s="36" t="str">
        <f aca="false">IF($F38="","",IF(ISNUMBER(SEARCH("(externo)",$I38&amp;$J38&amp;$K38)),"Terceirizada","Interna"))</f>
        <v>Interna</v>
      </c>
      <c r="U38" s="43" t="n">
        <f aca="false">IF($N38="","",IF($Q38="",$N38,$Q38))</f>
        <v>46260</v>
      </c>
      <c r="V38" s="36" t="n">
        <f aca="false">IF($F38="","",IF(OR($O38="",$N38=""),0,IF($O38&lt;=$N38,1,0)))</f>
        <v>0</v>
      </c>
      <c r="W38" s="36" t="n">
        <f aca="false">IF($F38="","",IF(OR($O38="",$U38=""),0,IF($O38&lt;=$U38,1,0)))</f>
        <v>0</v>
      </c>
      <c r="X38" s="37" t="str">
        <f aca="false">IF(OR($O38="",$N38=""),"",MAX(0,$O38-$N38))</f>
        <v/>
      </c>
      <c r="Y38" s="36" t="n">
        <f aca="false">IF($F38="","",IF(AND($Q38&lt;&gt;"",$N38&lt;&gt;"",$Q38&lt;&gt;$N38),1,0))</f>
        <v>1</v>
      </c>
      <c r="Z38" s="36" t="n">
        <f aca="false">IF($F38="","",IF($P38="Cancelada",0,IF(OR($O38&lt;&gt;"",$P38="Concluída"),1,0)))</f>
        <v>0</v>
      </c>
    </row>
    <row r="39" customFormat="false" ht="16.5" hidden="false" customHeight="true" outlineLevel="0" collapsed="false">
      <c r="A39" s="36" t="n">
        <f aca="false">IF($F39="","",COUNTA($F$5:$F39))</f>
        <v>35</v>
      </c>
      <c r="B39" s="37" t="str">
        <f aca="true">IF($F39="","",IF($P39="Cancelada","Cancelada",IF(OR($O39&lt;&gt;"",$P39="Concluída"),IF(OR($N39="",$O39="",$O39&lt;=$N39),"Concluída","Concluída com atraso"),IF($N39="","Na carteira",IF($N39&lt;TODAY(),"VENCIDA",IF($P39="Em execução","Em execução",IF($N39=TODAY(),"Hoje","Programada")))))))</f>
        <v>Hoje</v>
      </c>
      <c r="C39" s="38"/>
      <c r="D39" s="38" t="s">
        <v>107</v>
      </c>
      <c r="E39" s="38" t="s">
        <v>78</v>
      </c>
      <c r="F39" s="38" t="s">
        <v>201</v>
      </c>
      <c r="G39" s="39" t="s">
        <v>78</v>
      </c>
      <c r="H39" s="39"/>
      <c r="I39" s="40" t="s">
        <v>70</v>
      </c>
      <c r="J39" s="40" t="s">
        <v>88</v>
      </c>
      <c r="K39" s="40"/>
      <c r="L39" s="41" t="n">
        <v>46258</v>
      </c>
      <c r="M39" s="42" t="s">
        <v>92</v>
      </c>
      <c r="N39" s="43" t="n">
        <f aca="false">IF(OR($L39="",$M39=""),"",$L39+MATCH($M39,Listas!$F$5:$F$11,0)-1)</f>
        <v>46261</v>
      </c>
      <c r="O39" s="44"/>
      <c r="P39" s="39"/>
      <c r="Q39" s="44" t="n">
        <v>46260</v>
      </c>
      <c r="R39" s="38"/>
      <c r="S39" s="38" t="s">
        <v>191</v>
      </c>
      <c r="T39" s="36" t="str">
        <f aca="false">IF($F39="","",IF(ISNUMBER(SEARCH("(externo)",$I39&amp;$J39&amp;$K39)),"Terceirizada","Interna"))</f>
        <v>Interna</v>
      </c>
      <c r="U39" s="43" t="n">
        <f aca="false">IF($N39="","",IF($Q39="",$N39,$Q39))</f>
        <v>46260</v>
      </c>
      <c r="V39" s="36" t="n">
        <f aca="false">IF($F39="","",IF(OR($O39="",$N39=""),0,IF($O39&lt;=$N39,1,0)))</f>
        <v>0</v>
      </c>
      <c r="W39" s="36" t="n">
        <f aca="false">IF($F39="","",IF(OR($O39="",$U39=""),0,IF($O39&lt;=$U39,1,0)))</f>
        <v>0</v>
      </c>
      <c r="X39" s="37" t="str">
        <f aca="false">IF(OR($O39="",$N39=""),"",MAX(0,$O39-$N39))</f>
        <v/>
      </c>
      <c r="Y39" s="36" t="n">
        <f aca="false">IF($F39="","",IF(AND($Q39&lt;&gt;"",$N39&lt;&gt;"",$Q39&lt;&gt;$N39),1,0))</f>
        <v>1</v>
      </c>
      <c r="Z39" s="36" t="n">
        <f aca="false">IF($F39="","",IF($P39="Cancelada",0,IF(OR($O39&lt;&gt;"",$P39="Concluída"),1,0)))</f>
        <v>0</v>
      </c>
    </row>
    <row r="40" customFormat="false" ht="16.5" hidden="false" customHeight="true" outlineLevel="0" collapsed="false">
      <c r="A40" s="36" t="n">
        <f aca="false">IF($F40="","",COUNTA($F$5:$F40))</f>
        <v>36</v>
      </c>
      <c r="B40" s="37" t="str">
        <f aca="true">IF($F40="","",IF($P40="Cancelada","Cancelada",IF(OR($O40&lt;&gt;"",$P40="Concluída"),IF(OR($N40="",$O40="",$O40&lt;=$N40),"Concluída","Concluída com atraso"),IF($N40="","Na carteira",IF($N40&lt;TODAY(),"VENCIDA",IF($P40="Em execução","Em execução",IF($N40=TODAY(),"Hoje","Programada")))))))</f>
        <v>Hoje</v>
      </c>
      <c r="C40" s="38"/>
      <c r="D40" s="38" t="s">
        <v>110</v>
      </c>
      <c r="E40" s="38" t="s">
        <v>202</v>
      </c>
      <c r="F40" s="38" t="s">
        <v>202</v>
      </c>
      <c r="G40" s="39" t="s">
        <v>72</v>
      </c>
      <c r="H40" s="39"/>
      <c r="I40" s="40" t="s">
        <v>70</v>
      </c>
      <c r="J40" s="40"/>
      <c r="K40" s="40"/>
      <c r="L40" s="41" t="n">
        <v>46258</v>
      </c>
      <c r="M40" s="42" t="s">
        <v>92</v>
      </c>
      <c r="N40" s="43" t="n">
        <f aca="false">IF(OR($L40="",$M40=""),"",$L40+MATCH($M40,Listas!$F$5:$F$11,0)-1)</f>
        <v>46261</v>
      </c>
      <c r="O40" s="44"/>
      <c r="P40" s="39"/>
      <c r="Q40" s="44"/>
      <c r="R40" s="38"/>
      <c r="S40" s="38" t="s">
        <v>203</v>
      </c>
      <c r="T40" s="36" t="str">
        <f aca="false">IF($F40="","",IF(ISNUMBER(SEARCH("(externo)",$I40&amp;$J40&amp;$K40)),"Terceirizada","Interna"))</f>
        <v>Interna</v>
      </c>
      <c r="U40" s="43" t="n">
        <f aca="false">IF($N40="","",IF($Q40="",$N40,$Q40))</f>
        <v>46261</v>
      </c>
      <c r="V40" s="36" t="n">
        <f aca="false">IF($F40="","",IF(OR($O40="",$N40=""),0,IF($O40&lt;=$N40,1,0)))</f>
        <v>0</v>
      </c>
      <c r="W40" s="36" t="n">
        <f aca="false">IF($F40="","",IF(OR($O40="",$U40=""),0,IF($O40&lt;=$U40,1,0)))</f>
        <v>0</v>
      </c>
      <c r="X40" s="37" t="str">
        <f aca="false">IF(OR($O40="",$N40=""),"",MAX(0,$O40-$N40))</f>
        <v/>
      </c>
      <c r="Y40" s="36" t="n">
        <f aca="false">IF($F40="","",IF(AND($Q40&lt;&gt;"",$N40&lt;&gt;"",$Q40&lt;&gt;$N40),1,0))</f>
        <v>0</v>
      </c>
      <c r="Z40" s="36" t="n">
        <f aca="false">IF($F40="","",IF($P40="Cancelada",0,IF(OR($O40&lt;&gt;"",$P40="Concluída"),1,0)))</f>
        <v>0</v>
      </c>
    </row>
    <row r="41" customFormat="false" ht="16.5" hidden="false" customHeight="true" outlineLevel="0" collapsed="false">
      <c r="A41" s="36" t="n">
        <f aca="false">IF($F41="","",COUNTA($F$5:$F41))</f>
        <v>37</v>
      </c>
      <c r="B41" s="37" t="str">
        <f aca="true">IF($F41="","",IF($P41="Cancelada","Cancelada",IF(OR($O41&lt;&gt;"",$P41="Concluída"),IF(OR($N41="",$O41="",$O41&lt;=$N41),"Concluída","Concluída com atraso"),IF($N41="","Na carteira",IF($N41&lt;TODAY(),"VENCIDA",IF($P41="Em execução","Em execução",IF($N41=TODAY(),"Hoje","Programada")))))))</f>
        <v>Hoje</v>
      </c>
      <c r="C41" s="38"/>
      <c r="D41" s="38" t="s">
        <v>112</v>
      </c>
      <c r="E41" s="38" t="s">
        <v>202</v>
      </c>
      <c r="F41" s="38" t="s">
        <v>202</v>
      </c>
      <c r="G41" s="39" t="s">
        <v>72</v>
      </c>
      <c r="H41" s="39"/>
      <c r="I41" s="40" t="s">
        <v>70</v>
      </c>
      <c r="J41" s="40"/>
      <c r="K41" s="40"/>
      <c r="L41" s="41" t="n">
        <v>46258</v>
      </c>
      <c r="M41" s="42" t="s">
        <v>92</v>
      </c>
      <c r="N41" s="43" t="n">
        <f aca="false">IF(OR($L41="",$M41=""),"",$L41+MATCH($M41,Listas!$F$5:$F$11,0)-1)</f>
        <v>46261</v>
      </c>
      <c r="O41" s="44"/>
      <c r="P41" s="39"/>
      <c r="Q41" s="44"/>
      <c r="R41" s="38"/>
      <c r="S41" s="38" t="s">
        <v>203</v>
      </c>
      <c r="T41" s="36" t="str">
        <f aca="false">IF($F41="","",IF(ISNUMBER(SEARCH("(externo)",$I41&amp;$J41&amp;$K41)),"Terceirizada","Interna"))</f>
        <v>Interna</v>
      </c>
      <c r="U41" s="43" t="n">
        <f aca="false">IF($N41="","",IF($Q41="",$N41,$Q41))</f>
        <v>46261</v>
      </c>
      <c r="V41" s="36" t="n">
        <f aca="false">IF($F41="","",IF(OR($O41="",$N41=""),0,IF($O41&lt;=$N41,1,0)))</f>
        <v>0</v>
      </c>
      <c r="W41" s="36" t="n">
        <f aca="false">IF($F41="","",IF(OR($O41="",$U41=""),0,IF($O41&lt;=$U41,1,0)))</f>
        <v>0</v>
      </c>
      <c r="X41" s="37" t="str">
        <f aca="false">IF(OR($O41="",$N41=""),"",MAX(0,$O41-$N41))</f>
        <v/>
      </c>
      <c r="Y41" s="36" t="n">
        <f aca="false">IF($F41="","",IF(AND($Q41&lt;&gt;"",$N41&lt;&gt;"",$Q41&lt;&gt;$N41),1,0))</f>
        <v>0</v>
      </c>
      <c r="Z41" s="36" t="n">
        <f aca="false">IF($F41="","",IF($P41="Cancelada",0,IF(OR($O41&lt;&gt;"",$P41="Concluída"),1,0)))</f>
        <v>0</v>
      </c>
    </row>
    <row r="42" customFormat="false" ht="16.5" hidden="false" customHeight="true" outlineLevel="0" collapsed="false">
      <c r="A42" s="36" t="n">
        <f aca="false">IF($F42="","",COUNTA($F$5:$F42))</f>
        <v>38</v>
      </c>
      <c r="B42" s="37" t="str">
        <f aca="true">IF($F42="","",IF($P42="Cancelada","Cancelada",IF(OR($O42&lt;&gt;"",$P42="Concluída"),IF(OR($N42="",$O42="",$O42&lt;=$N42),"Concluída","Concluída com atraso"),IF($N42="","Na carteira",IF($N42&lt;TODAY(),"VENCIDA",IF($P42="Em execução","Em execução",IF($N42=TODAY(),"Hoje","Programada")))))))</f>
        <v>Hoje</v>
      </c>
      <c r="C42" s="38" t="s">
        <v>204</v>
      </c>
      <c r="D42" s="38" t="s">
        <v>114</v>
      </c>
      <c r="E42" s="38" t="s">
        <v>162</v>
      </c>
      <c r="F42" s="38" t="s">
        <v>205</v>
      </c>
      <c r="G42" s="39" t="s">
        <v>72</v>
      </c>
      <c r="H42" s="39"/>
      <c r="I42" s="40" t="s">
        <v>76</v>
      </c>
      <c r="J42" s="40" t="s">
        <v>102</v>
      </c>
      <c r="K42" s="40"/>
      <c r="L42" s="41" t="n">
        <v>46258</v>
      </c>
      <c r="M42" s="42" t="s">
        <v>92</v>
      </c>
      <c r="N42" s="43" t="n">
        <f aca="false">IF(OR($L42="",$M42=""),"",$L42+MATCH($M42,Listas!$F$5:$F$11,0)-1)</f>
        <v>46261</v>
      </c>
      <c r="O42" s="44"/>
      <c r="P42" s="39"/>
      <c r="Q42" s="44" t="n">
        <v>46260</v>
      </c>
      <c r="R42" s="38" t="s">
        <v>206</v>
      </c>
      <c r="S42" s="38" t="s">
        <v>167</v>
      </c>
      <c r="T42" s="36" t="str">
        <f aca="false">IF($F42="","",IF(ISNUMBER(SEARCH("(externo)",$I42&amp;$J42&amp;$K42)),"Terceirizada","Interna"))</f>
        <v>Interna</v>
      </c>
      <c r="U42" s="43" t="n">
        <f aca="false">IF($N42="","",IF($Q42="",$N42,$Q42))</f>
        <v>46260</v>
      </c>
      <c r="V42" s="36" t="n">
        <f aca="false">IF($F42="","",IF(OR($O42="",$N42=""),0,IF($O42&lt;=$N42,1,0)))</f>
        <v>0</v>
      </c>
      <c r="W42" s="36" t="n">
        <f aca="false">IF($F42="","",IF(OR($O42="",$U42=""),0,IF($O42&lt;=$U42,1,0)))</f>
        <v>0</v>
      </c>
      <c r="X42" s="37" t="str">
        <f aca="false">IF(OR($O42="",$N42=""),"",MAX(0,$O42-$N42))</f>
        <v/>
      </c>
      <c r="Y42" s="36" t="n">
        <f aca="false">IF($F42="","",IF(AND($Q42&lt;&gt;"",$N42&lt;&gt;"",$Q42&lt;&gt;$N42),1,0))</f>
        <v>1</v>
      </c>
      <c r="Z42" s="36" t="n">
        <f aca="false">IF($F42="","",IF($P42="Cancelada",0,IF(OR($O42&lt;&gt;"",$P42="Concluída"),1,0)))</f>
        <v>0</v>
      </c>
    </row>
    <row r="43" customFormat="false" ht="16.5" hidden="false" customHeight="true" outlineLevel="0" collapsed="false">
      <c r="A43" s="36" t="n">
        <f aca="false">IF($F43="","",COUNTA($F$5:$F43))</f>
        <v>39</v>
      </c>
      <c r="B43" s="37" t="str">
        <f aca="true">IF($F43="","",IF($P43="Cancelada","Cancelada",IF(OR($O43&lt;&gt;"",$P43="Concluída"),IF(OR($N43="",$O43="",$O43&lt;=$N43),"Concluída","Concluída com atraso"),IF($N43="","Na carteira",IF($N43&lt;TODAY(),"VENCIDA",IF($P43="Em execução","Em execução",IF($N43=TODAY(),"Hoje","Programada")))))))</f>
        <v>Concluída</v>
      </c>
      <c r="C43" s="38"/>
      <c r="D43" s="38" t="s">
        <v>116</v>
      </c>
      <c r="E43" s="38" t="s">
        <v>207</v>
      </c>
      <c r="F43" s="38" t="s">
        <v>208</v>
      </c>
      <c r="G43" s="39" t="s">
        <v>78</v>
      </c>
      <c r="H43" s="39"/>
      <c r="I43" s="40" t="s">
        <v>106</v>
      </c>
      <c r="J43" s="40"/>
      <c r="K43" s="40"/>
      <c r="L43" s="41" t="n">
        <v>46258</v>
      </c>
      <c r="M43" s="42" t="s">
        <v>75</v>
      </c>
      <c r="N43" s="43" t="n">
        <f aca="false">IF(OR($L43="",$M43=""),"",$L43+MATCH($M43,Listas!$F$5:$F$11,0)-1)</f>
        <v>46258</v>
      </c>
      <c r="O43" s="44"/>
      <c r="P43" s="39" t="s">
        <v>73</v>
      </c>
      <c r="Q43" s="44"/>
      <c r="R43" s="38"/>
      <c r="S43" s="38"/>
      <c r="T43" s="36" t="str">
        <f aca="false">IF($F43="","",IF(ISNUMBER(SEARCH("(externo)",$I43&amp;$J43&amp;$K43)),"Terceirizada","Interna"))</f>
        <v>Interna</v>
      </c>
      <c r="U43" s="43" t="n">
        <f aca="false">IF($N43="","",IF($Q43="",$N43,$Q43))</f>
        <v>46258</v>
      </c>
      <c r="V43" s="36" t="n">
        <f aca="false">IF($F43="","",IF(OR($O43="",$N43=""),0,IF($O43&lt;=$N43,1,0)))</f>
        <v>0</v>
      </c>
      <c r="W43" s="36" t="n">
        <f aca="false">IF($F43="","",IF(OR($O43="",$U43=""),0,IF($O43&lt;=$U43,1,0)))</f>
        <v>0</v>
      </c>
      <c r="X43" s="37" t="str">
        <f aca="false">IF(OR($O43="",$N43=""),"",MAX(0,$O43-$N43))</f>
        <v/>
      </c>
      <c r="Y43" s="36" t="n">
        <f aca="false">IF($F43="","",IF(AND($Q43&lt;&gt;"",$N43&lt;&gt;"",$Q43&lt;&gt;$N43),1,0))</f>
        <v>0</v>
      </c>
      <c r="Z43" s="36" t="n">
        <f aca="false">IF($F43="","",IF($P43="Cancelada",0,IF(OR($O43&lt;&gt;"",$P43="Concluída"),1,0)))</f>
        <v>1</v>
      </c>
    </row>
    <row r="44" customFormat="false" ht="16.5" hidden="false" customHeight="true" outlineLevel="0" collapsed="false">
      <c r="A44" s="36" t="n">
        <f aca="false">IF($F44="","",COUNTA($F$5:$F44))</f>
        <v>40</v>
      </c>
      <c r="B44" s="37" t="str">
        <f aca="true">IF($F44="","",IF($P44="Cancelada","Cancelada",IF(OR($O44&lt;&gt;"",$P44="Concluída"),IF(OR($N44="",$O44="",$O44&lt;=$N44),"Concluída","Concluída com atraso"),IF($N44="","Na carteira",IF($N44&lt;TODAY(),"VENCIDA",IF($P44="Em execução","Em execução",IF($N44=TODAY(),"Hoje","Programada")))))))</f>
        <v>Hoje</v>
      </c>
      <c r="C44" s="38"/>
      <c r="D44" s="38" t="s">
        <v>117</v>
      </c>
      <c r="E44" s="38" t="s">
        <v>162</v>
      </c>
      <c r="F44" s="38" t="s">
        <v>209</v>
      </c>
      <c r="G44" s="39" t="s">
        <v>72</v>
      </c>
      <c r="H44" s="39"/>
      <c r="I44" s="40" t="s">
        <v>76</v>
      </c>
      <c r="J44" s="40" t="s">
        <v>102</v>
      </c>
      <c r="K44" s="40"/>
      <c r="L44" s="41" t="n">
        <v>46258</v>
      </c>
      <c r="M44" s="42" t="s">
        <v>92</v>
      </c>
      <c r="N44" s="43" t="n">
        <f aca="false">IF(OR($L44="",$M44=""),"",$L44+MATCH($M44,Listas!$F$5:$F$11,0)-1)</f>
        <v>46261</v>
      </c>
      <c r="O44" s="44"/>
      <c r="P44" s="39"/>
      <c r="Q44" s="44"/>
      <c r="R44" s="38"/>
      <c r="S44" s="38"/>
      <c r="T44" s="36" t="str">
        <f aca="false">IF($F44="","",IF(ISNUMBER(SEARCH("(externo)",$I44&amp;$J44&amp;$K44)),"Terceirizada","Interna"))</f>
        <v>Interna</v>
      </c>
      <c r="U44" s="43" t="n">
        <f aca="false">IF($N44="","",IF($Q44="",$N44,$Q44))</f>
        <v>46261</v>
      </c>
      <c r="V44" s="36" t="n">
        <f aca="false">IF($F44="","",IF(OR($O44="",$N44=""),0,IF($O44&lt;=$N44,1,0)))</f>
        <v>0</v>
      </c>
      <c r="W44" s="36" t="n">
        <f aca="false">IF($F44="","",IF(OR($O44="",$U44=""),0,IF($O44&lt;=$U44,1,0)))</f>
        <v>0</v>
      </c>
      <c r="X44" s="37" t="str">
        <f aca="false">IF(OR($O44="",$N44=""),"",MAX(0,$O44-$N44))</f>
        <v/>
      </c>
      <c r="Y44" s="36" t="n">
        <f aca="false">IF($F44="","",IF(AND($Q44&lt;&gt;"",$N44&lt;&gt;"",$Q44&lt;&gt;$N44),1,0))</f>
        <v>0</v>
      </c>
      <c r="Z44" s="36" t="n">
        <f aca="false">IF($F44="","",IF($P44="Cancelada",0,IF(OR($O44&lt;&gt;"",$P44="Concluída"),1,0)))</f>
        <v>0</v>
      </c>
    </row>
    <row r="45" customFormat="false" ht="16.5" hidden="false" customHeight="true" outlineLevel="0" collapsed="false">
      <c r="A45" s="36" t="n">
        <f aca="false">IF($F45="","",COUNTA($F$5:$F45))</f>
        <v>41</v>
      </c>
      <c r="B45" s="37" t="str">
        <f aca="true">IF($F45="","",IF($P45="Cancelada","Cancelada",IF(OR($O45&lt;&gt;"",$P45="Concluída"),IF(OR($N45="",$O45="",$O45&lt;=$N45),"Concluída","Concluída com atraso"),IF($N45="","Na carteira",IF($N45&lt;TODAY(),"VENCIDA",IF($P45="Em execução","Em execução",IF($N45=TODAY(),"Hoje","Programada")))))))</f>
        <v>Concluída</v>
      </c>
      <c r="C45" s="38"/>
      <c r="D45" s="38" t="s">
        <v>118</v>
      </c>
      <c r="E45" s="38" t="s">
        <v>210</v>
      </c>
      <c r="F45" s="38" t="s">
        <v>211</v>
      </c>
      <c r="G45" s="39" t="s">
        <v>72</v>
      </c>
      <c r="H45" s="39"/>
      <c r="I45" s="40" t="s">
        <v>70</v>
      </c>
      <c r="J45" s="40" t="s">
        <v>88</v>
      </c>
      <c r="K45" s="40" t="s">
        <v>98</v>
      </c>
      <c r="L45" s="41" t="n">
        <v>46258</v>
      </c>
      <c r="M45" s="42" t="s">
        <v>81</v>
      </c>
      <c r="N45" s="43" t="n">
        <f aca="false">IF(OR($L45="",$M45=""),"",$L45+MATCH($M45,Listas!$F$5:$F$11,0)-1)</f>
        <v>46259</v>
      </c>
      <c r="O45" s="44"/>
      <c r="P45" s="39" t="s">
        <v>73</v>
      </c>
      <c r="Q45" s="44"/>
      <c r="R45" s="38"/>
      <c r="S45" s="38" t="s">
        <v>212</v>
      </c>
      <c r="T45" s="36" t="str">
        <f aca="false">IF($F45="","",IF(ISNUMBER(SEARCH("(externo)",$I45&amp;$J45&amp;$K45)),"Terceirizada","Interna"))</f>
        <v>Interna</v>
      </c>
      <c r="U45" s="43" t="n">
        <f aca="false">IF($N45="","",IF($Q45="",$N45,$Q45))</f>
        <v>46259</v>
      </c>
      <c r="V45" s="36" t="n">
        <f aca="false">IF($F45="","",IF(OR($O45="",$N45=""),0,IF($O45&lt;=$N45,1,0)))</f>
        <v>0</v>
      </c>
      <c r="W45" s="36" t="n">
        <f aca="false">IF($F45="","",IF(OR($O45="",$U45=""),0,IF($O45&lt;=$U45,1,0)))</f>
        <v>0</v>
      </c>
      <c r="X45" s="37" t="str">
        <f aca="false">IF(OR($O45="",$N45=""),"",MAX(0,$O45-$N45))</f>
        <v/>
      </c>
      <c r="Y45" s="36" t="n">
        <f aca="false">IF($F45="","",IF(AND($Q45&lt;&gt;"",$N45&lt;&gt;"",$Q45&lt;&gt;$N45),1,0))</f>
        <v>0</v>
      </c>
      <c r="Z45" s="36" t="n">
        <f aca="false">IF($F45="","",IF($P45="Cancelada",0,IF(OR($O45&lt;&gt;"",$P45="Concluída"),1,0)))</f>
        <v>1</v>
      </c>
    </row>
    <row r="46" customFormat="false" ht="16.5" hidden="false" customHeight="true" outlineLevel="0" collapsed="false">
      <c r="A46" s="36" t="n">
        <f aca="false">IF($F46="","",COUNTA($F$5:$F46))</f>
        <v>42</v>
      </c>
      <c r="B46" s="37" t="str">
        <f aca="true">IF($F46="","",IF($P46="Cancelada","Cancelada",IF(OR($O46&lt;&gt;"",$P46="Concluída"),IF(OR($N46="",$O46="",$O46&lt;=$N46),"Concluída","Concluída com atraso"),IF($N46="","Na carteira",IF($N46&lt;TODAY(),"VENCIDA",IF($P46="Em execução","Em execução",IF($N46=TODAY(),"Hoje","Programada")))))))</f>
        <v>Concluída</v>
      </c>
      <c r="C46" s="38"/>
      <c r="D46" s="38" t="s">
        <v>118</v>
      </c>
      <c r="E46" s="38" t="s">
        <v>210</v>
      </c>
      <c r="F46" s="38" t="s">
        <v>213</v>
      </c>
      <c r="G46" s="39" t="s">
        <v>72</v>
      </c>
      <c r="H46" s="39"/>
      <c r="I46" s="40" t="s">
        <v>70</v>
      </c>
      <c r="J46" s="40" t="s">
        <v>88</v>
      </c>
      <c r="K46" s="40" t="s">
        <v>98</v>
      </c>
      <c r="L46" s="41" t="n">
        <v>46258</v>
      </c>
      <c r="M46" s="42" t="s">
        <v>81</v>
      </c>
      <c r="N46" s="43" t="n">
        <f aca="false">IF(OR($L46="",$M46=""),"",$L46+MATCH($M46,Listas!$F$5:$F$11,0)-1)</f>
        <v>46259</v>
      </c>
      <c r="O46" s="44"/>
      <c r="P46" s="39" t="s">
        <v>73</v>
      </c>
      <c r="Q46" s="44"/>
      <c r="R46" s="38"/>
      <c r="S46" s="38" t="s">
        <v>212</v>
      </c>
      <c r="T46" s="36" t="str">
        <f aca="false">IF($F46="","",IF(ISNUMBER(SEARCH("(externo)",$I46&amp;$J46&amp;$K46)),"Terceirizada","Interna"))</f>
        <v>Interna</v>
      </c>
      <c r="U46" s="43" t="n">
        <f aca="false">IF($N46="","",IF($Q46="",$N46,$Q46))</f>
        <v>46259</v>
      </c>
      <c r="V46" s="36" t="n">
        <f aca="false">IF($F46="","",IF(OR($O46="",$N46=""),0,IF($O46&lt;=$N46,1,0)))</f>
        <v>0</v>
      </c>
      <c r="W46" s="36" t="n">
        <f aca="false">IF($F46="","",IF(OR($O46="",$U46=""),0,IF($O46&lt;=$U46,1,0)))</f>
        <v>0</v>
      </c>
      <c r="X46" s="37" t="str">
        <f aca="false">IF(OR($O46="",$N46=""),"",MAX(0,$O46-$N46))</f>
        <v/>
      </c>
      <c r="Y46" s="36" t="n">
        <f aca="false">IF($F46="","",IF(AND($Q46&lt;&gt;"",$N46&lt;&gt;"",$Q46&lt;&gt;$N46),1,0))</f>
        <v>0</v>
      </c>
      <c r="Z46" s="36" t="n">
        <f aca="false">IF($F46="","",IF($P46="Cancelada",0,IF(OR($O46&lt;&gt;"",$P46="Concluída"),1,0)))</f>
        <v>1</v>
      </c>
    </row>
    <row r="47" customFormat="false" ht="16.5" hidden="false" customHeight="true" outlineLevel="0" collapsed="false">
      <c r="A47" s="36" t="n">
        <f aca="false">IF($F47="","",COUNTA($F$5:$F47))</f>
        <v>43</v>
      </c>
      <c r="B47" s="37" t="str">
        <f aca="true">IF($F47="","",IF($P47="Cancelada","Cancelada",IF(OR($O47&lt;&gt;"",$P47="Concluída"),IF(OR($N47="",$O47="",$O47&lt;=$N47),"Concluída","Concluída com atraso"),IF($N47="","Na carteira",IF($N47&lt;TODAY(),"VENCIDA",IF($P47="Em execução","Em execução",IF($N47=TODAY(),"Hoje","Programada")))))))</f>
        <v>Concluída</v>
      </c>
      <c r="C47" s="38"/>
      <c r="D47" s="38" t="s">
        <v>118</v>
      </c>
      <c r="E47" s="38" t="s">
        <v>210</v>
      </c>
      <c r="F47" s="38" t="s">
        <v>214</v>
      </c>
      <c r="G47" s="39" t="s">
        <v>72</v>
      </c>
      <c r="H47" s="39"/>
      <c r="I47" s="40" t="s">
        <v>70</v>
      </c>
      <c r="J47" s="40" t="s">
        <v>88</v>
      </c>
      <c r="K47" s="40" t="s">
        <v>98</v>
      </c>
      <c r="L47" s="41" t="n">
        <v>46258</v>
      </c>
      <c r="M47" s="42" t="s">
        <v>81</v>
      </c>
      <c r="N47" s="43" t="n">
        <f aca="false">IF(OR($L47="",$M47=""),"",$L47+MATCH($M47,Listas!$F$5:$F$11,0)-1)</f>
        <v>46259</v>
      </c>
      <c r="O47" s="44"/>
      <c r="P47" s="39" t="s">
        <v>73</v>
      </c>
      <c r="Q47" s="44"/>
      <c r="R47" s="38"/>
      <c r="S47" s="38" t="s">
        <v>212</v>
      </c>
      <c r="T47" s="36" t="str">
        <f aca="false">IF($F47="","",IF(ISNUMBER(SEARCH("(externo)",$I47&amp;$J47&amp;$K47)),"Terceirizada","Interna"))</f>
        <v>Interna</v>
      </c>
      <c r="U47" s="43" t="n">
        <f aca="false">IF($N47="","",IF($Q47="",$N47,$Q47))</f>
        <v>46259</v>
      </c>
      <c r="V47" s="36" t="n">
        <f aca="false">IF($F47="","",IF(OR($O47="",$N47=""),0,IF($O47&lt;=$N47,1,0)))</f>
        <v>0</v>
      </c>
      <c r="W47" s="36" t="n">
        <f aca="false">IF($F47="","",IF(OR($O47="",$U47=""),0,IF($O47&lt;=$U47,1,0)))</f>
        <v>0</v>
      </c>
      <c r="X47" s="37" t="str">
        <f aca="false">IF(OR($O47="",$N47=""),"",MAX(0,$O47-$N47))</f>
        <v/>
      </c>
      <c r="Y47" s="36" t="n">
        <f aca="false">IF($F47="","",IF(AND($Q47&lt;&gt;"",$N47&lt;&gt;"",$Q47&lt;&gt;$N47),1,0))</f>
        <v>0</v>
      </c>
      <c r="Z47" s="36" t="n">
        <f aca="false">IF($F47="","",IF($P47="Cancelada",0,IF(OR($O47&lt;&gt;"",$P47="Concluída"),1,0)))</f>
        <v>1</v>
      </c>
    </row>
    <row r="48" customFormat="false" ht="16.5" hidden="false" customHeight="true" outlineLevel="0" collapsed="false">
      <c r="A48" s="36" t="n">
        <f aca="false">IF($F48="","",COUNTA($F$5:$F48))</f>
        <v>44</v>
      </c>
      <c r="B48" s="37" t="str">
        <f aca="true">IF($F48="","",IF($P48="Cancelada","Cancelada",IF(OR($O48&lt;&gt;"",$P48="Concluída"),IF(OR($N48="",$O48="",$O48&lt;=$N48),"Concluída","Concluída com atraso"),IF($N48="","Na carteira",IF($N48&lt;TODAY(),"VENCIDA",IF($P48="Em execução","Em execução",IF($N48=TODAY(),"Hoje","Programada")))))))</f>
        <v>Concluída</v>
      </c>
      <c r="C48" s="38"/>
      <c r="D48" s="38" t="s">
        <v>118</v>
      </c>
      <c r="E48" s="38" t="s">
        <v>210</v>
      </c>
      <c r="F48" s="38" t="s">
        <v>215</v>
      </c>
      <c r="G48" s="39" t="s">
        <v>72</v>
      </c>
      <c r="H48" s="39"/>
      <c r="I48" s="40" t="s">
        <v>70</v>
      </c>
      <c r="J48" s="40" t="s">
        <v>88</v>
      </c>
      <c r="K48" s="40" t="s">
        <v>98</v>
      </c>
      <c r="L48" s="41" t="n">
        <v>46258</v>
      </c>
      <c r="M48" s="42" t="s">
        <v>81</v>
      </c>
      <c r="N48" s="43" t="n">
        <f aca="false">IF(OR($L48="",$M48=""),"",$L48+MATCH($M48,Listas!$F$5:$F$11,0)-1)</f>
        <v>46259</v>
      </c>
      <c r="O48" s="44"/>
      <c r="P48" s="39" t="s">
        <v>73</v>
      </c>
      <c r="Q48" s="44"/>
      <c r="R48" s="38"/>
      <c r="S48" s="38" t="s">
        <v>212</v>
      </c>
      <c r="T48" s="36" t="str">
        <f aca="false">IF($F48="","",IF(ISNUMBER(SEARCH("(externo)",$I48&amp;$J48&amp;$K48)),"Terceirizada","Interna"))</f>
        <v>Interna</v>
      </c>
      <c r="U48" s="43" t="n">
        <f aca="false">IF($N48="","",IF($Q48="",$N48,$Q48))</f>
        <v>46259</v>
      </c>
      <c r="V48" s="36" t="n">
        <f aca="false">IF($F48="","",IF(OR($O48="",$N48=""),0,IF($O48&lt;=$N48,1,0)))</f>
        <v>0</v>
      </c>
      <c r="W48" s="36" t="n">
        <f aca="false">IF($F48="","",IF(OR($O48="",$U48=""),0,IF($O48&lt;=$U48,1,0)))</f>
        <v>0</v>
      </c>
      <c r="X48" s="37" t="str">
        <f aca="false">IF(OR($O48="",$N48=""),"",MAX(0,$O48-$N48))</f>
        <v/>
      </c>
      <c r="Y48" s="36" t="n">
        <f aca="false">IF($F48="","",IF(AND($Q48&lt;&gt;"",$N48&lt;&gt;"",$Q48&lt;&gt;$N48),1,0))</f>
        <v>0</v>
      </c>
      <c r="Z48" s="36" t="n">
        <f aca="false">IF($F48="","",IF($P48="Cancelada",0,IF(OR($O48&lt;&gt;"",$P48="Concluída"),1,0)))</f>
        <v>1</v>
      </c>
    </row>
    <row r="49" customFormat="false" ht="16.5" hidden="false" customHeight="true" outlineLevel="0" collapsed="false">
      <c r="A49" s="36" t="n">
        <f aca="false">IF($F49="","",COUNTA($F$5:$F49))</f>
        <v>45</v>
      </c>
      <c r="B49" s="37" t="str">
        <f aca="true">IF($F49="","",IF($P49="Cancelada","Cancelada",IF(OR($O49&lt;&gt;"",$P49="Concluída"),IF(OR($N49="",$O49="",$O49&lt;=$N49),"Concluída","Concluída com atraso"),IF($N49="","Na carteira",IF($N49&lt;TODAY(),"VENCIDA",IF($P49="Em execução","Em execução",IF($N49=TODAY(),"Hoje","Programada")))))))</f>
        <v>Concluída</v>
      </c>
      <c r="C49" s="38"/>
      <c r="D49" s="38" t="s">
        <v>118</v>
      </c>
      <c r="E49" s="38" t="s">
        <v>210</v>
      </c>
      <c r="F49" s="38" t="s">
        <v>216</v>
      </c>
      <c r="G49" s="39" t="s">
        <v>72</v>
      </c>
      <c r="H49" s="39"/>
      <c r="I49" s="40" t="s">
        <v>70</v>
      </c>
      <c r="J49" s="40" t="s">
        <v>88</v>
      </c>
      <c r="K49" s="40" t="s">
        <v>98</v>
      </c>
      <c r="L49" s="41" t="n">
        <v>46258</v>
      </c>
      <c r="M49" s="42" t="s">
        <v>81</v>
      </c>
      <c r="N49" s="43" t="n">
        <f aca="false">IF(OR($L49="",$M49=""),"",$L49+MATCH($M49,Listas!$F$5:$F$11,0)-1)</f>
        <v>46259</v>
      </c>
      <c r="O49" s="44"/>
      <c r="P49" s="39" t="s">
        <v>73</v>
      </c>
      <c r="Q49" s="44"/>
      <c r="R49" s="38"/>
      <c r="S49" s="38" t="s">
        <v>212</v>
      </c>
      <c r="T49" s="36" t="str">
        <f aca="false">IF($F49="","",IF(ISNUMBER(SEARCH("(externo)",$I49&amp;$J49&amp;$K49)),"Terceirizada","Interna"))</f>
        <v>Interna</v>
      </c>
      <c r="U49" s="43" t="n">
        <f aca="false">IF($N49="","",IF($Q49="",$N49,$Q49))</f>
        <v>46259</v>
      </c>
      <c r="V49" s="36" t="n">
        <f aca="false">IF($F49="","",IF(OR($O49="",$N49=""),0,IF($O49&lt;=$N49,1,0)))</f>
        <v>0</v>
      </c>
      <c r="W49" s="36" t="n">
        <f aca="false">IF($F49="","",IF(OR($O49="",$U49=""),0,IF($O49&lt;=$U49,1,0)))</f>
        <v>0</v>
      </c>
      <c r="X49" s="37" t="str">
        <f aca="false">IF(OR($O49="",$N49=""),"",MAX(0,$O49-$N49))</f>
        <v/>
      </c>
      <c r="Y49" s="36" t="n">
        <f aca="false">IF($F49="","",IF(AND($Q49&lt;&gt;"",$N49&lt;&gt;"",$Q49&lt;&gt;$N49),1,0))</f>
        <v>0</v>
      </c>
      <c r="Z49" s="36" t="n">
        <f aca="false">IF($F49="","",IF($P49="Cancelada",0,IF(OR($O49&lt;&gt;"",$P49="Concluída"),1,0)))</f>
        <v>1</v>
      </c>
    </row>
    <row r="50" customFormat="false" ht="16.5" hidden="false" customHeight="true" outlineLevel="0" collapsed="false">
      <c r="A50" s="36" t="n">
        <f aca="false">IF($F50="","",COUNTA($F$5:$F50))</f>
        <v>46</v>
      </c>
      <c r="B50" s="37" t="str">
        <f aca="true">IF($F50="","",IF($P50="Cancelada","Cancelada",IF(OR($O50&lt;&gt;"",$P50="Concluída"),IF(OR($N50="",$O50="",$O50&lt;=$N50),"Concluída","Concluída com atraso"),IF($N50="","Na carteira",IF($N50&lt;TODAY(),"VENCIDA",IF($P50="Em execução","Em execução",IF($N50=TODAY(),"Hoje","Programada")))))))</f>
        <v>Concluída</v>
      </c>
      <c r="C50" s="38"/>
      <c r="D50" s="38" t="s">
        <v>118</v>
      </c>
      <c r="E50" s="38" t="s">
        <v>210</v>
      </c>
      <c r="F50" s="38" t="s">
        <v>217</v>
      </c>
      <c r="G50" s="39" t="s">
        <v>72</v>
      </c>
      <c r="H50" s="39"/>
      <c r="I50" s="40" t="s">
        <v>70</v>
      </c>
      <c r="J50" s="40" t="s">
        <v>88</v>
      </c>
      <c r="K50" s="40" t="s">
        <v>98</v>
      </c>
      <c r="L50" s="41" t="n">
        <v>46258</v>
      </c>
      <c r="M50" s="42" t="s">
        <v>81</v>
      </c>
      <c r="N50" s="43" t="n">
        <f aca="false">IF(OR($L50="",$M50=""),"",$L50+MATCH($M50,Listas!$F$5:$F$11,0)-1)</f>
        <v>46259</v>
      </c>
      <c r="O50" s="44"/>
      <c r="P50" s="39" t="s">
        <v>73</v>
      </c>
      <c r="Q50" s="44"/>
      <c r="R50" s="38"/>
      <c r="S50" s="38" t="s">
        <v>212</v>
      </c>
      <c r="T50" s="36" t="str">
        <f aca="false">IF($F50="","",IF(ISNUMBER(SEARCH("(externo)",$I50&amp;$J50&amp;$K50)),"Terceirizada","Interna"))</f>
        <v>Interna</v>
      </c>
      <c r="U50" s="43" t="n">
        <f aca="false">IF($N50="","",IF($Q50="",$N50,$Q50))</f>
        <v>46259</v>
      </c>
      <c r="V50" s="36" t="n">
        <f aca="false">IF($F50="","",IF(OR($O50="",$N50=""),0,IF($O50&lt;=$N50,1,0)))</f>
        <v>0</v>
      </c>
      <c r="W50" s="36" t="n">
        <f aca="false">IF($F50="","",IF(OR($O50="",$U50=""),0,IF($O50&lt;=$U50,1,0)))</f>
        <v>0</v>
      </c>
      <c r="X50" s="37" t="str">
        <f aca="false">IF(OR($O50="",$N50=""),"",MAX(0,$O50-$N50))</f>
        <v/>
      </c>
      <c r="Y50" s="36" t="n">
        <f aca="false">IF($F50="","",IF(AND($Q50&lt;&gt;"",$N50&lt;&gt;"",$Q50&lt;&gt;$N50),1,0))</f>
        <v>0</v>
      </c>
      <c r="Z50" s="36" t="n">
        <f aca="false">IF($F50="","",IF($P50="Cancelada",0,IF(OR($O50&lt;&gt;"",$P50="Concluída"),1,0)))</f>
        <v>1</v>
      </c>
    </row>
    <row r="51" customFormat="false" ht="16.5" hidden="false" customHeight="true" outlineLevel="0" collapsed="false">
      <c r="A51" s="36" t="n">
        <f aca="false">IF($F51="","",COUNTA($F$5:$F51))</f>
        <v>47</v>
      </c>
      <c r="B51" s="37" t="str">
        <f aca="true">IF($F51="","",IF($P51="Cancelada","Cancelada",IF(OR($O51&lt;&gt;"",$P51="Concluída"),IF(OR($N51="",$O51="",$O51&lt;=$N51),"Concluída","Concluída com atraso"),IF($N51="","Na carteira",IF($N51&lt;TODAY(),"VENCIDA",IF($P51="Em execução","Em execução",IF($N51=TODAY(),"Hoje","Programada")))))))</f>
        <v>Concluída</v>
      </c>
      <c r="C51" s="38"/>
      <c r="D51" s="38" t="s">
        <v>118</v>
      </c>
      <c r="E51" s="38" t="s">
        <v>210</v>
      </c>
      <c r="F51" s="38" t="s">
        <v>218</v>
      </c>
      <c r="G51" s="39" t="s">
        <v>72</v>
      </c>
      <c r="H51" s="39"/>
      <c r="I51" s="40" t="s">
        <v>70</v>
      </c>
      <c r="J51" s="40" t="s">
        <v>88</v>
      </c>
      <c r="K51" s="40" t="s">
        <v>98</v>
      </c>
      <c r="L51" s="41" t="n">
        <v>46258</v>
      </c>
      <c r="M51" s="42" t="s">
        <v>81</v>
      </c>
      <c r="N51" s="43" t="n">
        <f aca="false">IF(OR($L51="",$M51=""),"",$L51+MATCH($M51,Listas!$F$5:$F$11,0)-1)</f>
        <v>46259</v>
      </c>
      <c r="O51" s="44"/>
      <c r="P51" s="39" t="s">
        <v>73</v>
      </c>
      <c r="Q51" s="44"/>
      <c r="R51" s="38"/>
      <c r="S51" s="38" t="s">
        <v>212</v>
      </c>
      <c r="T51" s="36" t="str">
        <f aca="false">IF($F51="","",IF(ISNUMBER(SEARCH("(externo)",$I51&amp;$J51&amp;$K51)),"Terceirizada","Interna"))</f>
        <v>Interna</v>
      </c>
      <c r="U51" s="43" t="n">
        <f aca="false">IF($N51="","",IF($Q51="",$N51,$Q51))</f>
        <v>46259</v>
      </c>
      <c r="V51" s="36" t="n">
        <f aca="false">IF($F51="","",IF(OR($O51="",$N51=""),0,IF($O51&lt;=$N51,1,0)))</f>
        <v>0</v>
      </c>
      <c r="W51" s="36" t="n">
        <f aca="false">IF($F51="","",IF(OR($O51="",$U51=""),0,IF($O51&lt;=$U51,1,0)))</f>
        <v>0</v>
      </c>
      <c r="X51" s="37" t="str">
        <f aca="false">IF(OR($O51="",$N51=""),"",MAX(0,$O51-$N51))</f>
        <v/>
      </c>
      <c r="Y51" s="36" t="n">
        <f aca="false">IF($F51="","",IF(AND($Q51&lt;&gt;"",$N51&lt;&gt;"",$Q51&lt;&gt;$N51),1,0))</f>
        <v>0</v>
      </c>
      <c r="Z51" s="36" t="n">
        <f aca="false">IF($F51="","",IF($P51="Cancelada",0,IF(OR($O51&lt;&gt;"",$P51="Concluída"),1,0)))</f>
        <v>1</v>
      </c>
    </row>
    <row r="52" customFormat="false" ht="16.5" hidden="false" customHeight="true" outlineLevel="0" collapsed="false">
      <c r="A52" s="36" t="n">
        <f aca="false">IF($F52="","",COUNTA($F$5:$F52))</f>
        <v>48</v>
      </c>
      <c r="B52" s="37" t="str">
        <f aca="true">IF($F52="","",IF($P52="Cancelada","Cancelada",IF(OR($O52&lt;&gt;"",$P52="Concluída"),IF(OR($N52="",$O52="",$O52&lt;=$N52),"Concluída","Concluída com atraso"),IF($N52="","Na carteira",IF($N52&lt;TODAY(),"VENCIDA",IF($P52="Em execução","Em execução",IF($N52=TODAY(),"Hoje","Programada")))))))</f>
        <v>Concluída</v>
      </c>
      <c r="C52" s="38"/>
      <c r="D52" s="38" t="s">
        <v>118</v>
      </c>
      <c r="E52" s="38" t="s">
        <v>210</v>
      </c>
      <c r="F52" s="38" t="s">
        <v>219</v>
      </c>
      <c r="G52" s="39" t="s">
        <v>72</v>
      </c>
      <c r="H52" s="39"/>
      <c r="I52" s="40" t="s">
        <v>70</v>
      </c>
      <c r="J52" s="40" t="s">
        <v>88</v>
      </c>
      <c r="K52" s="40" t="s">
        <v>98</v>
      </c>
      <c r="L52" s="41" t="n">
        <v>46258</v>
      </c>
      <c r="M52" s="42" t="s">
        <v>81</v>
      </c>
      <c r="N52" s="43" t="n">
        <f aca="false">IF(OR($L52="",$M52=""),"",$L52+MATCH($M52,Listas!$F$5:$F$11,0)-1)</f>
        <v>46259</v>
      </c>
      <c r="O52" s="44"/>
      <c r="P52" s="39" t="s">
        <v>73</v>
      </c>
      <c r="Q52" s="44"/>
      <c r="R52" s="38"/>
      <c r="S52" s="38" t="s">
        <v>212</v>
      </c>
      <c r="T52" s="36" t="str">
        <f aca="false">IF($F52="","",IF(ISNUMBER(SEARCH("(externo)",$I52&amp;$J52&amp;$K52)),"Terceirizada","Interna"))</f>
        <v>Interna</v>
      </c>
      <c r="U52" s="43" t="n">
        <f aca="false">IF($N52="","",IF($Q52="",$N52,$Q52))</f>
        <v>46259</v>
      </c>
      <c r="V52" s="36" t="n">
        <f aca="false">IF($F52="","",IF(OR($O52="",$N52=""),0,IF($O52&lt;=$N52,1,0)))</f>
        <v>0</v>
      </c>
      <c r="W52" s="36" t="n">
        <f aca="false">IF($F52="","",IF(OR($O52="",$U52=""),0,IF($O52&lt;=$U52,1,0)))</f>
        <v>0</v>
      </c>
      <c r="X52" s="37" t="str">
        <f aca="false">IF(OR($O52="",$N52=""),"",MAX(0,$O52-$N52))</f>
        <v/>
      </c>
      <c r="Y52" s="36" t="n">
        <f aca="false">IF($F52="","",IF(AND($Q52&lt;&gt;"",$N52&lt;&gt;"",$Q52&lt;&gt;$N52),1,0))</f>
        <v>0</v>
      </c>
      <c r="Z52" s="36" t="n">
        <f aca="false">IF($F52="","",IF($P52="Cancelada",0,IF(OR($O52&lt;&gt;"",$P52="Concluída"),1,0)))</f>
        <v>1</v>
      </c>
    </row>
    <row r="53" customFormat="false" ht="16.5" hidden="false" customHeight="true" outlineLevel="0" collapsed="false">
      <c r="A53" s="36" t="n">
        <f aca="false">IF($F53="","",COUNTA($F$5:$F53))</f>
        <v>49</v>
      </c>
      <c r="B53" s="37" t="str">
        <f aca="true">IF($F53="","",IF($P53="Cancelada","Cancelada",IF(OR($O53&lt;&gt;"",$P53="Concluída"),IF(OR($N53="",$O53="",$O53&lt;=$N53),"Concluída","Concluída com atraso"),IF($N53="","Na carteira",IF($N53&lt;TODAY(),"VENCIDA",IF($P53="Em execução","Em execução",IF($N53=TODAY(),"Hoje","Programada")))))))</f>
        <v>Concluída</v>
      </c>
      <c r="C53" s="38"/>
      <c r="D53" s="38" t="s">
        <v>118</v>
      </c>
      <c r="E53" s="38" t="s">
        <v>210</v>
      </c>
      <c r="F53" s="38" t="s">
        <v>220</v>
      </c>
      <c r="G53" s="39" t="s">
        <v>72</v>
      </c>
      <c r="H53" s="39"/>
      <c r="I53" s="40" t="s">
        <v>70</v>
      </c>
      <c r="J53" s="40" t="s">
        <v>88</v>
      </c>
      <c r="K53" s="40" t="s">
        <v>98</v>
      </c>
      <c r="L53" s="41" t="n">
        <v>46258</v>
      </c>
      <c r="M53" s="42" t="s">
        <v>81</v>
      </c>
      <c r="N53" s="43" t="n">
        <f aca="false">IF(OR($L53="",$M53=""),"",$L53+MATCH($M53,Listas!$F$5:$F$11,0)-1)</f>
        <v>46259</v>
      </c>
      <c r="O53" s="44"/>
      <c r="P53" s="39" t="s">
        <v>73</v>
      </c>
      <c r="Q53" s="44"/>
      <c r="R53" s="38"/>
      <c r="S53" s="38" t="s">
        <v>212</v>
      </c>
      <c r="T53" s="36" t="str">
        <f aca="false">IF($F53="","",IF(ISNUMBER(SEARCH("(externo)",$I53&amp;$J53&amp;$K53)),"Terceirizada","Interna"))</f>
        <v>Interna</v>
      </c>
      <c r="U53" s="43" t="n">
        <f aca="false">IF($N53="","",IF($Q53="",$N53,$Q53))</f>
        <v>46259</v>
      </c>
      <c r="V53" s="36" t="n">
        <f aca="false">IF($F53="","",IF(OR($O53="",$N53=""),0,IF($O53&lt;=$N53,1,0)))</f>
        <v>0</v>
      </c>
      <c r="W53" s="36" t="n">
        <f aca="false">IF($F53="","",IF(OR($O53="",$U53=""),0,IF($O53&lt;=$U53,1,0)))</f>
        <v>0</v>
      </c>
      <c r="X53" s="37" t="str">
        <f aca="false">IF(OR($O53="",$N53=""),"",MAX(0,$O53-$N53))</f>
        <v/>
      </c>
      <c r="Y53" s="36" t="n">
        <f aca="false">IF($F53="","",IF(AND($Q53&lt;&gt;"",$N53&lt;&gt;"",$Q53&lt;&gt;$N53),1,0))</f>
        <v>0</v>
      </c>
      <c r="Z53" s="36" t="n">
        <f aca="false">IF($F53="","",IF($P53="Cancelada",0,IF(OR($O53&lt;&gt;"",$P53="Concluída"),1,0)))</f>
        <v>1</v>
      </c>
    </row>
    <row r="54" customFormat="false" ht="16.5" hidden="false" customHeight="true" outlineLevel="0" collapsed="false">
      <c r="A54" s="36" t="n">
        <f aca="false">IF($F54="","",COUNTA($F$5:$F54))</f>
        <v>50</v>
      </c>
      <c r="B54" s="37" t="str">
        <f aca="true">IF($F54="","",IF($P54="Cancelada","Cancelada",IF(OR($O54&lt;&gt;"",$P54="Concluída"),IF(OR($N54="",$O54="",$O54&lt;=$N54),"Concluída","Concluída com atraso"),IF($N54="","Na carteira",IF($N54&lt;TODAY(),"VENCIDA",IF($P54="Em execução","Em execução",IF($N54=TODAY(),"Hoje","Programada")))))))</f>
        <v>Concluída</v>
      </c>
      <c r="C54" s="38"/>
      <c r="D54" s="38" t="s">
        <v>118</v>
      </c>
      <c r="E54" s="38" t="s">
        <v>210</v>
      </c>
      <c r="F54" s="38" t="s">
        <v>221</v>
      </c>
      <c r="G54" s="39" t="s">
        <v>72</v>
      </c>
      <c r="H54" s="39"/>
      <c r="I54" s="40" t="s">
        <v>70</v>
      </c>
      <c r="J54" s="40" t="s">
        <v>88</v>
      </c>
      <c r="K54" s="40" t="s">
        <v>98</v>
      </c>
      <c r="L54" s="41" t="n">
        <v>46258</v>
      </c>
      <c r="M54" s="42" t="s">
        <v>81</v>
      </c>
      <c r="N54" s="43" t="n">
        <f aca="false">IF(OR($L54="",$M54=""),"",$L54+MATCH($M54,Listas!$F$5:$F$11,0)-1)</f>
        <v>46259</v>
      </c>
      <c r="O54" s="44"/>
      <c r="P54" s="39" t="s">
        <v>73</v>
      </c>
      <c r="Q54" s="44"/>
      <c r="R54" s="38"/>
      <c r="S54" s="38" t="s">
        <v>212</v>
      </c>
      <c r="T54" s="36" t="str">
        <f aca="false">IF($F54="","",IF(ISNUMBER(SEARCH("(externo)",$I54&amp;$J54&amp;$K54)),"Terceirizada","Interna"))</f>
        <v>Interna</v>
      </c>
      <c r="U54" s="43" t="n">
        <f aca="false">IF($N54="","",IF($Q54="",$N54,$Q54))</f>
        <v>46259</v>
      </c>
      <c r="V54" s="36" t="n">
        <f aca="false">IF($F54="","",IF(OR($O54="",$N54=""),0,IF($O54&lt;=$N54,1,0)))</f>
        <v>0</v>
      </c>
      <c r="W54" s="36" t="n">
        <f aca="false">IF($F54="","",IF(OR($O54="",$U54=""),0,IF($O54&lt;=$U54,1,0)))</f>
        <v>0</v>
      </c>
      <c r="X54" s="37" t="str">
        <f aca="false">IF(OR($O54="",$N54=""),"",MAX(0,$O54-$N54))</f>
        <v/>
      </c>
      <c r="Y54" s="36" t="n">
        <f aca="false">IF($F54="","",IF(AND($Q54&lt;&gt;"",$N54&lt;&gt;"",$Q54&lt;&gt;$N54),1,0))</f>
        <v>0</v>
      </c>
      <c r="Z54" s="36" t="n">
        <f aca="false">IF($F54="","",IF($P54="Cancelada",0,IF(OR($O54&lt;&gt;"",$P54="Concluída"),1,0)))</f>
        <v>1</v>
      </c>
    </row>
    <row r="55" customFormat="false" ht="16.5" hidden="false" customHeight="true" outlineLevel="0" collapsed="false">
      <c r="A55" s="36" t="n">
        <f aca="false">IF($F55="","",COUNTA($F$5:$F55))</f>
        <v>51</v>
      </c>
      <c r="B55" s="37" t="str">
        <f aca="true">IF($F55="","",IF($P55="Cancelada","Cancelada",IF(OR($O55&lt;&gt;"",$P55="Concluída"),IF(OR($N55="",$O55="",$O55&lt;=$N55),"Concluída","Concluída com atraso"),IF($N55="","Na carteira",IF($N55&lt;TODAY(),"VENCIDA",IF($P55="Em execução","Em execução",IF($N55=TODAY(),"Hoje","Programada")))))))</f>
        <v>Concluída</v>
      </c>
      <c r="C55" s="38"/>
      <c r="D55" s="38" t="s">
        <v>118</v>
      </c>
      <c r="E55" s="38" t="s">
        <v>210</v>
      </c>
      <c r="F55" s="38" t="s">
        <v>222</v>
      </c>
      <c r="G55" s="39" t="s">
        <v>72</v>
      </c>
      <c r="H55" s="39"/>
      <c r="I55" s="40" t="s">
        <v>70</v>
      </c>
      <c r="J55" s="40" t="s">
        <v>88</v>
      </c>
      <c r="K55" s="40" t="s">
        <v>98</v>
      </c>
      <c r="L55" s="41" t="n">
        <v>46258</v>
      </c>
      <c r="M55" s="42" t="s">
        <v>87</v>
      </c>
      <c r="N55" s="43" t="n">
        <f aca="false">IF(OR($L55="",$M55=""),"",$L55+MATCH($M55,Listas!$F$5:$F$11,0)-1)</f>
        <v>46260</v>
      </c>
      <c r="O55" s="44"/>
      <c r="P55" s="39" t="s">
        <v>73</v>
      </c>
      <c r="Q55" s="44"/>
      <c r="R55" s="38"/>
      <c r="S55" s="38" t="s">
        <v>212</v>
      </c>
      <c r="T55" s="36" t="str">
        <f aca="false">IF($F55="","",IF(ISNUMBER(SEARCH("(externo)",$I55&amp;$J55&amp;$K55)),"Terceirizada","Interna"))</f>
        <v>Interna</v>
      </c>
      <c r="U55" s="43" t="n">
        <f aca="false">IF($N55="","",IF($Q55="",$N55,$Q55))</f>
        <v>46260</v>
      </c>
      <c r="V55" s="36" t="n">
        <f aca="false">IF($F55="","",IF(OR($O55="",$N55=""),0,IF($O55&lt;=$N55,1,0)))</f>
        <v>0</v>
      </c>
      <c r="W55" s="36" t="n">
        <f aca="false">IF($F55="","",IF(OR($O55="",$U55=""),0,IF($O55&lt;=$U55,1,0)))</f>
        <v>0</v>
      </c>
      <c r="X55" s="37" t="str">
        <f aca="false">IF(OR($O55="",$N55=""),"",MAX(0,$O55-$N55))</f>
        <v/>
      </c>
      <c r="Y55" s="36" t="n">
        <f aca="false">IF($F55="","",IF(AND($Q55&lt;&gt;"",$N55&lt;&gt;"",$Q55&lt;&gt;$N55),1,0))</f>
        <v>0</v>
      </c>
      <c r="Z55" s="36" t="n">
        <f aca="false">IF($F55="","",IF($P55="Cancelada",0,IF(OR($O55&lt;&gt;"",$P55="Concluída"),1,0)))</f>
        <v>1</v>
      </c>
    </row>
    <row r="56" customFormat="false" ht="16.5" hidden="false" customHeight="true" outlineLevel="0" collapsed="false">
      <c r="A56" s="36" t="n">
        <f aca="false">IF($F56="","",COUNTA($F$5:$F56))</f>
        <v>52</v>
      </c>
      <c r="B56" s="37" t="str">
        <f aca="true">IF($F56="","",IF($P56="Cancelada","Cancelada",IF(OR($O56&lt;&gt;"",$P56="Concluída"),IF(OR($N56="",$O56="",$O56&lt;=$N56),"Concluída","Concluída com atraso"),IF($N56="","Na carteira",IF($N56&lt;TODAY(),"VENCIDA",IF($P56="Em execução","Em execução",IF($N56=TODAY(),"Hoje","Programada")))))))</f>
        <v>Concluída</v>
      </c>
      <c r="C56" s="38"/>
      <c r="D56" s="38" t="s">
        <v>118</v>
      </c>
      <c r="E56" s="38" t="s">
        <v>210</v>
      </c>
      <c r="F56" s="38" t="s">
        <v>223</v>
      </c>
      <c r="G56" s="39" t="s">
        <v>72</v>
      </c>
      <c r="H56" s="39"/>
      <c r="I56" s="40" t="s">
        <v>70</v>
      </c>
      <c r="J56" s="40" t="s">
        <v>88</v>
      </c>
      <c r="K56" s="40" t="s">
        <v>98</v>
      </c>
      <c r="L56" s="41" t="n">
        <v>46258</v>
      </c>
      <c r="M56" s="42" t="s">
        <v>87</v>
      </c>
      <c r="N56" s="43" t="n">
        <f aca="false">IF(OR($L56="",$M56=""),"",$L56+MATCH($M56,Listas!$F$5:$F$11,0)-1)</f>
        <v>46260</v>
      </c>
      <c r="O56" s="44"/>
      <c r="P56" s="39" t="s">
        <v>73</v>
      </c>
      <c r="Q56" s="44"/>
      <c r="R56" s="38"/>
      <c r="S56" s="38" t="s">
        <v>212</v>
      </c>
      <c r="T56" s="36" t="str">
        <f aca="false">IF($F56="","",IF(ISNUMBER(SEARCH("(externo)",$I56&amp;$J56&amp;$K56)),"Terceirizada","Interna"))</f>
        <v>Interna</v>
      </c>
      <c r="U56" s="43" t="n">
        <f aca="false">IF($N56="","",IF($Q56="",$N56,$Q56))</f>
        <v>46260</v>
      </c>
      <c r="V56" s="36" t="n">
        <f aca="false">IF($F56="","",IF(OR($O56="",$N56=""),0,IF($O56&lt;=$N56,1,0)))</f>
        <v>0</v>
      </c>
      <c r="W56" s="36" t="n">
        <f aca="false">IF($F56="","",IF(OR($O56="",$U56=""),0,IF($O56&lt;=$U56,1,0)))</f>
        <v>0</v>
      </c>
      <c r="X56" s="37" t="str">
        <f aca="false">IF(OR($O56="",$N56=""),"",MAX(0,$O56-$N56))</f>
        <v/>
      </c>
      <c r="Y56" s="36" t="n">
        <f aca="false">IF($F56="","",IF(AND($Q56&lt;&gt;"",$N56&lt;&gt;"",$Q56&lt;&gt;$N56),1,0))</f>
        <v>0</v>
      </c>
      <c r="Z56" s="36" t="n">
        <f aca="false">IF($F56="","",IF($P56="Cancelada",0,IF(OR($O56&lt;&gt;"",$P56="Concluída"),1,0)))</f>
        <v>1</v>
      </c>
    </row>
    <row r="57" customFormat="false" ht="16.5" hidden="false" customHeight="true" outlineLevel="0" collapsed="false">
      <c r="A57" s="36" t="n">
        <f aca="false">IF($F57="","",COUNTA($F$5:$F57))</f>
        <v>53</v>
      </c>
      <c r="B57" s="37" t="str">
        <f aca="true">IF($F57="","",IF($P57="Cancelada","Cancelada",IF(OR($O57&lt;&gt;"",$P57="Concluída"),IF(OR($N57="",$O57="",$O57&lt;=$N57),"Concluída","Concluída com atraso"),IF($N57="","Na carteira",IF($N57&lt;TODAY(),"VENCIDA",IF($P57="Em execução","Em execução",IF($N57=TODAY(),"Hoje","Programada")))))))</f>
        <v>Concluída</v>
      </c>
      <c r="C57" s="38"/>
      <c r="D57" s="38" t="s">
        <v>118</v>
      </c>
      <c r="E57" s="38" t="s">
        <v>210</v>
      </c>
      <c r="F57" s="38" t="s">
        <v>224</v>
      </c>
      <c r="G57" s="39" t="s">
        <v>72</v>
      </c>
      <c r="H57" s="39"/>
      <c r="I57" s="40" t="s">
        <v>70</v>
      </c>
      <c r="J57" s="40" t="s">
        <v>88</v>
      </c>
      <c r="K57" s="40" t="s">
        <v>98</v>
      </c>
      <c r="L57" s="41" t="n">
        <v>46258</v>
      </c>
      <c r="M57" s="42" t="s">
        <v>87</v>
      </c>
      <c r="N57" s="43" t="n">
        <f aca="false">IF(OR($L57="",$M57=""),"",$L57+MATCH($M57,Listas!$F$5:$F$11,0)-1)</f>
        <v>46260</v>
      </c>
      <c r="O57" s="44"/>
      <c r="P57" s="39" t="s">
        <v>73</v>
      </c>
      <c r="Q57" s="44"/>
      <c r="R57" s="38"/>
      <c r="S57" s="38" t="s">
        <v>212</v>
      </c>
      <c r="T57" s="36" t="str">
        <f aca="false">IF($F57="","",IF(ISNUMBER(SEARCH("(externo)",$I57&amp;$J57&amp;$K57)),"Terceirizada","Interna"))</f>
        <v>Interna</v>
      </c>
      <c r="U57" s="43" t="n">
        <f aca="false">IF($N57="","",IF($Q57="",$N57,$Q57))</f>
        <v>46260</v>
      </c>
      <c r="V57" s="36" t="n">
        <f aca="false">IF($F57="","",IF(OR($O57="",$N57=""),0,IF($O57&lt;=$N57,1,0)))</f>
        <v>0</v>
      </c>
      <c r="W57" s="36" t="n">
        <f aca="false">IF($F57="","",IF(OR($O57="",$U57=""),0,IF($O57&lt;=$U57,1,0)))</f>
        <v>0</v>
      </c>
      <c r="X57" s="37" t="str">
        <f aca="false">IF(OR($O57="",$N57=""),"",MAX(0,$O57-$N57))</f>
        <v/>
      </c>
      <c r="Y57" s="36" t="n">
        <f aca="false">IF($F57="","",IF(AND($Q57&lt;&gt;"",$N57&lt;&gt;"",$Q57&lt;&gt;$N57),1,0))</f>
        <v>0</v>
      </c>
      <c r="Z57" s="36" t="n">
        <f aca="false">IF($F57="","",IF($P57="Cancelada",0,IF(OR($O57&lt;&gt;"",$P57="Concluída"),1,0)))</f>
        <v>1</v>
      </c>
    </row>
    <row r="58" customFormat="false" ht="16.5" hidden="false" customHeight="true" outlineLevel="0" collapsed="false">
      <c r="A58" s="36" t="n">
        <f aca="false">IF($F58="","",COUNTA($F$5:$F58))</f>
        <v>54</v>
      </c>
      <c r="B58" s="37" t="str">
        <f aca="true">IF($F58="","",IF($P58="Cancelada","Cancelada",IF(OR($O58&lt;&gt;"",$P58="Concluída"),IF(OR($N58="",$O58="",$O58&lt;=$N58),"Concluída","Concluída com atraso"),IF($N58="","Na carteira",IF($N58&lt;TODAY(),"VENCIDA",IF($P58="Em execução","Em execução",IF($N58=TODAY(),"Hoje","Programada")))))))</f>
        <v>Concluída</v>
      </c>
      <c r="C58" s="38"/>
      <c r="D58" s="38" t="s">
        <v>118</v>
      </c>
      <c r="E58" s="38" t="s">
        <v>210</v>
      </c>
      <c r="F58" s="38" t="s">
        <v>225</v>
      </c>
      <c r="G58" s="39" t="s">
        <v>72</v>
      </c>
      <c r="H58" s="39"/>
      <c r="I58" s="40" t="s">
        <v>70</v>
      </c>
      <c r="J58" s="40" t="s">
        <v>88</v>
      </c>
      <c r="K58" s="40" t="s">
        <v>98</v>
      </c>
      <c r="L58" s="41" t="n">
        <v>46258</v>
      </c>
      <c r="M58" s="42" t="s">
        <v>87</v>
      </c>
      <c r="N58" s="43" t="n">
        <f aca="false">IF(OR($L58="",$M58=""),"",$L58+MATCH($M58,Listas!$F$5:$F$11,0)-1)</f>
        <v>46260</v>
      </c>
      <c r="O58" s="44"/>
      <c r="P58" s="39" t="s">
        <v>73</v>
      </c>
      <c r="Q58" s="44"/>
      <c r="R58" s="38"/>
      <c r="S58" s="38" t="s">
        <v>212</v>
      </c>
      <c r="T58" s="36" t="str">
        <f aca="false">IF($F58="","",IF(ISNUMBER(SEARCH("(externo)",$I58&amp;$J58&amp;$K58)),"Terceirizada","Interna"))</f>
        <v>Interna</v>
      </c>
      <c r="U58" s="43" t="n">
        <f aca="false">IF($N58="","",IF($Q58="",$N58,$Q58))</f>
        <v>46260</v>
      </c>
      <c r="V58" s="36" t="n">
        <f aca="false">IF($F58="","",IF(OR($O58="",$N58=""),0,IF($O58&lt;=$N58,1,0)))</f>
        <v>0</v>
      </c>
      <c r="W58" s="36" t="n">
        <f aca="false">IF($F58="","",IF(OR($O58="",$U58=""),0,IF($O58&lt;=$U58,1,0)))</f>
        <v>0</v>
      </c>
      <c r="X58" s="37" t="str">
        <f aca="false">IF(OR($O58="",$N58=""),"",MAX(0,$O58-$N58))</f>
        <v/>
      </c>
      <c r="Y58" s="36" t="n">
        <f aca="false">IF($F58="","",IF(AND($Q58&lt;&gt;"",$N58&lt;&gt;"",$Q58&lt;&gt;$N58),1,0))</f>
        <v>0</v>
      </c>
      <c r="Z58" s="36" t="n">
        <f aca="false">IF($F58="","",IF($P58="Cancelada",0,IF(OR($O58&lt;&gt;"",$P58="Concluída"),1,0)))</f>
        <v>1</v>
      </c>
    </row>
    <row r="59" customFormat="false" ht="16.5" hidden="false" customHeight="true" outlineLevel="0" collapsed="false">
      <c r="A59" s="36" t="n">
        <f aca="false">IF($F59="","",COUNTA($F$5:$F59))</f>
        <v>55</v>
      </c>
      <c r="B59" s="37" t="str">
        <f aca="true">IF($F59="","",IF($P59="Cancelada","Cancelada",IF(OR($O59&lt;&gt;"",$P59="Concluída"),IF(OR($N59="",$O59="",$O59&lt;=$N59),"Concluída","Concluída com atraso"),IF($N59="","Na carteira",IF($N59&lt;TODAY(),"VENCIDA",IF($P59="Em execução","Em execução",IF($N59=TODAY(),"Hoje","Programada")))))))</f>
        <v>Concluída</v>
      </c>
      <c r="C59" s="38"/>
      <c r="D59" s="38" t="s">
        <v>118</v>
      </c>
      <c r="E59" s="38" t="s">
        <v>210</v>
      </c>
      <c r="F59" s="38" t="s">
        <v>226</v>
      </c>
      <c r="G59" s="39" t="s">
        <v>72</v>
      </c>
      <c r="H59" s="39"/>
      <c r="I59" s="40" t="s">
        <v>70</v>
      </c>
      <c r="J59" s="40" t="s">
        <v>88</v>
      </c>
      <c r="K59" s="40" t="s">
        <v>98</v>
      </c>
      <c r="L59" s="41" t="n">
        <v>46258</v>
      </c>
      <c r="M59" s="42" t="s">
        <v>87</v>
      </c>
      <c r="N59" s="43" t="n">
        <f aca="false">IF(OR($L59="",$M59=""),"",$L59+MATCH($M59,Listas!$F$5:$F$11,0)-1)</f>
        <v>46260</v>
      </c>
      <c r="O59" s="44"/>
      <c r="P59" s="39" t="s">
        <v>73</v>
      </c>
      <c r="Q59" s="44"/>
      <c r="R59" s="38"/>
      <c r="S59" s="38" t="s">
        <v>212</v>
      </c>
      <c r="T59" s="36" t="str">
        <f aca="false">IF($F59="","",IF(ISNUMBER(SEARCH("(externo)",$I59&amp;$J59&amp;$K59)),"Terceirizada","Interna"))</f>
        <v>Interna</v>
      </c>
      <c r="U59" s="43" t="n">
        <f aca="false">IF($N59="","",IF($Q59="",$N59,$Q59))</f>
        <v>46260</v>
      </c>
      <c r="V59" s="36" t="n">
        <f aca="false">IF($F59="","",IF(OR($O59="",$N59=""),0,IF($O59&lt;=$N59,1,0)))</f>
        <v>0</v>
      </c>
      <c r="W59" s="36" t="n">
        <f aca="false">IF($F59="","",IF(OR($O59="",$U59=""),0,IF($O59&lt;=$U59,1,0)))</f>
        <v>0</v>
      </c>
      <c r="X59" s="37" t="str">
        <f aca="false">IF(OR($O59="",$N59=""),"",MAX(0,$O59-$N59))</f>
        <v/>
      </c>
      <c r="Y59" s="36" t="n">
        <f aca="false">IF($F59="","",IF(AND($Q59&lt;&gt;"",$N59&lt;&gt;"",$Q59&lt;&gt;$N59),1,0))</f>
        <v>0</v>
      </c>
      <c r="Z59" s="36" t="n">
        <f aca="false">IF($F59="","",IF($P59="Cancelada",0,IF(OR($O59&lt;&gt;"",$P59="Concluída"),1,0)))</f>
        <v>1</v>
      </c>
    </row>
    <row r="60" customFormat="false" ht="16.5" hidden="false" customHeight="true" outlineLevel="0" collapsed="false">
      <c r="A60" s="36" t="n">
        <f aca="false">IF($F60="","",COUNTA($F$5:$F60))</f>
        <v>56</v>
      </c>
      <c r="B60" s="37" t="str">
        <f aca="true">IF($F60="","",IF($P60="Cancelada","Cancelada",IF(OR($O60&lt;&gt;"",$P60="Concluída"),IF(OR($N60="",$O60="",$O60&lt;=$N60),"Concluída","Concluída com atraso"),IF($N60="","Na carteira",IF($N60&lt;TODAY(),"VENCIDA",IF($P60="Em execução","Em execução",IF($N60=TODAY(),"Hoje","Programada")))))))</f>
        <v>Concluída</v>
      </c>
      <c r="C60" s="38"/>
      <c r="D60" s="38" t="s">
        <v>118</v>
      </c>
      <c r="E60" s="38" t="s">
        <v>210</v>
      </c>
      <c r="F60" s="38" t="s">
        <v>227</v>
      </c>
      <c r="G60" s="39" t="s">
        <v>72</v>
      </c>
      <c r="H60" s="39"/>
      <c r="I60" s="40" t="s">
        <v>70</v>
      </c>
      <c r="J60" s="40" t="s">
        <v>88</v>
      </c>
      <c r="K60" s="40" t="s">
        <v>98</v>
      </c>
      <c r="L60" s="41" t="n">
        <v>46258</v>
      </c>
      <c r="M60" s="42" t="s">
        <v>87</v>
      </c>
      <c r="N60" s="43" t="n">
        <f aca="false">IF(OR($L60="",$M60=""),"",$L60+MATCH($M60,Listas!$F$5:$F$11,0)-1)</f>
        <v>46260</v>
      </c>
      <c r="O60" s="44"/>
      <c r="P60" s="39" t="s">
        <v>73</v>
      </c>
      <c r="Q60" s="44"/>
      <c r="R60" s="38"/>
      <c r="S60" s="38" t="s">
        <v>212</v>
      </c>
      <c r="T60" s="36" t="str">
        <f aca="false">IF($F60="","",IF(ISNUMBER(SEARCH("(externo)",$I60&amp;$J60&amp;$K60)),"Terceirizada","Interna"))</f>
        <v>Interna</v>
      </c>
      <c r="U60" s="43" t="n">
        <f aca="false">IF($N60="","",IF($Q60="",$N60,$Q60))</f>
        <v>46260</v>
      </c>
      <c r="V60" s="36" t="n">
        <f aca="false">IF($F60="","",IF(OR($O60="",$N60=""),0,IF($O60&lt;=$N60,1,0)))</f>
        <v>0</v>
      </c>
      <c r="W60" s="36" t="n">
        <f aca="false">IF($F60="","",IF(OR($O60="",$U60=""),0,IF($O60&lt;=$U60,1,0)))</f>
        <v>0</v>
      </c>
      <c r="X60" s="37" t="str">
        <f aca="false">IF(OR($O60="",$N60=""),"",MAX(0,$O60-$N60))</f>
        <v/>
      </c>
      <c r="Y60" s="36" t="n">
        <f aca="false">IF($F60="","",IF(AND($Q60&lt;&gt;"",$N60&lt;&gt;"",$Q60&lt;&gt;$N60),1,0))</f>
        <v>0</v>
      </c>
      <c r="Z60" s="36" t="n">
        <f aca="false">IF($F60="","",IF($P60="Cancelada",0,IF(OR($O60&lt;&gt;"",$P60="Concluída"),1,0)))</f>
        <v>1</v>
      </c>
    </row>
    <row r="61" customFormat="false" ht="16.5" hidden="false" customHeight="true" outlineLevel="0" collapsed="false">
      <c r="A61" s="36" t="n">
        <f aca="false">IF($F61="","",COUNTA($F$5:$F61))</f>
        <v>57</v>
      </c>
      <c r="B61" s="37" t="str">
        <f aca="true">IF($F61="","",IF($P61="Cancelada","Cancelada",IF(OR($O61&lt;&gt;"",$P61="Concluída"),IF(OR($N61="",$O61="",$O61&lt;=$N61),"Concluída","Concluída com atraso"),IF($N61="","Na carteira",IF($N61&lt;TODAY(),"VENCIDA",IF($P61="Em execução","Em execução",IF($N61=TODAY(),"Hoje","Programada")))))))</f>
        <v>Concluída</v>
      </c>
      <c r="C61" s="38"/>
      <c r="D61" s="38" t="s">
        <v>118</v>
      </c>
      <c r="E61" s="38" t="s">
        <v>210</v>
      </c>
      <c r="F61" s="38" t="s">
        <v>228</v>
      </c>
      <c r="G61" s="39" t="s">
        <v>72</v>
      </c>
      <c r="H61" s="39"/>
      <c r="I61" s="40" t="s">
        <v>70</v>
      </c>
      <c r="J61" s="40" t="s">
        <v>88</v>
      </c>
      <c r="K61" s="40" t="s">
        <v>98</v>
      </c>
      <c r="L61" s="41" t="n">
        <v>46258</v>
      </c>
      <c r="M61" s="42" t="s">
        <v>87</v>
      </c>
      <c r="N61" s="43" t="n">
        <f aca="false">IF(OR($L61="",$M61=""),"",$L61+MATCH($M61,Listas!$F$5:$F$11,0)-1)</f>
        <v>46260</v>
      </c>
      <c r="O61" s="44"/>
      <c r="P61" s="39" t="s">
        <v>73</v>
      </c>
      <c r="Q61" s="44"/>
      <c r="R61" s="38"/>
      <c r="S61" s="38" t="s">
        <v>212</v>
      </c>
      <c r="T61" s="36" t="str">
        <f aca="false">IF($F61="","",IF(ISNUMBER(SEARCH("(externo)",$I61&amp;$J61&amp;$K61)),"Terceirizada","Interna"))</f>
        <v>Interna</v>
      </c>
      <c r="U61" s="43" t="n">
        <f aca="false">IF($N61="","",IF($Q61="",$N61,$Q61))</f>
        <v>46260</v>
      </c>
      <c r="V61" s="36" t="n">
        <f aca="false">IF($F61="","",IF(OR($O61="",$N61=""),0,IF($O61&lt;=$N61,1,0)))</f>
        <v>0</v>
      </c>
      <c r="W61" s="36" t="n">
        <f aca="false">IF($F61="","",IF(OR($O61="",$U61=""),0,IF($O61&lt;=$U61,1,0)))</f>
        <v>0</v>
      </c>
      <c r="X61" s="37" t="str">
        <f aca="false">IF(OR($O61="",$N61=""),"",MAX(0,$O61-$N61))</f>
        <v/>
      </c>
      <c r="Y61" s="36" t="n">
        <f aca="false">IF($F61="","",IF(AND($Q61&lt;&gt;"",$N61&lt;&gt;"",$Q61&lt;&gt;$N61),1,0))</f>
        <v>0</v>
      </c>
      <c r="Z61" s="36" t="n">
        <f aca="false">IF($F61="","",IF($P61="Cancelada",0,IF(OR($O61&lt;&gt;"",$P61="Concluída"),1,0)))</f>
        <v>1</v>
      </c>
    </row>
    <row r="62" customFormat="false" ht="16.5" hidden="false" customHeight="true" outlineLevel="0" collapsed="false">
      <c r="A62" s="36" t="n">
        <f aca="false">IF($F62="","",COUNTA($F$5:$F62))</f>
        <v>58</v>
      </c>
      <c r="B62" s="37" t="str">
        <f aca="true">IF($F62="","",IF($P62="Cancelada","Cancelada",IF(OR($O62&lt;&gt;"",$P62="Concluída"),IF(OR($N62="",$O62="",$O62&lt;=$N62),"Concluída","Concluída com atraso"),IF($N62="","Na carteira",IF($N62&lt;TODAY(),"VENCIDA",IF($P62="Em execução","Em execução",IF($N62=TODAY(),"Hoje","Programada")))))))</f>
        <v>Concluída</v>
      </c>
      <c r="C62" s="38"/>
      <c r="D62" s="38" t="s">
        <v>118</v>
      </c>
      <c r="E62" s="38" t="s">
        <v>210</v>
      </c>
      <c r="F62" s="38" t="s">
        <v>229</v>
      </c>
      <c r="G62" s="39" t="s">
        <v>72</v>
      </c>
      <c r="H62" s="39"/>
      <c r="I62" s="40" t="s">
        <v>70</v>
      </c>
      <c r="J62" s="40" t="s">
        <v>88</v>
      </c>
      <c r="K62" s="40" t="s">
        <v>98</v>
      </c>
      <c r="L62" s="41" t="n">
        <v>46258</v>
      </c>
      <c r="M62" s="42" t="s">
        <v>87</v>
      </c>
      <c r="N62" s="43" t="n">
        <f aca="false">IF(OR($L62="",$M62=""),"",$L62+MATCH($M62,Listas!$F$5:$F$11,0)-1)</f>
        <v>46260</v>
      </c>
      <c r="O62" s="44"/>
      <c r="P62" s="39" t="s">
        <v>73</v>
      </c>
      <c r="Q62" s="44"/>
      <c r="R62" s="38"/>
      <c r="S62" s="38" t="s">
        <v>212</v>
      </c>
      <c r="T62" s="36" t="str">
        <f aca="false">IF($F62="","",IF(ISNUMBER(SEARCH("(externo)",$I62&amp;$J62&amp;$K62)),"Terceirizada","Interna"))</f>
        <v>Interna</v>
      </c>
      <c r="U62" s="43" t="n">
        <f aca="false">IF($N62="","",IF($Q62="",$N62,$Q62))</f>
        <v>46260</v>
      </c>
      <c r="V62" s="36" t="n">
        <f aca="false">IF($F62="","",IF(OR($O62="",$N62=""),0,IF($O62&lt;=$N62,1,0)))</f>
        <v>0</v>
      </c>
      <c r="W62" s="36" t="n">
        <f aca="false">IF($F62="","",IF(OR($O62="",$U62=""),0,IF($O62&lt;=$U62,1,0)))</f>
        <v>0</v>
      </c>
      <c r="X62" s="37" t="str">
        <f aca="false">IF(OR($O62="",$N62=""),"",MAX(0,$O62-$N62))</f>
        <v/>
      </c>
      <c r="Y62" s="36" t="n">
        <f aca="false">IF($F62="","",IF(AND($Q62&lt;&gt;"",$N62&lt;&gt;"",$Q62&lt;&gt;$N62),1,0))</f>
        <v>0</v>
      </c>
      <c r="Z62" s="36" t="n">
        <f aca="false">IF($F62="","",IF($P62="Cancelada",0,IF(OR($O62&lt;&gt;"",$P62="Concluída"),1,0)))</f>
        <v>1</v>
      </c>
    </row>
    <row r="63" customFormat="false" ht="16.5" hidden="false" customHeight="true" outlineLevel="0" collapsed="false">
      <c r="A63" s="36" t="n">
        <f aca="false">IF($F63="","",COUNTA($F$5:$F63))</f>
        <v>59</v>
      </c>
      <c r="B63" s="37" t="str">
        <f aca="true">IF($F63="","",IF($P63="Cancelada","Cancelada",IF(OR($O63&lt;&gt;"",$P63="Concluída"),IF(OR($N63="",$O63="",$O63&lt;=$N63),"Concluída","Concluída com atraso"),IF($N63="","Na carteira",IF($N63&lt;TODAY(),"VENCIDA",IF($P63="Em execução","Em execução",IF($N63=TODAY(),"Hoje","Programada")))))))</f>
        <v>Concluída</v>
      </c>
      <c r="C63" s="38"/>
      <c r="D63" s="38" t="s">
        <v>118</v>
      </c>
      <c r="E63" s="38" t="s">
        <v>210</v>
      </c>
      <c r="F63" s="38" t="s">
        <v>230</v>
      </c>
      <c r="G63" s="39" t="s">
        <v>72</v>
      </c>
      <c r="H63" s="39"/>
      <c r="I63" s="40" t="s">
        <v>70</v>
      </c>
      <c r="J63" s="40" t="s">
        <v>88</v>
      </c>
      <c r="K63" s="40" t="s">
        <v>98</v>
      </c>
      <c r="L63" s="41" t="n">
        <v>46258</v>
      </c>
      <c r="M63" s="42" t="s">
        <v>87</v>
      </c>
      <c r="N63" s="43" t="n">
        <f aca="false">IF(OR($L63="",$M63=""),"",$L63+MATCH($M63,Listas!$F$5:$F$11,0)-1)</f>
        <v>46260</v>
      </c>
      <c r="O63" s="44"/>
      <c r="P63" s="39" t="s">
        <v>73</v>
      </c>
      <c r="Q63" s="44"/>
      <c r="R63" s="38"/>
      <c r="S63" s="38" t="s">
        <v>212</v>
      </c>
      <c r="T63" s="36" t="str">
        <f aca="false">IF($F63="","",IF(ISNUMBER(SEARCH("(externo)",$I63&amp;$J63&amp;$K63)),"Terceirizada","Interna"))</f>
        <v>Interna</v>
      </c>
      <c r="U63" s="43" t="n">
        <f aca="false">IF($N63="","",IF($Q63="",$N63,$Q63))</f>
        <v>46260</v>
      </c>
      <c r="V63" s="36" t="n">
        <f aca="false">IF($F63="","",IF(OR($O63="",$N63=""),0,IF($O63&lt;=$N63,1,0)))</f>
        <v>0</v>
      </c>
      <c r="W63" s="36" t="n">
        <f aca="false">IF($F63="","",IF(OR($O63="",$U63=""),0,IF($O63&lt;=$U63,1,0)))</f>
        <v>0</v>
      </c>
      <c r="X63" s="37" t="str">
        <f aca="false">IF(OR($O63="",$N63=""),"",MAX(0,$O63-$N63))</f>
        <v/>
      </c>
      <c r="Y63" s="36" t="n">
        <f aca="false">IF($F63="","",IF(AND($Q63&lt;&gt;"",$N63&lt;&gt;"",$Q63&lt;&gt;$N63),1,0))</f>
        <v>0</v>
      </c>
      <c r="Z63" s="36" t="n">
        <f aca="false">IF($F63="","",IF($P63="Cancelada",0,IF(OR($O63&lt;&gt;"",$P63="Concluída"),1,0)))</f>
        <v>1</v>
      </c>
    </row>
    <row r="64" customFormat="false" ht="16.5" hidden="false" customHeight="true" outlineLevel="0" collapsed="false">
      <c r="A64" s="36" t="n">
        <f aca="false">IF($F64="","",COUNTA($F$5:$F64))</f>
        <v>60</v>
      </c>
      <c r="B64" s="37" t="str">
        <f aca="true">IF($F64="","",IF($P64="Cancelada","Cancelada",IF(OR($O64&lt;&gt;"",$P64="Concluída"),IF(OR($N64="",$O64="",$O64&lt;=$N64),"Concluída","Concluída com atraso"),IF($N64="","Na carteira",IF($N64&lt;TODAY(),"VENCIDA",IF($P64="Em execução","Em execução",IF($N64=TODAY(),"Hoje","Programada")))))))</f>
        <v>Concluída</v>
      </c>
      <c r="C64" s="38"/>
      <c r="D64" s="38" t="s">
        <v>118</v>
      </c>
      <c r="E64" s="38" t="s">
        <v>210</v>
      </c>
      <c r="F64" s="38" t="s">
        <v>231</v>
      </c>
      <c r="G64" s="39" t="s">
        <v>72</v>
      </c>
      <c r="H64" s="39"/>
      <c r="I64" s="40" t="s">
        <v>70</v>
      </c>
      <c r="J64" s="40" t="s">
        <v>88</v>
      </c>
      <c r="K64" s="40" t="s">
        <v>98</v>
      </c>
      <c r="L64" s="41" t="n">
        <v>46258</v>
      </c>
      <c r="M64" s="42" t="s">
        <v>87</v>
      </c>
      <c r="N64" s="43" t="n">
        <f aca="false">IF(OR($L64="",$M64=""),"",$L64+MATCH($M64,Listas!$F$5:$F$11,0)-1)</f>
        <v>46260</v>
      </c>
      <c r="O64" s="44"/>
      <c r="P64" s="39" t="s">
        <v>73</v>
      </c>
      <c r="Q64" s="44"/>
      <c r="R64" s="38"/>
      <c r="S64" s="38" t="s">
        <v>212</v>
      </c>
      <c r="T64" s="36" t="str">
        <f aca="false">IF($F64="","",IF(ISNUMBER(SEARCH("(externo)",$I64&amp;$J64&amp;$K64)),"Terceirizada","Interna"))</f>
        <v>Interna</v>
      </c>
      <c r="U64" s="43" t="n">
        <f aca="false">IF($N64="","",IF($Q64="",$N64,$Q64))</f>
        <v>46260</v>
      </c>
      <c r="V64" s="36" t="n">
        <f aca="false">IF($F64="","",IF(OR($O64="",$N64=""),0,IF($O64&lt;=$N64,1,0)))</f>
        <v>0</v>
      </c>
      <c r="W64" s="36" t="n">
        <f aca="false">IF($F64="","",IF(OR($O64="",$U64=""),0,IF($O64&lt;=$U64,1,0)))</f>
        <v>0</v>
      </c>
      <c r="X64" s="37" t="str">
        <f aca="false">IF(OR($O64="",$N64=""),"",MAX(0,$O64-$N64))</f>
        <v/>
      </c>
      <c r="Y64" s="36" t="n">
        <f aca="false">IF($F64="","",IF(AND($Q64&lt;&gt;"",$N64&lt;&gt;"",$Q64&lt;&gt;$N64),1,0))</f>
        <v>0</v>
      </c>
      <c r="Z64" s="36" t="n">
        <f aca="false">IF($F64="","",IF($P64="Cancelada",0,IF(OR($O64&lt;&gt;"",$P64="Concluída"),1,0)))</f>
        <v>1</v>
      </c>
    </row>
    <row r="65" customFormat="false" ht="16.5" hidden="false" customHeight="true" outlineLevel="0" collapsed="false">
      <c r="A65" s="36" t="n">
        <f aca="false">IF($F65="","",COUNTA($F$5:$F65))</f>
        <v>61</v>
      </c>
      <c r="B65" s="37" t="str">
        <f aca="true">IF($F65="","",IF($P65="Cancelada","Cancelada",IF(OR($O65&lt;&gt;"",$P65="Concluída"),IF(OR($N65="",$O65="",$O65&lt;=$N65),"Concluída","Concluída com atraso"),IF($N65="","Na carteira",IF($N65&lt;TODAY(),"VENCIDA",IF($P65="Em execução","Em execução",IF($N65=TODAY(),"Hoje","Programada")))))))</f>
        <v>Hoje</v>
      </c>
      <c r="C65" s="38"/>
      <c r="D65" s="38" t="s">
        <v>118</v>
      </c>
      <c r="E65" s="38" t="s">
        <v>232</v>
      </c>
      <c r="F65" s="38" t="s">
        <v>233</v>
      </c>
      <c r="G65" s="39" t="s">
        <v>72</v>
      </c>
      <c r="H65" s="39"/>
      <c r="I65" s="40" t="s">
        <v>115</v>
      </c>
      <c r="J65" s="40"/>
      <c r="K65" s="40"/>
      <c r="L65" s="41" t="n">
        <v>46258</v>
      </c>
      <c r="M65" s="42" t="s">
        <v>92</v>
      </c>
      <c r="N65" s="43" t="n">
        <f aca="false">IF(OR($L65="",$M65=""),"",$L65+MATCH($M65,Listas!$F$5:$F$11,0)-1)</f>
        <v>46261</v>
      </c>
      <c r="O65" s="44"/>
      <c r="P65" s="39"/>
      <c r="Q65" s="44" t="n">
        <v>46260</v>
      </c>
      <c r="R65" s="38"/>
      <c r="S65" s="38"/>
      <c r="T65" s="36" t="str">
        <f aca="false">IF($F65="","",IF(ISNUMBER(SEARCH("(externo)",$I65&amp;$J65&amp;$K65)),"Terceirizada","Interna"))</f>
        <v>Terceirizada</v>
      </c>
      <c r="U65" s="43" t="n">
        <f aca="false">IF($N65="","",IF($Q65="",$N65,$Q65))</f>
        <v>46260</v>
      </c>
      <c r="V65" s="36" t="n">
        <f aca="false">IF($F65="","",IF(OR($O65="",$N65=""),0,IF($O65&lt;=$N65,1,0)))</f>
        <v>0</v>
      </c>
      <c r="W65" s="36" t="n">
        <f aca="false">IF($F65="","",IF(OR($O65="",$U65=""),0,IF($O65&lt;=$U65,1,0)))</f>
        <v>0</v>
      </c>
      <c r="X65" s="37" t="str">
        <f aca="false">IF(OR($O65="",$N65=""),"",MAX(0,$O65-$N65))</f>
        <v/>
      </c>
      <c r="Y65" s="36" t="n">
        <f aca="false">IF($F65="","",IF(AND($Q65&lt;&gt;"",$N65&lt;&gt;"",$Q65&lt;&gt;$N65),1,0))</f>
        <v>1</v>
      </c>
      <c r="Z65" s="36" t="n">
        <f aca="false">IF($F65="","",IF($P65="Cancelada",0,IF(OR($O65&lt;&gt;"",$P65="Concluída"),1,0)))</f>
        <v>0</v>
      </c>
    </row>
    <row r="66" customFormat="false" ht="16.5" hidden="false" customHeight="true" outlineLevel="0" collapsed="false">
      <c r="A66" s="36" t="n">
        <f aca="false">IF($F66="","",COUNTA($F$5:$F66))</f>
        <v>62</v>
      </c>
      <c r="B66" s="37" t="str">
        <f aca="true">IF($F66="","",IF($P66="Cancelada","Cancelada",IF(OR($O66&lt;&gt;"",$P66="Concluída"),IF(OR($N66="",$O66="",$O66&lt;=$N66),"Concluída","Concluída com atraso"),IF($N66="","Na carteira",IF($N66&lt;TODAY(),"VENCIDA",IF($P66="Em execução","Em execução",IF($N66=TODAY(),"Hoje","Programada")))))))</f>
        <v>Concluída</v>
      </c>
      <c r="C66" s="38"/>
      <c r="D66" s="38" t="s">
        <v>119</v>
      </c>
      <c r="E66" s="38" t="s">
        <v>234</v>
      </c>
      <c r="F66" s="38" t="s">
        <v>235</v>
      </c>
      <c r="G66" s="39" t="s">
        <v>72</v>
      </c>
      <c r="H66" s="39"/>
      <c r="I66" s="40" t="s">
        <v>70</v>
      </c>
      <c r="J66" s="40" t="s">
        <v>82</v>
      </c>
      <c r="K66" s="40"/>
      <c r="L66" s="41" t="n">
        <v>46258</v>
      </c>
      <c r="M66" s="42" t="s">
        <v>75</v>
      </c>
      <c r="N66" s="43" t="n">
        <f aca="false">IF(OR($L66="",$M66=""),"",$L66+MATCH($M66,Listas!$F$5:$F$11,0)-1)</f>
        <v>46258</v>
      </c>
      <c r="O66" s="44"/>
      <c r="P66" s="39" t="s">
        <v>73</v>
      </c>
      <c r="Q66" s="44"/>
      <c r="R66" s="38"/>
      <c r="S66" s="38"/>
      <c r="T66" s="36" t="str">
        <f aca="false">IF($F66="","",IF(ISNUMBER(SEARCH("(externo)",$I66&amp;$J66&amp;$K66)),"Terceirizada","Interna"))</f>
        <v>Interna</v>
      </c>
      <c r="U66" s="43" t="n">
        <f aca="false">IF($N66="","",IF($Q66="",$N66,$Q66))</f>
        <v>46258</v>
      </c>
      <c r="V66" s="36" t="n">
        <f aca="false">IF($F66="","",IF(OR($O66="",$N66=""),0,IF($O66&lt;=$N66,1,0)))</f>
        <v>0</v>
      </c>
      <c r="W66" s="36" t="n">
        <f aca="false">IF($F66="","",IF(OR($O66="",$U66=""),0,IF($O66&lt;=$U66,1,0)))</f>
        <v>0</v>
      </c>
      <c r="X66" s="37" t="str">
        <f aca="false">IF(OR($O66="",$N66=""),"",MAX(0,$O66-$N66))</f>
        <v/>
      </c>
      <c r="Y66" s="36" t="n">
        <f aca="false">IF($F66="","",IF(AND($Q66&lt;&gt;"",$N66&lt;&gt;"",$Q66&lt;&gt;$N66),1,0))</f>
        <v>0</v>
      </c>
      <c r="Z66" s="36" t="n">
        <f aca="false">IF($F66="","",IF($P66="Cancelada",0,IF(OR($O66&lt;&gt;"",$P66="Concluída"),1,0)))</f>
        <v>1</v>
      </c>
    </row>
    <row r="67" customFormat="false" ht="16.5" hidden="false" customHeight="true" outlineLevel="0" collapsed="false">
      <c r="A67" s="36" t="n">
        <f aca="false">IF($F67="","",COUNTA($F$5:$F67))</f>
        <v>63</v>
      </c>
      <c r="B67" s="37" t="str">
        <f aca="true">IF($F67="","",IF($P67="Cancelada","Cancelada",IF(OR($O67&lt;&gt;"",$P67="Concluída"),IF(OR($N67="",$O67="",$O67&lt;=$N67),"Concluída","Concluída com atraso"),IF($N67="","Na carteira",IF($N67&lt;TODAY(),"VENCIDA",IF($P67="Em execução","Em execução",IF($N67=TODAY(),"Hoje","Programada")))))))</f>
        <v>Concluída</v>
      </c>
      <c r="C67" s="38"/>
      <c r="D67" s="38" t="s">
        <v>119</v>
      </c>
      <c r="E67" s="38" t="s">
        <v>234</v>
      </c>
      <c r="F67" s="38" t="s">
        <v>236</v>
      </c>
      <c r="G67" s="39" t="s">
        <v>72</v>
      </c>
      <c r="H67" s="39"/>
      <c r="I67" s="40" t="s">
        <v>70</v>
      </c>
      <c r="J67" s="40" t="s">
        <v>82</v>
      </c>
      <c r="K67" s="40"/>
      <c r="L67" s="41" t="n">
        <v>46258</v>
      </c>
      <c r="M67" s="42" t="s">
        <v>75</v>
      </c>
      <c r="N67" s="43" t="n">
        <f aca="false">IF(OR($L67="",$M67=""),"",$L67+MATCH($M67,Listas!$F$5:$F$11,0)-1)</f>
        <v>46258</v>
      </c>
      <c r="O67" s="44"/>
      <c r="P67" s="39" t="s">
        <v>73</v>
      </c>
      <c r="Q67" s="44"/>
      <c r="R67" s="38"/>
      <c r="S67" s="38"/>
      <c r="T67" s="36" t="str">
        <f aca="false">IF($F67="","",IF(ISNUMBER(SEARCH("(externo)",$I67&amp;$J67&amp;$K67)),"Terceirizada","Interna"))</f>
        <v>Interna</v>
      </c>
      <c r="U67" s="43" t="n">
        <f aca="false">IF($N67="","",IF($Q67="",$N67,$Q67))</f>
        <v>46258</v>
      </c>
      <c r="V67" s="36" t="n">
        <f aca="false">IF($F67="","",IF(OR($O67="",$N67=""),0,IF($O67&lt;=$N67,1,0)))</f>
        <v>0</v>
      </c>
      <c r="W67" s="36" t="n">
        <f aca="false">IF($F67="","",IF(OR($O67="",$U67=""),0,IF($O67&lt;=$U67,1,0)))</f>
        <v>0</v>
      </c>
      <c r="X67" s="37" t="str">
        <f aca="false">IF(OR($O67="",$N67=""),"",MAX(0,$O67-$N67))</f>
        <v/>
      </c>
      <c r="Y67" s="36" t="n">
        <f aca="false">IF($F67="","",IF(AND($Q67&lt;&gt;"",$N67&lt;&gt;"",$Q67&lt;&gt;$N67),1,0))</f>
        <v>0</v>
      </c>
      <c r="Z67" s="36" t="n">
        <f aca="false">IF($F67="","",IF($P67="Cancelada",0,IF(OR($O67&lt;&gt;"",$P67="Concluída"),1,0)))</f>
        <v>1</v>
      </c>
    </row>
    <row r="68" customFormat="false" ht="16.5" hidden="false" customHeight="true" outlineLevel="0" collapsed="false">
      <c r="A68" s="36" t="n">
        <f aca="false">IF($F68="","",COUNTA($F$5:$F68))</f>
        <v>64</v>
      </c>
      <c r="B68" s="37" t="str">
        <f aca="true">IF($F68="","",IF($P68="Cancelada","Cancelada",IF(OR($O68&lt;&gt;"",$P68="Concluída"),IF(OR($N68="",$O68="",$O68&lt;=$N68),"Concluída","Concluída com atraso"),IF($N68="","Na carteira",IF($N68&lt;TODAY(),"VENCIDA",IF($P68="Em execução","Em execução",IF($N68=TODAY(),"Hoje","Programada")))))))</f>
        <v>Concluída</v>
      </c>
      <c r="C68" s="38"/>
      <c r="D68" s="38" t="s">
        <v>119</v>
      </c>
      <c r="E68" s="38" t="s">
        <v>234</v>
      </c>
      <c r="F68" s="38" t="s">
        <v>237</v>
      </c>
      <c r="G68" s="39" t="s">
        <v>72</v>
      </c>
      <c r="H68" s="39"/>
      <c r="I68" s="40" t="s">
        <v>70</v>
      </c>
      <c r="J68" s="40" t="s">
        <v>82</v>
      </c>
      <c r="K68" s="40"/>
      <c r="L68" s="41" t="n">
        <v>46258</v>
      </c>
      <c r="M68" s="42" t="s">
        <v>75</v>
      </c>
      <c r="N68" s="43" t="n">
        <f aca="false">IF(OR($L68="",$M68=""),"",$L68+MATCH($M68,Listas!$F$5:$F$11,0)-1)</f>
        <v>46258</v>
      </c>
      <c r="O68" s="44"/>
      <c r="P68" s="39" t="s">
        <v>73</v>
      </c>
      <c r="Q68" s="44"/>
      <c r="R68" s="38"/>
      <c r="S68" s="38"/>
      <c r="T68" s="36" t="str">
        <f aca="false">IF($F68="","",IF(ISNUMBER(SEARCH("(externo)",$I68&amp;$J68&amp;$K68)),"Terceirizada","Interna"))</f>
        <v>Interna</v>
      </c>
      <c r="U68" s="43" t="n">
        <f aca="false">IF($N68="","",IF($Q68="",$N68,$Q68))</f>
        <v>46258</v>
      </c>
      <c r="V68" s="36" t="n">
        <f aca="false">IF($F68="","",IF(OR($O68="",$N68=""),0,IF($O68&lt;=$N68,1,0)))</f>
        <v>0</v>
      </c>
      <c r="W68" s="36" t="n">
        <f aca="false">IF($F68="","",IF(OR($O68="",$U68=""),0,IF($O68&lt;=$U68,1,0)))</f>
        <v>0</v>
      </c>
      <c r="X68" s="37" t="str">
        <f aca="false">IF(OR($O68="",$N68=""),"",MAX(0,$O68-$N68))</f>
        <v/>
      </c>
      <c r="Y68" s="36" t="n">
        <f aca="false">IF($F68="","",IF(AND($Q68&lt;&gt;"",$N68&lt;&gt;"",$Q68&lt;&gt;$N68),1,0))</f>
        <v>0</v>
      </c>
      <c r="Z68" s="36" t="n">
        <f aca="false">IF($F68="","",IF($P68="Cancelada",0,IF(OR($O68&lt;&gt;"",$P68="Concluída"),1,0)))</f>
        <v>1</v>
      </c>
    </row>
    <row r="69" customFormat="false" ht="16.5" hidden="false" customHeight="true" outlineLevel="0" collapsed="false">
      <c r="A69" s="36" t="n">
        <f aca="false">IF($F69="","",COUNTA($F$5:$F69))</f>
        <v>65</v>
      </c>
      <c r="B69" s="37" t="str">
        <f aca="true">IF($F69="","",IF($P69="Cancelada","Cancelada",IF(OR($O69&lt;&gt;"",$P69="Concluída"),IF(OR($N69="",$O69="",$O69&lt;=$N69),"Concluída","Concluída com atraso"),IF($N69="","Na carteira",IF($N69&lt;TODAY(),"VENCIDA",IF($P69="Em execução","Em execução",IF($N69=TODAY(),"Hoje","Programada")))))))</f>
        <v>Concluída</v>
      </c>
      <c r="C69" s="38"/>
      <c r="D69" s="38" t="s">
        <v>119</v>
      </c>
      <c r="E69" s="38" t="s">
        <v>234</v>
      </c>
      <c r="F69" s="38" t="s">
        <v>238</v>
      </c>
      <c r="G69" s="39" t="s">
        <v>72</v>
      </c>
      <c r="H69" s="39"/>
      <c r="I69" s="40" t="s">
        <v>70</v>
      </c>
      <c r="J69" s="40" t="s">
        <v>82</v>
      </c>
      <c r="K69" s="40"/>
      <c r="L69" s="41" t="n">
        <v>46258</v>
      </c>
      <c r="M69" s="42" t="s">
        <v>81</v>
      </c>
      <c r="N69" s="43" t="n">
        <f aca="false">IF(OR($L69="",$M69=""),"",$L69+MATCH($M69,Listas!$F$5:$F$11,0)-1)</f>
        <v>46259</v>
      </c>
      <c r="O69" s="44"/>
      <c r="P69" s="39" t="s">
        <v>73</v>
      </c>
      <c r="Q69" s="44"/>
      <c r="R69" s="38"/>
      <c r="S69" s="38"/>
      <c r="T69" s="36" t="str">
        <f aca="false">IF($F69="","",IF(ISNUMBER(SEARCH("(externo)",$I69&amp;$J69&amp;$K69)),"Terceirizada","Interna"))</f>
        <v>Interna</v>
      </c>
      <c r="U69" s="43" t="n">
        <f aca="false">IF($N69="","",IF($Q69="",$N69,$Q69))</f>
        <v>46259</v>
      </c>
      <c r="V69" s="36" t="n">
        <f aca="false">IF($F69="","",IF(OR($O69="",$N69=""),0,IF($O69&lt;=$N69,1,0)))</f>
        <v>0</v>
      </c>
      <c r="W69" s="36" t="n">
        <f aca="false">IF($F69="","",IF(OR($O69="",$U69=""),0,IF($O69&lt;=$U69,1,0)))</f>
        <v>0</v>
      </c>
      <c r="X69" s="37" t="str">
        <f aca="false">IF(OR($O69="",$N69=""),"",MAX(0,$O69-$N69))</f>
        <v/>
      </c>
      <c r="Y69" s="36" t="n">
        <f aca="false">IF($F69="","",IF(AND($Q69&lt;&gt;"",$N69&lt;&gt;"",$Q69&lt;&gt;$N69),1,0))</f>
        <v>0</v>
      </c>
      <c r="Z69" s="36" t="n">
        <f aca="false">IF($F69="","",IF($P69="Cancelada",0,IF(OR($O69&lt;&gt;"",$P69="Concluída"),1,0)))</f>
        <v>1</v>
      </c>
    </row>
    <row r="70" customFormat="false" ht="16.5" hidden="false" customHeight="true" outlineLevel="0" collapsed="false">
      <c r="A70" s="36" t="n">
        <f aca="false">IF($F70="","",COUNTA($F$5:$F70))</f>
        <v>66</v>
      </c>
      <c r="B70" s="37" t="str">
        <f aca="true">IF($F70="","",IF($P70="Cancelada","Cancelada",IF(OR($O70&lt;&gt;"",$P70="Concluída"),IF(OR($N70="",$O70="",$O70&lt;=$N70),"Concluída","Concluída com atraso"),IF($N70="","Na carteira",IF($N70&lt;TODAY(),"VENCIDA",IF($P70="Em execução","Em execução",IF($N70=TODAY(),"Hoje","Programada")))))))</f>
        <v>Concluída</v>
      </c>
      <c r="C70" s="38"/>
      <c r="D70" s="38" t="s">
        <v>119</v>
      </c>
      <c r="E70" s="38" t="s">
        <v>234</v>
      </c>
      <c r="F70" s="38" t="s">
        <v>239</v>
      </c>
      <c r="G70" s="39" t="s">
        <v>72</v>
      </c>
      <c r="H70" s="39"/>
      <c r="I70" s="40" t="s">
        <v>70</v>
      </c>
      <c r="J70" s="40" t="s">
        <v>82</v>
      </c>
      <c r="K70" s="40"/>
      <c r="L70" s="41" t="n">
        <v>46258</v>
      </c>
      <c r="M70" s="42" t="s">
        <v>81</v>
      </c>
      <c r="N70" s="43" t="n">
        <f aca="false">IF(OR($L70="",$M70=""),"",$L70+MATCH($M70,Listas!$F$5:$F$11,0)-1)</f>
        <v>46259</v>
      </c>
      <c r="O70" s="44"/>
      <c r="P70" s="39" t="s">
        <v>73</v>
      </c>
      <c r="Q70" s="44"/>
      <c r="R70" s="38"/>
      <c r="S70" s="38"/>
      <c r="T70" s="36" t="str">
        <f aca="false">IF($F70="","",IF(ISNUMBER(SEARCH("(externo)",$I70&amp;$J70&amp;$K70)),"Terceirizada","Interna"))</f>
        <v>Interna</v>
      </c>
      <c r="U70" s="43" t="n">
        <f aca="false">IF($N70="","",IF($Q70="",$N70,$Q70))</f>
        <v>46259</v>
      </c>
      <c r="V70" s="36" t="n">
        <f aca="false">IF($F70="","",IF(OR($O70="",$N70=""),0,IF($O70&lt;=$N70,1,0)))</f>
        <v>0</v>
      </c>
      <c r="W70" s="36" t="n">
        <f aca="false">IF($F70="","",IF(OR($O70="",$U70=""),0,IF($O70&lt;=$U70,1,0)))</f>
        <v>0</v>
      </c>
      <c r="X70" s="37" t="str">
        <f aca="false">IF(OR($O70="",$N70=""),"",MAX(0,$O70-$N70))</f>
        <v/>
      </c>
      <c r="Y70" s="36" t="n">
        <f aca="false">IF($F70="","",IF(AND($Q70&lt;&gt;"",$N70&lt;&gt;"",$Q70&lt;&gt;$N70),1,0))</f>
        <v>0</v>
      </c>
      <c r="Z70" s="36" t="n">
        <f aca="false">IF($F70="","",IF($P70="Cancelada",0,IF(OR($O70&lt;&gt;"",$P70="Concluída"),1,0)))</f>
        <v>1</v>
      </c>
    </row>
    <row r="71" customFormat="false" ht="16.5" hidden="false" customHeight="true" outlineLevel="0" collapsed="false">
      <c r="A71" s="36" t="n">
        <f aca="false">IF($F71="","",COUNTA($F$5:$F71))</f>
        <v>67</v>
      </c>
      <c r="B71" s="37" t="str">
        <f aca="true">IF($F71="","",IF($P71="Cancelada","Cancelada",IF(OR($O71&lt;&gt;"",$P71="Concluída"),IF(OR($N71="",$O71="",$O71&lt;=$N71),"Concluída","Concluída com atraso"),IF($N71="","Na carteira",IF($N71&lt;TODAY(),"VENCIDA",IF($P71="Em execução","Em execução",IF($N71=TODAY(),"Hoje","Programada")))))))</f>
        <v>Concluída</v>
      </c>
      <c r="C71" s="38"/>
      <c r="D71" s="38" t="s">
        <v>119</v>
      </c>
      <c r="E71" s="38" t="s">
        <v>234</v>
      </c>
      <c r="F71" s="38" t="s">
        <v>240</v>
      </c>
      <c r="G71" s="39" t="s">
        <v>72</v>
      </c>
      <c r="H71" s="39"/>
      <c r="I71" s="40" t="s">
        <v>70</v>
      </c>
      <c r="J71" s="40" t="s">
        <v>82</v>
      </c>
      <c r="K71" s="40"/>
      <c r="L71" s="41" t="n">
        <v>46258</v>
      </c>
      <c r="M71" s="42" t="s">
        <v>81</v>
      </c>
      <c r="N71" s="43" t="n">
        <f aca="false">IF(OR($L71="",$M71=""),"",$L71+MATCH($M71,Listas!$F$5:$F$11,0)-1)</f>
        <v>46259</v>
      </c>
      <c r="O71" s="44"/>
      <c r="P71" s="39" t="s">
        <v>73</v>
      </c>
      <c r="Q71" s="44"/>
      <c r="R71" s="38"/>
      <c r="S71" s="38"/>
      <c r="T71" s="36" t="str">
        <f aca="false">IF($F71="","",IF(ISNUMBER(SEARCH("(externo)",$I71&amp;$J71&amp;$K71)),"Terceirizada","Interna"))</f>
        <v>Interna</v>
      </c>
      <c r="U71" s="43" t="n">
        <f aca="false">IF($N71="","",IF($Q71="",$N71,$Q71))</f>
        <v>46259</v>
      </c>
      <c r="V71" s="36" t="n">
        <f aca="false">IF($F71="","",IF(OR($O71="",$N71=""),0,IF($O71&lt;=$N71,1,0)))</f>
        <v>0</v>
      </c>
      <c r="W71" s="36" t="n">
        <f aca="false">IF($F71="","",IF(OR($O71="",$U71=""),0,IF($O71&lt;=$U71,1,0)))</f>
        <v>0</v>
      </c>
      <c r="X71" s="37" t="str">
        <f aca="false">IF(OR($O71="",$N71=""),"",MAX(0,$O71-$N71))</f>
        <v/>
      </c>
      <c r="Y71" s="36" t="n">
        <f aca="false">IF($F71="","",IF(AND($Q71&lt;&gt;"",$N71&lt;&gt;"",$Q71&lt;&gt;$N71),1,0))</f>
        <v>0</v>
      </c>
      <c r="Z71" s="36" t="n">
        <f aca="false">IF($F71="","",IF($P71="Cancelada",0,IF(OR($O71&lt;&gt;"",$P71="Concluída"),1,0)))</f>
        <v>1</v>
      </c>
    </row>
    <row r="72" customFormat="false" ht="16.5" hidden="false" customHeight="true" outlineLevel="0" collapsed="false">
      <c r="A72" s="36" t="n">
        <f aca="false">IF($F72="","",COUNTA($F$5:$F72))</f>
        <v>68</v>
      </c>
      <c r="B72" s="37" t="str">
        <f aca="true">IF($F72="","",IF($P72="Cancelada","Cancelada",IF(OR($O72&lt;&gt;"",$P72="Concluída"),IF(OR($N72="",$O72="",$O72&lt;=$N72),"Concluída","Concluída com atraso"),IF($N72="","Na carteira",IF($N72&lt;TODAY(),"VENCIDA",IF($P72="Em execução","Em execução",IF($N72=TODAY(),"Hoje","Programada")))))))</f>
        <v>Concluída</v>
      </c>
      <c r="C72" s="38"/>
      <c r="D72" s="38" t="s">
        <v>119</v>
      </c>
      <c r="E72" s="38" t="s">
        <v>234</v>
      </c>
      <c r="F72" s="38" t="s">
        <v>241</v>
      </c>
      <c r="G72" s="39" t="s">
        <v>72</v>
      </c>
      <c r="H72" s="39"/>
      <c r="I72" s="40" t="s">
        <v>70</v>
      </c>
      <c r="J72" s="40" t="s">
        <v>82</v>
      </c>
      <c r="K72" s="40"/>
      <c r="L72" s="41" t="n">
        <v>46258</v>
      </c>
      <c r="M72" s="42" t="s">
        <v>87</v>
      </c>
      <c r="N72" s="43" t="n">
        <f aca="false">IF(OR($L72="",$M72=""),"",$L72+MATCH($M72,Listas!$F$5:$F$11,0)-1)</f>
        <v>46260</v>
      </c>
      <c r="O72" s="44"/>
      <c r="P72" s="39" t="s">
        <v>73</v>
      </c>
      <c r="Q72" s="44"/>
      <c r="R72" s="38"/>
      <c r="S72" s="38"/>
      <c r="T72" s="36" t="str">
        <f aca="false">IF($F72="","",IF(ISNUMBER(SEARCH("(externo)",$I72&amp;$J72&amp;$K72)),"Terceirizada","Interna"))</f>
        <v>Interna</v>
      </c>
      <c r="U72" s="43" t="n">
        <f aca="false">IF($N72="","",IF($Q72="",$N72,$Q72))</f>
        <v>46260</v>
      </c>
      <c r="V72" s="36" t="n">
        <f aca="false">IF($F72="","",IF(OR($O72="",$N72=""),0,IF($O72&lt;=$N72,1,0)))</f>
        <v>0</v>
      </c>
      <c r="W72" s="36" t="n">
        <f aca="false">IF($F72="","",IF(OR($O72="",$U72=""),0,IF($O72&lt;=$U72,1,0)))</f>
        <v>0</v>
      </c>
      <c r="X72" s="37" t="str">
        <f aca="false">IF(OR($O72="",$N72=""),"",MAX(0,$O72-$N72))</f>
        <v/>
      </c>
      <c r="Y72" s="36" t="n">
        <f aca="false">IF($F72="","",IF(AND($Q72&lt;&gt;"",$N72&lt;&gt;"",$Q72&lt;&gt;$N72),1,0))</f>
        <v>0</v>
      </c>
      <c r="Z72" s="36" t="n">
        <f aca="false">IF($F72="","",IF($P72="Cancelada",0,IF(OR($O72&lt;&gt;"",$P72="Concluída"),1,0)))</f>
        <v>1</v>
      </c>
    </row>
    <row r="73" customFormat="false" ht="16.5" hidden="false" customHeight="true" outlineLevel="0" collapsed="false">
      <c r="A73" s="36" t="n">
        <f aca="false">IF($F73="","",COUNTA($F$5:$F73))</f>
        <v>69</v>
      </c>
      <c r="B73" s="37" t="str">
        <f aca="true">IF($F73="","",IF($P73="Cancelada","Cancelada",IF(OR($O73&lt;&gt;"",$P73="Concluída"),IF(OR($N73="",$O73="",$O73&lt;=$N73),"Concluída","Concluída com atraso"),IF($N73="","Na carteira",IF($N73&lt;TODAY(),"VENCIDA",IF($P73="Em execução","Em execução",IF($N73=TODAY(),"Hoje","Programada")))))))</f>
        <v>Concluída</v>
      </c>
      <c r="C73" s="38"/>
      <c r="D73" s="38" t="s">
        <v>119</v>
      </c>
      <c r="E73" s="38" t="s">
        <v>234</v>
      </c>
      <c r="F73" s="38" t="s">
        <v>242</v>
      </c>
      <c r="G73" s="39" t="s">
        <v>72</v>
      </c>
      <c r="H73" s="39"/>
      <c r="I73" s="40" t="s">
        <v>70</v>
      </c>
      <c r="J73" s="40" t="s">
        <v>82</v>
      </c>
      <c r="K73" s="40"/>
      <c r="L73" s="41" t="n">
        <v>46258</v>
      </c>
      <c r="M73" s="42" t="s">
        <v>87</v>
      </c>
      <c r="N73" s="43" t="n">
        <f aca="false">IF(OR($L73="",$M73=""),"",$L73+MATCH($M73,Listas!$F$5:$F$11,0)-1)</f>
        <v>46260</v>
      </c>
      <c r="O73" s="44"/>
      <c r="P73" s="39" t="s">
        <v>73</v>
      </c>
      <c r="Q73" s="44"/>
      <c r="R73" s="38"/>
      <c r="S73" s="38"/>
      <c r="T73" s="36" t="str">
        <f aca="false">IF($F73="","",IF(ISNUMBER(SEARCH("(externo)",$I73&amp;$J73&amp;$K73)),"Terceirizada","Interna"))</f>
        <v>Interna</v>
      </c>
      <c r="U73" s="43" t="n">
        <f aca="false">IF($N73="","",IF($Q73="",$N73,$Q73))</f>
        <v>46260</v>
      </c>
      <c r="V73" s="36" t="n">
        <f aca="false">IF($F73="","",IF(OR($O73="",$N73=""),0,IF($O73&lt;=$N73,1,0)))</f>
        <v>0</v>
      </c>
      <c r="W73" s="36" t="n">
        <f aca="false">IF($F73="","",IF(OR($O73="",$U73=""),0,IF($O73&lt;=$U73,1,0)))</f>
        <v>0</v>
      </c>
      <c r="X73" s="37" t="str">
        <f aca="false">IF(OR($O73="",$N73=""),"",MAX(0,$O73-$N73))</f>
        <v/>
      </c>
      <c r="Y73" s="36" t="n">
        <f aca="false">IF($F73="","",IF(AND($Q73&lt;&gt;"",$N73&lt;&gt;"",$Q73&lt;&gt;$N73),1,0))</f>
        <v>0</v>
      </c>
      <c r="Z73" s="36" t="n">
        <f aca="false">IF($F73="","",IF($P73="Cancelada",0,IF(OR($O73&lt;&gt;"",$P73="Concluída"),1,0)))</f>
        <v>1</v>
      </c>
    </row>
    <row r="74" customFormat="false" ht="16.5" hidden="false" customHeight="true" outlineLevel="0" collapsed="false">
      <c r="A74" s="36" t="n">
        <f aca="false">IF($F74="","",COUNTA($F$5:$F74))</f>
        <v>70</v>
      </c>
      <c r="B74" s="37" t="str">
        <f aca="true">IF($F74="","",IF($P74="Cancelada","Cancelada",IF(OR($O74&lt;&gt;"",$P74="Concluída"),IF(OR($N74="",$O74="",$O74&lt;=$N74),"Concluída","Concluída com atraso"),IF($N74="","Na carteira",IF($N74&lt;TODAY(),"VENCIDA",IF($P74="Em execução","Em execução",IF($N74=TODAY(),"Hoje","Programada")))))))</f>
        <v>Concluída</v>
      </c>
      <c r="C74" s="38"/>
      <c r="D74" s="38" t="s">
        <v>119</v>
      </c>
      <c r="E74" s="38" t="s">
        <v>172</v>
      </c>
      <c r="F74" s="38" t="s">
        <v>172</v>
      </c>
      <c r="G74" s="39" t="s">
        <v>72</v>
      </c>
      <c r="H74" s="39"/>
      <c r="I74" s="40" t="s">
        <v>111</v>
      </c>
      <c r="J74" s="40"/>
      <c r="K74" s="40"/>
      <c r="L74" s="41" t="n">
        <v>46258</v>
      </c>
      <c r="M74" s="42" t="s">
        <v>87</v>
      </c>
      <c r="N74" s="43" t="n">
        <f aca="false">IF(OR($L74="",$M74=""),"",$L74+MATCH($M74,Listas!$F$5:$F$11,0)-1)</f>
        <v>46260</v>
      </c>
      <c r="O74" s="44"/>
      <c r="P74" s="39" t="s">
        <v>73</v>
      </c>
      <c r="Q74" s="44"/>
      <c r="R74" s="38"/>
      <c r="S74" s="38"/>
      <c r="T74" s="36" t="str">
        <f aca="false">IF($F74="","",IF(ISNUMBER(SEARCH("(externo)",$I74&amp;$J74&amp;$K74)),"Terceirizada","Interna"))</f>
        <v>Terceirizada</v>
      </c>
      <c r="U74" s="43" t="n">
        <f aca="false">IF($N74="","",IF($Q74="",$N74,$Q74))</f>
        <v>46260</v>
      </c>
      <c r="V74" s="36" t="n">
        <f aca="false">IF($F74="","",IF(OR($O74="",$N74=""),0,IF($O74&lt;=$N74,1,0)))</f>
        <v>0</v>
      </c>
      <c r="W74" s="36" t="n">
        <f aca="false">IF($F74="","",IF(OR($O74="",$U74=""),0,IF($O74&lt;=$U74,1,0)))</f>
        <v>0</v>
      </c>
      <c r="X74" s="37" t="str">
        <f aca="false">IF(OR($O74="",$N74=""),"",MAX(0,$O74-$N74))</f>
        <v/>
      </c>
      <c r="Y74" s="36" t="n">
        <f aca="false">IF($F74="","",IF(AND($Q74&lt;&gt;"",$N74&lt;&gt;"",$Q74&lt;&gt;$N74),1,0))</f>
        <v>0</v>
      </c>
      <c r="Z74" s="36" t="n">
        <f aca="false">IF($F74="","",IF($P74="Cancelada",0,IF(OR($O74&lt;&gt;"",$P74="Concluída"),1,0)))</f>
        <v>1</v>
      </c>
    </row>
    <row r="75" customFormat="false" ht="16.5" hidden="false" customHeight="true" outlineLevel="0" collapsed="false">
      <c r="A75" s="36" t="n">
        <f aca="false">IF($F75="","",COUNTA($F$5:$F75))</f>
        <v>71</v>
      </c>
      <c r="B75" s="37" t="str">
        <f aca="true">IF($F75="","",IF($P75="Cancelada","Cancelada",IF(OR($O75&lt;&gt;"",$P75="Concluída"),IF(OR($N75="",$O75="",$O75&lt;=$N75),"Concluída","Concluída com atraso"),IF($N75="","Na carteira",IF($N75&lt;TODAY(),"VENCIDA",IF($P75="Em execução","Em execução",IF($N75=TODAY(),"Hoje","Programada")))))))</f>
        <v>Concluída</v>
      </c>
      <c r="C75" s="38"/>
      <c r="D75" s="38" t="s">
        <v>119</v>
      </c>
      <c r="E75" s="38" t="s">
        <v>172</v>
      </c>
      <c r="F75" s="38" t="s">
        <v>243</v>
      </c>
      <c r="G75" s="39" t="s">
        <v>72</v>
      </c>
      <c r="H75" s="39"/>
      <c r="I75" s="40" t="s">
        <v>111</v>
      </c>
      <c r="J75" s="40"/>
      <c r="K75" s="40"/>
      <c r="L75" s="41" t="n">
        <v>46258</v>
      </c>
      <c r="M75" s="42" t="s">
        <v>87</v>
      </c>
      <c r="N75" s="43" t="n">
        <f aca="false">IF(OR($L75="",$M75=""),"",$L75+MATCH($M75,Listas!$F$5:$F$11,0)-1)</f>
        <v>46260</v>
      </c>
      <c r="O75" s="44"/>
      <c r="P75" s="39" t="s">
        <v>73</v>
      </c>
      <c r="Q75" s="44"/>
      <c r="R75" s="38"/>
      <c r="S75" s="38"/>
      <c r="T75" s="36" t="str">
        <f aca="false">IF($F75="","",IF(ISNUMBER(SEARCH("(externo)",$I75&amp;$J75&amp;$K75)),"Terceirizada","Interna"))</f>
        <v>Terceirizada</v>
      </c>
      <c r="U75" s="43" t="n">
        <f aca="false">IF($N75="","",IF($Q75="",$N75,$Q75))</f>
        <v>46260</v>
      </c>
      <c r="V75" s="36" t="n">
        <f aca="false">IF($F75="","",IF(OR($O75="",$N75=""),0,IF($O75&lt;=$N75,1,0)))</f>
        <v>0</v>
      </c>
      <c r="W75" s="36" t="n">
        <f aca="false">IF($F75="","",IF(OR($O75="",$U75=""),0,IF($O75&lt;=$U75,1,0)))</f>
        <v>0</v>
      </c>
      <c r="X75" s="37" t="str">
        <f aca="false">IF(OR($O75="",$N75=""),"",MAX(0,$O75-$N75))</f>
        <v/>
      </c>
      <c r="Y75" s="36" t="n">
        <f aca="false">IF($F75="","",IF(AND($Q75&lt;&gt;"",$N75&lt;&gt;"",$Q75&lt;&gt;$N75),1,0))</f>
        <v>0</v>
      </c>
      <c r="Z75" s="36" t="n">
        <f aca="false">IF($F75="","",IF($P75="Cancelada",0,IF(OR($O75&lt;&gt;"",$P75="Concluída"),1,0)))</f>
        <v>1</v>
      </c>
    </row>
    <row r="76" customFormat="false" ht="16.5" hidden="false" customHeight="true" outlineLevel="0" collapsed="false">
      <c r="A76" s="36" t="n">
        <f aca="false">IF($F76="","",COUNTA($F$5:$F76))</f>
        <v>72</v>
      </c>
      <c r="B76" s="37" t="str">
        <f aca="true">IF($F76="","",IF($P76="Cancelada","Cancelada",IF(OR($O76&lt;&gt;"",$P76="Concluída"),IF(OR($N76="",$O76="",$O76&lt;=$N76),"Concluída","Concluída com atraso"),IF($N76="","Na carteira",IF($N76&lt;TODAY(),"VENCIDA",IF($P76="Em execução","Em execução",IF($N76=TODAY(),"Hoje","Programada")))))))</f>
        <v>Concluída</v>
      </c>
      <c r="C76" s="38"/>
      <c r="D76" s="38" t="s">
        <v>119</v>
      </c>
      <c r="E76" s="38" t="s">
        <v>172</v>
      </c>
      <c r="F76" s="38" t="s">
        <v>244</v>
      </c>
      <c r="G76" s="39" t="s">
        <v>72</v>
      </c>
      <c r="H76" s="39"/>
      <c r="I76" s="40" t="s">
        <v>111</v>
      </c>
      <c r="J76" s="40"/>
      <c r="K76" s="40"/>
      <c r="L76" s="41" t="n">
        <v>46258</v>
      </c>
      <c r="M76" s="42" t="s">
        <v>87</v>
      </c>
      <c r="N76" s="43" t="n">
        <f aca="false">IF(OR($L76="",$M76=""),"",$L76+MATCH($M76,Listas!$F$5:$F$11,0)-1)</f>
        <v>46260</v>
      </c>
      <c r="O76" s="44"/>
      <c r="P76" s="39" t="s">
        <v>73</v>
      </c>
      <c r="Q76" s="44"/>
      <c r="R76" s="38"/>
      <c r="S76" s="38"/>
      <c r="T76" s="36" t="str">
        <f aca="false">IF($F76="","",IF(ISNUMBER(SEARCH("(externo)",$I76&amp;$J76&amp;$K76)),"Terceirizada","Interna"))</f>
        <v>Terceirizada</v>
      </c>
      <c r="U76" s="43" t="n">
        <f aca="false">IF($N76="","",IF($Q76="",$N76,$Q76))</f>
        <v>46260</v>
      </c>
      <c r="V76" s="36" t="n">
        <f aca="false">IF($F76="","",IF(OR($O76="",$N76=""),0,IF($O76&lt;=$N76,1,0)))</f>
        <v>0</v>
      </c>
      <c r="W76" s="36" t="n">
        <f aca="false">IF($F76="","",IF(OR($O76="",$U76=""),0,IF($O76&lt;=$U76,1,0)))</f>
        <v>0</v>
      </c>
      <c r="X76" s="37" t="str">
        <f aca="false">IF(OR($O76="",$N76=""),"",MAX(0,$O76-$N76))</f>
        <v/>
      </c>
      <c r="Y76" s="36" t="n">
        <f aca="false">IF($F76="","",IF(AND($Q76&lt;&gt;"",$N76&lt;&gt;"",$Q76&lt;&gt;$N76),1,0))</f>
        <v>0</v>
      </c>
      <c r="Z76" s="36" t="n">
        <f aca="false">IF($F76="","",IF($P76="Cancelada",0,IF(OR($O76&lt;&gt;"",$P76="Concluída"),1,0)))</f>
        <v>1</v>
      </c>
    </row>
    <row r="77" customFormat="false" ht="16.5" hidden="false" customHeight="true" outlineLevel="0" collapsed="false">
      <c r="A77" s="36" t="n">
        <f aca="false">IF($F77="","",COUNTA($F$5:$F77))</f>
        <v>73</v>
      </c>
      <c r="B77" s="37" t="str">
        <f aca="true">IF($F77="","",IF($P77="Cancelada","Cancelada",IF(OR($O77&lt;&gt;"",$P77="Concluída"),IF(OR($N77="",$O77="",$O77&lt;=$N77),"Concluída","Concluída com atraso"),IF($N77="","Na carteira",IF($N77&lt;TODAY(),"VENCIDA",IF($P77="Em execução","Em execução",IF($N77=TODAY(),"Hoje","Programada")))))))</f>
        <v>Concluída</v>
      </c>
      <c r="C77" s="38"/>
      <c r="D77" s="38" t="s">
        <v>119</v>
      </c>
      <c r="E77" s="38" t="s">
        <v>172</v>
      </c>
      <c r="F77" s="38" t="s">
        <v>245</v>
      </c>
      <c r="G77" s="39" t="s">
        <v>72</v>
      </c>
      <c r="H77" s="39"/>
      <c r="I77" s="40" t="s">
        <v>111</v>
      </c>
      <c r="J77" s="40"/>
      <c r="K77" s="40"/>
      <c r="L77" s="41" t="n">
        <v>46258</v>
      </c>
      <c r="M77" s="42" t="s">
        <v>87</v>
      </c>
      <c r="N77" s="43" t="n">
        <f aca="false">IF(OR($L77="",$M77=""),"",$L77+MATCH($M77,Listas!$F$5:$F$11,0)-1)</f>
        <v>46260</v>
      </c>
      <c r="O77" s="44"/>
      <c r="P77" s="39" t="s">
        <v>73</v>
      </c>
      <c r="Q77" s="44"/>
      <c r="R77" s="38"/>
      <c r="S77" s="38"/>
      <c r="T77" s="36" t="str">
        <f aca="false">IF($F77="","",IF(ISNUMBER(SEARCH("(externo)",$I77&amp;$J77&amp;$K77)),"Terceirizada","Interna"))</f>
        <v>Terceirizada</v>
      </c>
      <c r="U77" s="43" t="n">
        <f aca="false">IF($N77="","",IF($Q77="",$N77,$Q77))</f>
        <v>46260</v>
      </c>
      <c r="V77" s="36" t="n">
        <f aca="false">IF($F77="","",IF(OR($O77="",$N77=""),0,IF($O77&lt;=$N77,1,0)))</f>
        <v>0</v>
      </c>
      <c r="W77" s="36" t="n">
        <f aca="false">IF($F77="","",IF(OR($O77="",$U77=""),0,IF($O77&lt;=$U77,1,0)))</f>
        <v>0</v>
      </c>
      <c r="X77" s="37" t="str">
        <f aca="false">IF(OR($O77="",$N77=""),"",MAX(0,$O77-$N77))</f>
        <v/>
      </c>
      <c r="Y77" s="36" t="n">
        <f aca="false">IF($F77="","",IF(AND($Q77&lt;&gt;"",$N77&lt;&gt;"",$Q77&lt;&gt;$N77),1,0))</f>
        <v>0</v>
      </c>
      <c r="Z77" s="36" t="n">
        <f aca="false">IF($F77="","",IF($P77="Cancelada",0,IF(OR($O77&lt;&gt;"",$P77="Concluída"),1,0)))</f>
        <v>1</v>
      </c>
    </row>
    <row r="78" customFormat="false" ht="16.5" hidden="false" customHeight="true" outlineLevel="0" collapsed="false">
      <c r="A78" s="36" t="n">
        <f aca="false">IF($F78="","",COUNTA($F$5:$F78))</f>
        <v>74</v>
      </c>
      <c r="B78" s="37" t="str">
        <f aca="true">IF($F78="","",IF($P78="Cancelada","Cancelada",IF(OR($O78&lt;&gt;"",$P78="Concluída"),IF(OR($N78="",$O78="",$O78&lt;=$N78),"Concluída","Concluída com atraso"),IF($N78="","Na carteira",IF($N78&lt;TODAY(),"VENCIDA",IF($P78="Em execução","Em execução",IF($N78=TODAY(),"Hoje","Programada")))))))</f>
        <v>Concluída</v>
      </c>
      <c r="C78" s="38"/>
      <c r="D78" s="38" t="s">
        <v>119</v>
      </c>
      <c r="E78" s="38" t="s">
        <v>172</v>
      </c>
      <c r="F78" s="38" t="s">
        <v>246</v>
      </c>
      <c r="G78" s="39" t="s">
        <v>72</v>
      </c>
      <c r="H78" s="39"/>
      <c r="I78" s="40" t="s">
        <v>111</v>
      </c>
      <c r="J78" s="40"/>
      <c r="K78" s="40"/>
      <c r="L78" s="41" t="n">
        <v>46258</v>
      </c>
      <c r="M78" s="42" t="s">
        <v>87</v>
      </c>
      <c r="N78" s="43" t="n">
        <f aca="false">IF(OR($L78="",$M78=""),"",$L78+MATCH($M78,Listas!$F$5:$F$11,0)-1)</f>
        <v>46260</v>
      </c>
      <c r="O78" s="44"/>
      <c r="P78" s="39" t="s">
        <v>73</v>
      </c>
      <c r="Q78" s="44"/>
      <c r="R78" s="38"/>
      <c r="S78" s="38"/>
      <c r="T78" s="36" t="str">
        <f aca="false">IF($F78="","",IF(ISNUMBER(SEARCH("(externo)",$I78&amp;$J78&amp;$K78)),"Terceirizada","Interna"))</f>
        <v>Terceirizada</v>
      </c>
      <c r="U78" s="43" t="n">
        <f aca="false">IF($N78="","",IF($Q78="",$N78,$Q78))</f>
        <v>46260</v>
      </c>
      <c r="V78" s="36" t="n">
        <f aca="false">IF($F78="","",IF(OR($O78="",$N78=""),0,IF($O78&lt;=$N78,1,0)))</f>
        <v>0</v>
      </c>
      <c r="W78" s="36" t="n">
        <f aca="false">IF($F78="","",IF(OR($O78="",$U78=""),0,IF($O78&lt;=$U78,1,0)))</f>
        <v>0</v>
      </c>
      <c r="X78" s="37" t="str">
        <f aca="false">IF(OR($O78="",$N78=""),"",MAX(0,$O78-$N78))</f>
        <v/>
      </c>
      <c r="Y78" s="36" t="n">
        <f aca="false">IF($F78="","",IF(AND($Q78&lt;&gt;"",$N78&lt;&gt;"",$Q78&lt;&gt;$N78),1,0))</f>
        <v>0</v>
      </c>
      <c r="Z78" s="36" t="n">
        <f aca="false">IF($F78="","",IF($P78="Cancelada",0,IF(OR($O78&lt;&gt;"",$P78="Concluída"),1,0)))</f>
        <v>1</v>
      </c>
    </row>
    <row r="79" customFormat="false" ht="16.5" hidden="false" customHeight="true" outlineLevel="0" collapsed="false">
      <c r="A79" s="36" t="n">
        <f aca="false">IF($F79="","",COUNTA($F$5:$F79))</f>
        <v>75</v>
      </c>
      <c r="B79" s="37" t="str">
        <f aca="true">IF($F79="","",IF($P79="Cancelada","Cancelada",IF(OR($O79&lt;&gt;"",$P79="Concluída"),IF(OR($N79="",$O79="",$O79&lt;=$N79),"Concluída","Concluída com atraso"),IF($N79="","Na carteira",IF($N79&lt;TODAY(),"VENCIDA",IF($P79="Em execução","Em execução",IF($N79=TODAY(),"Hoje","Programada")))))))</f>
        <v>Concluída</v>
      </c>
      <c r="C79" s="38"/>
      <c r="D79" s="38" t="s">
        <v>119</v>
      </c>
      <c r="E79" s="38" t="s">
        <v>172</v>
      </c>
      <c r="F79" s="38" t="s">
        <v>247</v>
      </c>
      <c r="G79" s="39" t="s">
        <v>72</v>
      </c>
      <c r="H79" s="39"/>
      <c r="I79" s="40" t="s">
        <v>111</v>
      </c>
      <c r="J79" s="40"/>
      <c r="K79" s="40"/>
      <c r="L79" s="41" t="n">
        <v>46258</v>
      </c>
      <c r="M79" s="42" t="s">
        <v>87</v>
      </c>
      <c r="N79" s="43" t="n">
        <f aca="false">IF(OR($L79="",$M79=""),"",$L79+MATCH($M79,Listas!$F$5:$F$11,0)-1)</f>
        <v>46260</v>
      </c>
      <c r="O79" s="44"/>
      <c r="P79" s="39" t="s">
        <v>73</v>
      </c>
      <c r="Q79" s="44"/>
      <c r="R79" s="38"/>
      <c r="S79" s="38"/>
      <c r="T79" s="36" t="str">
        <f aca="false">IF($F79="","",IF(ISNUMBER(SEARCH("(externo)",$I79&amp;$J79&amp;$K79)),"Terceirizada","Interna"))</f>
        <v>Terceirizada</v>
      </c>
      <c r="U79" s="43" t="n">
        <f aca="false">IF($N79="","",IF($Q79="",$N79,$Q79))</f>
        <v>46260</v>
      </c>
      <c r="V79" s="36" t="n">
        <f aca="false">IF($F79="","",IF(OR($O79="",$N79=""),0,IF($O79&lt;=$N79,1,0)))</f>
        <v>0</v>
      </c>
      <c r="W79" s="36" t="n">
        <f aca="false">IF($F79="","",IF(OR($O79="",$U79=""),0,IF($O79&lt;=$U79,1,0)))</f>
        <v>0</v>
      </c>
      <c r="X79" s="37" t="str">
        <f aca="false">IF(OR($O79="",$N79=""),"",MAX(0,$O79-$N79))</f>
        <v/>
      </c>
      <c r="Y79" s="36" t="n">
        <f aca="false">IF($F79="","",IF(AND($Q79&lt;&gt;"",$N79&lt;&gt;"",$Q79&lt;&gt;$N79),1,0))</f>
        <v>0</v>
      </c>
      <c r="Z79" s="36" t="n">
        <f aca="false">IF($F79="","",IF($P79="Cancelada",0,IF(OR($O79&lt;&gt;"",$P79="Concluída"),1,0)))</f>
        <v>1</v>
      </c>
    </row>
    <row r="80" customFormat="false" ht="16.5" hidden="false" customHeight="true" outlineLevel="0" collapsed="false">
      <c r="A80" s="36" t="n">
        <f aca="false">IF($F80="","",COUNTA($F$5:$F80))</f>
        <v>76</v>
      </c>
      <c r="B80" s="37" t="str">
        <f aca="true">IF($F80="","",IF($P80="Cancelada","Cancelada",IF(OR($O80&lt;&gt;"",$P80="Concluída"),IF(OR($N80="",$O80="",$O80&lt;=$N80),"Concluída","Concluída com atraso"),IF($N80="","Na carteira",IF($N80&lt;TODAY(),"VENCIDA",IF($P80="Em execução","Em execução",IF($N80=TODAY(),"Hoje","Programada")))))))</f>
        <v>Concluída</v>
      </c>
      <c r="C80" s="38"/>
      <c r="D80" s="38" t="s">
        <v>119</v>
      </c>
      <c r="E80" s="38" t="s">
        <v>172</v>
      </c>
      <c r="F80" s="38" t="s">
        <v>248</v>
      </c>
      <c r="G80" s="39" t="s">
        <v>72</v>
      </c>
      <c r="H80" s="39"/>
      <c r="I80" s="40" t="s">
        <v>111</v>
      </c>
      <c r="J80" s="40"/>
      <c r="K80" s="40"/>
      <c r="L80" s="41" t="n">
        <v>46258</v>
      </c>
      <c r="M80" s="42" t="s">
        <v>87</v>
      </c>
      <c r="N80" s="43" t="n">
        <f aca="false">IF(OR($L80="",$M80=""),"",$L80+MATCH($M80,Listas!$F$5:$F$11,0)-1)</f>
        <v>46260</v>
      </c>
      <c r="O80" s="44"/>
      <c r="P80" s="39" t="s">
        <v>73</v>
      </c>
      <c r="Q80" s="44"/>
      <c r="R80" s="38"/>
      <c r="S80" s="38"/>
      <c r="T80" s="36" t="str">
        <f aca="false">IF($F80="","",IF(ISNUMBER(SEARCH("(externo)",$I80&amp;$J80&amp;$K80)),"Terceirizada","Interna"))</f>
        <v>Terceirizada</v>
      </c>
      <c r="U80" s="43" t="n">
        <f aca="false">IF($N80="","",IF($Q80="",$N80,$Q80))</f>
        <v>46260</v>
      </c>
      <c r="V80" s="36" t="n">
        <f aca="false">IF($F80="","",IF(OR($O80="",$N80=""),0,IF($O80&lt;=$N80,1,0)))</f>
        <v>0</v>
      </c>
      <c r="W80" s="36" t="n">
        <f aca="false">IF($F80="","",IF(OR($O80="",$U80=""),0,IF($O80&lt;=$U80,1,0)))</f>
        <v>0</v>
      </c>
      <c r="X80" s="37" t="str">
        <f aca="false">IF(OR($O80="",$N80=""),"",MAX(0,$O80-$N80))</f>
        <v/>
      </c>
      <c r="Y80" s="36" t="n">
        <f aca="false">IF($F80="","",IF(AND($Q80&lt;&gt;"",$N80&lt;&gt;"",$Q80&lt;&gt;$N80),1,0))</f>
        <v>0</v>
      </c>
      <c r="Z80" s="36" t="n">
        <f aca="false">IF($F80="","",IF($P80="Cancelada",0,IF(OR($O80&lt;&gt;"",$P80="Concluída"),1,0)))</f>
        <v>1</v>
      </c>
    </row>
    <row r="81" customFormat="false" ht="16.5" hidden="false" customHeight="true" outlineLevel="0" collapsed="false">
      <c r="A81" s="36" t="n">
        <f aca="false">IF($F81="","",COUNTA($F$5:$F81))</f>
        <v>77</v>
      </c>
      <c r="B81" s="37" t="str">
        <f aca="true">IF($F81="","",IF($P81="Cancelada","Cancelada",IF(OR($O81&lt;&gt;"",$P81="Concluída"),IF(OR($N81="",$O81="",$O81&lt;=$N81),"Concluída","Concluída com atraso"),IF($N81="","Na carteira",IF($N81&lt;TODAY(),"VENCIDA",IF($P81="Em execução","Em execução",IF($N81=TODAY(),"Hoje","Programada")))))))</f>
        <v>Concluída</v>
      </c>
      <c r="C81" s="38"/>
      <c r="D81" s="38" t="s">
        <v>119</v>
      </c>
      <c r="E81" s="38" t="s">
        <v>172</v>
      </c>
      <c r="F81" s="38" t="s">
        <v>249</v>
      </c>
      <c r="G81" s="39" t="s">
        <v>72</v>
      </c>
      <c r="H81" s="39"/>
      <c r="I81" s="40" t="s">
        <v>111</v>
      </c>
      <c r="J81" s="40"/>
      <c r="K81" s="40"/>
      <c r="L81" s="41" t="n">
        <v>46258</v>
      </c>
      <c r="M81" s="42" t="s">
        <v>87</v>
      </c>
      <c r="N81" s="43" t="n">
        <f aca="false">IF(OR($L81="",$M81=""),"",$L81+MATCH($M81,Listas!$F$5:$F$11,0)-1)</f>
        <v>46260</v>
      </c>
      <c r="O81" s="44"/>
      <c r="P81" s="39" t="s">
        <v>73</v>
      </c>
      <c r="Q81" s="44"/>
      <c r="R81" s="38"/>
      <c r="S81" s="38"/>
      <c r="T81" s="36" t="str">
        <f aca="false">IF($F81="","",IF(ISNUMBER(SEARCH("(externo)",$I81&amp;$J81&amp;$K81)),"Terceirizada","Interna"))</f>
        <v>Terceirizada</v>
      </c>
      <c r="U81" s="43" t="n">
        <f aca="false">IF($N81="","",IF($Q81="",$N81,$Q81))</f>
        <v>46260</v>
      </c>
      <c r="V81" s="36" t="n">
        <f aca="false">IF($F81="","",IF(OR($O81="",$N81=""),0,IF($O81&lt;=$N81,1,0)))</f>
        <v>0</v>
      </c>
      <c r="W81" s="36" t="n">
        <f aca="false">IF($F81="","",IF(OR($O81="",$U81=""),0,IF($O81&lt;=$U81,1,0)))</f>
        <v>0</v>
      </c>
      <c r="X81" s="37" t="str">
        <f aca="false">IF(OR($O81="",$N81=""),"",MAX(0,$O81-$N81))</f>
        <v/>
      </c>
      <c r="Y81" s="36" t="n">
        <f aca="false">IF($F81="","",IF(AND($Q81&lt;&gt;"",$N81&lt;&gt;"",$Q81&lt;&gt;$N81),1,0))</f>
        <v>0</v>
      </c>
      <c r="Z81" s="36" t="n">
        <f aca="false">IF($F81="","",IF($P81="Cancelada",0,IF(OR($O81&lt;&gt;"",$P81="Concluída"),1,0)))</f>
        <v>1</v>
      </c>
    </row>
    <row r="82" customFormat="false" ht="16.5" hidden="false" customHeight="true" outlineLevel="0" collapsed="false">
      <c r="A82" s="36" t="n">
        <f aca="false">IF($F82="","",COUNTA($F$5:$F82))</f>
        <v>78</v>
      </c>
      <c r="B82" s="37" t="str">
        <f aca="true">IF($F82="","",IF($P82="Cancelada","Cancelada",IF(OR($O82&lt;&gt;"",$P82="Concluída"),IF(OR($N82="",$O82="",$O82&lt;=$N82),"Concluída","Concluída com atraso"),IF($N82="","Na carteira",IF($N82&lt;TODAY(),"VENCIDA",IF($P82="Em execução","Em execução",IF($N82=TODAY(),"Hoje","Programada")))))))</f>
        <v>Concluída</v>
      </c>
      <c r="C82" s="38"/>
      <c r="D82" s="38" t="s">
        <v>119</v>
      </c>
      <c r="E82" s="38" t="s">
        <v>172</v>
      </c>
      <c r="F82" s="38" t="s">
        <v>250</v>
      </c>
      <c r="G82" s="39" t="s">
        <v>72</v>
      </c>
      <c r="H82" s="39"/>
      <c r="I82" s="40" t="s">
        <v>111</v>
      </c>
      <c r="J82" s="40"/>
      <c r="K82" s="40"/>
      <c r="L82" s="41" t="n">
        <v>46258</v>
      </c>
      <c r="M82" s="42" t="s">
        <v>87</v>
      </c>
      <c r="N82" s="43" t="n">
        <f aca="false">IF(OR($L82="",$M82=""),"",$L82+MATCH($M82,Listas!$F$5:$F$11,0)-1)</f>
        <v>46260</v>
      </c>
      <c r="O82" s="44"/>
      <c r="P82" s="39" t="s">
        <v>73</v>
      </c>
      <c r="Q82" s="44"/>
      <c r="R82" s="38"/>
      <c r="S82" s="38"/>
      <c r="T82" s="36" t="str">
        <f aca="false">IF($F82="","",IF(ISNUMBER(SEARCH("(externo)",$I82&amp;$J82&amp;$K82)),"Terceirizada","Interna"))</f>
        <v>Terceirizada</v>
      </c>
      <c r="U82" s="43" t="n">
        <f aca="false">IF($N82="","",IF($Q82="",$N82,$Q82))</f>
        <v>46260</v>
      </c>
      <c r="V82" s="36" t="n">
        <f aca="false">IF($F82="","",IF(OR($O82="",$N82=""),0,IF($O82&lt;=$N82,1,0)))</f>
        <v>0</v>
      </c>
      <c r="W82" s="36" t="n">
        <f aca="false">IF($F82="","",IF(OR($O82="",$U82=""),0,IF($O82&lt;=$U82,1,0)))</f>
        <v>0</v>
      </c>
      <c r="X82" s="37" t="str">
        <f aca="false">IF(OR($O82="",$N82=""),"",MAX(0,$O82-$N82))</f>
        <v/>
      </c>
      <c r="Y82" s="36" t="n">
        <f aca="false">IF($F82="","",IF(AND($Q82&lt;&gt;"",$N82&lt;&gt;"",$Q82&lt;&gt;$N82),1,0))</f>
        <v>0</v>
      </c>
      <c r="Z82" s="36" t="n">
        <f aca="false">IF($F82="","",IF($P82="Cancelada",0,IF(OR($O82&lt;&gt;"",$P82="Concluída"),1,0)))</f>
        <v>1</v>
      </c>
    </row>
    <row r="83" customFormat="false" ht="16.5" hidden="false" customHeight="true" outlineLevel="0" collapsed="false">
      <c r="A83" s="36" t="n">
        <f aca="false">IF($F83="","",COUNTA($F$5:$F83))</f>
        <v>79</v>
      </c>
      <c r="B83" s="37" t="str">
        <f aca="true">IF($F83="","",IF($P83="Cancelada","Cancelada",IF(OR($O83&lt;&gt;"",$P83="Concluída"),IF(OR($N83="",$O83="",$O83&lt;=$N83),"Concluída","Concluída com atraso"),IF($N83="","Na carteira",IF($N83&lt;TODAY(),"VENCIDA",IF($P83="Em execução","Em execução",IF($N83=TODAY(),"Hoje","Programada")))))))</f>
        <v>VENCIDA</v>
      </c>
      <c r="C83" s="38"/>
      <c r="D83" s="38" t="s">
        <v>120</v>
      </c>
      <c r="E83" s="38" t="s">
        <v>251</v>
      </c>
      <c r="F83" s="38" t="s">
        <v>252</v>
      </c>
      <c r="G83" s="39" t="s">
        <v>72</v>
      </c>
      <c r="H83" s="39"/>
      <c r="I83" s="40" t="s">
        <v>98</v>
      </c>
      <c r="J83" s="40"/>
      <c r="K83" s="40"/>
      <c r="L83" s="41" t="n">
        <v>46258</v>
      </c>
      <c r="M83" s="42" t="s">
        <v>87</v>
      </c>
      <c r="N83" s="43" t="n">
        <f aca="false">IF(OR($L83="",$M83=""),"",$L83+MATCH($M83,Listas!$F$5:$F$11,0)-1)</f>
        <v>46260</v>
      </c>
      <c r="O83" s="44"/>
      <c r="P83" s="39" t="s">
        <v>79</v>
      </c>
      <c r="Q83" s="44"/>
      <c r="R83" s="38"/>
      <c r="S83" s="38"/>
      <c r="T83" s="36" t="str">
        <f aca="false">IF($F83="","",IF(ISNUMBER(SEARCH("(externo)",$I83&amp;$J83&amp;$K83)),"Terceirizada","Interna"))</f>
        <v>Interna</v>
      </c>
      <c r="U83" s="43" t="n">
        <f aca="false">IF($N83="","",IF($Q83="",$N83,$Q83))</f>
        <v>46260</v>
      </c>
      <c r="V83" s="36" t="n">
        <f aca="false">IF($F83="","",IF(OR($O83="",$N83=""),0,IF($O83&lt;=$N83,1,0)))</f>
        <v>0</v>
      </c>
      <c r="W83" s="36" t="n">
        <f aca="false">IF($F83="","",IF(OR($O83="",$U83=""),0,IF($O83&lt;=$U83,1,0)))</f>
        <v>0</v>
      </c>
      <c r="X83" s="37" t="str">
        <f aca="false">IF(OR($O83="",$N83=""),"",MAX(0,$O83-$N83))</f>
        <v/>
      </c>
      <c r="Y83" s="36" t="n">
        <f aca="false">IF($F83="","",IF(AND($Q83&lt;&gt;"",$N83&lt;&gt;"",$Q83&lt;&gt;$N83),1,0))</f>
        <v>0</v>
      </c>
      <c r="Z83" s="36" t="n">
        <f aca="false">IF($F83="","",IF($P83="Cancelada",0,IF(OR($O83&lt;&gt;"",$P83="Concluída"),1,0)))</f>
        <v>0</v>
      </c>
    </row>
    <row r="84" customFormat="false" ht="16.5" hidden="false" customHeight="true" outlineLevel="0" collapsed="false">
      <c r="A84" s="36" t="n">
        <f aca="false">IF($F84="","",COUNTA($F$5:$F84))</f>
        <v>80</v>
      </c>
      <c r="B84" s="37" t="str">
        <f aca="true">IF($F84="","",IF($P84="Cancelada","Cancelada",IF(OR($O84&lt;&gt;"",$P84="Concluída"),IF(OR($N84="",$O84="",$O84&lt;=$N84),"Concluída","Concluída com atraso"),IF($N84="","Na carteira",IF($N84&lt;TODAY(),"VENCIDA",IF($P84="Em execução","Em execução",IF($N84=TODAY(),"Hoje","Programada")))))))</f>
        <v>Hoje</v>
      </c>
      <c r="C84" s="38"/>
      <c r="D84" s="38" t="s">
        <v>121</v>
      </c>
      <c r="E84" s="38" t="s">
        <v>162</v>
      </c>
      <c r="F84" s="38" t="s">
        <v>253</v>
      </c>
      <c r="G84" s="39" t="s">
        <v>72</v>
      </c>
      <c r="H84" s="39"/>
      <c r="I84" s="40" t="s">
        <v>76</v>
      </c>
      <c r="J84" s="40" t="s">
        <v>102</v>
      </c>
      <c r="K84" s="40"/>
      <c r="L84" s="41" t="n">
        <v>46258</v>
      </c>
      <c r="M84" s="42" t="s">
        <v>92</v>
      </c>
      <c r="N84" s="43" t="n">
        <f aca="false">IF(OR($L84="",$M84=""),"",$L84+MATCH($M84,Listas!$F$5:$F$11,0)-1)</f>
        <v>46261</v>
      </c>
      <c r="O84" s="44"/>
      <c r="P84" s="39"/>
      <c r="Q84" s="44"/>
      <c r="R84" s="38"/>
      <c r="S84" s="38"/>
      <c r="T84" s="36" t="str">
        <f aca="false">IF($F84="","",IF(ISNUMBER(SEARCH("(externo)",$I84&amp;$J84&amp;$K84)),"Terceirizada","Interna"))</f>
        <v>Interna</v>
      </c>
      <c r="U84" s="43" t="n">
        <f aca="false">IF($N84="","",IF($Q84="",$N84,$Q84))</f>
        <v>46261</v>
      </c>
      <c r="V84" s="36" t="n">
        <f aca="false">IF($F84="","",IF(OR($O84="",$N84=""),0,IF($O84&lt;=$N84,1,0)))</f>
        <v>0</v>
      </c>
      <c r="W84" s="36" t="n">
        <f aca="false">IF($F84="","",IF(OR($O84="",$U84=""),0,IF($O84&lt;=$U84,1,0)))</f>
        <v>0</v>
      </c>
      <c r="X84" s="37" t="str">
        <f aca="false">IF(OR($O84="",$N84=""),"",MAX(0,$O84-$N84))</f>
        <v/>
      </c>
      <c r="Y84" s="36" t="n">
        <f aca="false">IF($F84="","",IF(AND($Q84&lt;&gt;"",$N84&lt;&gt;"",$Q84&lt;&gt;$N84),1,0))</f>
        <v>0</v>
      </c>
      <c r="Z84" s="36" t="n">
        <f aca="false">IF($F84="","",IF($P84="Cancelada",0,IF(OR($O84&lt;&gt;"",$P84="Concluída"),1,0)))</f>
        <v>0</v>
      </c>
    </row>
    <row r="85" customFormat="false" ht="16.5" hidden="false" customHeight="true" outlineLevel="0" collapsed="false">
      <c r="A85" s="36" t="n">
        <f aca="false">IF($F85="","",COUNTA($F$5:$F85))</f>
        <v>81</v>
      </c>
      <c r="B85" s="37" t="str">
        <f aca="true">IF($F85="","",IF($P85="Cancelada","Cancelada",IF(OR($O85&lt;&gt;"",$P85="Concluída"),IF(OR($N85="",$O85="",$O85&lt;=$N85),"Concluída","Concluída com atraso"),IF($N85="","Na carteira",IF($N85&lt;TODAY(),"VENCIDA",IF($P85="Em execução","Em execução",IF($N85=TODAY(),"Hoje","Programada")))))))</f>
        <v>Hoje</v>
      </c>
      <c r="C85" s="38"/>
      <c r="D85" s="38" t="s">
        <v>121</v>
      </c>
      <c r="E85" s="38" t="s">
        <v>162</v>
      </c>
      <c r="F85" s="38" t="s">
        <v>162</v>
      </c>
      <c r="G85" s="39" t="s">
        <v>72</v>
      </c>
      <c r="H85" s="39"/>
      <c r="I85" s="40" t="s">
        <v>76</v>
      </c>
      <c r="J85" s="40" t="s">
        <v>102</v>
      </c>
      <c r="K85" s="40"/>
      <c r="L85" s="41" t="n">
        <v>46258</v>
      </c>
      <c r="M85" s="42" t="s">
        <v>92</v>
      </c>
      <c r="N85" s="43" t="n">
        <f aca="false">IF(OR($L85="",$M85=""),"",$L85+MATCH($M85,Listas!$F$5:$F$11,0)-1)</f>
        <v>46261</v>
      </c>
      <c r="O85" s="44"/>
      <c r="P85" s="39"/>
      <c r="Q85" s="44"/>
      <c r="R85" s="38"/>
      <c r="S85" s="38"/>
      <c r="T85" s="36" t="str">
        <f aca="false">IF($F85="","",IF(ISNUMBER(SEARCH("(externo)",$I85&amp;$J85&amp;$K85)),"Terceirizada","Interna"))</f>
        <v>Interna</v>
      </c>
      <c r="U85" s="43" t="n">
        <f aca="false">IF($N85="","",IF($Q85="",$N85,$Q85))</f>
        <v>46261</v>
      </c>
      <c r="V85" s="36" t="n">
        <f aca="false">IF($F85="","",IF(OR($O85="",$N85=""),0,IF($O85&lt;=$N85,1,0)))</f>
        <v>0</v>
      </c>
      <c r="W85" s="36" t="n">
        <f aca="false">IF($F85="","",IF(OR($O85="",$U85=""),0,IF($O85&lt;=$U85,1,0)))</f>
        <v>0</v>
      </c>
      <c r="X85" s="37" t="str">
        <f aca="false">IF(OR($O85="",$N85=""),"",MAX(0,$O85-$N85))</f>
        <v/>
      </c>
      <c r="Y85" s="36" t="n">
        <f aca="false">IF($F85="","",IF(AND($Q85&lt;&gt;"",$N85&lt;&gt;"",$Q85&lt;&gt;$N85),1,0))</f>
        <v>0</v>
      </c>
      <c r="Z85" s="36" t="n">
        <f aca="false">IF($F85="","",IF($P85="Cancelada",0,IF(OR($O85&lt;&gt;"",$P85="Concluída"),1,0)))</f>
        <v>0</v>
      </c>
    </row>
    <row r="86" customFormat="false" ht="16.5" hidden="false" customHeight="true" outlineLevel="0" collapsed="false">
      <c r="A86" s="36" t="n">
        <f aca="false">IF($F86="","",COUNTA($F$5:$F86))</f>
        <v>82</v>
      </c>
      <c r="B86" s="37" t="str">
        <f aca="true">IF($F86="","",IF($P86="Cancelada","Cancelada",IF(OR($O86&lt;&gt;"",$P86="Concluída"),IF(OR($N86="",$O86="",$O86&lt;=$N86),"Concluída","Concluída com atraso"),IF($N86="","Na carteira",IF($N86&lt;TODAY(),"VENCIDA",IF($P86="Em execução","Em execução",IF($N86=TODAY(),"Hoje","Programada")))))))</f>
        <v>Concluída</v>
      </c>
      <c r="C86" s="38"/>
      <c r="D86" s="38" t="s">
        <v>122</v>
      </c>
      <c r="E86" s="38" t="s">
        <v>162</v>
      </c>
      <c r="F86" s="38" t="s">
        <v>163</v>
      </c>
      <c r="G86" s="39" t="s">
        <v>72</v>
      </c>
      <c r="H86" s="39"/>
      <c r="I86" s="40" t="s">
        <v>76</v>
      </c>
      <c r="J86" s="40" t="s">
        <v>102</v>
      </c>
      <c r="K86" s="40"/>
      <c r="L86" s="41" t="n">
        <v>46258</v>
      </c>
      <c r="M86" s="42" t="s">
        <v>87</v>
      </c>
      <c r="N86" s="43" t="n">
        <f aca="false">IF(OR($L86="",$M86=""),"",$L86+MATCH($M86,Listas!$F$5:$F$11,0)-1)</f>
        <v>46260</v>
      </c>
      <c r="O86" s="44"/>
      <c r="P86" s="39" t="s">
        <v>73</v>
      </c>
      <c r="Q86" s="44"/>
      <c r="R86" s="38"/>
      <c r="S86" s="38"/>
      <c r="T86" s="36" t="str">
        <f aca="false">IF($F86="","",IF(ISNUMBER(SEARCH("(externo)",$I86&amp;$J86&amp;$K86)),"Terceirizada","Interna"))</f>
        <v>Interna</v>
      </c>
      <c r="U86" s="43" t="n">
        <f aca="false">IF($N86="","",IF($Q86="",$N86,$Q86))</f>
        <v>46260</v>
      </c>
      <c r="V86" s="36" t="n">
        <f aca="false">IF($F86="","",IF(OR($O86="",$N86=""),0,IF($O86&lt;=$N86,1,0)))</f>
        <v>0</v>
      </c>
      <c r="W86" s="36" t="n">
        <f aca="false">IF($F86="","",IF(OR($O86="",$U86=""),0,IF($O86&lt;=$U86,1,0)))</f>
        <v>0</v>
      </c>
      <c r="X86" s="37" t="str">
        <f aca="false">IF(OR($O86="",$N86=""),"",MAX(0,$O86-$N86))</f>
        <v/>
      </c>
      <c r="Y86" s="36" t="n">
        <f aca="false">IF($F86="","",IF(AND($Q86&lt;&gt;"",$N86&lt;&gt;"",$Q86&lt;&gt;$N86),1,0))</f>
        <v>0</v>
      </c>
      <c r="Z86" s="36" t="n">
        <f aca="false">IF($F86="","",IF($P86="Cancelada",0,IF(OR($O86&lt;&gt;"",$P86="Concluída"),1,0)))</f>
        <v>1</v>
      </c>
    </row>
    <row r="87" customFormat="false" ht="16.5" hidden="false" customHeight="true" outlineLevel="0" collapsed="false">
      <c r="A87" s="36" t="n">
        <f aca="false">IF($F87="","",COUNTA($F$5:$F87))</f>
        <v>83</v>
      </c>
      <c r="B87" s="37" t="str">
        <f aca="true">IF($F87="","",IF($P87="Cancelada","Cancelada",IF(OR($O87&lt;&gt;"",$P87="Concluída"),IF(OR($N87="",$O87="",$O87&lt;=$N87),"Concluída","Concluída com atraso"),IF($N87="","Na carteira",IF($N87&lt;TODAY(),"VENCIDA",IF($P87="Em execução","Em execução",IF($N87=TODAY(),"Hoje","Programada")))))))</f>
        <v>Concluída</v>
      </c>
      <c r="C87" s="38"/>
      <c r="D87" s="38" t="s">
        <v>122</v>
      </c>
      <c r="E87" s="38" t="s">
        <v>162</v>
      </c>
      <c r="F87" s="38" t="s">
        <v>254</v>
      </c>
      <c r="G87" s="39" t="s">
        <v>72</v>
      </c>
      <c r="H87" s="39"/>
      <c r="I87" s="40" t="s">
        <v>76</v>
      </c>
      <c r="J87" s="40" t="s">
        <v>102</v>
      </c>
      <c r="K87" s="40"/>
      <c r="L87" s="41" t="n">
        <v>46258</v>
      </c>
      <c r="M87" s="42" t="s">
        <v>87</v>
      </c>
      <c r="N87" s="43" t="n">
        <f aca="false">IF(OR($L87="",$M87=""),"",$L87+MATCH($M87,Listas!$F$5:$F$11,0)-1)</f>
        <v>46260</v>
      </c>
      <c r="O87" s="44"/>
      <c r="P87" s="39" t="s">
        <v>73</v>
      </c>
      <c r="Q87" s="44"/>
      <c r="R87" s="38"/>
      <c r="S87" s="38"/>
      <c r="T87" s="36" t="str">
        <f aca="false">IF($F87="","",IF(ISNUMBER(SEARCH("(externo)",$I87&amp;$J87&amp;$K87)),"Terceirizada","Interna"))</f>
        <v>Interna</v>
      </c>
      <c r="U87" s="43" t="n">
        <f aca="false">IF($N87="","",IF($Q87="",$N87,$Q87))</f>
        <v>46260</v>
      </c>
      <c r="V87" s="36" t="n">
        <f aca="false">IF($F87="","",IF(OR($O87="",$N87=""),0,IF($O87&lt;=$N87,1,0)))</f>
        <v>0</v>
      </c>
      <c r="W87" s="36" t="n">
        <f aca="false">IF($F87="","",IF(OR($O87="",$U87=""),0,IF($O87&lt;=$U87,1,0)))</f>
        <v>0</v>
      </c>
      <c r="X87" s="37" t="str">
        <f aca="false">IF(OR($O87="",$N87=""),"",MAX(0,$O87-$N87))</f>
        <v/>
      </c>
      <c r="Y87" s="36" t="n">
        <f aca="false">IF($F87="","",IF(AND($Q87&lt;&gt;"",$N87&lt;&gt;"",$Q87&lt;&gt;$N87),1,0))</f>
        <v>0</v>
      </c>
      <c r="Z87" s="36" t="n">
        <f aca="false">IF($F87="","",IF($P87="Cancelada",0,IF(OR($O87&lt;&gt;"",$P87="Concluída"),1,0)))</f>
        <v>1</v>
      </c>
    </row>
    <row r="88" customFormat="false" ht="16.5" hidden="false" customHeight="true" outlineLevel="0" collapsed="false">
      <c r="A88" s="36" t="n">
        <f aca="false">IF($F88="","",COUNTA($F$5:$F88))</f>
        <v>84</v>
      </c>
      <c r="B88" s="37" t="str">
        <f aca="true">IF($F88="","",IF($P88="Cancelada","Cancelada",IF(OR($O88&lt;&gt;"",$P88="Concluída"),IF(OR($N88="",$O88="",$O88&lt;=$N88),"Concluída","Concluída com atraso"),IF($N88="","Na carteira",IF($N88&lt;TODAY(),"VENCIDA",IF($P88="Em execução","Em execução",IF($N88=TODAY(),"Hoje","Programada")))))))</f>
        <v>Concluída</v>
      </c>
      <c r="C88" s="38"/>
      <c r="D88" s="38" t="s">
        <v>122</v>
      </c>
      <c r="E88" s="38" t="s">
        <v>162</v>
      </c>
      <c r="F88" s="38" t="s">
        <v>255</v>
      </c>
      <c r="G88" s="39" t="s">
        <v>72</v>
      </c>
      <c r="H88" s="39"/>
      <c r="I88" s="40" t="s">
        <v>76</v>
      </c>
      <c r="J88" s="40" t="s">
        <v>102</v>
      </c>
      <c r="K88" s="40"/>
      <c r="L88" s="41" t="n">
        <v>46258</v>
      </c>
      <c r="M88" s="42" t="s">
        <v>87</v>
      </c>
      <c r="N88" s="43" t="n">
        <f aca="false">IF(OR($L88="",$M88=""),"",$L88+MATCH($M88,Listas!$F$5:$F$11,0)-1)</f>
        <v>46260</v>
      </c>
      <c r="O88" s="44"/>
      <c r="P88" s="39" t="s">
        <v>73</v>
      </c>
      <c r="Q88" s="44"/>
      <c r="R88" s="38"/>
      <c r="S88" s="38"/>
      <c r="T88" s="36" t="str">
        <f aca="false">IF($F88="","",IF(ISNUMBER(SEARCH("(externo)",$I88&amp;$J88&amp;$K88)),"Terceirizada","Interna"))</f>
        <v>Interna</v>
      </c>
      <c r="U88" s="43" t="n">
        <f aca="false">IF($N88="","",IF($Q88="",$N88,$Q88))</f>
        <v>46260</v>
      </c>
      <c r="V88" s="36" t="n">
        <f aca="false">IF($F88="","",IF(OR($O88="",$N88=""),0,IF($O88&lt;=$N88,1,0)))</f>
        <v>0</v>
      </c>
      <c r="W88" s="36" t="n">
        <f aca="false">IF($F88="","",IF(OR($O88="",$U88=""),0,IF($O88&lt;=$U88,1,0)))</f>
        <v>0</v>
      </c>
      <c r="X88" s="37" t="str">
        <f aca="false">IF(OR($O88="",$N88=""),"",MAX(0,$O88-$N88))</f>
        <v/>
      </c>
      <c r="Y88" s="36" t="n">
        <f aca="false">IF($F88="","",IF(AND($Q88&lt;&gt;"",$N88&lt;&gt;"",$Q88&lt;&gt;$N88),1,0))</f>
        <v>0</v>
      </c>
      <c r="Z88" s="36" t="n">
        <f aca="false">IF($F88="","",IF($P88="Cancelada",0,IF(OR($O88&lt;&gt;"",$P88="Concluída"),1,0)))</f>
        <v>1</v>
      </c>
    </row>
    <row r="89" customFormat="false" ht="16.5" hidden="false" customHeight="true" outlineLevel="0" collapsed="false">
      <c r="A89" s="36" t="n">
        <f aca="false">IF($F89="","",COUNTA($F$5:$F89))</f>
        <v>85</v>
      </c>
      <c r="B89" s="37" t="str">
        <f aca="true">IF($F89="","",IF($P89="Cancelada","Cancelada",IF(OR($O89&lt;&gt;"",$P89="Concluída"),IF(OR($N89="",$O89="",$O89&lt;=$N89),"Concluída","Concluída com atraso"),IF($N89="","Na carteira",IF($N89&lt;TODAY(),"VENCIDA",IF($P89="Em execução","Em execução",IF($N89=TODAY(),"Hoje","Programada")))))))</f>
        <v>Concluída</v>
      </c>
      <c r="C89" s="38"/>
      <c r="D89" s="38" t="s">
        <v>122</v>
      </c>
      <c r="E89" s="38" t="s">
        <v>162</v>
      </c>
      <c r="F89" s="38" t="s">
        <v>256</v>
      </c>
      <c r="G89" s="39" t="s">
        <v>72</v>
      </c>
      <c r="H89" s="39"/>
      <c r="I89" s="40" t="s">
        <v>76</v>
      </c>
      <c r="J89" s="40" t="s">
        <v>102</v>
      </c>
      <c r="K89" s="40"/>
      <c r="L89" s="41" t="n">
        <v>46258</v>
      </c>
      <c r="M89" s="42" t="s">
        <v>87</v>
      </c>
      <c r="N89" s="43" t="n">
        <f aca="false">IF(OR($L89="",$M89=""),"",$L89+MATCH($M89,Listas!$F$5:$F$11,0)-1)</f>
        <v>46260</v>
      </c>
      <c r="O89" s="44"/>
      <c r="P89" s="39" t="s">
        <v>73</v>
      </c>
      <c r="Q89" s="44"/>
      <c r="R89" s="38"/>
      <c r="S89" s="38"/>
      <c r="T89" s="36" t="str">
        <f aca="false">IF($F89="","",IF(ISNUMBER(SEARCH("(externo)",$I89&amp;$J89&amp;$K89)),"Terceirizada","Interna"))</f>
        <v>Interna</v>
      </c>
      <c r="U89" s="43" t="n">
        <f aca="false">IF($N89="","",IF($Q89="",$N89,$Q89))</f>
        <v>46260</v>
      </c>
      <c r="V89" s="36" t="n">
        <f aca="false">IF($F89="","",IF(OR($O89="",$N89=""),0,IF($O89&lt;=$N89,1,0)))</f>
        <v>0</v>
      </c>
      <c r="W89" s="36" t="n">
        <f aca="false">IF($F89="","",IF(OR($O89="",$U89=""),0,IF($O89&lt;=$U89,1,0)))</f>
        <v>0</v>
      </c>
      <c r="X89" s="37" t="str">
        <f aca="false">IF(OR($O89="",$N89=""),"",MAX(0,$O89-$N89))</f>
        <v/>
      </c>
      <c r="Y89" s="36" t="n">
        <f aca="false">IF($F89="","",IF(AND($Q89&lt;&gt;"",$N89&lt;&gt;"",$Q89&lt;&gt;$N89),1,0))</f>
        <v>0</v>
      </c>
      <c r="Z89" s="36" t="n">
        <f aca="false">IF($F89="","",IF($P89="Cancelada",0,IF(OR($O89&lt;&gt;"",$P89="Concluída"),1,0)))</f>
        <v>1</v>
      </c>
    </row>
    <row r="90" customFormat="false" ht="16.5" hidden="false" customHeight="true" outlineLevel="0" collapsed="false">
      <c r="A90" s="36" t="n">
        <f aca="false">IF($F90="","",COUNTA($F$5:$F90))</f>
        <v>86</v>
      </c>
      <c r="B90" s="37" t="str">
        <f aca="true">IF($F90="","",IF($P90="Cancelada","Cancelada",IF(OR($O90&lt;&gt;"",$P90="Concluída"),IF(OR($N90="",$O90="",$O90&lt;=$N90),"Concluída","Concluída com atraso"),IF($N90="","Na carteira",IF($N90&lt;TODAY(),"VENCIDA",IF($P90="Em execução","Em execução",IF($N90=TODAY(),"Hoje","Programada")))))))</f>
        <v>Concluída</v>
      </c>
      <c r="C90" s="38"/>
      <c r="D90" s="38" t="s">
        <v>122</v>
      </c>
      <c r="E90" s="38" t="s">
        <v>162</v>
      </c>
      <c r="F90" s="38" t="s">
        <v>257</v>
      </c>
      <c r="G90" s="39" t="s">
        <v>72</v>
      </c>
      <c r="H90" s="39"/>
      <c r="I90" s="40" t="s">
        <v>76</v>
      </c>
      <c r="J90" s="40" t="s">
        <v>102</v>
      </c>
      <c r="K90" s="40"/>
      <c r="L90" s="41" t="n">
        <v>46258</v>
      </c>
      <c r="M90" s="42" t="s">
        <v>87</v>
      </c>
      <c r="N90" s="43" t="n">
        <f aca="false">IF(OR($L90="",$M90=""),"",$L90+MATCH($M90,Listas!$F$5:$F$11,0)-1)</f>
        <v>46260</v>
      </c>
      <c r="O90" s="44"/>
      <c r="P90" s="39" t="s">
        <v>73</v>
      </c>
      <c r="Q90" s="44"/>
      <c r="R90" s="38"/>
      <c r="S90" s="38"/>
      <c r="T90" s="36" t="str">
        <f aca="false">IF($F90="","",IF(ISNUMBER(SEARCH("(externo)",$I90&amp;$J90&amp;$K90)),"Terceirizada","Interna"))</f>
        <v>Interna</v>
      </c>
      <c r="U90" s="43" t="n">
        <f aca="false">IF($N90="","",IF($Q90="",$N90,$Q90))</f>
        <v>46260</v>
      </c>
      <c r="V90" s="36" t="n">
        <f aca="false">IF($F90="","",IF(OR($O90="",$N90=""),0,IF($O90&lt;=$N90,1,0)))</f>
        <v>0</v>
      </c>
      <c r="W90" s="36" t="n">
        <f aca="false">IF($F90="","",IF(OR($O90="",$U90=""),0,IF($O90&lt;=$U90,1,0)))</f>
        <v>0</v>
      </c>
      <c r="X90" s="37" t="str">
        <f aca="false">IF(OR($O90="",$N90=""),"",MAX(0,$O90-$N90))</f>
        <v/>
      </c>
      <c r="Y90" s="36" t="n">
        <f aca="false">IF($F90="","",IF(AND($Q90&lt;&gt;"",$N90&lt;&gt;"",$Q90&lt;&gt;$N90),1,0))</f>
        <v>0</v>
      </c>
      <c r="Z90" s="36" t="n">
        <f aca="false">IF($F90="","",IF($P90="Cancelada",0,IF(OR($O90&lt;&gt;"",$P90="Concluída"),1,0)))</f>
        <v>1</v>
      </c>
    </row>
    <row r="91" customFormat="false" ht="16.5" hidden="false" customHeight="true" outlineLevel="0" collapsed="false">
      <c r="A91" s="36" t="n">
        <f aca="false">IF($F91="","",COUNTA($F$5:$F91))</f>
        <v>87</v>
      </c>
      <c r="B91" s="37" t="str">
        <f aca="true">IF($F91="","",IF($P91="Cancelada","Cancelada",IF(OR($O91&lt;&gt;"",$P91="Concluída"),IF(OR($N91="",$O91="",$O91&lt;=$N91),"Concluída","Concluída com atraso"),IF($N91="","Na carteira",IF($N91&lt;TODAY(),"VENCIDA",IF($P91="Em execução","Em execução",IF($N91=TODAY(),"Hoje","Programada")))))))</f>
        <v>Concluída</v>
      </c>
      <c r="C91" s="38"/>
      <c r="D91" s="38" t="s">
        <v>122</v>
      </c>
      <c r="E91" s="38" t="s">
        <v>162</v>
      </c>
      <c r="F91" s="38" t="s">
        <v>258</v>
      </c>
      <c r="G91" s="39" t="s">
        <v>72</v>
      </c>
      <c r="H91" s="39"/>
      <c r="I91" s="40" t="s">
        <v>76</v>
      </c>
      <c r="J91" s="40" t="s">
        <v>102</v>
      </c>
      <c r="K91" s="40"/>
      <c r="L91" s="41" t="n">
        <v>46258</v>
      </c>
      <c r="M91" s="42" t="s">
        <v>87</v>
      </c>
      <c r="N91" s="43" t="n">
        <f aca="false">IF(OR($L91="",$M91=""),"",$L91+MATCH($M91,Listas!$F$5:$F$11,0)-1)</f>
        <v>46260</v>
      </c>
      <c r="O91" s="44"/>
      <c r="P91" s="39" t="s">
        <v>73</v>
      </c>
      <c r="Q91" s="44"/>
      <c r="R91" s="38"/>
      <c r="S91" s="38"/>
      <c r="T91" s="36" t="str">
        <f aca="false">IF($F91="","",IF(ISNUMBER(SEARCH("(externo)",$I91&amp;$J91&amp;$K91)),"Terceirizada","Interna"))</f>
        <v>Interna</v>
      </c>
      <c r="U91" s="43" t="n">
        <f aca="false">IF($N91="","",IF($Q91="",$N91,$Q91))</f>
        <v>46260</v>
      </c>
      <c r="V91" s="36" t="n">
        <f aca="false">IF($F91="","",IF(OR($O91="",$N91=""),0,IF($O91&lt;=$N91,1,0)))</f>
        <v>0</v>
      </c>
      <c r="W91" s="36" t="n">
        <f aca="false">IF($F91="","",IF(OR($O91="",$U91=""),0,IF($O91&lt;=$U91,1,0)))</f>
        <v>0</v>
      </c>
      <c r="X91" s="37" t="str">
        <f aca="false">IF(OR($O91="",$N91=""),"",MAX(0,$O91-$N91))</f>
        <v/>
      </c>
      <c r="Y91" s="36" t="n">
        <f aca="false">IF($F91="","",IF(AND($Q91&lt;&gt;"",$N91&lt;&gt;"",$Q91&lt;&gt;$N91),1,0))</f>
        <v>0</v>
      </c>
      <c r="Z91" s="36" t="n">
        <f aca="false">IF($F91="","",IF($P91="Cancelada",0,IF(OR($O91&lt;&gt;"",$P91="Concluída"),1,0)))</f>
        <v>1</v>
      </c>
    </row>
    <row r="92" customFormat="false" ht="16.5" hidden="false" customHeight="true" outlineLevel="0" collapsed="false">
      <c r="A92" s="36" t="n">
        <f aca="false">IF($F92="","",COUNTA($F$5:$F92))</f>
        <v>88</v>
      </c>
      <c r="B92" s="37" t="str">
        <f aca="true">IF($F92="","",IF($P92="Cancelada","Cancelada",IF(OR($O92&lt;&gt;"",$P92="Concluída"),IF(OR($N92="",$O92="",$O92&lt;=$N92),"Concluída","Concluída com atraso"),IF($N92="","Na carteira",IF($N92&lt;TODAY(),"VENCIDA",IF($P92="Em execução","Em execução",IF($N92=TODAY(),"Hoje","Programada")))))))</f>
        <v>Concluída</v>
      </c>
      <c r="C92" s="38"/>
      <c r="D92" s="38" t="s">
        <v>122</v>
      </c>
      <c r="E92" s="38" t="s">
        <v>162</v>
      </c>
      <c r="F92" s="38" t="s">
        <v>259</v>
      </c>
      <c r="G92" s="39" t="s">
        <v>72</v>
      </c>
      <c r="H92" s="39"/>
      <c r="I92" s="40" t="s">
        <v>76</v>
      </c>
      <c r="J92" s="40" t="s">
        <v>102</v>
      </c>
      <c r="K92" s="40"/>
      <c r="L92" s="41" t="n">
        <v>46258</v>
      </c>
      <c r="M92" s="42" t="s">
        <v>87</v>
      </c>
      <c r="N92" s="43" t="n">
        <f aca="false">IF(OR($L92="",$M92=""),"",$L92+MATCH($M92,Listas!$F$5:$F$11,0)-1)</f>
        <v>46260</v>
      </c>
      <c r="O92" s="44"/>
      <c r="P92" s="39" t="s">
        <v>73</v>
      </c>
      <c r="Q92" s="44"/>
      <c r="R92" s="38"/>
      <c r="S92" s="38"/>
      <c r="T92" s="36" t="str">
        <f aca="false">IF($F92="","",IF(ISNUMBER(SEARCH("(externo)",$I92&amp;$J92&amp;$K92)),"Terceirizada","Interna"))</f>
        <v>Interna</v>
      </c>
      <c r="U92" s="43" t="n">
        <f aca="false">IF($N92="","",IF($Q92="",$N92,$Q92))</f>
        <v>46260</v>
      </c>
      <c r="V92" s="36" t="n">
        <f aca="false">IF($F92="","",IF(OR($O92="",$N92=""),0,IF($O92&lt;=$N92,1,0)))</f>
        <v>0</v>
      </c>
      <c r="W92" s="36" t="n">
        <f aca="false">IF($F92="","",IF(OR($O92="",$U92=""),0,IF($O92&lt;=$U92,1,0)))</f>
        <v>0</v>
      </c>
      <c r="X92" s="37" t="str">
        <f aca="false">IF(OR($O92="",$N92=""),"",MAX(0,$O92-$N92))</f>
        <v/>
      </c>
      <c r="Y92" s="36" t="n">
        <f aca="false">IF($F92="","",IF(AND($Q92&lt;&gt;"",$N92&lt;&gt;"",$Q92&lt;&gt;$N92),1,0))</f>
        <v>0</v>
      </c>
      <c r="Z92" s="36" t="n">
        <f aca="false">IF($F92="","",IF($P92="Cancelada",0,IF(OR($O92&lt;&gt;"",$P92="Concluída"),1,0)))</f>
        <v>1</v>
      </c>
    </row>
    <row r="93" customFormat="false" ht="16.5" hidden="false" customHeight="true" outlineLevel="0" collapsed="false">
      <c r="A93" s="36" t="n">
        <f aca="false">IF($F93="","",COUNTA($F$5:$F93))</f>
        <v>89</v>
      </c>
      <c r="B93" s="37" t="str">
        <f aca="true">IF($F93="","",IF($P93="Cancelada","Cancelada",IF(OR($O93&lt;&gt;"",$P93="Concluída"),IF(OR($N93="",$O93="",$O93&lt;=$N93),"Concluída","Concluída com atraso"),IF($N93="","Na carteira",IF($N93&lt;TODAY(),"VENCIDA",IF($P93="Em execução","Em execução",IF($N93=TODAY(),"Hoje","Programada")))))))</f>
        <v>Concluída</v>
      </c>
      <c r="C93" s="38"/>
      <c r="D93" s="38" t="s">
        <v>122</v>
      </c>
      <c r="E93" s="38" t="s">
        <v>162</v>
      </c>
      <c r="F93" s="38" t="s">
        <v>260</v>
      </c>
      <c r="G93" s="39" t="s">
        <v>72</v>
      </c>
      <c r="H93" s="39"/>
      <c r="I93" s="40" t="s">
        <v>76</v>
      </c>
      <c r="J93" s="40" t="s">
        <v>102</v>
      </c>
      <c r="K93" s="40"/>
      <c r="L93" s="41" t="n">
        <v>46258</v>
      </c>
      <c r="M93" s="42" t="s">
        <v>87</v>
      </c>
      <c r="N93" s="43" t="n">
        <f aca="false">IF(OR($L93="",$M93=""),"",$L93+MATCH($M93,Listas!$F$5:$F$11,0)-1)</f>
        <v>46260</v>
      </c>
      <c r="O93" s="44"/>
      <c r="P93" s="39" t="s">
        <v>73</v>
      </c>
      <c r="Q93" s="44"/>
      <c r="R93" s="38"/>
      <c r="S93" s="38"/>
      <c r="T93" s="36" t="str">
        <f aca="false">IF($F93="","",IF(ISNUMBER(SEARCH("(externo)",$I93&amp;$J93&amp;$K93)),"Terceirizada","Interna"))</f>
        <v>Interna</v>
      </c>
      <c r="U93" s="43" t="n">
        <f aca="false">IF($N93="","",IF($Q93="",$N93,$Q93))</f>
        <v>46260</v>
      </c>
      <c r="V93" s="36" t="n">
        <f aca="false">IF($F93="","",IF(OR($O93="",$N93=""),0,IF($O93&lt;=$N93,1,0)))</f>
        <v>0</v>
      </c>
      <c r="W93" s="36" t="n">
        <f aca="false">IF($F93="","",IF(OR($O93="",$U93=""),0,IF($O93&lt;=$U93,1,0)))</f>
        <v>0</v>
      </c>
      <c r="X93" s="37" t="str">
        <f aca="false">IF(OR($O93="",$N93=""),"",MAX(0,$O93-$N93))</f>
        <v/>
      </c>
      <c r="Y93" s="36" t="n">
        <f aca="false">IF($F93="","",IF(AND($Q93&lt;&gt;"",$N93&lt;&gt;"",$Q93&lt;&gt;$N93),1,0))</f>
        <v>0</v>
      </c>
      <c r="Z93" s="36" t="n">
        <f aca="false">IF($F93="","",IF($P93="Cancelada",0,IF(OR($O93&lt;&gt;"",$P93="Concluída"),1,0)))</f>
        <v>1</v>
      </c>
    </row>
    <row r="94" customFormat="false" ht="16.5" hidden="false" customHeight="true" outlineLevel="0" collapsed="false">
      <c r="A94" s="36" t="n">
        <f aca="false">IF($F94="","",COUNTA($F$5:$F94))</f>
        <v>90</v>
      </c>
      <c r="B94" s="37" t="str">
        <f aca="true">IF($F94="","",IF($P94="Cancelada","Cancelada",IF(OR($O94&lt;&gt;"",$P94="Concluída"),IF(OR($N94="",$O94="",$O94&lt;=$N94),"Concluída","Concluída com atraso"),IF($N94="","Na carteira",IF($N94&lt;TODAY(),"VENCIDA",IF($P94="Em execução","Em execução",IF($N94=TODAY(),"Hoje","Programada")))))))</f>
        <v>Concluída</v>
      </c>
      <c r="C94" s="38"/>
      <c r="D94" s="38" t="s">
        <v>122</v>
      </c>
      <c r="E94" s="38" t="s">
        <v>162</v>
      </c>
      <c r="F94" s="38" t="s">
        <v>261</v>
      </c>
      <c r="G94" s="39" t="s">
        <v>72</v>
      </c>
      <c r="H94" s="39"/>
      <c r="I94" s="40" t="s">
        <v>76</v>
      </c>
      <c r="J94" s="40" t="s">
        <v>102</v>
      </c>
      <c r="K94" s="40"/>
      <c r="L94" s="41" t="n">
        <v>46258</v>
      </c>
      <c r="M94" s="42" t="s">
        <v>87</v>
      </c>
      <c r="N94" s="43" t="n">
        <f aca="false">IF(OR($L94="",$M94=""),"",$L94+MATCH($M94,Listas!$F$5:$F$11,0)-1)</f>
        <v>46260</v>
      </c>
      <c r="O94" s="44"/>
      <c r="P94" s="39" t="s">
        <v>73</v>
      </c>
      <c r="Q94" s="44"/>
      <c r="R94" s="38"/>
      <c r="S94" s="38"/>
      <c r="T94" s="36" t="str">
        <f aca="false">IF($F94="","",IF(ISNUMBER(SEARCH("(externo)",$I94&amp;$J94&amp;$K94)),"Terceirizada","Interna"))</f>
        <v>Interna</v>
      </c>
      <c r="U94" s="43" t="n">
        <f aca="false">IF($N94="","",IF($Q94="",$N94,$Q94))</f>
        <v>46260</v>
      </c>
      <c r="V94" s="36" t="n">
        <f aca="false">IF($F94="","",IF(OR($O94="",$N94=""),0,IF($O94&lt;=$N94,1,0)))</f>
        <v>0</v>
      </c>
      <c r="W94" s="36" t="n">
        <f aca="false">IF($F94="","",IF(OR($O94="",$U94=""),0,IF($O94&lt;=$U94,1,0)))</f>
        <v>0</v>
      </c>
      <c r="X94" s="37" t="str">
        <f aca="false">IF(OR($O94="",$N94=""),"",MAX(0,$O94-$N94))</f>
        <v/>
      </c>
      <c r="Y94" s="36" t="n">
        <f aca="false">IF($F94="","",IF(AND($Q94&lt;&gt;"",$N94&lt;&gt;"",$Q94&lt;&gt;$N94),1,0))</f>
        <v>0</v>
      </c>
      <c r="Z94" s="36" t="n">
        <f aca="false">IF($F94="","",IF($P94="Cancelada",0,IF(OR($O94&lt;&gt;"",$P94="Concluída"),1,0)))</f>
        <v>1</v>
      </c>
    </row>
    <row r="95" customFormat="false" ht="16.5" hidden="false" customHeight="true" outlineLevel="0" collapsed="false">
      <c r="A95" s="36" t="n">
        <f aca="false">IF($F95="","",COUNTA($F$5:$F95))</f>
        <v>91</v>
      </c>
      <c r="B95" s="37" t="str">
        <f aca="true">IF($F95="","",IF($P95="Cancelada","Cancelada",IF(OR($O95&lt;&gt;"",$P95="Concluída"),IF(OR($N95="",$O95="",$O95&lt;=$N95),"Concluída","Concluída com atraso"),IF($N95="","Na carteira",IF($N95&lt;TODAY(),"VENCIDA",IF($P95="Em execução","Em execução",IF($N95=TODAY(),"Hoje","Programada")))))))</f>
        <v>Concluída</v>
      </c>
      <c r="C95" s="38"/>
      <c r="D95" s="38" t="s">
        <v>122</v>
      </c>
      <c r="E95" s="38" t="s">
        <v>162</v>
      </c>
      <c r="F95" s="38" t="s">
        <v>262</v>
      </c>
      <c r="G95" s="39" t="s">
        <v>72</v>
      </c>
      <c r="H95" s="39"/>
      <c r="I95" s="40" t="s">
        <v>76</v>
      </c>
      <c r="J95" s="40" t="s">
        <v>102</v>
      </c>
      <c r="K95" s="40"/>
      <c r="L95" s="41" t="n">
        <v>46258</v>
      </c>
      <c r="M95" s="42" t="s">
        <v>87</v>
      </c>
      <c r="N95" s="43" t="n">
        <f aca="false">IF(OR($L95="",$M95=""),"",$L95+MATCH($M95,Listas!$F$5:$F$11,0)-1)</f>
        <v>46260</v>
      </c>
      <c r="O95" s="44"/>
      <c r="P95" s="39" t="s">
        <v>73</v>
      </c>
      <c r="Q95" s="44"/>
      <c r="R95" s="38"/>
      <c r="S95" s="38"/>
      <c r="T95" s="36" t="str">
        <f aca="false">IF($F95="","",IF(ISNUMBER(SEARCH("(externo)",$I95&amp;$J95&amp;$K95)),"Terceirizada","Interna"))</f>
        <v>Interna</v>
      </c>
      <c r="U95" s="43" t="n">
        <f aca="false">IF($N95="","",IF($Q95="",$N95,$Q95))</f>
        <v>46260</v>
      </c>
      <c r="V95" s="36" t="n">
        <f aca="false">IF($F95="","",IF(OR($O95="",$N95=""),0,IF($O95&lt;=$N95,1,0)))</f>
        <v>0</v>
      </c>
      <c r="W95" s="36" t="n">
        <f aca="false">IF($F95="","",IF(OR($O95="",$U95=""),0,IF($O95&lt;=$U95,1,0)))</f>
        <v>0</v>
      </c>
      <c r="X95" s="37" t="str">
        <f aca="false">IF(OR($O95="",$N95=""),"",MAX(0,$O95-$N95))</f>
        <v/>
      </c>
      <c r="Y95" s="36" t="n">
        <f aca="false">IF($F95="","",IF(AND($Q95&lt;&gt;"",$N95&lt;&gt;"",$Q95&lt;&gt;$N95),1,0))</f>
        <v>0</v>
      </c>
      <c r="Z95" s="36" t="n">
        <f aca="false">IF($F95="","",IF($P95="Cancelada",0,IF(OR($O95&lt;&gt;"",$P95="Concluída"),1,0)))</f>
        <v>1</v>
      </c>
    </row>
    <row r="96" customFormat="false" ht="16.5" hidden="false" customHeight="true" outlineLevel="0" collapsed="false">
      <c r="A96" s="36" t="n">
        <f aca="false">IF($F96="","",COUNTA($F$5:$F96))</f>
        <v>92</v>
      </c>
      <c r="B96" s="37" t="str">
        <f aca="true">IF($F96="","",IF($P96="Cancelada","Cancelada",IF(OR($O96&lt;&gt;"",$P96="Concluída"),IF(OR($N96="",$O96="",$O96&lt;=$N96),"Concluída","Concluída com atraso"),IF($N96="","Na carteira",IF($N96&lt;TODAY(),"VENCIDA",IF($P96="Em execução","Em execução",IF($N96=TODAY(),"Hoje","Programada")))))))</f>
        <v>Hoje</v>
      </c>
      <c r="C96" s="38"/>
      <c r="D96" s="38" t="s">
        <v>123</v>
      </c>
      <c r="E96" s="38" t="s">
        <v>263</v>
      </c>
      <c r="F96" s="38" t="s">
        <v>264</v>
      </c>
      <c r="G96" s="39" t="s">
        <v>72</v>
      </c>
      <c r="H96" s="39"/>
      <c r="I96" s="40" t="s">
        <v>76</v>
      </c>
      <c r="J96" s="40" t="s">
        <v>93</v>
      </c>
      <c r="K96" s="40" t="s">
        <v>102</v>
      </c>
      <c r="L96" s="41" t="n">
        <v>46258</v>
      </c>
      <c r="M96" s="42" t="s">
        <v>92</v>
      </c>
      <c r="N96" s="43" t="n">
        <f aca="false">IF(OR($L96="",$M96=""),"",$L96+MATCH($M96,Listas!$F$5:$F$11,0)-1)</f>
        <v>46261</v>
      </c>
      <c r="O96" s="44"/>
      <c r="P96" s="39"/>
      <c r="Q96" s="44" t="n">
        <v>46260</v>
      </c>
      <c r="R96" s="38"/>
      <c r="S96" s="38" t="s">
        <v>265</v>
      </c>
      <c r="T96" s="36" t="str">
        <f aca="false">IF($F96="","",IF(ISNUMBER(SEARCH("(externo)",$I96&amp;$J96&amp;$K96)),"Terceirizada","Interna"))</f>
        <v>Interna</v>
      </c>
      <c r="U96" s="43" t="n">
        <f aca="false">IF($N96="","",IF($Q96="",$N96,$Q96))</f>
        <v>46260</v>
      </c>
      <c r="V96" s="36" t="n">
        <f aca="false">IF($F96="","",IF(OR($O96="",$N96=""),0,IF($O96&lt;=$N96,1,0)))</f>
        <v>0</v>
      </c>
      <c r="W96" s="36" t="n">
        <f aca="false">IF($F96="","",IF(OR($O96="",$U96=""),0,IF($O96&lt;=$U96,1,0)))</f>
        <v>0</v>
      </c>
      <c r="X96" s="37" t="str">
        <f aca="false">IF(OR($O96="",$N96=""),"",MAX(0,$O96-$N96))</f>
        <v/>
      </c>
      <c r="Y96" s="36" t="n">
        <f aca="false">IF($F96="","",IF(AND($Q96&lt;&gt;"",$N96&lt;&gt;"",$Q96&lt;&gt;$N96),1,0))</f>
        <v>1</v>
      </c>
      <c r="Z96" s="36" t="n">
        <f aca="false">IF($F96="","",IF($P96="Cancelada",0,IF(OR($O96&lt;&gt;"",$P96="Concluída"),1,0)))</f>
        <v>0</v>
      </c>
    </row>
    <row r="97" customFormat="false" ht="16.5" hidden="false" customHeight="true" outlineLevel="0" collapsed="false">
      <c r="A97" s="36" t="n">
        <f aca="false">IF($F97="","",COUNTA($F$5:$F97))</f>
        <v>93</v>
      </c>
      <c r="B97" s="37" t="str">
        <f aca="true">IF($F97="","",IF($P97="Cancelada","Cancelada",IF(OR($O97&lt;&gt;"",$P97="Concluída"),IF(OR($N97="",$O97="",$O97&lt;=$N97),"Concluída","Concluída com atraso"),IF($N97="","Na carteira",IF($N97&lt;TODAY(),"VENCIDA",IF($P97="Em execução","Em execução",IF($N97=TODAY(),"Hoje","Programada")))))))</f>
        <v>Hoje</v>
      </c>
      <c r="C97" s="38"/>
      <c r="D97" s="38" t="s">
        <v>123</v>
      </c>
      <c r="E97" s="38" t="s">
        <v>263</v>
      </c>
      <c r="F97" s="38" t="s">
        <v>266</v>
      </c>
      <c r="G97" s="39" t="s">
        <v>72</v>
      </c>
      <c r="H97" s="39"/>
      <c r="I97" s="40" t="s">
        <v>76</v>
      </c>
      <c r="J97" s="40" t="s">
        <v>93</v>
      </c>
      <c r="K97" s="40" t="s">
        <v>102</v>
      </c>
      <c r="L97" s="41" t="n">
        <v>46258</v>
      </c>
      <c r="M97" s="42" t="s">
        <v>92</v>
      </c>
      <c r="N97" s="43" t="n">
        <f aca="false">IF(OR($L97="",$M97=""),"",$L97+MATCH($M97,Listas!$F$5:$F$11,0)-1)</f>
        <v>46261</v>
      </c>
      <c r="O97" s="44"/>
      <c r="P97" s="39"/>
      <c r="Q97" s="44" t="n">
        <v>46260</v>
      </c>
      <c r="R97" s="38"/>
      <c r="S97" s="38" t="s">
        <v>265</v>
      </c>
      <c r="T97" s="36" t="str">
        <f aca="false">IF($F97="","",IF(ISNUMBER(SEARCH("(externo)",$I97&amp;$J97&amp;$K97)),"Terceirizada","Interna"))</f>
        <v>Interna</v>
      </c>
      <c r="U97" s="43" t="n">
        <f aca="false">IF($N97="","",IF($Q97="",$N97,$Q97))</f>
        <v>46260</v>
      </c>
      <c r="V97" s="36" t="n">
        <f aca="false">IF($F97="","",IF(OR($O97="",$N97=""),0,IF($O97&lt;=$N97,1,0)))</f>
        <v>0</v>
      </c>
      <c r="W97" s="36" t="n">
        <f aca="false">IF($F97="","",IF(OR($O97="",$U97=""),0,IF($O97&lt;=$U97,1,0)))</f>
        <v>0</v>
      </c>
      <c r="X97" s="37" t="str">
        <f aca="false">IF(OR($O97="",$N97=""),"",MAX(0,$O97-$N97))</f>
        <v/>
      </c>
      <c r="Y97" s="36" t="n">
        <f aca="false">IF($F97="","",IF(AND($Q97&lt;&gt;"",$N97&lt;&gt;"",$Q97&lt;&gt;$N97),1,0))</f>
        <v>1</v>
      </c>
      <c r="Z97" s="36" t="n">
        <f aca="false">IF($F97="","",IF($P97="Cancelada",0,IF(OR($O97&lt;&gt;"",$P97="Concluída"),1,0)))</f>
        <v>0</v>
      </c>
    </row>
    <row r="98" customFormat="false" ht="16.5" hidden="false" customHeight="true" outlineLevel="0" collapsed="false">
      <c r="A98" s="36" t="n">
        <f aca="false">IF($F98="","",COUNTA($F$5:$F98))</f>
        <v>94</v>
      </c>
      <c r="B98" s="37" t="str">
        <f aca="true">IF($F98="","",IF($P98="Cancelada","Cancelada",IF(OR($O98&lt;&gt;"",$P98="Concluída"),IF(OR($N98="",$O98="",$O98&lt;=$N98),"Concluída","Concluída com atraso"),IF($N98="","Na carteira",IF($N98&lt;TODAY(),"VENCIDA",IF($P98="Em execução","Em execução",IF($N98=TODAY(),"Hoje","Programada")))))))</f>
        <v>Hoje</v>
      </c>
      <c r="C98" s="38"/>
      <c r="D98" s="38" t="s">
        <v>123</v>
      </c>
      <c r="E98" s="38" t="s">
        <v>263</v>
      </c>
      <c r="F98" s="38" t="s">
        <v>267</v>
      </c>
      <c r="G98" s="39" t="s">
        <v>72</v>
      </c>
      <c r="H98" s="39"/>
      <c r="I98" s="40" t="s">
        <v>76</v>
      </c>
      <c r="J98" s="40" t="s">
        <v>93</v>
      </c>
      <c r="K98" s="40" t="s">
        <v>102</v>
      </c>
      <c r="L98" s="41" t="n">
        <v>46258</v>
      </c>
      <c r="M98" s="42" t="s">
        <v>92</v>
      </c>
      <c r="N98" s="43" t="n">
        <f aca="false">IF(OR($L98="",$M98=""),"",$L98+MATCH($M98,Listas!$F$5:$F$11,0)-1)</f>
        <v>46261</v>
      </c>
      <c r="O98" s="44"/>
      <c r="P98" s="39"/>
      <c r="Q98" s="44" t="n">
        <v>46260</v>
      </c>
      <c r="R98" s="38"/>
      <c r="S98" s="38" t="s">
        <v>265</v>
      </c>
      <c r="T98" s="36" t="str">
        <f aca="false">IF($F98="","",IF(ISNUMBER(SEARCH("(externo)",$I98&amp;$J98&amp;$K98)),"Terceirizada","Interna"))</f>
        <v>Interna</v>
      </c>
      <c r="U98" s="43" t="n">
        <f aca="false">IF($N98="","",IF($Q98="",$N98,$Q98))</f>
        <v>46260</v>
      </c>
      <c r="V98" s="36" t="n">
        <f aca="false">IF($F98="","",IF(OR($O98="",$N98=""),0,IF($O98&lt;=$N98,1,0)))</f>
        <v>0</v>
      </c>
      <c r="W98" s="36" t="n">
        <f aca="false">IF($F98="","",IF(OR($O98="",$U98=""),0,IF($O98&lt;=$U98,1,0)))</f>
        <v>0</v>
      </c>
      <c r="X98" s="37" t="str">
        <f aca="false">IF(OR($O98="",$N98=""),"",MAX(0,$O98-$N98))</f>
        <v/>
      </c>
      <c r="Y98" s="36" t="n">
        <f aca="false">IF($F98="","",IF(AND($Q98&lt;&gt;"",$N98&lt;&gt;"",$Q98&lt;&gt;$N98),1,0))</f>
        <v>1</v>
      </c>
      <c r="Z98" s="36" t="n">
        <f aca="false">IF($F98="","",IF($P98="Cancelada",0,IF(OR($O98&lt;&gt;"",$P98="Concluída"),1,0)))</f>
        <v>0</v>
      </c>
    </row>
    <row r="99" customFormat="false" ht="16.5" hidden="false" customHeight="true" outlineLevel="0" collapsed="false">
      <c r="A99" s="36" t="n">
        <f aca="false">IF($F99="","",COUNTA($F$5:$F99))</f>
        <v>95</v>
      </c>
      <c r="B99" s="37" t="str">
        <f aca="true">IF($F99="","",IF($P99="Cancelada","Cancelada",IF(OR($O99&lt;&gt;"",$P99="Concluída"),IF(OR($N99="",$O99="",$O99&lt;=$N99),"Concluída","Concluída com atraso"),IF($N99="","Na carteira",IF($N99&lt;TODAY(),"VENCIDA",IF($P99="Em execução","Em execução",IF($N99=TODAY(),"Hoje","Programada")))))))</f>
        <v>Hoje</v>
      </c>
      <c r="C99" s="38"/>
      <c r="D99" s="38" t="s">
        <v>123</v>
      </c>
      <c r="E99" s="38" t="s">
        <v>263</v>
      </c>
      <c r="F99" s="38" t="s">
        <v>268</v>
      </c>
      <c r="G99" s="39" t="s">
        <v>72</v>
      </c>
      <c r="H99" s="39"/>
      <c r="I99" s="40" t="s">
        <v>76</v>
      </c>
      <c r="J99" s="40" t="s">
        <v>93</v>
      </c>
      <c r="K99" s="40" t="s">
        <v>102</v>
      </c>
      <c r="L99" s="41" t="n">
        <v>46258</v>
      </c>
      <c r="M99" s="42" t="s">
        <v>92</v>
      </c>
      <c r="N99" s="43" t="n">
        <f aca="false">IF(OR($L99="",$M99=""),"",$L99+MATCH($M99,Listas!$F$5:$F$11,0)-1)</f>
        <v>46261</v>
      </c>
      <c r="O99" s="44"/>
      <c r="P99" s="39"/>
      <c r="Q99" s="44" t="n">
        <v>46260</v>
      </c>
      <c r="R99" s="38"/>
      <c r="S99" s="38" t="s">
        <v>265</v>
      </c>
      <c r="T99" s="36" t="str">
        <f aca="false">IF($F99="","",IF(ISNUMBER(SEARCH("(externo)",$I99&amp;$J99&amp;$K99)),"Terceirizada","Interna"))</f>
        <v>Interna</v>
      </c>
      <c r="U99" s="43" t="n">
        <f aca="false">IF($N99="","",IF($Q99="",$N99,$Q99))</f>
        <v>46260</v>
      </c>
      <c r="V99" s="36" t="n">
        <f aca="false">IF($F99="","",IF(OR($O99="",$N99=""),0,IF($O99&lt;=$N99,1,0)))</f>
        <v>0</v>
      </c>
      <c r="W99" s="36" t="n">
        <f aca="false">IF($F99="","",IF(OR($O99="",$U99=""),0,IF($O99&lt;=$U99,1,0)))</f>
        <v>0</v>
      </c>
      <c r="X99" s="37" t="str">
        <f aca="false">IF(OR($O99="",$N99=""),"",MAX(0,$O99-$N99))</f>
        <v/>
      </c>
      <c r="Y99" s="36" t="n">
        <f aca="false">IF($F99="","",IF(AND($Q99&lt;&gt;"",$N99&lt;&gt;"",$Q99&lt;&gt;$N99),1,0))</f>
        <v>1</v>
      </c>
      <c r="Z99" s="36" t="n">
        <f aca="false">IF($F99="","",IF($P99="Cancelada",0,IF(OR($O99&lt;&gt;"",$P99="Concluída"),1,0)))</f>
        <v>0</v>
      </c>
    </row>
    <row r="100" customFormat="false" ht="16.5" hidden="false" customHeight="true" outlineLevel="0" collapsed="false">
      <c r="A100" s="36" t="n">
        <f aca="false">IF($F100="","",COUNTA($F$5:$F100))</f>
        <v>96</v>
      </c>
      <c r="B100" s="37" t="str">
        <f aca="true">IF($F100="","",IF($P100="Cancelada","Cancelada",IF(OR($O100&lt;&gt;"",$P100="Concluída"),IF(OR($N100="",$O100="",$O100&lt;=$N100),"Concluída","Concluída com atraso"),IF($N100="","Na carteira",IF($N100&lt;TODAY(),"VENCIDA",IF($P100="Em execução","Em execução",IF($N100=TODAY(),"Hoje","Programada")))))))</f>
        <v>Hoje</v>
      </c>
      <c r="C100" s="38"/>
      <c r="D100" s="38" t="s">
        <v>123</v>
      </c>
      <c r="E100" s="38" t="s">
        <v>263</v>
      </c>
      <c r="F100" s="38" t="s">
        <v>269</v>
      </c>
      <c r="G100" s="39" t="s">
        <v>72</v>
      </c>
      <c r="H100" s="39"/>
      <c r="I100" s="40" t="s">
        <v>76</v>
      </c>
      <c r="J100" s="40" t="s">
        <v>93</v>
      </c>
      <c r="K100" s="40" t="s">
        <v>102</v>
      </c>
      <c r="L100" s="41" t="n">
        <v>46258</v>
      </c>
      <c r="M100" s="42" t="s">
        <v>92</v>
      </c>
      <c r="N100" s="43" t="n">
        <f aca="false">IF(OR($L100="",$M100=""),"",$L100+MATCH($M100,Listas!$F$5:$F$11,0)-1)</f>
        <v>46261</v>
      </c>
      <c r="O100" s="44"/>
      <c r="P100" s="39"/>
      <c r="Q100" s="44" t="n">
        <v>46260</v>
      </c>
      <c r="R100" s="38"/>
      <c r="S100" s="38" t="s">
        <v>265</v>
      </c>
      <c r="T100" s="36" t="str">
        <f aca="false">IF($F100="","",IF(ISNUMBER(SEARCH("(externo)",$I100&amp;$J100&amp;$K100)),"Terceirizada","Interna"))</f>
        <v>Interna</v>
      </c>
      <c r="U100" s="43" t="n">
        <f aca="false">IF($N100="","",IF($Q100="",$N100,$Q100))</f>
        <v>46260</v>
      </c>
      <c r="V100" s="36" t="n">
        <f aca="false">IF($F100="","",IF(OR($O100="",$N100=""),0,IF($O100&lt;=$N100,1,0)))</f>
        <v>0</v>
      </c>
      <c r="W100" s="36" t="n">
        <f aca="false">IF($F100="","",IF(OR($O100="",$U100=""),0,IF($O100&lt;=$U100,1,0)))</f>
        <v>0</v>
      </c>
      <c r="X100" s="37" t="str">
        <f aca="false">IF(OR($O100="",$N100=""),"",MAX(0,$O100-$N100))</f>
        <v/>
      </c>
      <c r="Y100" s="36" t="n">
        <f aca="false">IF($F100="","",IF(AND($Q100&lt;&gt;"",$N100&lt;&gt;"",$Q100&lt;&gt;$N100),1,0))</f>
        <v>1</v>
      </c>
      <c r="Z100" s="36" t="n">
        <f aca="false">IF($F100="","",IF($P100="Cancelada",0,IF(OR($O100&lt;&gt;"",$P100="Concluída"),1,0)))</f>
        <v>0</v>
      </c>
    </row>
    <row r="101" customFormat="false" ht="16.5" hidden="false" customHeight="true" outlineLevel="0" collapsed="false">
      <c r="A101" s="36" t="n">
        <f aca="false">IF($F101="","",COUNTA($F$5:$F101))</f>
        <v>97</v>
      </c>
      <c r="B101" s="37" t="str">
        <f aca="true">IF($F101="","",IF($P101="Cancelada","Cancelada",IF(OR($O101&lt;&gt;"",$P101="Concluída"),IF(OR($N101="",$O101="",$O101&lt;=$N101),"Concluída","Concluída com atraso"),IF($N101="","Na carteira",IF($N101&lt;TODAY(),"VENCIDA",IF($P101="Em execução","Em execução",IF($N101=TODAY(),"Hoje","Programada")))))))</f>
        <v>Hoje</v>
      </c>
      <c r="C101" s="38"/>
      <c r="D101" s="38" t="s">
        <v>123</v>
      </c>
      <c r="E101" s="38" t="s">
        <v>263</v>
      </c>
      <c r="F101" s="38" t="s">
        <v>270</v>
      </c>
      <c r="G101" s="39" t="s">
        <v>72</v>
      </c>
      <c r="H101" s="39"/>
      <c r="I101" s="40" t="s">
        <v>76</v>
      </c>
      <c r="J101" s="40" t="s">
        <v>93</v>
      </c>
      <c r="K101" s="40" t="s">
        <v>102</v>
      </c>
      <c r="L101" s="41" t="n">
        <v>46258</v>
      </c>
      <c r="M101" s="42" t="s">
        <v>92</v>
      </c>
      <c r="N101" s="43" t="n">
        <f aca="false">IF(OR($L101="",$M101=""),"",$L101+MATCH($M101,Listas!$F$5:$F$11,0)-1)</f>
        <v>46261</v>
      </c>
      <c r="O101" s="44"/>
      <c r="P101" s="39"/>
      <c r="Q101" s="44" t="n">
        <v>46260</v>
      </c>
      <c r="R101" s="38"/>
      <c r="S101" s="38" t="s">
        <v>265</v>
      </c>
      <c r="T101" s="36" t="str">
        <f aca="false">IF($F101="","",IF(ISNUMBER(SEARCH("(externo)",$I101&amp;$J101&amp;$K101)),"Terceirizada","Interna"))</f>
        <v>Interna</v>
      </c>
      <c r="U101" s="43" t="n">
        <f aca="false">IF($N101="","",IF($Q101="",$N101,$Q101))</f>
        <v>46260</v>
      </c>
      <c r="V101" s="36" t="n">
        <f aca="false">IF($F101="","",IF(OR($O101="",$N101=""),0,IF($O101&lt;=$N101,1,0)))</f>
        <v>0</v>
      </c>
      <c r="W101" s="36" t="n">
        <f aca="false">IF($F101="","",IF(OR($O101="",$U101=""),0,IF($O101&lt;=$U101,1,0)))</f>
        <v>0</v>
      </c>
      <c r="X101" s="37" t="str">
        <f aca="false">IF(OR($O101="",$N101=""),"",MAX(0,$O101-$N101))</f>
        <v/>
      </c>
      <c r="Y101" s="36" t="n">
        <f aca="false">IF($F101="","",IF(AND($Q101&lt;&gt;"",$N101&lt;&gt;"",$Q101&lt;&gt;$N101),1,0))</f>
        <v>1</v>
      </c>
      <c r="Z101" s="36" t="n">
        <f aca="false">IF($F101="","",IF($P101="Cancelada",0,IF(OR($O101&lt;&gt;"",$P101="Concluída"),1,0)))</f>
        <v>0</v>
      </c>
    </row>
    <row r="102" customFormat="false" ht="16.5" hidden="false" customHeight="true" outlineLevel="0" collapsed="false">
      <c r="A102" s="36" t="n">
        <f aca="false">IF($F102="","",COUNTA($F$5:$F102))</f>
        <v>98</v>
      </c>
      <c r="B102" s="37" t="str">
        <f aca="true">IF($F102="","",IF($P102="Cancelada","Cancelada",IF(OR($O102&lt;&gt;"",$P102="Concluída"),IF(OR($N102="",$O102="",$O102&lt;=$N102),"Concluída","Concluída com atraso"),IF($N102="","Na carteira",IF($N102&lt;TODAY(),"VENCIDA",IF($P102="Em execução","Em execução",IF($N102=TODAY(),"Hoje","Programada")))))))</f>
        <v>Hoje</v>
      </c>
      <c r="C102" s="38"/>
      <c r="D102" s="38" t="s">
        <v>123</v>
      </c>
      <c r="E102" s="38" t="s">
        <v>263</v>
      </c>
      <c r="F102" s="38" t="s">
        <v>271</v>
      </c>
      <c r="G102" s="39" t="s">
        <v>72</v>
      </c>
      <c r="H102" s="39"/>
      <c r="I102" s="40" t="s">
        <v>76</v>
      </c>
      <c r="J102" s="40" t="s">
        <v>93</v>
      </c>
      <c r="K102" s="40" t="s">
        <v>102</v>
      </c>
      <c r="L102" s="41" t="n">
        <v>46258</v>
      </c>
      <c r="M102" s="42" t="s">
        <v>92</v>
      </c>
      <c r="N102" s="43" t="n">
        <f aca="false">IF(OR($L102="",$M102=""),"",$L102+MATCH($M102,Listas!$F$5:$F$11,0)-1)</f>
        <v>46261</v>
      </c>
      <c r="O102" s="44"/>
      <c r="P102" s="39"/>
      <c r="Q102" s="44" t="n">
        <v>46260</v>
      </c>
      <c r="R102" s="38"/>
      <c r="S102" s="38" t="s">
        <v>265</v>
      </c>
      <c r="T102" s="36" t="str">
        <f aca="false">IF($F102="","",IF(ISNUMBER(SEARCH("(externo)",$I102&amp;$J102&amp;$K102)),"Terceirizada","Interna"))</f>
        <v>Interna</v>
      </c>
      <c r="U102" s="43" t="n">
        <f aca="false">IF($N102="","",IF($Q102="",$N102,$Q102))</f>
        <v>46260</v>
      </c>
      <c r="V102" s="36" t="n">
        <f aca="false">IF($F102="","",IF(OR($O102="",$N102=""),0,IF($O102&lt;=$N102,1,0)))</f>
        <v>0</v>
      </c>
      <c r="W102" s="36" t="n">
        <f aca="false">IF($F102="","",IF(OR($O102="",$U102=""),0,IF($O102&lt;=$U102,1,0)))</f>
        <v>0</v>
      </c>
      <c r="X102" s="37" t="str">
        <f aca="false">IF(OR($O102="",$N102=""),"",MAX(0,$O102-$N102))</f>
        <v/>
      </c>
      <c r="Y102" s="36" t="n">
        <f aca="false">IF($F102="","",IF(AND($Q102&lt;&gt;"",$N102&lt;&gt;"",$Q102&lt;&gt;$N102),1,0))</f>
        <v>1</v>
      </c>
      <c r="Z102" s="36" t="n">
        <f aca="false">IF($F102="","",IF($P102="Cancelada",0,IF(OR($O102&lt;&gt;"",$P102="Concluída"),1,0)))</f>
        <v>0</v>
      </c>
    </row>
    <row r="103" customFormat="false" ht="16.5" hidden="false" customHeight="true" outlineLevel="0" collapsed="false">
      <c r="A103" s="36" t="n">
        <f aca="false">IF($F103="","",COUNTA($F$5:$F103))</f>
        <v>99</v>
      </c>
      <c r="B103" s="37" t="str">
        <f aca="true">IF($F103="","",IF($P103="Cancelada","Cancelada",IF(OR($O103&lt;&gt;"",$P103="Concluída"),IF(OR($N103="",$O103="",$O103&lt;=$N103),"Concluída","Concluída com atraso"),IF($N103="","Na carteira",IF($N103&lt;TODAY(),"VENCIDA",IF($P103="Em execução","Em execução",IF($N103=TODAY(),"Hoje","Programada")))))))</f>
        <v>Hoje</v>
      </c>
      <c r="C103" s="38"/>
      <c r="D103" s="38" t="s">
        <v>123</v>
      </c>
      <c r="E103" s="38" t="s">
        <v>263</v>
      </c>
      <c r="F103" s="38" t="s">
        <v>272</v>
      </c>
      <c r="G103" s="39" t="s">
        <v>72</v>
      </c>
      <c r="H103" s="39"/>
      <c r="I103" s="40" t="s">
        <v>76</v>
      </c>
      <c r="J103" s="40" t="s">
        <v>93</v>
      </c>
      <c r="K103" s="40" t="s">
        <v>102</v>
      </c>
      <c r="L103" s="41" t="n">
        <v>46258</v>
      </c>
      <c r="M103" s="42" t="s">
        <v>92</v>
      </c>
      <c r="N103" s="43" t="n">
        <f aca="false">IF(OR($L103="",$M103=""),"",$L103+MATCH($M103,Listas!$F$5:$F$11,0)-1)</f>
        <v>46261</v>
      </c>
      <c r="O103" s="44"/>
      <c r="P103" s="39"/>
      <c r="Q103" s="44" t="n">
        <v>46260</v>
      </c>
      <c r="R103" s="38"/>
      <c r="S103" s="38" t="s">
        <v>265</v>
      </c>
      <c r="T103" s="36" t="str">
        <f aca="false">IF($F103="","",IF(ISNUMBER(SEARCH("(externo)",$I103&amp;$J103&amp;$K103)),"Terceirizada","Interna"))</f>
        <v>Interna</v>
      </c>
      <c r="U103" s="43" t="n">
        <f aca="false">IF($N103="","",IF($Q103="",$N103,$Q103))</f>
        <v>46260</v>
      </c>
      <c r="V103" s="36" t="n">
        <f aca="false">IF($F103="","",IF(OR($O103="",$N103=""),0,IF($O103&lt;=$N103,1,0)))</f>
        <v>0</v>
      </c>
      <c r="W103" s="36" t="n">
        <f aca="false">IF($F103="","",IF(OR($O103="",$U103=""),0,IF($O103&lt;=$U103,1,0)))</f>
        <v>0</v>
      </c>
      <c r="X103" s="37" t="str">
        <f aca="false">IF(OR($O103="",$N103=""),"",MAX(0,$O103-$N103))</f>
        <v/>
      </c>
      <c r="Y103" s="36" t="n">
        <f aca="false">IF($F103="","",IF(AND($Q103&lt;&gt;"",$N103&lt;&gt;"",$Q103&lt;&gt;$N103),1,0))</f>
        <v>1</v>
      </c>
      <c r="Z103" s="36" t="n">
        <f aca="false">IF($F103="","",IF($P103="Cancelada",0,IF(OR($O103&lt;&gt;"",$P103="Concluída"),1,0)))</f>
        <v>0</v>
      </c>
    </row>
    <row r="104" customFormat="false" ht="16.5" hidden="false" customHeight="true" outlineLevel="0" collapsed="false">
      <c r="A104" s="36" t="n">
        <f aca="false">IF($F104="","",COUNTA($F$5:$F104))</f>
        <v>100</v>
      </c>
      <c r="B104" s="37" t="str">
        <f aca="true">IF($F104="","",IF($P104="Cancelada","Cancelada",IF(OR($O104&lt;&gt;"",$P104="Concluída"),IF(OR($N104="",$O104="",$O104&lt;=$N104),"Concluída","Concluída com atraso"),IF($N104="","Na carteira",IF($N104&lt;TODAY(),"VENCIDA",IF($P104="Em execução","Em execução",IF($N104=TODAY(),"Hoje","Programada")))))))</f>
        <v>Hoje</v>
      </c>
      <c r="C104" s="38"/>
      <c r="D104" s="38" t="s">
        <v>123</v>
      </c>
      <c r="E104" s="38" t="s">
        <v>263</v>
      </c>
      <c r="F104" s="38" t="s">
        <v>273</v>
      </c>
      <c r="G104" s="39" t="s">
        <v>72</v>
      </c>
      <c r="H104" s="39"/>
      <c r="I104" s="40" t="s">
        <v>76</v>
      </c>
      <c r="J104" s="40" t="s">
        <v>93</v>
      </c>
      <c r="K104" s="40" t="s">
        <v>102</v>
      </c>
      <c r="L104" s="41" t="n">
        <v>46258</v>
      </c>
      <c r="M104" s="42" t="s">
        <v>92</v>
      </c>
      <c r="N104" s="43" t="n">
        <f aca="false">IF(OR($L104="",$M104=""),"",$L104+MATCH($M104,Listas!$F$5:$F$11,0)-1)</f>
        <v>46261</v>
      </c>
      <c r="O104" s="44"/>
      <c r="P104" s="39"/>
      <c r="Q104" s="44" t="n">
        <v>46260</v>
      </c>
      <c r="R104" s="38"/>
      <c r="S104" s="38" t="s">
        <v>265</v>
      </c>
      <c r="T104" s="36" t="str">
        <f aca="false">IF($F104="","",IF(ISNUMBER(SEARCH("(externo)",$I104&amp;$J104&amp;$K104)),"Terceirizada","Interna"))</f>
        <v>Interna</v>
      </c>
      <c r="U104" s="43" t="n">
        <f aca="false">IF($N104="","",IF($Q104="",$N104,$Q104))</f>
        <v>46260</v>
      </c>
      <c r="V104" s="36" t="n">
        <f aca="false">IF($F104="","",IF(OR($O104="",$N104=""),0,IF($O104&lt;=$N104,1,0)))</f>
        <v>0</v>
      </c>
      <c r="W104" s="36" t="n">
        <f aca="false">IF($F104="","",IF(OR($O104="",$U104=""),0,IF($O104&lt;=$U104,1,0)))</f>
        <v>0</v>
      </c>
      <c r="X104" s="37" t="str">
        <f aca="false">IF(OR($O104="",$N104=""),"",MAX(0,$O104-$N104))</f>
        <v/>
      </c>
      <c r="Y104" s="36" t="n">
        <f aca="false">IF($F104="","",IF(AND($Q104&lt;&gt;"",$N104&lt;&gt;"",$Q104&lt;&gt;$N104),1,0))</f>
        <v>1</v>
      </c>
      <c r="Z104" s="36" t="n">
        <f aca="false">IF($F104="","",IF($P104="Cancelada",0,IF(OR($O104&lt;&gt;"",$P104="Concluída"),1,0)))</f>
        <v>0</v>
      </c>
    </row>
    <row r="105" customFormat="false" ht="16.5" hidden="false" customHeight="true" outlineLevel="0" collapsed="false">
      <c r="A105" s="36" t="n">
        <f aca="false">IF($F105="","",COUNTA($F$5:$F105))</f>
        <v>101</v>
      </c>
      <c r="B105" s="37" t="str">
        <f aca="true">IF($F105="","",IF($P105="Cancelada","Cancelada",IF(OR($O105&lt;&gt;"",$P105="Concluída"),IF(OR($N105="",$O105="",$O105&lt;=$N105),"Concluída","Concluída com atraso"),IF($N105="","Na carteira",IF($N105&lt;TODAY(),"VENCIDA",IF($P105="Em execução","Em execução",IF($N105=TODAY(),"Hoje","Programada")))))))</f>
        <v>Hoje</v>
      </c>
      <c r="C105" s="38"/>
      <c r="D105" s="38" t="s">
        <v>123</v>
      </c>
      <c r="E105" s="38" t="s">
        <v>263</v>
      </c>
      <c r="F105" s="38" t="s">
        <v>274</v>
      </c>
      <c r="G105" s="39" t="s">
        <v>72</v>
      </c>
      <c r="H105" s="39"/>
      <c r="I105" s="40" t="s">
        <v>76</v>
      </c>
      <c r="J105" s="40" t="s">
        <v>93</v>
      </c>
      <c r="K105" s="40" t="s">
        <v>102</v>
      </c>
      <c r="L105" s="41" t="n">
        <v>46258</v>
      </c>
      <c r="M105" s="42" t="s">
        <v>92</v>
      </c>
      <c r="N105" s="43" t="n">
        <f aca="false">IF(OR($L105="",$M105=""),"",$L105+MATCH($M105,Listas!$F$5:$F$11,0)-1)</f>
        <v>46261</v>
      </c>
      <c r="O105" s="44"/>
      <c r="P105" s="39"/>
      <c r="Q105" s="44" t="n">
        <v>46260</v>
      </c>
      <c r="R105" s="38"/>
      <c r="S105" s="38" t="s">
        <v>265</v>
      </c>
      <c r="T105" s="36" t="str">
        <f aca="false">IF($F105="","",IF(ISNUMBER(SEARCH("(externo)",$I105&amp;$J105&amp;$K105)),"Terceirizada","Interna"))</f>
        <v>Interna</v>
      </c>
      <c r="U105" s="43" t="n">
        <f aca="false">IF($N105="","",IF($Q105="",$N105,$Q105))</f>
        <v>46260</v>
      </c>
      <c r="V105" s="36" t="n">
        <f aca="false">IF($F105="","",IF(OR($O105="",$N105=""),0,IF($O105&lt;=$N105,1,0)))</f>
        <v>0</v>
      </c>
      <c r="W105" s="36" t="n">
        <f aca="false">IF($F105="","",IF(OR($O105="",$U105=""),0,IF($O105&lt;=$U105,1,0)))</f>
        <v>0</v>
      </c>
      <c r="X105" s="37" t="str">
        <f aca="false">IF(OR($O105="",$N105=""),"",MAX(0,$O105-$N105))</f>
        <v/>
      </c>
      <c r="Y105" s="36" t="n">
        <f aca="false">IF($F105="","",IF(AND($Q105&lt;&gt;"",$N105&lt;&gt;"",$Q105&lt;&gt;$N105),1,0))</f>
        <v>1</v>
      </c>
      <c r="Z105" s="36" t="n">
        <f aca="false">IF($F105="","",IF($P105="Cancelada",0,IF(OR($O105&lt;&gt;"",$P105="Concluída"),1,0)))</f>
        <v>0</v>
      </c>
    </row>
    <row r="106" customFormat="false" ht="16.5" hidden="false" customHeight="true" outlineLevel="0" collapsed="false">
      <c r="A106" s="36" t="n">
        <f aca="false">IF($F106="","",COUNTA($F$5:$F106))</f>
        <v>102</v>
      </c>
      <c r="B106" s="37" t="str">
        <f aca="true">IF($F106="","",IF($P106="Cancelada","Cancelada",IF(OR($O106&lt;&gt;"",$P106="Concluída"),IF(OR($N106="",$O106="",$O106&lt;=$N106),"Concluída","Concluída com atraso"),IF($N106="","Na carteira",IF($N106&lt;TODAY(),"VENCIDA",IF($P106="Em execução","Em execução",IF($N106=TODAY(),"Hoje","Programada")))))))</f>
        <v>Hoje</v>
      </c>
      <c r="C106" s="38"/>
      <c r="D106" s="38" t="s">
        <v>123</v>
      </c>
      <c r="E106" s="38" t="s">
        <v>263</v>
      </c>
      <c r="F106" s="38" t="s">
        <v>275</v>
      </c>
      <c r="G106" s="39" t="s">
        <v>72</v>
      </c>
      <c r="H106" s="39"/>
      <c r="I106" s="40" t="s">
        <v>76</v>
      </c>
      <c r="J106" s="40" t="s">
        <v>93</v>
      </c>
      <c r="K106" s="40" t="s">
        <v>102</v>
      </c>
      <c r="L106" s="41" t="n">
        <v>46258</v>
      </c>
      <c r="M106" s="42" t="s">
        <v>92</v>
      </c>
      <c r="N106" s="43" t="n">
        <f aca="false">IF(OR($L106="",$M106=""),"",$L106+MATCH($M106,Listas!$F$5:$F$11,0)-1)</f>
        <v>46261</v>
      </c>
      <c r="O106" s="44"/>
      <c r="P106" s="39"/>
      <c r="Q106" s="44" t="n">
        <v>46260</v>
      </c>
      <c r="R106" s="38"/>
      <c r="S106" s="38" t="s">
        <v>265</v>
      </c>
      <c r="T106" s="36" t="str">
        <f aca="false">IF($F106="","",IF(ISNUMBER(SEARCH("(externo)",$I106&amp;$J106&amp;$K106)),"Terceirizada","Interna"))</f>
        <v>Interna</v>
      </c>
      <c r="U106" s="43" t="n">
        <f aca="false">IF($N106="","",IF($Q106="",$N106,$Q106))</f>
        <v>46260</v>
      </c>
      <c r="V106" s="36" t="n">
        <f aca="false">IF($F106="","",IF(OR($O106="",$N106=""),0,IF($O106&lt;=$N106,1,0)))</f>
        <v>0</v>
      </c>
      <c r="W106" s="36" t="n">
        <f aca="false">IF($F106="","",IF(OR($O106="",$U106=""),0,IF($O106&lt;=$U106,1,0)))</f>
        <v>0</v>
      </c>
      <c r="X106" s="37" t="str">
        <f aca="false">IF(OR($O106="",$N106=""),"",MAX(0,$O106-$N106))</f>
        <v/>
      </c>
      <c r="Y106" s="36" t="n">
        <f aca="false">IF($F106="","",IF(AND($Q106&lt;&gt;"",$N106&lt;&gt;"",$Q106&lt;&gt;$N106),1,0))</f>
        <v>1</v>
      </c>
      <c r="Z106" s="36" t="n">
        <f aca="false">IF($F106="","",IF($P106="Cancelada",0,IF(OR($O106&lt;&gt;"",$P106="Concluída"),1,0)))</f>
        <v>0</v>
      </c>
    </row>
    <row r="107" customFormat="false" ht="16.5" hidden="false" customHeight="true" outlineLevel="0" collapsed="false">
      <c r="A107" s="36" t="n">
        <f aca="false">IF($F107="","",COUNTA($F$5:$F107))</f>
        <v>103</v>
      </c>
      <c r="B107" s="37" t="str">
        <f aca="true">IF($F107="","",IF($P107="Cancelada","Cancelada",IF(OR($O107&lt;&gt;"",$P107="Concluída"),IF(OR($N107="",$O107="",$O107&lt;=$N107),"Concluída","Concluída com atraso"),IF($N107="","Na carteira",IF($N107&lt;TODAY(),"VENCIDA",IF($P107="Em execução","Em execução",IF($N107=TODAY(),"Hoje","Programada")))))))</f>
        <v>Hoje</v>
      </c>
      <c r="C107" s="38"/>
      <c r="D107" s="38" t="s">
        <v>123</v>
      </c>
      <c r="E107" s="38" t="s">
        <v>263</v>
      </c>
      <c r="F107" s="38" t="s">
        <v>276</v>
      </c>
      <c r="G107" s="39" t="s">
        <v>72</v>
      </c>
      <c r="H107" s="39"/>
      <c r="I107" s="40" t="s">
        <v>76</v>
      </c>
      <c r="J107" s="40" t="s">
        <v>93</v>
      </c>
      <c r="K107" s="40" t="s">
        <v>102</v>
      </c>
      <c r="L107" s="41" t="n">
        <v>46258</v>
      </c>
      <c r="M107" s="42" t="s">
        <v>92</v>
      </c>
      <c r="N107" s="43" t="n">
        <f aca="false">IF(OR($L107="",$M107=""),"",$L107+MATCH($M107,Listas!$F$5:$F$11,0)-1)</f>
        <v>46261</v>
      </c>
      <c r="O107" s="44"/>
      <c r="P107" s="39"/>
      <c r="Q107" s="44" t="n">
        <v>46260</v>
      </c>
      <c r="R107" s="38"/>
      <c r="S107" s="38" t="s">
        <v>265</v>
      </c>
      <c r="T107" s="36" t="str">
        <f aca="false">IF($F107="","",IF(ISNUMBER(SEARCH("(externo)",$I107&amp;$J107&amp;$K107)),"Terceirizada","Interna"))</f>
        <v>Interna</v>
      </c>
      <c r="U107" s="43" t="n">
        <f aca="false">IF($N107="","",IF($Q107="",$N107,$Q107))</f>
        <v>46260</v>
      </c>
      <c r="V107" s="36" t="n">
        <f aca="false">IF($F107="","",IF(OR($O107="",$N107=""),0,IF($O107&lt;=$N107,1,0)))</f>
        <v>0</v>
      </c>
      <c r="W107" s="36" t="n">
        <f aca="false">IF($F107="","",IF(OR($O107="",$U107=""),0,IF($O107&lt;=$U107,1,0)))</f>
        <v>0</v>
      </c>
      <c r="X107" s="37" t="str">
        <f aca="false">IF(OR($O107="",$N107=""),"",MAX(0,$O107-$N107))</f>
        <v/>
      </c>
      <c r="Y107" s="36" t="n">
        <f aca="false">IF($F107="","",IF(AND($Q107&lt;&gt;"",$N107&lt;&gt;"",$Q107&lt;&gt;$N107),1,0))</f>
        <v>1</v>
      </c>
      <c r="Z107" s="36" t="n">
        <f aca="false">IF($F107="","",IF($P107="Cancelada",0,IF(OR($O107&lt;&gt;"",$P107="Concluída"),1,0)))</f>
        <v>0</v>
      </c>
    </row>
    <row r="108" customFormat="false" ht="16.5" hidden="false" customHeight="true" outlineLevel="0" collapsed="false">
      <c r="A108" s="36" t="n">
        <f aca="false">IF($F108="","",COUNTA($F$5:$F108))</f>
        <v>104</v>
      </c>
      <c r="B108" s="37" t="str">
        <f aca="true">IF($F108="","",IF($P108="Cancelada","Cancelada",IF(OR($O108&lt;&gt;"",$P108="Concluída"),IF(OR($N108="",$O108="",$O108&lt;=$N108),"Concluída","Concluída com atraso"),IF($N108="","Na carteira",IF($N108&lt;TODAY(),"VENCIDA",IF($P108="Em execução","Em execução",IF($N108=TODAY(),"Hoje","Programada")))))))</f>
        <v>Hoje</v>
      </c>
      <c r="C108" s="38"/>
      <c r="D108" s="38" t="s">
        <v>123</v>
      </c>
      <c r="E108" s="38" t="s">
        <v>263</v>
      </c>
      <c r="F108" s="38" t="s">
        <v>277</v>
      </c>
      <c r="G108" s="39" t="s">
        <v>72</v>
      </c>
      <c r="H108" s="39"/>
      <c r="I108" s="40" t="s">
        <v>76</v>
      </c>
      <c r="J108" s="40" t="s">
        <v>93</v>
      </c>
      <c r="K108" s="40" t="s">
        <v>102</v>
      </c>
      <c r="L108" s="41" t="n">
        <v>46258</v>
      </c>
      <c r="M108" s="42" t="s">
        <v>92</v>
      </c>
      <c r="N108" s="43" t="n">
        <f aca="false">IF(OR($L108="",$M108=""),"",$L108+MATCH($M108,Listas!$F$5:$F$11,0)-1)</f>
        <v>46261</v>
      </c>
      <c r="O108" s="44"/>
      <c r="P108" s="39"/>
      <c r="Q108" s="44" t="n">
        <v>46260</v>
      </c>
      <c r="R108" s="38"/>
      <c r="S108" s="38" t="s">
        <v>265</v>
      </c>
      <c r="T108" s="36" t="str">
        <f aca="false">IF($F108="","",IF(ISNUMBER(SEARCH("(externo)",$I108&amp;$J108&amp;$K108)),"Terceirizada","Interna"))</f>
        <v>Interna</v>
      </c>
      <c r="U108" s="43" t="n">
        <f aca="false">IF($N108="","",IF($Q108="",$N108,$Q108))</f>
        <v>46260</v>
      </c>
      <c r="V108" s="36" t="n">
        <f aca="false">IF($F108="","",IF(OR($O108="",$N108=""),0,IF($O108&lt;=$N108,1,0)))</f>
        <v>0</v>
      </c>
      <c r="W108" s="36" t="n">
        <f aca="false">IF($F108="","",IF(OR($O108="",$U108=""),0,IF($O108&lt;=$U108,1,0)))</f>
        <v>0</v>
      </c>
      <c r="X108" s="37" t="str">
        <f aca="false">IF(OR($O108="",$N108=""),"",MAX(0,$O108-$N108))</f>
        <v/>
      </c>
      <c r="Y108" s="36" t="n">
        <f aca="false">IF($F108="","",IF(AND($Q108&lt;&gt;"",$N108&lt;&gt;"",$Q108&lt;&gt;$N108),1,0))</f>
        <v>1</v>
      </c>
      <c r="Z108" s="36" t="n">
        <f aca="false">IF($F108="","",IF($P108="Cancelada",0,IF(OR($O108&lt;&gt;"",$P108="Concluída"),1,0)))</f>
        <v>0</v>
      </c>
    </row>
    <row r="109" customFormat="false" ht="16.5" hidden="false" customHeight="true" outlineLevel="0" collapsed="false">
      <c r="A109" s="36" t="n">
        <f aca="false">IF($F109="","",COUNTA($F$5:$F109))</f>
        <v>105</v>
      </c>
      <c r="B109" s="37" t="str">
        <f aca="true">IF($F109="","",IF($P109="Cancelada","Cancelada",IF(OR($O109&lt;&gt;"",$P109="Concluída"),IF(OR($N109="",$O109="",$O109&lt;=$N109),"Concluída","Concluída com atraso"),IF($N109="","Na carteira",IF($N109&lt;TODAY(),"VENCIDA",IF($P109="Em execução","Em execução",IF($N109=TODAY(),"Hoje","Programada")))))))</f>
        <v>Hoje</v>
      </c>
      <c r="C109" s="38"/>
      <c r="D109" s="38" t="s">
        <v>123</v>
      </c>
      <c r="E109" s="38" t="s">
        <v>263</v>
      </c>
      <c r="F109" s="38" t="s">
        <v>278</v>
      </c>
      <c r="G109" s="39" t="s">
        <v>72</v>
      </c>
      <c r="H109" s="39"/>
      <c r="I109" s="40" t="s">
        <v>76</v>
      </c>
      <c r="J109" s="40" t="s">
        <v>93</v>
      </c>
      <c r="K109" s="40" t="s">
        <v>102</v>
      </c>
      <c r="L109" s="41" t="n">
        <v>46258</v>
      </c>
      <c r="M109" s="42" t="s">
        <v>92</v>
      </c>
      <c r="N109" s="43" t="n">
        <f aca="false">IF(OR($L109="",$M109=""),"",$L109+MATCH($M109,Listas!$F$5:$F$11,0)-1)</f>
        <v>46261</v>
      </c>
      <c r="O109" s="44"/>
      <c r="P109" s="39"/>
      <c r="Q109" s="44" t="n">
        <v>46260</v>
      </c>
      <c r="R109" s="38"/>
      <c r="S109" s="38" t="s">
        <v>265</v>
      </c>
      <c r="T109" s="36" t="str">
        <f aca="false">IF($F109="","",IF(ISNUMBER(SEARCH("(externo)",$I109&amp;$J109&amp;$K109)),"Terceirizada","Interna"))</f>
        <v>Interna</v>
      </c>
      <c r="U109" s="43" t="n">
        <f aca="false">IF($N109="","",IF($Q109="",$N109,$Q109))</f>
        <v>46260</v>
      </c>
      <c r="V109" s="36" t="n">
        <f aca="false">IF($F109="","",IF(OR($O109="",$N109=""),0,IF($O109&lt;=$N109,1,0)))</f>
        <v>0</v>
      </c>
      <c r="W109" s="36" t="n">
        <f aca="false">IF($F109="","",IF(OR($O109="",$U109=""),0,IF($O109&lt;=$U109,1,0)))</f>
        <v>0</v>
      </c>
      <c r="X109" s="37" t="str">
        <f aca="false">IF(OR($O109="",$N109=""),"",MAX(0,$O109-$N109))</f>
        <v/>
      </c>
      <c r="Y109" s="36" t="n">
        <f aca="false">IF($F109="","",IF(AND($Q109&lt;&gt;"",$N109&lt;&gt;"",$Q109&lt;&gt;$N109),1,0))</f>
        <v>1</v>
      </c>
      <c r="Z109" s="36" t="n">
        <f aca="false">IF($F109="","",IF($P109="Cancelada",0,IF(OR($O109&lt;&gt;"",$P109="Concluída"),1,0)))</f>
        <v>0</v>
      </c>
    </row>
    <row r="110" customFormat="false" ht="16.5" hidden="false" customHeight="true" outlineLevel="0" collapsed="false">
      <c r="A110" s="36" t="n">
        <f aca="false">IF($F110="","",COUNTA($F$5:$F110))</f>
        <v>106</v>
      </c>
      <c r="B110" s="37" t="str">
        <f aca="true">IF($F110="","",IF($P110="Cancelada","Cancelada",IF(OR($O110&lt;&gt;"",$P110="Concluída"),IF(OR($N110="",$O110="",$O110&lt;=$N110),"Concluída","Concluída com atraso"),IF($N110="","Na carteira",IF($N110&lt;TODAY(),"VENCIDA",IF($P110="Em execução","Em execução",IF($N110=TODAY(),"Hoje","Programada")))))))</f>
        <v>Hoje</v>
      </c>
      <c r="C110" s="38"/>
      <c r="D110" s="38" t="s">
        <v>123</v>
      </c>
      <c r="E110" s="38" t="s">
        <v>263</v>
      </c>
      <c r="F110" s="38" t="s">
        <v>279</v>
      </c>
      <c r="G110" s="39" t="s">
        <v>72</v>
      </c>
      <c r="H110" s="39"/>
      <c r="I110" s="40" t="s">
        <v>76</v>
      </c>
      <c r="J110" s="40" t="s">
        <v>93</v>
      </c>
      <c r="K110" s="40" t="s">
        <v>102</v>
      </c>
      <c r="L110" s="41" t="n">
        <v>46258</v>
      </c>
      <c r="M110" s="42" t="s">
        <v>92</v>
      </c>
      <c r="N110" s="43" t="n">
        <f aca="false">IF(OR($L110="",$M110=""),"",$L110+MATCH($M110,Listas!$F$5:$F$11,0)-1)</f>
        <v>46261</v>
      </c>
      <c r="O110" s="44"/>
      <c r="P110" s="39"/>
      <c r="Q110" s="44" t="n">
        <v>46260</v>
      </c>
      <c r="R110" s="38"/>
      <c r="S110" s="38" t="s">
        <v>265</v>
      </c>
      <c r="T110" s="36" t="str">
        <f aca="false">IF($F110="","",IF(ISNUMBER(SEARCH("(externo)",$I110&amp;$J110&amp;$K110)),"Terceirizada","Interna"))</f>
        <v>Interna</v>
      </c>
      <c r="U110" s="43" t="n">
        <f aca="false">IF($N110="","",IF($Q110="",$N110,$Q110))</f>
        <v>46260</v>
      </c>
      <c r="V110" s="36" t="n">
        <f aca="false">IF($F110="","",IF(OR($O110="",$N110=""),0,IF($O110&lt;=$N110,1,0)))</f>
        <v>0</v>
      </c>
      <c r="W110" s="36" t="n">
        <f aca="false">IF($F110="","",IF(OR($O110="",$U110=""),0,IF($O110&lt;=$U110,1,0)))</f>
        <v>0</v>
      </c>
      <c r="X110" s="37" t="str">
        <f aca="false">IF(OR($O110="",$N110=""),"",MAX(0,$O110-$N110))</f>
        <v/>
      </c>
      <c r="Y110" s="36" t="n">
        <f aca="false">IF($F110="","",IF(AND($Q110&lt;&gt;"",$N110&lt;&gt;"",$Q110&lt;&gt;$N110),1,0))</f>
        <v>1</v>
      </c>
      <c r="Z110" s="36" t="n">
        <f aca="false">IF($F110="","",IF($P110="Cancelada",0,IF(OR($O110&lt;&gt;"",$P110="Concluída"),1,0)))</f>
        <v>0</v>
      </c>
    </row>
    <row r="111" customFormat="false" ht="16.5" hidden="false" customHeight="true" outlineLevel="0" collapsed="false">
      <c r="A111" s="36" t="n">
        <f aca="false">IF($F111="","",COUNTA($F$5:$F111))</f>
        <v>107</v>
      </c>
      <c r="B111" s="37" t="str">
        <f aca="true">IF($F111="","",IF($P111="Cancelada","Cancelada",IF(OR($O111&lt;&gt;"",$P111="Concluída"),IF(OR($N111="",$O111="",$O111&lt;=$N111),"Concluída","Concluída com atraso"),IF($N111="","Na carteira",IF($N111&lt;TODAY(),"VENCIDA",IF($P111="Em execução","Em execução",IF($N111=TODAY(),"Hoje","Programada")))))))</f>
        <v>Hoje</v>
      </c>
      <c r="C111" s="38"/>
      <c r="D111" s="38" t="s">
        <v>123</v>
      </c>
      <c r="E111" s="38" t="s">
        <v>263</v>
      </c>
      <c r="F111" s="38" t="s">
        <v>280</v>
      </c>
      <c r="G111" s="39" t="s">
        <v>72</v>
      </c>
      <c r="H111" s="39"/>
      <c r="I111" s="40" t="s">
        <v>76</v>
      </c>
      <c r="J111" s="40" t="s">
        <v>93</v>
      </c>
      <c r="K111" s="40" t="s">
        <v>102</v>
      </c>
      <c r="L111" s="41" t="n">
        <v>46258</v>
      </c>
      <c r="M111" s="42" t="s">
        <v>92</v>
      </c>
      <c r="N111" s="43" t="n">
        <f aca="false">IF(OR($L111="",$M111=""),"",$L111+MATCH($M111,Listas!$F$5:$F$11,0)-1)</f>
        <v>46261</v>
      </c>
      <c r="O111" s="44"/>
      <c r="P111" s="39"/>
      <c r="Q111" s="44" t="n">
        <v>46260</v>
      </c>
      <c r="R111" s="38"/>
      <c r="S111" s="38" t="s">
        <v>265</v>
      </c>
      <c r="T111" s="36" t="str">
        <f aca="false">IF($F111="","",IF(ISNUMBER(SEARCH("(externo)",$I111&amp;$J111&amp;$K111)),"Terceirizada","Interna"))</f>
        <v>Interna</v>
      </c>
      <c r="U111" s="43" t="n">
        <f aca="false">IF($N111="","",IF($Q111="",$N111,$Q111))</f>
        <v>46260</v>
      </c>
      <c r="V111" s="36" t="n">
        <f aca="false">IF($F111="","",IF(OR($O111="",$N111=""),0,IF($O111&lt;=$N111,1,0)))</f>
        <v>0</v>
      </c>
      <c r="W111" s="36" t="n">
        <f aca="false">IF($F111="","",IF(OR($O111="",$U111=""),0,IF($O111&lt;=$U111,1,0)))</f>
        <v>0</v>
      </c>
      <c r="X111" s="37" t="str">
        <f aca="false">IF(OR($O111="",$N111=""),"",MAX(0,$O111-$N111))</f>
        <v/>
      </c>
      <c r="Y111" s="36" t="n">
        <f aca="false">IF($F111="","",IF(AND($Q111&lt;&gt;"",$N111&lt;&gt;"",$Q111&lt;&gt;$N111),1,0))</f>
        <v>1</v>
      </c>
      <c r="Z111" s="36" t="n">
        <f aca="false">IF($F111="","",IF($P111="Cancelada",0,IF(OR($O111&lt;&gt;"",$P111="Concluída"),1,0)))</f>
        <v>0</v>
      </c>
    </row>
    <row r="112" customFormat="false" ht="16.5" hidden="false" customHeight="true" outlineLevel="0" collapsed="false">
      <c r="A112" s="36" t="n">
        <f aca="false">IF($F112="","",COUNTA($F$5:$F112))</f>
        <v>108</v>
      </c>
      <c r="B112" s="37" t="str">
        <f aca="true">IF($F112="","",IF($P112="Cancelada","Cancelada",IF(OR($O112&lt;&gt;"",$P112="Concluída"),IF(OR($N112="",$O112="",$O112&lt;=$N112),"Concluída","Concluída com atraso"),IF($N112="","Na carteira",IF($N112&lt;TODAY(),"VENCIDA",IF($P112="Em execução","Em execução",IF($N112=TODAY(),"Hoje","Programada")))))))</f>
        <v>Hoje</v>
      </c>
      <c r="C112" s="38"/>
      <c r="D112" s="38" t="s">
        <v>123</v>
      </c>
      <c r="E112" s="38" t="s">
        <v>263</v>
      </c>
      <c r="F112" s="38" t="s">
        <v>281</v>
      </c>
      <c r="G112" s="39" t="s">
        <v>72</v>
      </c>
      <c r="H112" s="39"/>
      <c r="I112" s="40" t="s">
        <v>76</v>
      </c>
      <c r="J112" s="40" t="s">
        <v>93</v>
      </c>
      <c r="K112" s="40" t="s">
        <v>102</v>
      </c>
      <c r="L112" s="41" t="n">
        <v>46258</v>
      </c>
      <c r="M112" s="42" t="s">
        <v>92</v>
      </c>
      <c r="N112" s="43" t="n">
        <f aca="false">IF(OR($L112="",$M112=""),"",$L112+MATCH($M112,Listas!$F$5:$F$11,0)-1)</f>
        <v>46261</v>
      </c>
      <c r="O112" s="44"/>
      <c r="P112" s="39"/>
      <c r="Q112" s="44" t="n">
        <v>46260</v>
      </c>
      <c r="R112" s="38"/>
      <c r="S112" s="38" t="s">
        <v>265</v>
      </c>
      <c r="T112" s="36" t="str">
        <f aca="false">IF($F112="","",IF(ISNUMBER(SEARCH("(externo)",$I112&amp;$J112&amp;$K112)),"Terceirizada","Interna"))</f>
        <v>Interna</v>
      </c>
      <c r="U112" s="43" t="n">
        <f aca="false">IF($N112="","",IF($Q112="",$N112,$Q112))</f>
        <v>46260</v>
      </c>
      <c r="V112" s="36" t="n">
        <f aca="false">IF($F112="","",IF(OR($O112="",$N112=""),0,IF($O112&lt;=$N112,1,0)))</f>
        <v>0</v>
      </c>
      <c r="W112" s="36" t="n">
        <f aca="false">IF($F112="","",IF(OR($O112="",$U112=""),0,IF($O112&lt;=$U112,1,0)))</f>
        <v>0</v>
      </c>
      <c r="X112" s="37" t="str">
        <f aca="false">IF(OR($O112="",$N112=""),"",MAX(0,$O112-$N112))</f>
        <v/>
      </c>
      <c r="Y112" s="36" t="n">
        <f aca="false">IF($F112="","",IF(AND($Q112&lt;&gt;"",$N112&lt;&gt;"",$Q112&lt;&gt;$N112),1,0))</f>
        <v>1</v>
      </c>
      <c r="Z112" s="36" t="n">
        <f aca="false">IF($F112="","",IF($P112="Cancelada",0,IF(OR($O112&lt;&gt;"",$P112="Concluída"),1,0)))</f>
        <v>0</v>
      </c>
    </row>
    <row r="113" customFormat="false" ht="16.5" hidden="false" customHeight="true" outlineLevel="0" collapsed="false">
      <c r="A113" s="36" t="n">
        <f aca="false">IF($F113="","",COUNTA($F$5:$F113))</f>
        <v>109</v>
      </c>
      <c r="B113" s="37" t="str">
        <f aca="true">IF($F113="","",IF($P113="Cancelada","Cancelada",IF(OR($O113&lt;&gt;"",$P113="Concluída"),IF(OR($N113="",$O113="",$O113&lt;=$N113),"Concluída","Concluída com atraso"),IF($N113="","Na carteira",IF($N113&lt;TODAY(),"VENCIDA",IF($P113="Em execução","Em execução",IF($N113=TODAY(),"Hoje","Programada")))))))</f>
        <v>Hoje</v>
      </c>
      <c r="C113" s="38"/>
      <c r="D113" s="38" t="s">
        <v>123</v>
      </c>
      <c r="E113" s="38" t="s">
        <v>263</v>
      </c>
      <c r="F113" s="38" t="s">
        <v>282</v>
      </c>
      <c r="G113" s="39" t="s">
        <v>72</v>
      </c>
      <c r="H113" s="39"/>
      <c r="I113" s="40" t="s">
        <v>76</v>
      </c>
      <c r="J113" s="40" t="s">
        <v>93</v>
      </c>
      <c r="K113" s="40" t="s">
        <v>102</v>
      </c>
      <c r="L113" s="41" t="n">
        <v>46258</v>
      </c>
      <c r="M113" s="42" t="s">
        <v>92</v>
      </c>
      <c r="N113" s="43" t="n">
        <f aca="false">IF(OR($L113="",$M113=""),"",$L113+MATCH($M113,Listas!$F$5:$F$11,0)-1)</f>
        <v>46261</v>
      </c>
      <c r="O113" s="44"/>
      <c r="P113" s="39"/>
      <c r="Q113" s="44" t="n">
        <v>46260</v>
      </c>
      <c r="R113" s="38"/>
      <c r="S113" s="38" t="s">
        <v>265</v>
      </c>
      <c r="T113" s="36" t="str">
        <f aca="false">IF($F113="","",IF(ISNUMBER(SEARCH("(externo)",$I113&amp;$J113&amp;$K113)),"Terceirizada","Interna"))</f>
        <v>Interna</v>
      </c>
      <c r="U113" s="43" t="n">
        <f aca="false">IF($N113="","",IF($Q113="",$N113,$Q113))</f>
        <v>46260</v>
      </c>
      <c r="V113" s="36" t="n">
        <f aca="false">IF($F113="","",IF(OR($O113="",$N113=""),0,IF($O113&lt;=$N113,1,0)))</f>
        <v>0</v>
      </c>
      <c r="W113" s="36" t="n">
        <f aca="false">IF($F113="","",IF(OR($O113="",$U113=""),0,IF($O113&lt;=$U113,1,0)))</f>
        <v>0</v>
      </c>
      <c r="X113" s="37" t="str">
        <f aca="false">IF(OR($O113="",$N113=""),"",MAX(0,$O113-$N113))</f>
        <v/>
      </c>
      <c r="Y113" s="36" t="n">
        <f aca="false">IF($F113="","",IF(AND($Q113&lt;&gt;"",$N113&lt;&gt;"",$Q113&lt;&gt;$N113),1,0))</f>
        <v>1</v>
      </c>
      <c r="Z113" s="36" t="n">
        <f aca="false">IF($F113="","",IF($P113="Cancelada",0,IF(OR($O113&lt;&gt;"",$P113="Concluída"),1,0)))</f>
        <v>0</v>
      </c>
    </row>
    <row r="114" customFormat="false" ht="16.5" hidden="false" customHeight="true" outlineLevel="0" collapsed="false">
      <c r="A114" s="36" t="n">
        <f aca="false">IF($F114="","",COUNTA($F$5:$F114))</f>
        <v>110</v>
      </c>
      <c r="B114" s="37" t="str">
        <f aca="true">IF($F114="","",IF($P114="Cancelada","Cancelada",IF(OR($O114&lt;&gt;"",$P114="Concluída"),IF(OR($N114="",$O114="",$O114&lt;=$N114),"Concluída","Concluída com atraso"),IF($N114="","Na carteira",IF($N114&lt;TODAY(),"VENCIDA",IF($P114="Em execução","Em execução",IF($N114=TODAY(),"Hoje","Programada")))))))</f>
        <v>Hoje</v>
      </c>
      <c r="C114" s="38"/>
      <c r="D114" s="38" t="s">
        <v>123</v>
      </c>
      <c r="E114" s="38" t="s">
        <v>263</v>
      </c>
      <c r="F114" s="38" t="s">
        <v>283</v>
      </c>
      <c r="G114" s="39" t="s">
        <v>72</v>
      </c>
      <c r="H114" s="39"/>
      <c r="I114" s="40" t="s">
        <v>76</v>
      </c>
      <c r="J114" s="40" t="s">
        <v>93</v>
      </c>
      <c r="K114" s="40" t="s">
        <v>102</v>
      </c>
      <c r="L114" s="41" t="n">
        <v>46258</v>
      </c>
      <c r="M114" s="42" t="s">
        <v>92</v>
      </c>
      <c r="N114" s="43" t="n">
        <f aca="false">IF(OR($L114="",$M114=""),"",$L114+MATCH($M114,Listas!$F$5:$F$11,0)-1)</f>
        <v>46261</v>
      </c>
      <c r="O114" s="44"/>
      <c r="P114" s="39"/>
      <c r="Q114" s="44" t="n">
        <v>46260</v>
      </c>
      <c r="R114" s="38"/>
      <c r="S114" s="38" t="s">
        <v>265</v>
      </c>
      <c r="T114" s="36" t="str">
        <f aca="false">IF($F114="","",IF(ISNUMBER(SEARCH("(externo)",$I114&amp;$J114&amp;$K114)),"Terceirizada","Interna"))</f>
        <v>Interna</v>
      </c>
      <c r="U114" s="43" t="n">
        <f aca="false">IF($N114="","",IF($Q114="",$N114,$Q114))</f>
        <v>46260</v>
      </c>
      <c r="V114" s="36" t="n">
        <f aca="false">IF($F114="","",IF(OR($O114="",$N114=""),0,IF($O114&lt;=$N114,1,0)))</f>
        <v>0</v>
      </c>
      <c r="W114" s="36" t="n">
        <f aca="false">IF($F114="","",IF(OR($O114="",$U114=""),0,IF($O114&lt;=$U114,1,0)))</f>
        <v>0</v>
      </c>
      <c r="X114" s="37" t="str">
        <f aca="false">IF(OR($O114="",$N114=""),"",MAX(0,$O114-$N114))</f>
        <v/>
      </c>
      <c r="Y114" s="36" t="n">
        <f aca="false">IF($F114="","",IF(AND($Q114&lt;&gt;"",$N114&lt;&gt;"",$Q114&lt;&gt;$N114),1,0))</f>
        <v>1</v>
      </c>
      <c r="Z114" s="36" t="n">
        <f aca="false">IF($F114="","",IF($P114="Cancelada",0,IF(OR($O114&lt;&gt;"",$P114="Concluída"),1,0)))</f>
        <v>0</v>
      </c>
    </row>
    <row r="115" customFormat="false" ht="16.5" hidden="false" customHeight="true" outlineLevel="0" collapsed="false">
      <c r="A115" s="36" t="n">
        <f aca="false">IF($F115="","",COUNTA($F$5:$F115))</f>
        <v>111</v>
      </c>
      <c r="B115" s="37" t="str">
        <f aca="true">IF($F115="","",IF($P115="Cancelada","Cancelada",IF(OR($O115&lt;&gt;"",$P115="Concluída"),IF(OR($N115="",$O115="",$O115&lt;=$N115),"Concluída","Concluída com atraso"),IF($N115="","Na carteira",IF($N115&lt;TODAY(),"VENCIDA",IF($P115="Em execução","Em execução",IF($N115=TODAY(),"Hoje","Programada")))))))</f>
        <v>Hoje</v>
      </c>
      <c r="C115" s="38"/>
      <c r="D115" s="38" t="s">
        <v>123</v>
      </c>
      <c r="E115" s="38" t="s">
        <v>263</v>
      </c>
      <c r="F115" s="38" t="s">
        <v>284</v>
      </c>
      <c r="G115" s="39" t="s">
        <v>72</v>
      </c>
      <c r="H115" s="39"/>
      <c r="I115" s="40" t="s">
        <v>76</v>
      </c>
      <c r="J115" s="40" t="s">
        <v>93</v>
      </c>
      <c r="K115" s="40" t="s">
        <v>102</v>
      </c>
      <c r="L115" s="41" t="n">
        <v>46258</v>
      </c>
      <c r="M115" s="42" t="s">
        <v>92</v>
      </c>
      <c r="N115" s="43" t="n">
        <f aca="false">IF(OR($L115="",$M115=""),"",$L115+MATCH($M115,Listas!$F$5:$F$11,0)-1)</f>
        <v>46261</v>
      </c>
      <c r="O115" s="44"/>
      <c r="P115" s="39"/>
      <c r="Q115" s="44" t="n">
        <v>46260</v>
      </c>
      <c r="R115" s="38"/>
      <c r="S115" s="38" t="s">
        <v>265</v>
      </c>
      <c r="T115" s="36" t="str">
        <f aca="false">IF($F115="","",IF(ISNUMBER(SEARCH("(externo)",$I115&amp;$J115&amp;$K115)),"Terceirizada","Interna"))</f>
        <v>Interna</v>
      </c>
      <c r="U115" s="43" t="n">
        <f aca="false">IF($N115="","",IF($Q115="",$N115,$Q115))</f>
        <v>46260</v>
      </c>
      <c r="V115" s="36" t="n">
        <f aca="false">IF($F115="","",IF(OR($O115="",$N115=""),0,IF($O115&lt;=$N115,1,0)))</f>
        <v>0</v>
      </c>
      <c r="W115" s="36" t="n">
        <f aca="false">IF($F115="","",IF(OR($O115="",$U115=""),0,IF($O115&lt;=$U115,1,0)))</f>
        <v>0</v>
      </c>
      <c r="X115" s="37" t="str">
        <f aca="false">IF(OR($O115="",$N115=""),"",MAX(0,$O115-$N115))</f>
        <v/>
      </c>
      <c r="Y115" s="36" t="n">
        <f aca="false">IF($F115="","",IF(AND($Q115&lt;&gt;"",$N115&lt;&gt;"",$Q115&lt;&gt;$N115),1,0))</f>
        <v>1</v>
      </c>
      <c r="Z115" s="36" t="n">
        <f aca="false">IF($F115="","",IF($P115="Cancelada",0,IF(OR($O115&lt;&gt;"",$P115="Concluída"),1,0)))</f>
        <v>0</v>
      </c>
    </row>
    <row r="116" customFormat="false" ht="16.5" hidden="false" customHeight="true" outlineLevel="0" collapsed="false">
      <c r="A116" s="36" t="n">
        <f aca="false">IF($F116="","",COUNTA($F$5:$F116))</f>
        <v>112</v>
      </c>
      <c r="B116" s="37" t="str">
        <f aca="true">IF($F116="","",IF($P116="Cancelada","Cancelada",IF(OR($O116&lt;&gt;"",$P116="Concluída"),IF(OR($N116="",$O116="",$O116&lt;=$N116),"Concluída","Concluída com atraso"),IF($N116="","Na carteira",IF($N116&lt;TODAY(),"VENCIDA",IF($P116="Em execução","Em execução",IF($N116=TODAY(),"Hoje","Programada")))))))</f>
        <v>Hoje</v>
      </c>
      <c r="C116" s="38"/>
      <c r="D116" s="38" t="s">
        <v>123</v>
      </c>
      <c r="E116" s="38" t="s">
        <v>263</v>
      </c>
      <c r="F116" s="38" t="s">
        <v>285</v>
      </c>
      <c r="G116" s="39" t="s">
        <v>72</v>
      </c>
      <c r="H116" s="39"/>
      <c r="I116" s="40" t="s">
        <v>76</v>
      </c>
      <c r="J116" s="40" t="s">
        <v>93</v>
      </c>
      <c r="K116" s="40" t="s">
        <v>102</v>
      </c>
      <c r="L116" s="41" t="n">
        <v>46258</v>
      </c>
      <c r="M116" s="42" t="s">
        <v>92</v>
      </c>
      <c r="N116" s="43" t="n">
        <f aca="false">IF(OR($L116="",$M116=""),"",$L116+MATCH($M116,Listas!$F$5:$F$11,0)-1)</f>
        <v>46261</v>
      </c>
      <c r="O116" s="44"/>
      <c r="P116" s="39"/>
      <c r="Q116" s="44" t="n">
        <v>46260</v>
      </c>
      <c r="R116" s="38"/>
      <c r="S116" s="38" t="s">
        <v>265</v>
      </c>
      <c r="T116" s="36" t="str">
        <f aca="false">IF($F116="","",IF(ISNUMBER(SEARCH("(externo)",$I116&amp;$J116&amp;$K116)),"Terceirizada","Interna"))</f>
        <v>Interna</v>
      </c>
      <c r="U116" s="43" t="n">
        <f aca="false">IF($N116="","",IF($Q116="",$N116,$Q116))</f>
        <v>46260</v>
      </c>
      <c r="V116" s="36" t="n">
        <f aca="false">IF($F116="","",IF(OR($O116="",$N116=""),0,IF($O116&lt;=$N116,1,0)))</f>
        <v>0</v>
      </c>
      <c r="W116" s="36" t="n">
        <f aca="false">IF($F116="","",IF(OR($O116="",$U116=""),0,IF($O116&lt;=$U116,1,0)))</f>
        <v>0</v>
      </c>
      <c r="X116" s="37" t="str">
        <f aca="false">IF(OR($O116="",$N116=""),"",MAX(0,$O116-$N116))</f>
        <v/>
      </c>
      <c r="Y116" s="36" t="n">
        <f aca="false">IF($F116="","",IF(AND($Q116&lt;&gt;"",$N116&lt;&gt;"",$Q116&lt;&gt;$N116),1,0))</f>
        <v>1</v>
      </c>
      <c r="Z116" s="36" t="n">
        <f aca="false">IF($F116="","",IF($P116="Cancelada",0,IF(OR($O116&lt;&gt;"",$P116="Concluída"),1,0)))</f>
        <v>0</v>
      </c>
    </row>
    <row r="117" customFormat="false" ht="16.5" hidden="false" customHeight="true" outlineLevel="0" collapsed="false">
      <c r="A117" s="36" t="n">
        <f aca="false">IF($F117="","",COUNTA($F$5:$F117))</f>
        <v>113</v>
      </c>
      <c r="B117" s="37" t="str">
        <f aca="true">IF($F117="","",IF($P117="Cancelada","Cancelada",IF(OR($O117&lt;&gt;"",$P117="Concluída"),IF(OR($N117="",$O117="",$O117&lt;=$N117),"Concluída","Concluída com atraso"),IF($N117="","Na carteira",IF($N117&lt;TODAY(),"VENCIDA",IF($P117="Em execução","Em execução",IF($N117=TODAY(),"Hoje","Programada")))))))</f>
        <v>Hoje</v>
      </c>
      <c r="C117" s="38"/>
      <c r="D117" s="38" t="s">
        <v>123</v>
      </c>
      <c r="E117" s="38" t="s">
        <v>263</v>
      </c>
      <c r="F117" s="38" t="s">
        <v>286</v>
      </c>
      <c r="G117" s="39" t="s">
        <v>72</v>
      </c>
      <c r="H117" s="39"/>
      <c r="I117" s="40" t="s">
        <v>76</v>
      </c>
      <c r="J117" s="40" t="s">
        <v>93</v>
      </c>
      <c r="K117" s="40" t="s">
        <v>102</v>
      </c>
      <c r="L117" s="41" t="n">
        <v>46258</v>
      </c>
      <c r="M117" s="42" t="s">
        <v>92</v>
      </c>
      <c r="N117" s="43" t="n">
        <f aca="false">IF(OR($L117="",$M117=""),"",$L117+MATCH($M117,Listas!$F$5:$F$11,0)-1)</f>
        <v>46261</v>
      </c>
      <c r="O117" s="44"/>
      <c r="P117" s="39"/>
      <c r="Q117" s="44" t="n">
        <v>46260</v>
      </c>
      <c r="R117" s="38"/>
      <c r="S117" s="38" t="s">
        <v>265</v>
      </c>
      <c r="T117" s="36" t="str">
        <f aca="false">IF($F117="","",IF(ISNUMBER(SEARCH("(externo)",$I117&amp;$J117&amp;$K117)),"Terceirizada","Interna"))</f>
        <v>Interna</v>
      </c>
      <c r="U117" s="43" t="n">
        <f aca="false">IF($N117="","",IF($Q117="",$N117,$Q117))</f>
        <v>46260</v>
      </c>
      <c r="V117" s="36" t="n">
        <f aca="false">IF($F117="","",IF(OR($O117="",$N117=""),0,IF($O117&lt;=$N117,1,0)))</f>
        <v>0</v>
      </c>
      <c r="W117" s="36" t="n">
        <f aca="false">IF($F117="","",IF(OR($O117="",$U117=""),0,IF($O117&lt;=$U117,1,0)))</f>
        <v>0</v>
      </c>
      <c r="X117" s="37" t="str">
        <f aca="false">IF(OR($O117="",$N117=""),"",MAX(0,$O117-$N117))</f>
        <v/>
      </c>
      <c r="Y117" s="36" t="n">
        <f aca="false">IF($F117="","",IF(AND($Q117&lt;&gt;"",$N117&lt;&gt;"",$Q117&lt;&gt;$N117),1,0))</f>
        <v>1</v>
      </c>
      <c r="Z117" s="36" t="n">
        <f aca="false">IF($F117="","",IF($P117="Cancelada",0,IF(OR($O117&lt;&gt;"",$P117="Concluída"),1,0)))</f>
        <v>0</v>
      </c>
    </row>
    <row r="118" customFormat="false" ht="16.5" hidden="false" customHeight="true" outlineLevel="0" collapsed="false">
      <c r="A118" s="36" t="n">
        <f aca="false">IF($F118="","",COUNTA($F$5:$F118))</f>
        <v>114</v>
      </c>
      <c r="B118" s="37" t="str">
        <f aca="true">IF($F118="","",IF($P118="Cancelada","Cancelada",IF(OR($O118&lt;&gt;"",$P118="Concluída"),IF(OR($N118="",$O118="",$O118&lt;=$N118),"Concluída","Concluída com atraso"),IF($N118="","Na carteira",IF($N118&lt;TODAY(),"VENCIDA",IF($P118="Em execução","Em execução",IF($N118=TODAY(),"Hoje","Programada")))))))</f>
        <v>Hoje</v>
      </c>
      <c r="C118" s="38"/>
      <c r="D118" s="38" t="s">
        <v>123</v>
      </c>
      <c r="E118" s="38" t="s">
        <v>263</v>
      </c>
      <c r="F118" s="38" t="s">
        <v>287</v>
      </c>
      <c r="G118" s="39" t="s">
        <v>72</v>
      </c>
      <c r="H118" s="39"/>
      <c r="I118" s="40" t="s">
        <v>76</v>
      </c>
      <c r="J118" s="40" t="s">
        <v>93</v>
      </c>
      <c r="K118" s="40" t="s">
        <v>102</v>
      </c>
      <c r="L118" s="41" t="n">
        <v>46258</v>
      </c>
      <c r="M118" s="42" t="s">
        <v>92</v>
      </c>
      <c r="N118" s="43" t="n">
        <f aca="false">IF(OR($L118="",$M118=""),"",$L118+MATCH($M118,Listas!$F$5:$F$11,0)-1)</f>
        <v>46261</v>
      </c>
      <c r="O118" s="44"/>
      <c r="P118" s="39"/>
      <c r="Q118" s="44" t="n">
        <v>46260</v>
      </c>
      <c r="R118" s="38"/>
      <c r="S118" s="38" t="s">
        <v>265</v>
      </c>
      <c r="T118" s="36" t="str">
        <f aca="false">IF($F118="","",IF(ISNUMBER(SEARCH("(externo)",$I118&amp;$J118&amp;$K118)),"Terceirizada","Interna"))</f>
        <v>Interna</v>
      </c>
      <c r="U118" s="43" t="n">
        <f aca="false">IF($N118="","",IF($Q118="",$N118,$Q118))</f>
        <v>46260</v>
      </c>
      <c r="V118" s="36" t="n">
        <f aca="false">IF($F118="","",IF(OR($O118="",$N118=""),0,IF($O118&lt;=$N118,1,0)))</f>
        <v>0</v>
      </c>
      <c r="W118" s="36" t="n">
        <f aca="false">IF($F118="","",IF(OR($O118="",$U118=""),0,IF($O118&lt;=$U118,1,0)))</f>
        <v>0</v>
      </c>
      <c r="X118" s="37" t="str">
        <f aca="false">IF(OR($O118="",$N118=""),"",MAX(0,$O118-$N118))</f>
        <v/>
      </c>
      <c r="Y118" s="36" t="n">
        <f aca="false">IF($F118="","",IF(AND($Q118&lt;&gt;"",$N118&lt;&gt;"",$Q118&lt;&gt;$N118),1,0))</f>
        <v>1</v>
      </c>
      <c r="Z118" s="36" t="n">
        <f aca="false">IF($F118="","",IF($P118="Cancelada",0,IF(OR($O118&lt;&gt;"",$P118="Concluída"),1,0)))</f>
        <v>0</v>
      </c>
    </row>
    <row r="119" customFormat="false" ht="16.5" hidden="false" customHeight="true" outlineLevel="0" collapsed="false">
      <c r="A119" s="36" t="n">
        <f aca="false">IF($F119="","",COUNTA($F$5:$F119))</f>
        <v>115</v>
      </c>
      <c r="B119" s="37" t="str">
        <f aca="true">IF($F119="","",IF($P119="Cancelada","Cancelada",IF(OR($O119&lt;&gt;"",$P119="Concluída"),IF(OR($N119="",$O119="",$O119&lt;=$N119),"Concluída","Concluída com atraso"),IF($N119="","Na carteira",IF($N119&lt;TODAY(),"VENCIDA",IF($P119="Em execução","Em execução",IF($N119=TODAY(),"Hoje","Programada")))))))</f>
        <v>Hoje</v>
      </c>
      <c r="C119" s="38"/>
      <c r="D119" s="38" t="s">
        <v>123</v>
      </c>
      <c r="E119" s="38" t="s">
        <v>263</v>
      </c>
      <c r="F119" s="38" t="s">
        <v>288</v>
      </c>
      <c r="G119" s="39" t="s">
        <v>72</v>
      </c>
      <c r="H119" s="39"/>
      <c r="I119" s="40" t="s">
        <v>76</v>
      </c>
      <c r="J119" s="40" t="s">
        <v>93</v>
      </c>
      <c r="K119" s="40" t="s">
        <v>102</v>
      </c>
      <c r="L119" s="41" t="n">
        <v>46258</v>
      </c>
      <c r="M119" s="42" t="s">
        <v>92</v>
      </c>
      <c r="N119" s="43" t="n">
        <f aca="false">IF(OR($L119="",$M119=""),"",$L119+MATCH($M119,Listas!$F$5:$F$11,0)-1)</f>
        <v>46261</v>
      </c>
      <c r="O119" s="44"/>
      <c r="P119" s="39"/>
      <c r="Q119" s="44" t="n">
        <v>46260</v>
      </c>
      <c r="R119" s="38"/>
      <c r="S119" s="38" t="s">
        <v>265</v>
      </c>
      <c r="T119" s="36" t="str">
        <f aca="false">IF($F119="","",IF(ISNUMBER(SEARCH("(externo)",$I119&amp;$J119&amp;$K119)),"Terceirizada","Interna"))</f>
        <v>Interna</v>
      </c>
      <c r="U119" s="43" t="n">
        <f aca="false">IF($N119="","",IF($Q119="",$N119,$Q119))</f>
        <v>46260</v>
      </c>
      <c r="V119" s="36" t="n">
        <f aca="false">IF($F119="","",IF(OR($O119="",$N119=""),0,IF($O119&lt;=$N119,1,0)))</f>
        <v>0</v>
      </c>
      <c r="W119" s="36" t="n">
        <f aca="false">IF($F119="","",IF(OR($O119="",$U119=""),0,IF($O119&lt;=$U119,1,0)))</f>
        <v>0</v>
      </c>
      <c r="X119" s="37" t="str">
        <f aca="false">IF(OR($O119="",$N119=""),"",MAX(0,$O119-$N119))</f>
        <v/>
      </c>
      <c r="Y119" s="36" t="n">
        <f aca="false">IF($F119="","",IF(AND($Q119&lt;&gt;"",$N119&lt;&gt;"",$Q119&lt;&gt;$N119),1,0))</f>
        <v>1</v>
      </c>
      <c r="Z119" s="36" t="n">
        <f aca="false">IF($F119="","",IF($P119="Cancelada",0,IF(OR($O119&lt;&gt;"",$P119="Concluída"),1,0)))</f>
        <v>0</v>
      </c>
    </row>
    <row r="120" customFormat="false" ht="16.5" hidden="false" customHeight="true" outlineLevel="0" collapsed="false">
      <c r="A120" s="36" t="n">
        <f aca="false">IF($F120="","",COUNTA($F$5:$F120))</f>
        <v>116</v>
      </c>
      <c r="B120" s="37" t="str">
        <f aca="true">IF($F120="","",IF($P120="Cancelada","Cancelada",IF(OR($O120&lt;&gt;"",$P120="Concluída"),IF(OR($N120="",$O120="",$O120&lt;=$N120),"Concluída","Concluída com atraso"),IF($N120="","Na carteira",IF($N120&lt;TODAY(),"VENCIDA",IF($P120="Em execução","Em execução",IF($N120=TODAY(),"Hoje","Programada")))))))</f>
        <v>Hoje</v>
      </c>
      <c r="C120" s="38"/>
      <c r="D120" s="38" t="s">
        <v>123</v>
      </c>
      <c r="E120" s="38" t="s">
        <v>263</v>
      </c>
      <c r="F120" s="38" t="s">
        <v>289</v>
      </c>
      <c r="G120" s="39" t="s">
        <v>72</v>
      </c>
      <c r="H120" s="39"/>
      <c r="I120" s="40" t="s">
        <v>76</v>
      </c>
      <c r="J120" s="40" t="s">
        <v>93</v>
      </c>
      <c r="K120" s="40" t="s">
        <v>102</v>
      </c>
      <c r="L120" s="41" t="n">
        <v>46258</v>
      </c>
      <c r="M120" s="42" t="s">
        <v>92</v>
      </c>
      <c r="N120" s="43" t="n">
        <f aca="false">IF(OR($L120="",$M120=""),"",$L120+MATCH($M120,Listas!$F$5:$F$11,0)-1)</f>
        <v>46261</v>
      </c>
      <c r="O120" s="44"/>
      <c r="P120" s="39"/>
      <c r="Q120" s="44" t="n">
        <v>46260</v>
      </c>
      <c r="R120" s="38"/>
      <c r="S120" s="38" t="s">
        <v>265</v>
      </c>
      <c r="T120" s="36" t="str">
        <f aca="false">IF($F120="","",IF(ISNUMBER(SEARCH("(externo)",$I120&amp;$J120&amp;$K120)),"Terceirizada","Interna"))</f>
        <v>Interna</v>
      </c>
      <c r="U120" s="43" t="n">
        <f aca="false">IF($N120="","",IF($Q120="",$N120,$Q120))</f>
        <v>46260</v>
      </c>
      <c r="V120" s="36" t="n">
        <f aca="false">IF($F120="","",IF(OR($O120="",$N120=""),0,IF($O120&lt;=$N120,1,0)))</f>
        <v>0</v>
      </c>
      <c r="W120" s="36" t="n">
        <f aca="false">IF($F120="","",IF(OR($O120="",$U120=""),0,IF($O120&lt;=$U120,1,0)))</f>
        <v>0</v>
      </c>
      <c r="X120" s="37" t="str">
        <f aca="false">IF(OR($O120="",$N120=""),"",MAX(0,$O120-$N120))</f>
        <v/>
      </c>
      <c r="Y120" s="36" t="n">
        <f aca="false">IF($F120="","",IF(AND($Q120&lt;&gt;"",$N120&lt;&gt;"",$Q120&lt;&gt;$N120),1,0))</f>
        <v>1</v>
      </c>
      <c r="Z120" s="36" t="n">
        <f aca="false">IF($F120="","",IF($P120="Cancelada",0,IF(OR($O120&lt;&gt;"",$P120="Concluída"),1,0)))</f>
        <v>0</v>
      </c>
    </row>
    <row r="121" customFormat="false" ht="16.5" hidden="false" customHeight="true" outlineLevel="0" collapsed="false">
      <c r="A121" s="36" t="n">
        <f aca="false">IF($F121="","",COUNTA($F$5:$F121))</f>
        <v>117</v>
      </c>
      <c r="B121" s="37" t="str">
        <f aca="true">IF($F121="","",IF($P121="Cancelada","Cancelada",IF(OR($O121&lt;&gt;"",$P121="Concluída"),IF(OR($N121="",$O121="",$O121&lt;=$N121),"Concluída","Concluída com atraso"),IF($N121="","Na carteira",IF($N121&lt;TODAY(),"VENCIDA",IF($P121="Em execução","Em execução",IF($N121=TODAY(),"Hoje","Programada")))))))</f>
        <v>Hoje</v>
      </c>
      <c r="C121" s="38"/>
      <c r="D121" s="38" t="s">
        <v>123</v>
      </c>
      <c r="E121" s="38" t="s">
        <v>263</v>
      </c>
      <c r="F121" s="38" t="s">
        <v>290</v>
      </c>
      <c r="G121" s="39" t="s">
        <v>72</v>
      </c>
      <c r="H121" s="39"/>
      <c r="I121" s="40" t="s">
        <v>76</v>
      </c>
      <c r="J121" s="40" t="s">
        <v>93</v>
      </c>
      <c r="K121" s="40" t="s">
        <v>102</v>
      </c>
      <c r="L121" s="41" t="n">
        <v>46258</v>
      </c>
      <c r="M121" s="42" t="s">
        <v>92</v>
      </c>
      <c r="N121" s="43" t="n">
        <f aca="false">IF(OR($L121="",$M121=""),"",$L121+MATCH($M121,Listas!$F$5:$F$11,0)-1)</f>
        <v>46261</v>
      </c>
      <c r="O121" s="44"/>
      <c r="P121" s="39"/>
      <c r="Q121" s="44" t="n">
        <v>46260</v>
      </c>
      <c r="R121" s="38"/>
      <c r="S121" s="38" t="s">
        <v>265</v>
      </c>
      <c r="T121" s="36" t="str">
        <f aca="false">IF($F121="","",IF(ISNUMBER(SEARCH("(externo)",$I121&amp;$J121&amp;$K121)),"Terceirizada","Interna"))</f>
        <v>Interna</v>
      </c>
      <c r="U121" s="43" t="n">
        <f aca="false">IF($N121="","",IF($Q121="",$N121,$Q121))</f>
        <v>46260</v>
      </c>
      <c r="V121" s="36" t="n">
        <f aca="false">IF($F121="","",IF(OR($O121="",$N121=""),0,IF($O121&lt;=$N121,1,0)))</f>
        <v>0</v>
      </c>
      <c r="W121" s="36" t="n">
        <f aca="false">IF($F121="","",IF(OR($O121="",$U121=""),0,IF($O121&lt;=$U121,1,0)))</f>
        <v>0</v>
      </c>
      <c r="X121" s="37" t="str">
        <f aca="false">IF(OR($O121="",$N121=""),"",MAX(0,$O121-$N121))</f>
        <v/>
      </c>
      <c r="Y121" s="36" t="n">
        <f aca="false">IF($F121="","",IF(AND($Q121&lt;&gt;"",$N121&lt;&gt;"",$Q121&lt;&gt;$N121),1,0))</f>
        <v>1</v>
      </c>
      <c r="Z121" s="36" t="n">
        <f aca="false">IF($F121="","",IF($P121="Cancelada",0,IF(OR($O121&lt;&gt;"",$P121="Concluída"),1,0)))</f>
        <v>0</v>
      </c>
    </row>
    <row r="122" customFormat="false" ht="16.5" hidden="false" customHeight="true" outlineLevel="0" collapsed="false">
      <c r="A122" s="36" t="n">
        <f aca="false">IF($F122="","",COUNTA($F$5:$F122))</f>
        <v>118</v>
      </c>
      <c r="B122" s="37" t="str">
        <f aca="true">IF($F122="","",IF($P122="Cancelada","Cancelada",IF(OR($O122&lt;&gt;"",$P122="Concluída"),IF(OR($N122="",$O122="",$O122&lt;=$N122),"Concluída","Concluída com atraso"),IF($N122="","Na carteira",IF($N122&lt;TODAY(),"VENCIDA",IF($P122="Em execução","Em execução",IF($N122=TODAY(),"Hoje","Programada")))))))</f>
        <v>Hoje</v>
      </c>
      <c r="C122" s="38"/>
      <c r="D122" s="38" t="s">
        <v>123</v>
      </c>
      <c r="E122" s="38" t="s">
        <v>263</v>
      </c>
      <c r="F122" s="38" t="s">
        <v>291</v>
      </c>
      <c r="G122" s="39" t="s">
        <v>72</v>
      </c>
      <c r="H122" s="39"/>
      <c r="I122" s="40" t="s">
        <v>76</v>
      </c>
      <c r="J122" s="40" t="s">
        <v>93</v>
      </c>
      <c r="K122" s="40" t="s">
        <v>102</v>
      </c>
      <c r="L122" s="41" t="n">
        <v>46258</v>
      </c>
      <c r="M122" s="42" t="s">
        <v>92</v>
      </c>
      <c r="N122" s="43" t="n">
        <f aca="false">IF(OR($L122="",$M122=""),"",$L122+MATCH($M122,Listas!$F$5:$F$11,0)-1)</f>
        <v>46261</v>
      </c>
      <c r="O122" s="44"/>
      <c r="P122" s="39"/>
      <c r="Q122" s="44" t="n">
        <v>46260</v>
      </c>
      <c r="R122" s="38"/>
      <c r="S122" s="38" t="s">
        <v>265</v>
      </c>
      <c r="T122" s="36" t="str">
        <f aca="false">IF($F122="","",IF(ISNUMBER(SEARCH("(externo)",$I122&amp;$J122&amp;$K122)),"Terceirizada","Interna"))</f>
        <v>Interna</v>
      </c>
      <c r="U122" s="43" t="n">
        <f aca="false">IF($N122="","",IF($Q122="",$N122,$Q122))</f>
        <v>46260</v>
      </c>
      <c r="V122" s="36" t="n">
        <f aca="false">IF($F122="","",IF(OR($O122="",$N122=""),0,IF($O122&lt;=$N122,1,0)))</f>
        <v>0</v>
      </c>
      <c r="W122" s="36" t="n">
        <f aca="false">IF($F122="","",IF(OR($O122="",$U122=""),0,IF($O122&lt;=$U122,1,0)))</f>
        <v>0</v>
      </c>
      <c r="X122" s="37" t="str">
        <f aca="false">IF(OR($O122="",$N122=""),"",MAX(0,$O122-$N122))</f>
        <v/>
      </c>
      <c r="Y122" s="36" t="n">
        <f aca="false">IF($F122="","",IF(AND($Q122&lt;&gt;"",$N122&lt;&gt;"",$Q122&lt;&gt;$N122),1,0))</f>
        <v>1</v>
      </c>
      <c r="Z122" s="36" t="n">
        <f aca="false">IF($F122="","",IF($P122="Cancelada",0,IF(OR($O122&lt;&gt;"",$P122="Concluída"),1,0)))</f>
        <v>0</v>
      </c>
    </row>
    <row r="123" customFormat="false" ht="16.5" hidden="false" customHeight="true" outlineLevel="0" collapsed="false">
      <c r="A123" s="36" t="n">
        <f aca="false">IF($F123="","",COUNTA($F$5:$F123))</f>
        <v>119</v>
      </c>
      <c r="B123" s="37" t="str">
        <f aca="true">IF($F123="","",IF($P123="Cancelada","Cancelada",IF(OR($O123&lt;&gt;"",$P123="Concluída"),IF(OR($N123="",$O123="",$O123&lt;=$N123),"Concluída","Concluída com atraso"),IF($N123="","Na carteira",IF($N123&lt;TODAY(),"VENCIDA",IF($P123="Em execução","Em execução",IF($N123=TODAY(),"Hoje","Programada")))))))</f>
        <v>Hoje</v>
      </c>
      <c r="C123" s="38"/>
      <c r="D123" s="38" t="s">
        <v>123</v>
      </c>
      <c r="E123" s="38" t="s">
        <v>263</v>
      </c>
      <c r="F123" s="38" t="s">
        <v>292</v>
      </c>
      <c r="G123" s="39" t="s">
        <v>72</v>
      </c>
      <c r="H123" s="39"/>
      <c r="I123" s="40" t="s">
        <v>76</v>
      </c>
      <c r="J123" s="40" t="s">
        <v>93</v>
      </c>
      <c r="K123" s="40" t="s">
        <v>102</v>
      </c>
      <c r="L123" s="41" t="n">
        <v>46258</v>
      </c>
      <c r="M123" s="42" t="s">
        <v>92</v>
      </c>
      <c r="N123" s="43" t="n">
        <f aca="false">IF(OR($L123="",$M123=""),"",$L123+MATCH($M123,Listas!$F$5:$F$11,0)-1)</f>
        <v>46261</v>
      </c>
      <c r="O123" s="44"/>
      <c r="P123" s="39"/>
      <c r="Q123" s="44" t="n">
        <v>46260</v>
      </c>
      <c r="R123" s="38"/>
      <c r="S123" s="38" t="s">
        <v>265</v>
      </c>
      <c r="T123" s="36" t="str">
        <f aca="false">IF($F123="","",IF(ISNUMBER(SEARCH("(externo)",$I123&amp;$J123&amp;$K123)),"Terceirizada","Interna"))</f>
        <v>Interna</v>
      </c>
      <c r="U123" s="43" t="n">
        <f aca="false">IF($N123="","",IF($Q123="",$N123,$Q123))</f>
        <v>46260</v>
      </c>
      <c r="V123" s="36" t="n">
        <f aca="false">IF($F123="","",IF(OR($O123="",$N123=""),0,IF($O123&lt;=$N123,1,0)))</f>
        <v>0</v>
      </c>
      <c r="W123" s="36" t="n">
        <f aca="false">IF($F123="","",IF(OR($O123="",$U123=""),0,IF($O123&lt;=$U123,1,0)))</f>
        <v>0</v>
      </c>
      <c r="X123" s="37" t="str">
        <f aca="false">IF(OR($O123="",$N123=""),"",MAX(0,$O123-$N123))</f>
        <v/>
      </c>
      <c r="Y123" s="36" t="n">
        <f aca="false">IF($F123="","",IF(AND($Q123&lt;&gt;"",$N123&lt;&gt;"",$Q123&lt;&gt;$N123),1,0))</f>
        <v>1</v>
      </c>
      <c r="Z123" s="36" t="n">
        <f aca="false">IF($F123="","",IF($P123="Cancelada",0,IF(OR($O123&lt;&gt;"",$P123="Concluída"),1,0)))</f>
        <v>0</v>
      </c>
    </row>
    <row r="124" customFormat="false" ht="16.5" hidden="false" customHeight="true" outlineLevel="0" collapsed="false">
      <c r="A124" s="36" t="n">
        <f aca="false">IF($F124="","",COUNTA($F$5:$F124))</f>
        <v>120</v>
      </c>
      <c r="B124" s="37" t="str">
        <f aca="true">IF($F124="","",IF($P124="Cancelada","Cancelada",IF(OR($O124&lt;&gt;"",$P124="Concluída"),IF(OR($N124="",$O124="",$O124&lt;=$N124),"Concluída","Concluída com atraso"),IF($N124="","Na carteira",IF($N124&lt;TODAY(),"VENCIDA",IF($P124="Em execução","Em execução",IF($N124=TODAY(),"Hoje","Programada")))))))</f>
        <v>Hoje</v>
      </c>
      <c r="C124" s="38"/>
      <c r="D124" s="38" t="s">
        <v>123</v>
      </c>
      <c r="E124" s="38" t="s">
        <v>263</v>
      </c>
      <c r="F124" s="38" t="s">
        <v>293</v>
      </c>
      <c r="G124" s="39" t="s">
        <v>72</v>
      </c>
      <c r="H124" s="39"/>
      <c r="I124" s="40" t="s">
        <v>76</v>
      </c>
      <c r="J124" s="40" t="s">
        <v>93</v>
      </c>
      <c r="K124" s="40" t="s">
        <v>102</v>
      </c>
      <c r="L124" s="41" t="n">
        <v>46258</v>
      </c>
      <c r="M124" s="42" t="s">
        <v>92</v>
      </c>
      <c r="N124" s="43" t="n">
        <f aca="false">IF(OR($L124="",$M124=""),"",$L124+MATCH($M124,Listas!$F$5:$F$11,0)-1)</f>
        <v>46261</v>
      </c>
      <c r="O124" s="44"/>
      <c r="P124" s="39"/>
      <c r="Q124" s="44" t="n">
        <v>46260</v>
      </c>
      <c r="R124" s="38"/>
      <c r="S124" s="38" t="s">
        <v>265</v>
      </c>
      <c r="T124" s="36" t="str">
        <f aca="false">IF($F124="","",IF(ISNUMBER(SEARCH("(externo)",$I124&amp;$J124&amp;$K124)),"Terceirizada","Interna"))</f>
        <v>Interna</v>
      </c>
      <c r="U124" s="43" t="n">
        <f aca="false">IF($N124="","",IF($Q124="",$N124,$Q124))</f>
        <v>46260</v>
      </c>
      <c r="V124" s="36" t="n">
        <f aca="false">IF($F124="","",IF(OR($O124="",$N124=""),0,IF($O124&lt;=$N124,1,0)))</f>
        <v>0</v>
      </c>
      <c r="W124" s="36" t="n">
        <f aca="false">IF($F124="","",IF(OR($O124="",$U124=""),0,IF($O124&lt;=$U124,1,0)))</f>
        <v>0</v>
      </c>
      <c r="X124" s="37" t="str">
        <f aca="false">IF(OR($O124="",$N124=""),"",MAX(0,$O124-$N124))</f>
        <v/>
      </c>
      <c r="Y124" s="36" t="n">
        <f aca="false">IF($F124="","",IF(AND($Q124&lt;&gt;"",$N124&lt;&gt;"",$Q124&lt;&gt;$N124),1,0))</f>
        <v>1</v>
      </c>
      <c r="Z124" s="36" t="n">
        <f aca="false">IF($F124="","",IF($P124="Cancelada",0,IF(OR($O124&lt;&gt;"",$P124="Concluída"),1,0)))</f>
        <v>0</v>
      </c>
    </row>
    <row r="125" customFormat="false" ht="16.5" hidden="false" customHeight="true" outlineLevel="0" collapsed="false">
      <c r="A125" s="36" t="n">
        <f aca="false">IF($F125="","",COUNTA($F$5:$F125))</f>
        <v>121</v>
      </c>
      <c r="B125" s="37" t="str">
        <f aca="true">IF($F125="","",IF($P125="Cancelada","Cancelada",IF(OR($O125&lt;&gt;"",$P125="Concluída"),IF(OR($N125="",$O125="",$O125&lt;=$N125),"Concluída","Concluída com atraso"),IF($N125="","Na carteira",IF($N125&lt;TODAY(),"VENCIDA",IF($P125="Em execução","Em execução",IF($N125=TODAY(),"Hoje","Programada")))))))</f>
        <v>Hoje</v>
      </c>
      <c r="C125" s="38"/>
      <c r="D125" s="38" t="s">
        <v>123</v>
      </c>
      <c r="E125" s="38" t="s">
        <v>263</v>
      </c>
      <c r="F125" s="38" t="s">
        <v>294</v>
      </c>
      <c r="G125" s="39" t="s">
        <v>72</v>
      </c>
      <c r="H125" s="39"/>
      <c r="I125" s="40" t="s">
        <v>76</v>
      </c>
      <c r="J125" s="40" t="s">
        <v>93</v>
      </c>
      <c r="K125" s="40" t="s">
        <v>102</v>
      </c>
      <c r="L125" s="41" t="n">
        <v>46258</v>
      </c>
      <c r="M125" s="42" t="s">
        <v>92</v>
      </c>
      <c r="N125" s="43" t="n">
        <f aca="false">IF(OR($L125="",$M125=""),"",$L125+MATCH($M125,Listas!$F$5:$F$11,0)-1)</f>
        <v>46261</v>
      </c>
      <c r="O125" s="44"/>
      <c r="P125" s="39"/>
      <c r="Q125" s="44" t="n">
        <v>46260</v>
      </c>
      <c r="R125" s="38"/>
      <c r="S125" s="38" t="s">
        <v>265</v>
      </c>
      <c r="T125" s="36" t="str">
        <f aca="false">IF($F125="","",IF(ISNUMBER(SEARCH("(externo)",$I125&amp;$J125&amp;$K125)),"Terceirizada","Interna"))</f>
        <v>Interna</v>
      </c>
      <c r="U125" s="43" t="n">
        <f aca="false">IF($N125="","",IF($Q125="",$N125,$Q125))</f>
        <v>46260</v>
      </c>
      <c r="V125" s="36" t="n">
        <f aca="false">IF($F125="","",IF(OR($O125="",$N125=""),0,IF($O125&lt;=$N125,1,0)))</f>
        <v>0</v>
      </c>
      <c r="W125" s="36" t="n">
        <f aca="false">IF($F125="","",IF(OR($O125="",$U125=""),0,IF($O125&lt;=$U125,1,0)))</f>
        <v>0</v>
      </c>
      <c r="X125" s="37" t="str">
        <f aca="false">IF(OR($O125="",$N125=""),"",MAX(0,$O125-$N125))</f>
        <v/>
      </c>
      <c r="Y125" s="36" t="n">
        <f aca="false">IF($F125="","",IF(AND($Q125&lt;&gt;"",$N125&lt;&gt;"",$Q125&lt;&gt;$N125),1,0))</f>
        <v>1</v>
      </c>
      <c r="Z125" s="36" t="n">
        <f aca="false">IF($F125="","",IF($P125="Cancelada",0,IF(OR($O125&lt;&gt;"",$P125="Concluída"),1,0)))</f>
        <v>0</v>
      </c>
    </row>
    <row r="126" customFormat="false" ht="16.5" hidden="false" customHeight="true" outlineLevel="0" collapsed="false">
      <c r="A126" s="36" t="n">
        <f aca="false">IF($F126="","",COUNTA($F$5:$F126))</f>
        <v>122</v>
      </c>
      <c r="B126" s="37" t="str">
        <f aca="true">IF($F126="","",IF($P126="Cancelada","Cancelada",IF(OR($O126&lt;&gt;"",$P126="Concluída"),IF(OR($N126="",$O126="",$O126&lt;=$N126),"Concluída","Concluída com atraso"),IF($N126="","Na carteira",IF($N126&lt;TODAY(),"VENCIDA",IF($P126="Em execução","Em execução",IF($N126=TODAY(),"Hoje","Programada")))))))</f>
        <v>Hoje</v>
      </c>
      <c r="C126" s="38"/>
      <c r="D126" s="38" t="s">
        <v>123</v>
      </c>
      <c r="E126" s="38" t="s">
        <v>263</v>
      </c>
      <c r="F126" s="38" t="s">
        <v>295</v>
      </c>
      <c r="G126" s="39" t="s">
        <v>72</v>
      </c>
      <c r="H126" s="39"/>
      <c r="I126" s="40" t="s">
        <v>76</v>
      </c>
      <c r="J126" s="40" t="s">
        <v>93</v>
      </c>
      <c r="K126" s="40" t="s">
        <v>102</v>
      </c>
      <c r="L126" s="41" t="n">
        <v>46258</v>
      </c>
      <c r="M126" s="42" t="s">
        <v>92</v>
      </c>
      <c r="N126" s="43" t="n">
        <f aca="false">IF(OR($L126="",$M126=""),"",$L126+MATCH($M126,Listas!$F$5:$F$11,0)-1)</f>
        <v>46261</v>
      </c>
      <c r="O126" s="44"/>
      <c r="P126" s="39"/>
      <c r="Q126" s="44" t="n">
        <v>46260</v>
      </c>
      <c r="R126" s="38"/>
      <c r="S126" s="38" t="s">
        <v>265</v>
      </c>
      <c r="T126" s="36" t="str">
        <f aca="false">IF($F126="","",IF(ISNUMBER(SEARCH("(externo)",$I126&amp;$J126&amp;$K126)),"Terceirizada","Interna"))</f>
        <v>Interna</v>
      </c>
      <c r="U126" s="43" t="n">
        <f aca="false">IF($N126="","",IF($Q126="",$N126,$Q126))</f>
        <v>46260</v>
      </c>
      <c r="V126" s="36" t="n">
        <f aca="false">IF($F126="","",IF(OR($O126="",$N126=""),0,IF($O126&lt;=$N126,1,0)))</f>
        <v>0</v>
      </c>
      <c r="W126" s="36" t="n">
        <f aca="false">IF($F126="","",IF(OR($O126="",$U126=""),0,IF($O126&lt;=$U126,1,0)))</f>
        <v>0</v>
      </c>
      <c r="X126" s="37" t="str">
        <f aca="false">IF(OR($O126="",$N126=""),"",MAX(0,$O126-$N126))</f>
        <v/>
      </c>
      <c r="Y126" s="36" t="n">
        <f aca="false">IF($F126="","",IF(AND($Q126&lt;&gt;"",$N126&lt;&gt;"",$Q126&lt;&gt;$N126),1,0))</f>
        <v>1</v>
      </c>
      <c r="Z126" s="36" t="n">
        <f aca="false">IF($F126="","",IF($P126="Cancelada",0,IF(OR($O126&lt;&gt;"",$P126="Concluída"),1,0)))</f>
        <v>0</v>
      </c>
    </row>
    <row r="127" customFormat="false" ht="16.5" hidden="false" customHeight="true" outlineLevel="0" collapsed="false">
      <c r="A127" s="36" t="n">
        <f aca="false">IF($F127="","",COUNTA($F$5:$F127))</f>
        <v>123</v>
      </c>
      <c r="B127" s="37" t="str">
        <f aca="true">IF($F127="","",IF($P127="Cancelada","Cancelada",IF(OR($O127&lt;&gt;"",$P127="Concluída"),IF(OR($N127="",$O127="",$O127&lt;=$N127),"Concluída","Concluída com atraso"),IF($N127="","Na carteira",IF($N127&lt;TODAY(),"VENCIDA",IF($P127="Em execução","Em execução",IF($N127=TODAY(),"Hoje","Programada")))))))</f>
        <v>Hoje</v>
      </c>
      <c r="C127" s="38"/>
      <c r="D127" s="38" t="s">
        <v>123</v>
      </c>
      <c r="E127" s="38" t="s">
        <v>263</v>
      </c>
      <c r="F127" s="38" t="s">
        <v>296</v>
      </c>
      <c r="G127" s="39" t="s">
        <v>72</v>
      </c>
      <c r="H127" s="39"/>
      <c r="I127" s="40" t="s">
        <v>76</v>
      </c>
      <c r="J127" s="40" t="s">
        <v>93</v>
      </c>
      <c r="K127" s="40" t="s">
        <v>102</v>
      </c>
      <c r="L127" s="41" t="n">
        <v>46258</v>
      </c>
      <c r="M127" s="42" t="s">
        <v>92</v>
      </c>
      <c r="N127" s="43" t="n">
        <f aca="false">IF(OR($L127="",$M127=""),"",$L127+MATCH($M127,Listas!$F$5:$F$11,0)-1)</f>
        <v>46261</v>
      </c>
      <c r="O127" s="44"/>
      <c r="P127" s="39"/>
      <c r="Q127" s="44" t="n">
        <v>46260</v>
      </c>
      <c r="R127" s="38"/>
      <c r="S127" s="38" t="s">
        <v>265</v>
      </c>
      <c r="T127" s="36" t="str">
        <f aca="false">IF($F127="","",IF(ISNUMBER(SEARCH("(externo)",$I127&amp;$J127&amp;$K127)),"Terceirizada","Interna"))</f>
        <v>Interna</v>
      </c>
      <c r="U127" s="43" t="n">
        <f aca="false">IF($N127="","",IF($Q127="",$N127,$Q127))</f>
        <v>46260</v>
      </c>
      <c r="V127" s="36" t="n">
        <f aca="false">IF($F127="","",IF(OR($O127="",$N127=""),0,IF($O127&lt;=$N127,1,0)))</f>
        <v>0</v>
      </c>
      <c r="W127" s="36" t="n">
        <f aca="false">IF($F127="","",IF(OR($O127="",$U127=""),0,IF($O127&lt;=$U127,1,0)))</f>
        <v>0</v>
      </c>
      <c r="X127" s="37" t="str">
        <f aca="false">IF(OR($O127="",$N127=""),"",MAX(0,$O127-$N127))</f>
        <v/>
      </c>
      <c r="Y127" s="36" t="n">
        <f aca="false">IF($F127="","",IF(AND($Q127&lt;&gt;"",$N127&lt;&gt;"",$Q127&lt;&gt;$N127),1,0))</f>
        <v>1</v>
      </c>
      <c r="Z127" s="36" t="n">
        <f aca="false">IF($F127="","",IF($P127="Cancelada",0,IF(OR($O127&lt;&gt;"",$P127="Concluída"),1,0)))</f>
        <v>0</v>
      </c>
    </row>
    <row r="128" customFormat="false" ht="16.5" hidden="false" customHeight="true" outlineLevel="0" collapsed="false">
      <c r="A128" s="36" t="n">
        <f aca="false">IF($F128="","",COUNTA($F$5:$F128))</f>
        <v>124</v>
      </c>
      <c r="B128" s="37" t="str">
        <f aca="true">IF($F128="","",IF($P128="Cancelada","Cancelada",IF(OR($O128&lt;&gt;"",$P128="Concluída"),IF(OR($N128="",$O128="",$O128&lt;=$N128),"Concluída","Concluída com atraso"),IF($N128="","Na carteira",IF($N128&lt;TODAY(),"VENCIDA",IF($P128="Em execução","Em execução",IF($N128=TODAY(),"Hoje","Programada")))))))</f>
        <v>Hoje</v>
      </c>
      <c r="C128" s="38"/>
      <c r="D128" s="38" t="s">
        <v>123</v>
      </c>
      <c r="E128" s="38" t="s">
        <v>263</v>
      </c>
      <c r="F128" s="38" t="s">
        <v>297</v>
      </c>
      <c r="G128" s="39" t="s">
        <v>72</v>
      </c>
      <c r="H128" s="39"/>
      <c r="I128" s="40" t="s">
        <v>76</v>
      </c>
      <c r="J128" s="40" t="s">
        <v>93</v>
      </c>
      <c r="K128" s="40" t="s">
        <v>102</v>
      </c>
      <c r="L128" s="41" t="n">
        <v>46258</v>
      </c>
      <c r="M128" s="42" t="s">
        <v>92</v>
      </c>
      <c r="N128" s="43" t="n">
        <f aca="false">IF(OR($L128="",$M128=""),"",$L128+MATCH($M128,Listas!$F$5:$F$11,0)-1)</f>
        <v>46261</v>
      </c>
      <c r="O128" s="44"/>
      <c r="P128" s="39"/>
      <c r="Q128" s="44" t="n">
        <v>46260</v>
      </c>
      <c r="R128" s="38"/>
      <c r="S128" s="38" t="s">
        <v>265</v>
      </c>
      <c r="T128" s="36" t="str">
        <f aca="false">IF($F128="","",IF(ISNUMBER(SEARCH("(externo)",$I128&amp;$J128&amp;$K128)),"Terceirizada","Interna"))</f>
        <v>Interna</v>
      </c>
      <c r="U128" s="43" t="n">
        <f aca="false">IF($N128="","",IF($Q128="",$N128,$Q128))</f>
        <v>46260</v>
      </c>
      <c r="V128" s="36" t="n">
        <f aca="false">IF($F128="","",IF(OR($O128="",$N128=""),0,IF($O128&lt;=$N128,1,0)))</f>
        <v>0</v>
      </c>
      <c r="W128" s="36" t="n">
        <f aca="false">IF($F128="","",IF(OR($O128="",$U128=""),0,IF($O128&lt;=$U128,1,0)))</f>
        <v>0</v>
      </c>
      <c r="X128" s="37" t="str">
        <f aca="false">IF(OR($O128="",$N128=""),"",MAX(0,$O128-$N128))</f>
        <v/>
      </c>
      <c r="Y128" s="36" t="n">
        <f aca="false">IF($F128="","",IF(AND($Q128&lt;&gt;"",$N128&lt;&gt;"",$Q128&lt;&gt;$N128),1,0))</f>
        <v>1</v>
      </c>
      <c r="Z128" s="36" t="n">
        <f aca="false">IF($F128="","",IF($P128="Cancelada",0,IF(OR($O128&lt;&gt;"",$P128="Concluída"),1,0)))</f>
        <v>0</v>
      </c>
    </row>
    <row r="129" customFormat="false" ht="16.5" hidden="false" customHeight="true" outlineLevel="0" collapsed="false">
      <c r="A129" s="36" t="n">
        <f aca="false">IF($F129="","",COUNTA($F$5:$F129))</f>
        <v>125</v>
      </c>
      <c r="B129" s="37" t="str">
        <f aca="true">IF($F129="","",IF($P129="Cancelada","Cancelada",IF(OR($O129&lt;&gt;"",$P129="Concluída"),IF(OR($N129="",$O129="",$O129&lt;=$N129),"Concluída","Concluída com atraso"),IF($N129="","Na carteira",IF($N129&lt;TODAY(),"VENCIDA",IF($P129="Em execução","Em execução",IF($N129=TODAY(),"Hoje","Programada")))))))</f>
        <v>Hoje</v>
      </c>
      <c r="C129" s="38"/>
      <c r="D129" s="38" t="s">
        <v>123</v>
      </c>
      <c r="E129" s="38" t="s">
        <v>263</v>
      </c>
      <c r="F129" s="38" t="s">
        <v>298</v>
      </c>
      <c r="G129" s="39" t="s">
        <v>72</v>
      </c>
      <c r="H129" s="39"/>
      <c r="I129" s="40" t="s">
        <v>76</v>
      </c>
      <c r="J129" s="40" t="s">
        <v>93</v>
      </c>
      <c r="K129" s="40" t="s">
        <v>102</v>
      </c>
      <c r="L129" s="41" t="n">
        <v>46258</v>
      </c>
      <c r="M129" s="42" t="s">
        <v>92</v>
      </c>
      <c r="N129" s="43" t="n">
        <f aca="false">IF(OR($L129="",$M129=""),"",$L129+MATCH($M129,Listas!$F$5:$F$11,0)-1)</f>
        <v>46261</v>
      </c>
      <c r="O129" s="44"/>
      <c r="P129" s="39"/>
      <c r="Q129" s="44" t="n">
        <v>46260</v>
      </c>
      <c r="R129" s="38"/>
      <c r="S129" s="38" t="s">
        <v>265</v>
      </c>
      <c r="T129" s="36" t="str">
        <f aca="false">IF($F129="","",IF(ISNUMBER(SEARCH("(externo)",$I129&amp;$J129&amp;$K129)),"Terceirizada","Interna"))</f>
        <v>Interna</v>
      </c>
      <c r="U129" s="43" t="n">
        <f aca="false">IF($N129="","",IF($Q129="",$N129,$Q129))</f>
        <v>46260</v>
      </c>
      <c r="V129" s="36" t="n">
        <f aca="false">IF($F129="","",IF(OR($O129="",$N129=""),0,IF($O129&lt;=$N129,1,0)))</f>
        <v>0</v>
      </c>
      <c r="W129" s="36" t="n">
        <f aca="false">IF($F129="","",IF(OR($O129="",$U129=""),0,IF($O129&lt;=$U129,1,0)))</f>
        <v>0</v>
      </c>
      <c r="X129" s="37" t="str">
        <f aca="false">IF(OR($O129="",$N129=""),"",MAX(0,$O129-$N129))</f>
        <v/>
      </c>
      <c r="Y129" s="36" t="n">
        <f aca="false">IF($F129="","",IF(AND($Q129&lt;&gt;"",$N129&lt;&gt;"",$Q129&lt;&gt;$N129),1,0))</f>
        <v>1</v>
      </c>
      <c r="Z129" s="36" t="n">
        <f aca="false">IF($F129="","",IF($P129="Cancelada",0,IF(OR($O129&lt;&gt;"",$P129="Concluída"),1,0)))</f>
        <v>0</v>
      </c>
    </row>
    <row r="130" customFormat="false" ht="16.5" hidden="false" customHeight="true" outlineLevel="0" collapsed="false">
      <c r="A130" s="36" t="n">
        <f aca="false">IF($F130="","",COUNTA($F$5:$F130))</f>
        <v>126</v>
      </c>
      <c r="B130" s="37" t="str">
        <f aca="true">IF($F130="","",IF($P130="Cancelada","Cancelada",IF(OR($O130&lt;&gt;"",$P130="Concluída"),IF(OR($N130="",$O130="",$O130&lt;=$N130),"Concluída","Concluída com atraso"),IF($N130="","Na carteira",IF($N130&lt;TODAY(),"VENCIDA",IF($P130="Em execução","Em execução",IF($N130=TODAY(),"Hoje","Programada")))))))</f>
        <v>Hoje</v>
      </c>
      <c r="C130" s="38"/>
      <c r="D130" s="38" t="s">
        <v>124</v>
      </c>
      <c r="E130" s="38" t="s">
        <v>190</v>
      </c>
      <c r="F130" s="38" t="s">
        <v>208</v>
      </c>
      <c r="G130" s="39" t="s">
        <v>78</v>
      </c>
      <c r="H130" s="39"/>
      <c r="I130" s="40" t="s">
        <v>88</v>
      </c>
      <c r="J130" s="40" t="s">
        <v>98</v>
      </c>
      <c r="K130" s="40"/>
      <c r="L130" s="41" t="n">
        <v>46258</v>
      </c>
      <c r="M130" s="42" t="s">
        <v>92</v>
      </c>
      <c r="N130" s="43" t="n">
        <f aca="false">IF(OR($L130="",$M130=""),"",$L130+MATCH($M130,Listas!$F$5:$F$11,0)-1)</f>
        <v>46261</v>
      </c>
      <c r="O130" s="44"/>
      <c r="P130" s="39"/>
      <c r="Q130" s="44"/>
      <c r="R130" s="38"/>
      <c r="S130" s="38" t="s">
        <v>299</v>
      </c>
      <c r="T130" s="36" t="str">
        <f aca="false">IF($F130="","",IF(ISNUMBER(SEARCH("(externo)",$I130&amp;$J130&amp;$K130)),"Terceirizada","Interna"))</f>
        <v>Interna</v>
      </c>
      <c r="U130" s="43" t="n">
        <f aca="false">IF($N130="","",IF($Q130="",$N130,$Q130))</f>
        <v>46261</v>
      </c>
      <c r="V130" s="36" t="n">
        <f aca="false">IF($F130="","",IF(OR($O130="",$N130=""),0,IF($O130&lt;=$N130,1,0)))</f>
        <v>0</v>
      </c>
      <c r="W130" s="36" t="n">
        <f aca="false">IF($F130="","",IF(OR($O130="",$U130=""),0,IF($O130&lt;=$U130,1,0)))</f>
        <v>0</v>
      </c>
      <c r="X130" s="37" t="str">
        <f aca="false">IF(OR($O130="",$N130=""),"",MAX(0,$O130-$N130))</f>
        <v/>
      </c>
      <c r="Y130" s="36" t="n">
        <f aca="false">IF($F130="","",IF(AND($Q130&lt;&gt;"",$N130&lt;&gt;"",$Q130&lt;&gt;$N130),1,0))</f>
        <v>0</v>
      </c>
      <c r="Z130" s="36" t="n">
        <f aca="false">IF($F130="","",IF($P130="Cancelada",0,IF(OR($O130&lt;&gt;"",$P130="Concluída"),1,0)))</f>
        <v>0</v>
      </c>
    </row>
    <row r="131" customFormat="false" ht="16.5" hidden="false" customHeight="true" outlineLevel="0" collapsed="false">
      <c r="A131" s="36" t="n">
        <f aca="false">IF($F131="","",COUNTA($F$5:$F131))</f>
        <v>127</v>
      </c>
      <c r="B131" s="37" t="str">
        <f aca="true">IF($F131="","",IF($P131="Cancelada","Cancelada",IF(OR($O131&lt;&gt;"",$P131="Concluída"),IF(OR($N131="",$O131="",$O131&lt;=$N131),"Concluída","Concluída com atraso"),IF($N131="","Na carteira",IF($N131&lt;TODAY(),"VENCIDA",IF($P131="Em execução","Em execução",IF($N131=TODAY(),"Hoje","Programada")))))))</f>
        <v>Hoje</v>
      </c>
      <c r="C131" s="38"/>
      <c r="D131" s="38" t="s">
        <v>124</v>
      </c>
      <c r="E131" s="38" t="s">
        <v>190</v>
      </c>
      <c r="F131" s="38" t="s">
        <v>300</v>
      </c>
      <c r="G131" s="39" t="s">
        <v>78</v>
      </c>
      <c r="H131" s="39"/>
      <c r="I131" s="40" t="s">
        <v>88</v>
      </c>
      <c r="J131" s="40" t="s">
        <v>98</v>
      </c>
      <c r="K131" s="40"/>
      <c r="L131" s="41" t="n">
        <v>46258</v>
      </c>
      <c r="M131" s="42" t="s">
        <v>92</v>
      </c>
      <c r="N131" s="43" t="n">
        <f aca="false">IF(OR($L131="",$M131=""),"",$L131+MATCH($M131,Listas!$F$5:$F$11,0)-1)</f>
        <v>46261</v>
      </c>
      <c r="O131" s="44"/>
      <c r="P131" s="39"/>
      <c r="Q131" s="44"/>
      <c r="R131" s="38"/>
      <c r="S131" s="38" t="s">
        <v>299</v>
      </c>
      <c r="T131" s="36" t="str">
        <f aca="false">IF($F131="","",IF(ISNUMBER(SEARCH("(externo)",$I131&amp;$J131&amp;$K131)),"Terceirizada","Interna"))</f>
        <v>Interna</v>
      </c>
      <c r="U131" s="43" t="n">
        <f aca="false">IF($N131="","",IF($Q131="",$N131,$Q131))</f>
        <v>46261</v>
      </c>
      <c r="V131" s="36" t="n">
        <f aca="false">IF($F131="","",IF(OR($O131="",$N131=""),0,IF($O131&lt;=$N131,1,0)))</f>
        <v>0</v>
      </c>
      <c r="W131" s="36" t="n">
        <f aca="false">IF($F131="","",IF(OR($O131="",$U131=""),0,IF($O131&lt;=$U131,1,0)))</f>
        <v>0</v>
      </c>
      <c r="X131" s="37" t="str">
        <f aca="false">IF(OR($O131="",$N131=""),"",MAX(0,$O131-$N131))</f>
        <v/>
      </c>
      <c r="Y131" s="36" t="n">
        <f aca="false">IF($F131="","",IF(AND($Q131&lt;&gt;"",$N131&lt;&gt;"",$Q131&lt;&gt;$N131),1,0))</f>
        <v>0</v>
      </c>
      <c r="Z131" s="36" t="n">
        <f aca="false">IF($F131="","",IF($P131="Cancelada",0,IF(OR($O131&lt;&gt;"",$P131="Concluída"),1,0)))</f>
        <v>0</v>
      </c>
    </row>
    <row r="132" customFormat="false" ht="16.5" hidden="false" customHeight="true" outlineLevel="0" collapsed="false">
      <c r="A132" s="36" t="n">
        <f aca="false">IF($F132="","",COUNTA($F$5:$F132))</f>
        <v>128</v>
      </c>
      <c r="B132" s="37" t="str">
        <f aca="true">IF($F132="","",IF($P132="Cancelada","Cancelada",IF(OR($O132&lt;&gt;"",$P132="Concluída"),IF(OR($N132="",$O132="",$O132&lt;=$N132),"Concluída","Concluída com atraso"),IF($N132="","Na carteira",IF($N132&lt;TODAY(),"VENCIDA",IF($P132="Em execução","Em execução",IF($N132=TODAY(),"Hoje","Programada")))))))</f>
        <v>Hoje</v>
      </c>
      <c r="C132" s="38"/>
      <c r="D132" s="38" t="s">
        <v>124</v>
      </c>
      <c r="E132" s="38" t="s">
        <v>190</v>
      </c>
      <c r="F132" s="38" t="s">
        <v>301</v>
      </c>
      <c r="G132" s="39" t="s">
        <v>78</v>
      </c>
      <c r="H132" s="39"/>
      <c r="I132" s="40" t="s">
        <v>88</v>
      </c>
      <c r="J132" s="40" t="s">
        <v>98</v>
      </c>
      <c r="K132" s="40"/>
      <c r="L132" s="41" t="n">
        <v>46258</v>
      </c>
      <c r="M132" s="42" t="s">
        <v>92</v>
      </c>
      <c r="N132" s="43" t="n">
        <f aca="false">IF(OR($L132="",$M132=""),"",$L132+MATCH($M132,Listas!$F$5:$F$11,0)-1)</f>
        <v>46261</v>
      </c>
      <c r="O132" s="44"/>
      <c r="P132" s="39"/>
      <c r="Q132" s="44"/>
      <c r="R132" s="38"/>
      <c r="S132" s="38" t="s">
        <v>299</v>
      </c>
      <c r="T132" s="36" t="str">
        <f aca="false">IF($F132="","",IF(ISNUMBER(SEARCH("(externo)",$I132&amp;$J132&amp;$K132)),"Terceirizada","Interna"))</f>
        <v>Interna</v>
      </c>
      <c r="U132" s="43" t="n">
        <f aca="false">IF($N132="","",IF($Q132="",$N132,$Q132))</f>
        <v>46261</v>
      </c>
      <c r="V132" s="36" t="n">
        <f aca="false">IF($F132="","",IF(OR($O132="",$N132=""),0,IF($O132&lt;=$N132,1,0)))</f>
        <v>0</v>
      </c>
      <c r="W132" s="36" t="n">
        <f aca="false">IF($F132="","",IF(OR($O132="",$U132=""),0,IF($O132&lt;=$U132,1,0)))</f>
        <v>0</v>
      </c>
      <c r="X132" s="37" t="str">
        <f aca="false">IF(OR($O132="",$N132=""),"",MAX(0,$O132-$N132))</f>
        <v/>
      </c>
      <c r="Y132" s="36" t="n">
        <f aca="false">IF($F132="","",IF(AND($Q132&lt;&gt;"",$N132&lt;&gt;"",$Q132&lt;&gt;$N132),1,0))</f>
        <v>0</v>
      </c>
      <c r="Z132" s="36" t="n">
        <f aca="false">IF($F132="","",IF($P132="Cancelada",0,IF(OR($O132&lt;&gt;"",$P132="Concluída"),1,0)))</f>
        <v>0</v>
      </c>
    </row>
    <row r="133" customFormat="false" ht="16.5" hidden="false" customHeight="true" outlineLevel="0" collapsed="false">
      <c r="A133" s="36" t="n">
        <f aca="false">IF($F133="","",COUNTA($F$5:$F133))</f>
        <v>129</v>
      </c>
      <c r="B133" s="37" t="str">
        <f aca="true">IF($F133="","",IF($P133="Cancelada","Cancelada",IF(OR($O133&lt;&gt;"",$P133="Concluída"),IF(OR($N133="",$O133="",$O133&lt;=$N133),"Concluída","Concluída com atraso"),IF($N133="","Na carteira",IF($N133&lt;TODAY(),"VENCIDA",IF($P133="Em execução","Em execução",IF($N133=TODAY(),"Hoje","Programada")))))))</f>
        <v>Hoje</v>
      </c>
      <c r="C133" s="38"/>
      <c r="D133" s="38" t="s">
        <v>124</v>
      </c>
      <c r="E133" s="38" t="s">
        <v>190</v>
      </c>
      <c r="F133" s="38" t="s">
        <v>302</v>
      </c>
      <c r="G133" s="39" t="s">
        <v>78</v>
      </c>
      <c r="H133" s="39"/>
      <c r="I133" s="40" t="s">
        <v>88</v>
      </c>
      <c r="J133" s="40" t="s">
        <v>98</v>
      </c>
      <c r="K133" s="40"/>
      <c r="L133" s="41" t="n">
        <v>46258</v>
      </c>
      <c r="M133" s="42" t="s">
        <v>92</v>
      </c>
      <c r="N133" s="43" t="n">
        <f aca="false">IF(OR($L133="",$M133=""),"",$L133+MATCH($M133,Listas!$F$5:$F$11,0)-1)</f>
        <v>46261</v>
      </c>
      <c r="O133" s="44"/>
      <c r="P133" s="39"/>
      <c r="Q133" s="44"/>
      <c r="R133" s="38"/>
      <c r="S133" s="38" t="s">
        <v>299</v>
      </c>
      <c r="T133" s="36" t="str">
        <f aca="false">IF($F133="","",IF(ISNUMBER(SEARCH("(externo)",$I133&amp;$J133&amp;$K133)),"Terceirizada","Interna"))</f>
        <v>Interna</v>
      </c>
      <c r="U133" s="43" t="n">
        <f aca="false">IF($N133="","",IF($Q133="",$N133,$Q133))</f>
        <v>46261</v>
      </c>
      <c r="V133" s="36" t="n">
        <f aca="false">IF($F133="","",IF(OR($O133="",$N133=""),0,IF($O133&lt;=$N133,1,0)))</f>
        <v>0</v>
      </c>
      <c r="W133" s="36" t="n">
        <f aca="false">IF($F133="","",IF(OR($O133="",$U133=""),0,IF($O133&lt;=$U133,1,0)))</f>
        <v>0</v>
      </c>
      <c r="X133" s="37" t="str">
        <f aca="false">IF(OR($O133="",$N133=""),"",MAX(0,$O133-$N133))</f>
        <v/>
      </c>
      <c r="Y133" s="36" t="n">
        <f aca="false">IF($F133="","",IF(AND($Q133&lt;&gt;"",$N133&lt;&gt;"",$Q133&lt;&gt;$N133),1,0))</f>
        <v>0</v>
      </c>
      <c r="Z133" s="36" t="n">
        <f aca="false">IF($F133="","",IF($P133="Cancelada",0,IF(OR($O133&lt;&gt;"",$P133="Concluída"),1,0)))</f>
        <v>0</v>
      </c>
    </row>
    <row r="134" customFormat="false" ht="16.5" hidden="false" customHeight="true" outlineLevel="0" collapsed="false">
      <c r="A134" s="36" t="n">
        <f aca="false">IF($F134="","",COUNTA($F$5:$F134))</f>
        <v>130</v>
      </c>
      <c r="B134" s="37" t="str">
        <f aca="true">IF($F134="","",IF($P134="Cancelada","Cancelada",IF(OR($O134&lt;&gt;"",$P134="Concluída"),IF(OR($N134="",$O134="",$O134&lt;=$N134),"Concluída","Concluída com atraso"),IF($N134="","Na carteira",IF($N134&lt;TODAY(),"VENCIDA",IF($P134="Em execução","Em execução",IF($N134=TODAY(),"Hoje","Programada")))))))</f>
        <v>Hoje</v>
      </c>
      <c r="C134" s="38"/>
      <c r="D134" s="38" t="s">
        <v>124</v>
      </c>
      <c r="E134" s="38" t="s">
        <v>190</v>
      </c>
      <c r="F134" s="38" t="s">
        <v>303</v>
      </c>
      <c r="G134" s="39" t="s">
        <v>78</v>
      </c>
      <c r="H134" s="39"/>
      <c r="I134" s="40" t="s">
        <v>88</v>
      </c>
      <c r="J134" s="40" t="s">
        <v>98</v>
      </c>
      <c r="K134" s="40"/>
      <c r="L134" s="41" t="n">
        <v>46258</v>
      </c>
      <c r="M134" s="42" t="s">
        <v>92</v>
      </c>
      <c r="N134" s="43" t="n">
        <f aca="false">IF(OR($L134="",$M134=""),"",$L134+MATCH($M134,Listas!$F$5:$F$11,0)-1)</f>
        <v>46261</v>
      </c>
      <c r="O134" s="44"/>
      <c r="P134" s="39"/>
      <c r="Q134" s="44"/>
      <c r="R134" s="38"/>
      <c r="S134" s="38" t="s">
        <v>299</v>
      </c>
      <c r="T134" s="36" t="str">
        <f aca="false">IF($F134="","",IF(ISNUMBER(SEARCH("(externo)",$I134&amp;$J134&amp;$K134)),"Terceirizada","Interna"))</f>
        <v>Interna</v>
      </c>
      <c r="U134" s="43" t="n">
        <f aca="false">IF($N134="","",IF($Q134="",$N134,$Q134))</f>
        <v>46261</v>
      </c>
      <c r="V134" s="36" t="n">
        <f aca="false">IF($F134="","",IF(OR($O134="",$N134=""),0,IF($O134&lt;=$N134,1,0)))</f>
        <v>0</v>
      </c>
      <c r="W134" s="36" t="n">
        <f aca="false">IF($F134="","",IF(OR($O134="",$U134=""),0,IF($O134&lt;=$U134,1,0)))</f>
        <v>0</v>
      </c>
      <c r="X134" s="37" t="str">
        <f aca="false">IF(OR($O134="",$N134=""),"",MAX(0,$O134-$N134))</f>
        <v/>
      </c>
      <c r="Y134" s="36" t="n">
        <f aca="false">IF($F134="","",IF(AND($Q134&lt;&gt;"",$N134&lt;&gt;"",$Q134&lt;&gt;$N134),1,0))</f>
        <v>0</v>
      </c>
      <c r="Z134" s="36" t="n">
        <f aca="false">IF($F134="","",IF($P134="Cancelada",0,IF(OR($O134&lt;&gt;"",$P134="Concluída"),1,0)))</f>
        <v>0</v>
      </c>
    </row>
    <row r="135" customFormat="false" ht="16.5" hidden="false" customHeight="true" outlineLevel="0" collapsed="false">
      <c r="A135" s="36" t="n">
        <f aca="false">IF($F135="","",COUNTA($F$5:$F135))</f>
        <v>131</v>
      </c>
      <c r="B135" s="37" t="str">
        <f aca="true">IF($F135="","",IF($P135="Cancelada","Cancelada",IF(OR($O135&lt;&gt;"",$P135="Concluída"),IF(OR($N135="",$O135="",$O135&lt;=$N135),"Concluída","Concluída com atraso"),IF($N135="","Na carteira",IF($N135&lt;TODAY(),"VENCIDA",IF($P135="Em execução","Em execução",IF($N135=TODAY(),"Hoje","Programada")))))))</f>
        <v>Concluída</v>
      </c>
      <c r="C135" s="38"/>
      <c r="D135" s="38" t="s">
        <v>125</v>
      </c>
      <c r="E135" s="38" t="s">
        <v>304</v>
      </c>
      <c r="F135" s="38" t="s">
        <v>305</v>
      </c>
      <c r="G135" s="39" t="s">
        <v>72</v>
      </c>
      <c r="H135" s="39"/>
      <c r="I135" s="40" t="s">
        <v>106</v>
      </c>
      <c r="J135" s="40"/>
      <c r="K135" s="40"/>
      <c r="L135" s="41" t="n">
        <v>46258</v>
      </c>
      <c r="M135" s="42" t="s">
        <v>75</v>
      </c>
      <c r="N135" s="43" t="n">
        <f aca="false">IF(OR($L135="",$M135=""),"",$L135+MATCH($M135,Listas!$F$5:$F$11,0)-1)</f>
        <v>46258</v>
      </c>
      <c r="O135" s="44"/>
      <c r="P135" s="39" t="s">
        <v>73</v>
      </c>
      <c r="Q135" s="44"/>
      <c r="R135" s="38"/>
      <c r="S135" s="38"/>
      <c r="T135" s="36" t="str">
        <f aca="false">IF($F135="","",IF(ISNUMBER(SEARCH("(externo)",$I135&amp;$J135&amp;$K135)),"Terceirizada","Interna"))</f>
        <v>Interna</v>
      </c>
      <c r="U135" s="43" t="n">
        <f aca="false">IF($N135="","",IF($Q135="",$N135,$Q135))</f>
        <v>46258</v>
      </c>
      <c r="V135" s="36" t="n">
        <f aca="false">IF($F135="","",IF(OR($O135="",$N135=""),0,IF($O135&lt;=$N135,1,0)))</f>
        <v>0</v>
      </c>
      <c r="W135" s="36" t="n">
        <f aca="false">IF($F135="","",IF(OR($O135="",$U135=""),0,IF($O135&lt;=$U135,1,0)))</f>
        <v>0</v>
      </c>
      <c r="X135" s="37" t="str">
        <f aca="false">IF(OR($O135="",$N135=""),"",MAX(0,$O135-$N135))</f>
        <v/>
      </c>
      <c r="Y135" s="36" t="n">
        <f aca="false">IF($F135="","",IF(AND($Q135&lt;&gt;"",$N135&lt;&gt;"",$Q135&lt;&gt;$N135),1,0))</f>
        <v>0</v>
      </c>
      <c r="Z135" s="36" t="n">
        <f aca="false">IF($F135="","",IF($P135="Cancelada",0,IF(OR($O135&lt;&gt;"",$P135="Concluída"),1,0)))</f>
        <v>1</v>
      </c>
    </row>
    <row r="136" customFormat="false" ht="16.5" hidden="false" customHeight="true" outlineLevel="0" collapsed="false">
      <c r="A136" s="36" t="n">
        <f aca="false">IF($F136="","",COUNTA($F$5:$F136))</f>
        <v>132</v>
      </c>
      <c r="B136" s="37" t="str">
        <f aca="true">IF($F136="","",IF($P136="Cancelada","Cancelada",IF(OR($O136&lt;&gt;"",$P136="Concluída"),IF(OR($N136="",$O136="",$O136&lt;=$N136),"Concluída","Concluída com atraso"),IF($N136="","Na carteira",IF($N136&lt;TODAY(),"VENCIDA",IF($P136="Em execução","Em execução",IF($N136=TODAY(),"Hoje","Programada")))))))</f>
        <v>Concluída</v>
      </c>
      <c r="C136" s="38"/>
      <c r="D136" s="38" t="s">
        <v>125</v>
      </c>
      <c r="E136" s="38" t="s">
        <v>304</v>
      </c>
      <c r="F136" s="38" t="s">
        <v>306</v>
      </c>
      <c r="G136" s="39" t="s">
        <v>72</v>
      </c>
      <c r="H136" s="39"/>
      <c r="I136" s="40" t="s">
        <v>106</v>
      </c>
      <c r="J136" s="40"/>
      <c r="K136" s="40"/>
      <c r="L136" s="41" t="n">
        <v>46258</v>
      </c>
      <c r="M136" s="42" t="s">
        <v>75</v>
      </c>
      <c r="N136" s="43" t="n">
        <f aca="false">IF(OR($L136="",$M136=""),"",$L136+MATCH($M136,Listas!$F$5:$F$11,0)-1)</f>
        <v>46258</v>
      </c>
      <c r="O136" s="44"/>
      <c r="P136" s="39" t="s">
        <v>73</v>
      </c>
      <c r="Q136" s="44"/>
      <c r="R136" s="38"/>
      <c r="S136" s="38"/>
      <c r="T136" s="36" t="str">
        <f aca="false">IF($F136="","",IF(ISNUMBER(SEARCH("(externo)",$I136&amp;$J136&amp;$K136)),"Terceirizada","Interna"))</f>
        <v>Interna</v>
      </c>
      <c r="U136" s="43" t="n">
        <f aca="false">IF($N136="","",IF($Q136="",$N136,$Q136))</f>
        <v>46258</v>
      </c>
      <c r="V136" s="36" t="n">
        <f aca="false">IF($F136="","",IF(OR($O136="",$N136=""),0,IF($O136&lt;=$N136,1,0)))</f>
        <v>0</v>
      </c>
      <c r="W136" s="36" t="n">
        <f aca="false">IF($F136="","",IF(OR($O136="",$U136=""),0,IF($O136&lt;=$U136,1,0)))</f>
        <v>0</v>
      </c>
      <c r="X136" s="37" t="str">
        <f aca="false">IF(OR($O136="",$N136=""),"",MAX(0,$O136-$N136))</f>
        <v/>
      </c>
      <c r="Y136" s="36" t="n">
        <f aca="false">IF($F136="","",IF(AND($Q136&lt;&gt;"",$N136&lt;&gt;"",$Q136&lt;&gt;$N136),1,0))</f>
        <v>0</v>
      </c>
      <c r="Z136" s="36" t="n">
        <f aca="false">IF($F136="","",IF($P136="Cancelada",0,IF(OR($O136&lt;&gt;"",$P136="Concluída"),1,0)))</f>
        <v>1</v>
      </c>
    </row>
    <row r="137" customFormat="false" ht="16.5" hidden="false" customHeight="true" outlineLevel="0" collapsed="false">
      <c r="A137" s="36" t="n">
        <f aca="false">IF($F137="","",COUNTA($F$5:$F137))</f>
        <v>133</v>
      </c>
      <c r="B137" s="37" t="str">
        <f aca="true">IF($F137="","",IF($P137="Cancelada","Cancelada",IF(OR($O137&lt;&gt;"",$P137="Concluída"),IF(OR($N137="",$O137="",$O137&lt;=$N137),"Concluída","Concluída com atraso"),IF($N137="","Na carteira",IF($N137&lt;TODAY(),"VENCIDA",IF($P137="Em execução","Em execução",IF($N137=TODAY(),"Hoje","Programada")))))))</f>
        <v>Concluída</v>
      </c>
      <c r="C137" s="38"/>
      <c r="D137" s="38" t="s">
        <v>125</v>
      </c>
      <c r="E137" s="38" t="s">
        <v>304</v>
      </c>
      <c r="F137" s="38" t="s">
        <v>307</v>
      </c>
      <c r="G137" s="39" t="s">
        <v>72</v>
      </c>
      <c r="H137" s="39"/>
      <c r="I137" s="40" t="s">
        <v>106</v>
      </c>
      <c r="J137" s="40"/>
      <c r="K137" s="40"/>
      <c r="L137" s="41" t="n">
        <v>46258</v>
      </c>
      <c r="M137" s="42" t="s">
        <v>75</v>
      </c>
      <c r="N137" s="43" t="n">
        <f aca="false">IF(OR($L137="",$M137=""),"",$L137+MATCH($M137,Listas!$F$5:$F$11,0)-1)</f>
        <v>46258</v>
      </c>
      <c r="O137" s="44"/>
      <c r="P137" s="39" t="s">
        <v>73</v>
      </c>
      <c r="Q137" s="44"/>
      <c r="R137" s="38"/>
      <c r="S137" s="38"/>
      <c r="T137" s="36" t="str">
        <f aca="false">IF($F137="","",IF(ISNUMBER(SEARCH("(externo)",$I137&amp;$J137&amp;$K137)),"Terceirizada","Interna"))</f>
        <v>Interna</v>
      </c>
      <c r="U137" s="43" t="n">
        <f aca="false">IF($N137="","",IF($Q137="",$N137,$Q137))</f>
        <v>46258</v>
      </c>
      <c r="V137" s="36" t="n">
        <f aca="false">IF($F137="","",IF(OR($O137="",$N137=""),0,IF($O137&lt;=$N137,1,0)))</f>
        <v>0</v>
      </c>
      <c r="W137" s="36" t="n">
        <f aca="false">IF($F137="","",IF(OR($O137="",$U137=""),0,IF($O137&lt;=$U137,1,0)))</f>
        <v>0</v>
      </c>
      <c r="X137" s="37" t="str">
        <f aca="false">IF(OR($O137="",$N137=""),"",MAX(0,$O137-$N137))</f>
        <v/>
      </c>
      <c r="Y137" s="36" t="n">
        <f aca="false">IF($F137="","",IF(AND($Q137&lt;&gt;"",$N137&lt;&gt;"",$Q137&lt;&gt;$N137),1,0))</f>
        <v>0</v>
      </c>
      <c r="Z137" s="36" t="n">
        <f aca="false">IF($F137="","",IF($P137="Cancelada",0,IF(OR($O137&lt;&gt;"",$P137="Concluída"),1,0)))</f>
        <v>1</v>
      </c>
    </row>
    <row r="138" customFormat="false" ht="16.5" hidden="false" customHeight="true" outlineLevel="0" collapsed="false">
      <c r="A138" s="36" t="n">
        <f aca="false">IF($F138="","",COUNTA($F$5:$F138))</f>
        <v>134</v>
      </c>
      <c r="B138" s="37" t="str">
        <f aca="true">IF($F138="","",IF($P138="Cancelada","Cancelada",IF(OR($O138&lt;&gt;"",$P138="Concluída"),IF(OR($N138="",$O138="",$O138&lt;=$N138),"Concluída","Concluída com atraso"),IF($N138="","Na carteira",IF($N138&lt;TODAY(),"VENCIDA",IF($P138="Em execução","Em execução",IF($N138=TODAY(),"Hoje","Programada")))))))</f>
        <v>Hoje</v>
      </c>
      <c r="C138" s="38" t="s">
        <v>308</v>
      </c>
      <c r="D138" s="38" t="s">
        <v>126</v>
      </c>
      <c r="E138" s="38" t="s">
        <v>309</v>
      </c>
      <c r="F138" s="38" t="s">
        <v>309</v>
      </c>
      <c r="G138" s="39" t="s">
        <v>72</v>
      </c>
      <c r="H138" s="39"/>
      <c r="I138" s="40" t="s">
        <v>98</v>
      </c>
      <c r="J138" s="40"/>
      <c r="K138" s="40"/>
      <c r="L138" s="41" t="n">
        <v>46258</v>
      </c>
      <c r="M138" s="42" t="s">
        <v>92</v>
      </c>
      <c r="N138" s="43" t="n">
        <f aca="false">IF(OR($L138="",$M138=""),"",$L138+MATCH($M138,Listas!$F$5:$F$11,0)-1)</f>
        <v>46261</v>
      </c>
      <c r="O138" s="44"/>
      <c r="P138" s="39"/>
      <c r="Q138" s="44"/>
      <c r="R138" s="38"/>
      <c r="S138" s="38"/>
      <c r="T138" s="36" t="str">
        <f aca="false">IF($F138="","",IF(ISNUMBER(SEARCH("(externo)",$I138&amp;$J138&amp;$K138)),"Terceirizada","Interna"))</f>
        <v>Interna</v>
      </c>
      <c r="U138" s="43" t="n">
        <f aca="false">IF($N138="","",IF($Q138="",$N138,$Q138))</f>
        <v>46261</v>
      </c>
      <c r="V138" s="36" t="n">
        <f aca="false">IF($F138="","",IF(OR($O138="",$N138=""),0,IF($O138&lt;=$N138,1,0)))</f>
        <v>0</v>
      </c>
      <c r="W138" s="36" t="n">
        <f aca="false">IF($F138="","",IF(OR($O138="",$U138=""),0,IF($O138&lt;=$U138,1,0)))</f>
        <v>0</v>
      </c>
      <c r="X138" s="37" t="str">
        <f aca="false">IF(OR($O138="",$N138=""),"",MAX(0,$O138-$N138))</f>
        <v/>
      </c>
      <c r="Y138" s="36" t="n">
        <f aca="false">IF($F138="","",IF(AND($Q138&lt;&gt;"",$N138&lt;&gt;"",$Q138&lt;&gt;$N138),1,0))</f>
        <v>0</v>
      </c>
      <c r="Z138" s="36" t="n">
        <f aca="false">IF($F138="","",IF($P138="Cancelada",0,IF(OR($O138&lt;&gt;"",$P138="Concluída"),1,0)))</f>
        <v>0</v>
      </c>
    </row>
    <row r="139" customFormat="false" ht="16.5" hidden="false" customHeight="true" outlineLevel="0" collapsed="false">
      <c r="A139" s="36" t="n">
        <f aca="false">IF($F139="","",COUNTA($F$5:$F139))</f>
        <v>135</v>
      </c>
      <c r="B139" s="37" t="str">
        <f aca="true">IF($F139="","",IF($P139="Cancelada","Cancelada",IF(OR($O139&lt;&gt;"",$P139="Concluída"),IF(OR($N139="",$O139="",$O139&lt;=$N139),"Concluída","Concluída com atraso"),IF($N139="","Na carteira",IF($N139&lt;TODAY(),"VENCIDA",IF($P139="Em execução","Em execução",IF($N139=TODAY(),"Hoje","Programada")))))))</f>
        <v>Hoje</v>
      </c>
      <c r="C139" s="38" t="s">
        <v>308</v>
      </c>
      <c r="D139" s="38" t="s">
        <v>126</v>
      </c>
      <c r="E139" s="38" t="s">
        <v>309</v>
      </c>
      <c r="F139" s="38" t="s">
        <v>310</v>
      </c>
      <c r="G139" s="39" t="s">
        <v>72</v>
      </c>
      <c r="H139" s="39"/>
      <c r="I139" s="40" t="s">
        <v>98</v>
      </c>
      <c r="J139" s="40"/>
      <c r="K139" s="40"/>
      <c r="L139" s="41" t="n">
        <v>46258</v>
      </c>
      <c r="M139" s="42" t="s">
        <v>92</v>
      </c>
      <c r="N139" s="43" t="n">
        <f aca="false">IF(OR($L139="",$M139=""),"",$L139+MATCH($M139,Listas!$F$5:$F$11,0)-1)</f>
        <v>46261</v>
      </c>
      <c r="O139" s="44"/>
      <c r="P139" s="39"/>
      <c r="Q139" s="44"/>
      <c r="R139" s="38"/>
      <c r="S139" s="38"/>
      <c r="T139" s="36" t="str">
        <f aca="false">IF($F139="","",IF(ISNUMBER(SEARCH("(externo)",$I139&amp;$J139&amp;$K139)),"Terceirizada","Interna"))</f>
        <v>Interna</v>
      </c>
      <c r="U139" s="43" t="n">
        <f aca="false">IF($N139="","",IF($Q139="",$N139,$Q139))</f>
        <v>46261</v>
      </c>
      <c r="V139" s="36" t="n">
        <f aca="false">IF($F139="","",IF(OR($O139="",$N139=""),0,IF($O139&lt;=$N139,1,0)))</f>
        <v>0</v>
      </c>
      <c r="W139" s="36" t="n">
        <f aca="false">IF($F139="","",IF(OR($O139="",$U139=""),0,IF($O139&lt;=$U139,1,0)))</f>
        <v>0</v>
      </c>
      <c r="X139" s="37" t="str">
        <f aca="false">IF(OR($O139="",$N139=""),"",MAX(0,$O139-$N139))</f>
        <v/>
      </c>
      <c r="Y139" s="36" t="n">
        <f aca="false">IF($F139="","",IF(AND($Q139&lt;&gt;"",$N139&lt;&gt;"",$Q139&lt;&gt;$N139),1,0))</f>
        <v>0</v>
      </c>
      <c r="Z139" s="36" t="n">
        <f aca="false">IF($F139="","",IF($P139="Cancelada",0,IF(OR($O139&lt;&gt;"",$P139="Concluída"),1,0)))</f>
        <v>0</v>
      </c>
    </row>
    <row r="140" customFormat="false" ht="16.5" hidden="false" customHeight="true" outlineLevel="0" collapsed="false">
      <c r="A140" s="36" t="n">
        <f aca="false">IF($F140="","",COUNTA($F$5:$F140))</f>
        <v>136</v>
      </c>
      <c r="B140" s="37" t="str">
        <f aca="true">IF($F140="","",IF($P140="Cancelada","Cancelada",IF(OR($O140&lt;&gt;"",$P140="Concluída"),IF(OR($N140="",$O140="",$O140&lt;=$N140),"Concluída","Concluída com atraso"),IF($N140="","Na carteira",IF($N140&lt;TODAY(),"VENCIDA",IF($P140="Em execução","Em execução",IF($N140=TODAY(),"Hoje","Programada")))))))</f>
        <v>Hoje</v>
      </c>
      <c r="C140" s="38" t="s">
        <v>308</v>
      </c>
      <c r="D140" s="38" t="s">
        <v>126</v>
      </c>
      <c r="E140" s="38" t="s">
        <v>309</v>
      </c>
      <c r="F140" s="38" t="s">
        <v>311</v>
      </c>
      <c r="G140" s="39" t="s">
        <v>72</v>
      </c>
      <c r="H140" s="39"/>
      <c r="I140" s="40" t="s">
        <v>98</v>
      </c>
      <c r="J140" s="40"/>
      <c r="K140" s="40"/>
      <c r="L140" s="41" t="n">
        <v>46258</v>
      </c>
      <c r="M140" s="42" t="s">
        <v>92</v>
      </c>
      <c r="N140" s="43" t="n">
        <f aca="false">IF(OR($L140="",$M140=""),"",$L140+MATCH($M140,Listas!$F$5:$F$11,0)-1)</f>
        <v>46261</v>
      </c>
      <c r="O140" s="44"/>
      <c r="P140" s="39"/>
      <c r="Q140" s="44"/>
      <c r="R140" s="38"/>
      <c r="S140" s="38"/>
      <c r="T140" s="36" t="str">
        <f aca="false">IF($F140="","",IF(ISNUMBER(SEARCH("(externo)",$I140&amp;$J140&amp;$K140)),"Terceirizada","Interna"))</f>
        <v>Interna</v>
      </c>
      <c r="U140" s="43" t="n">
        <f aca="false">IF($N140="","",IF($Q140="",$N140,$Q140))</f>
        <v>46261</v>
      </c>
      <c r="V140" s="36" t="n">
        <f aca="false">IF($F140="","",IF(OR($O140="",$N140=""),0,IF($O140&lt;=$N140,1,0)))</f>
        <v>0</v>
      </c>
      <c r="W140" s="36" t="n">
        <f aca="false">IF($F140="","",IF(OR($O140="",$U140=""),0,IF($O140&lt;=$U140,1,0)))</f>
        <v>0</v>
      </c>
      <c r="X140" s="37" t="str">
        <f aca="false">IF(OR($O140="",$N140=""),"",MAX(0,$O140-$N140))</f>
        <v/>
      </c>
      <c r="Y140" s="36" t="n">
        <f aca="false">IF($F140="","",IF(AND($Q140&lt;&gt;"",$N140&lt;&gt;"",$Q140&lt;&gt;$N140),1,0))</f>
        <v>0</v>
      </c>
      <c r="Z140" s="36" t="n">
        <f aca="false">IF($F140="","",IF($P140="Cancelada",0,IF(OR($O140&lt;&gt;"",$P140="Concluída"),1,0)))</f>
        <v>0</v>
      </c>
    </row>
    <row r="141" customFormat="false" ht="16.5" hidden="false" customHeight="true" outlineLevel="0" collapsed="false">
      <c r="A141" s="36" t="n">
        <f aca="false">IF($F141="","",COUNTA($F$5:$F141))</f>
        <v>137</v>
      </c>
      <c r="B141" s="37" t="str">
        <f aca="true">IF($F141="","",IF($P141="Cancelada","Cancelada",IF(OR($O141&lt;&gt;"",$P141="Concluída"),IF(OR($N141="",$O141="",$O141&lt;=$N141),"Concluída","Concluída com atraso"),IF($N141="","Na carteira",IF($N141&lt;TODAY(),"VENCIDA",IF($P141="Em execução","Em execução",IF($N141=TODAY(),"Hoje","Programada")))))))</f>
        <v>VENCIDA</v>
      </c>
      <c r="C141" s="38" t="s">
        <v>312</v>
      </c>
      <c r="D141" s="38" t="s">
        <v>127</v>
      </c>
      <c r="E141" s="38" t="s">
        <v>313</v>
      </c>
      <c r="F141" s="38" t="s">
        <v>314</v>
      </c>
      <c r="G141" s="39" t="s">
        <v>72</v>
      </c>
      <c r="H141" s="39"/>
      <c r="I141" s="40" t="s">
        <v>109</v>
      </c>
      <c r="J141" s="40"/>
      <c r="K141" s="40"/>
      <c r="L141" s="41" t="n">
        <v>46258</v>
      </c>
      <c r="M141" s="42" t="s">
        <v>87</v>
      </c>
      <c r="N141" s="43" t="n">
        <f aca="false">IF(OR($L141="",$M141=""),"",$L141+MATCH($M141,Listas!$F$5:$F$11,0)-1)</f>
        <v>46260</v>
      </c>
      <c r="O141" s="44"/>
      <c r="P141" s="39" t="s">
        <v>79</v>
      </c>
      <c r="Q141" s="44"/>
      <c r="R141" s="38"/>
      <c r="S141" s="38"/>
      <c r="T141" s="36" t="str">
        <f aca="false">IF($F141="","",IF(ISNUMBER(SEARCH("(externo)",$I141&amp;$J141&amp;$K141)),"Terceirizada","Interna"))</f>
        <v>Terceirizada</v>
      </c>
      <c r="U141" s="43" t="n">
        <f aca="false">IF($N141="","",IF($Q141="",$N141,$Q141))</f>
        <v>46260</v>
      </c>
      <c r="V141" s="36" t="n">
        <f aca="false">IF($F141="","",IF(OR($O141="",$N141=""),0,IF($O141&lt;=$N141,1,0)))</f>
        <v>0</v>
      </c>
      <c r="W141" s="36" t="n">
        <f aca="false">IF($F141="","",IF(OR($O141="",$U141=""),0,IF($O141&lt;=$U141,1,0)))</f>
        <v>0</v>
      </c>
      <c r="X141" s="37" t="str">
        <f aca="false">IF(OR($O141="",$N141=""),"",MAX(0,$O141-$N141))</f>
        <v/>
      </c>
      <c r="Y141" s="36" t="n">
        <f aca="false">IF($F141="","",IF(AND($Q141&lt;&gt;"",$N141&lt;&gt;"",$Q141&lt;&gt;$N141),1,0))</f>
        <v>0</v>
      </c>
      <c r="Z141" s="36" t="n">
        <f aca="false">IF($F141="","",IF($P141="Cancelada",0,IF(OR($O141&lt;&gt;"",$P141="Concluída"),1,0)))</f>
        <v>0</v>
      </c>
    </row>
    <row r="142" customFormat="false" ht="16.5" hidden="false" customHeight="true" outlineLevel="0" collapsed="false">
      <c r="A142" s="36" t="n">
        <f aca="false">IF($F142="","",COUNTA($F$5:$F142))</f>
        <v>138</v>
      </c>
      <c r="B142" s="37" t="str">
        <f aca="true">IF($F142="","",IF($P142="Cancelada","Cancelada",IF(OR($O142&lt;&gt;"",$P142="Concluída"),IF(OR($N142="",$O142="",$O142&lt;=$N142),"Concluída","Concluída com atraso"),IF($N142="","Na carteira",IF($N142&lt;TODAY(),"VENCIDA",IF($P142="Em execução","Em execução",IF($N142=TODAY(),"Hoje","Programada")))))))</f>
        <v>VENCIDA</v>
      </c>
      <c r="C142" s="38" t="s">
        <v>312</v>
      </c>
      <c r="D142" s="38" t="s">
        <v>127</v>
      </c>
      <c r="E142" s="38" t="s">
        <v>313</v>
      </c>
      <c r="F142" s="38" t="s">
        <v>315</v>
      </c>
      <c r="G142" s="39" t="s">
        <v>72</v>
      </c>
      <c r="H142" s="39"/>
      <c r="I142" s="40" t="s">
        <v>109</v>
      </c>
      <c r="J142" s="40"/>
      <c r="K142" s="40"/>
      <c r="L142" s="41" t="n">
        <v>46258</v>
      </c>
      <c r="M142" s="42" t="s">
        <v>87</v>
      </c>
      <c r="N142" s="43" t="n">
        <f aca="false">IF(OR($L142="",$M142=""),"",$L142+MATCH($M142,Listas!$F$5:$F$11,0)-1)</f>
        <v>46260</v>
      </c>
      <c r="O142" s="44"/>
      <c r="P142" s="39" t="s">
        <v>79</v>
      </c>
      <c r="Q142" s="44"/>
      <c r="R142" s="38"/>
      <c r="S142" s="38"/>
      <c r="T142" s="36" t="str">
        <f aca="false">IF($F142="","",IF(ISNUMBER(SEARCH("(externo)",$I142&amp;$J142&amp;$K142)),"Terceirizada","Interna"))</f>
        <v>Terceirizada</v>
      </c>
      <c r="U142" s="43" t="n">
        <f aca="false">IF($N142="","",IF($Q142="",$N142,$Q142))</f>
        <v>46260</v>
      </c>
      <c r="V142" s="36" t="n">
        <f aca="false">IF($F142="","",IF(OR($O142="",$N142=""),0,IF($O142&lt;=$N142,1,0)))</f>
        <v>0</v>
      </c>
      <c r="W142" s="36" t="n">
        <f aca="false">IF($F142="","",IF(OR($O142="",$U142=""),0,IF($O142&lt;=$U142,1,0)))</f>
        <v>0</v>
      </c>
      <c r="X142" s="37" t="str">
        <f aca="false">IF(OR($O142="",$N142=""),"",MAX(0,$O142-$N142))</f>
        <v/>
      </c>
      <c r="Y142" s="36" t="n">
        <f aca="false">IF($F142="","",IF(AND($Q142&lt;&gt;"",$N142&lt;&gt;"",$Q142&lt;&gt;$N142),1,0))</f>
        <v>0</v>
      </c>
      <c r="Z142" s="36" t="n">
        <f aca="false">IF($F142="","",IF($P142="Cancelada",0,IF(OR($O142&lt;&gt;"",$P142="Concluída"),1,0)))</f>
        <v>0</v>
      </c>
    </row>
    <row r="143" customFormat="false" ht="16.5" hidden="false" customHeight="true" outlineLevel="0" collapsed="false">
      <c r="A143" s="36" t="n">
        <f aca="false">IF($F143="","",COUNTA($F$5:$F143))</f>
        <v>139</v>
      </c>
      <c r="B143" s="37" t="str">
        <f aca="true">IF($F143="","",IF($P143="Cancelada","Cancelada",IF(OR($O143&lt;&gt;"",$P143="Concluída"),IF(OR($N143="",$O143="",$O143&lt;=$N143),"Concluída","Concluída com atraso"),IF($N143="","Na carteira",IF($N143&lt;TODAY(),"VENCIDA",IF($P143="Em execução","Em execução",IF($N143=TODAY(),"Hoje","Programada")))))))</f>
        <v>VENCIDA</v>
      </c>
      <c r="C143" s="38" t="s">
        <v>312</v>
      </c>
      <c r="D143" s="38" t="s">
        <v>127</v>
      </c>
      <c r="E143" s="38" t="s">
        <v>313</v>
      </c>
      <c r="F143" s="38" t="s">
        <v>316</v>
      </c>
      <c r="G143" s="39" t="s">
        <v>72</v>
      </c>
      <c r="H143" s="39"/>
      <c r="I143" s="40" t="s">
        <v>109</v>
      </c>
      <c r="J143" s="40"/>
      <c r="K143" s="40"/>
      <c r="L143" s="41" t="n">
        <v>46258</v>
      </c>
      <c r="M143" s="42" t="s">
        <v>87</v>
      </c>
      <c r="N143" s="43" t="n">
        <f aca="false">IF(OR($L143="",$M143=""),"",$L143+MATCH($M143,Listas!$F$5:$F$11,0)-1)</f>
        <v>46260</v>
      </c>
      <c r="O143" s="44"/>
      <c r="P143" s="39" t="s">
        <v>79</v>
      </c>
      <c r="Q143" s="44"/>
      <c r="R143" s="38"/>
      <c r="S143" s="38"/>
      <c r="T143" s="36" t="str">
        <f aca="false">IF($F143="","",IF(ISNUMBER(SEARCH("(externo)",$I143&amp;$J143&amp;$K143)),"Terceirizada","Interna"))</f>
        <v>Terceirizada</v>
      </c>
      <c r="U143" s="43" t="n">
        <f aca="false">IF($N143="","",IF($Q143="",$N143,$Q143))</f>
        <v>46260</v>
      </c>
      <c r="V143" s="36" t="n">
        <f aca="false">IF($F143="","",IF(OR($O143="",$N143=""),0,IF($O143&lt;=$N143,1,0)))</f>
        <v>0</v>
      </c>
      <c r="W143" s="36" t="n">
        <f aca="false">IF($F143="","",IF(OR($O143="",$U143=""),0,IF($O143&lt;=$U143,1,0)))</f>
        <v>0</v>
      </c>
      <c r="X143" s="37" t="str">
        <f aca="false">IF(OR($O143="",$N143=""),"",MAX(0,$O143-$N143))</f>
        <v/>
      </c>
      <c r="Y143" s="36" t="n">
        <f aca="false">IF($F143="","",IF(AND($Q143&lt;&gt;"",$N143&lt;&gt;"",$Q143&lt;&gt;$N143),1,0))</f>
        <v>0</v>
      </c>
      <c r="Z143" s="36" t="n">
        <f aca="false">IF($F143="","",IF($P143="Cancelada",0,IF(OR($O143&lt;&gt;"",$P143="Concluída"),1,0)))</f>
        <v>0</v>
      </c>
    </row>
    <row r="144" customFormat="false" ht="16.5" hidden="false" customHeight="true" outlineLevel="0" collapsed="false">
      <c r="A144" s="36" t="n">
        <f aca="false">IF($F144="","",COUNTA($F$5:$F144))</f>
        <v>140</v>
      </c>
      <c r="B144" s="37" t="str">
        <f aca="true">IF($F144="","",IF($P144="Cancelada","Cancelada",IF(OR($O144&lt;&gt;"",$P144="Concluída"),IF(OR($N144="",$O144="",$O144&lt;=$N144),"Concluída","Concluída com atraso"),IF($N144="","Na carteira",IF($N144&lt;TODAY(),"VENCIDA",IF($P144="Em execução","Em execução",IF($N144=TODAY(),"Hoje","Programada")))))))</f>
        <v>VENCIDA</v>
      </c>
      <c r="C144" s="38" t="s">
        <v>312</v>
      </c>
      <c r="D144" s="38" t="s">
        <v>127</v>
      </c>
      <c r="E144" s="38" t="s">
        <v>313</v>
      </c>
      <c r="F144" s="38" t="s">
        <v>317</v>
      </c>
      <c r="G144" s="39" t="s">
        <v>72</v>
      </c>
      <c r="H144" s="39"/>
      <c r="I144" s="40" t="s">
        <v>109</v>
      </c>
      <c r="J144" s="40"/>
      <c r="K144" s="40"/>
      <c r="L144" s="41" t="n">
        <v>46258</v>
      </c>
      <c r="M144" s="42" t="s">
        <v>87</v>
      </c>
      <c r="N144" s="43" t="n">
        <f aca="false">IF(OR($L144="",$M144=""),"",$L144+MATCH($M144,Listas!$F$5:$F$11,0)-1)</f>
        <v>46260</v>
      </c>
      <c r="O144" s="44"/>
      <c r="P144" s="39" t="s">
        <v>79</v>
      </c>
      <c r="Q144" s="44"/>
      <c r="R144" s="38"/>
      <c r="S144" s="38"/>
      <c r="T144" s="36" t="str">
        <f aca="false">IF($F144="","",IF(ISNUMBER(SEARCH("(externo)",$I144&amp;$J144&amp;$K144)),"Terceirizada","Interna"))</f>
        <v>Terceirizada</v>
      </c>
      <c r="U144" s="43" t="n">
        <f aca="false">IF($N144="","",IF($Q144="",$N144,$Q144))</f>
        <v>46260</v>
      </c>
      <c r="V144" s="36" t="n">
        <f aca="false">IF($F144="","",IF(OR($O144="",$N144=""),0,IF($O144&lt;=$N144,1,0)))</f>
        <v>0</v>
      </c>
      <c r="W144" s="36" t="n">
        <f aca="false">IF($F144="","",IF(OR($O144="",$U144=""),0,IF($O144&lt;=$U144,1,0)))</f>
        <v>0</v>
      </c>
      <c r="X144" s="37" t="str">
        <f aca="false">IF(OR($O144="",$N144=""),"",MAX(0,$O144-$N144))</f>
        <v/>
      </c>
      <c r="Y144" s="36" t="n">
        <f aca="false">IF($F144="","",IF(AND($Q144&lt;&gt;"",$N144&lt;&gt;"",$Q144&lt;&gt;$N144),1,0))</f>
        <v>0</v>
      </c>
      <c r="Z144" s="36" t="n">
        <f aca="false">IF($F144="","",IF($P144="Cancelada",0,IF(OR($O144&lt;&gt;"",$P144="Concluída"),1,0)))</f>
        <v>0</v>
      </c>
    </row>
    <row r="145" customFormat="false" ht="16.5" hidden="false" customHeight="true" outlineLevel="0" collapsed="false">
      <c r="A145" s="36" t="n">
        <f aca="false">IF($F145="","",COUNTA($F$5:$F145))</f>
        <v>141</v>
      </c>
      <c r="B145" s="37" t="str">
        <f aca="true">IF($F145="","",IF($P145="Cancelada","Cancelada",IF(OR($O145&lt;&gt;"",$P145="Concluída"),IF(OR($N145="",$O145="",$O145&lt;=$N145),"Concluída","Concluída com atraso"),IF($N145="","Na carteira",IF($N145&lt;TODAY(),"VENCIDA",IF($P145="Em execução","Em execução",IF($N145=TODAY(),"Hoje","Programada")))))))</f>
        <v>VENCIDA</v>
      </c>
      <c r="C145" s="38" t="s">
        <v>312</v>
      </c>
      <c r="D145" s="38" t="s">
        <v>127</v>
      </c>
      <c r="E145" s="38" t="s">
        <v>313</v>
      </c>
      <c r="F145" s="38" t="s">
        <v>318</v>
      </c>
      <c r="G145" s="39" t="s">
        <v>72</v>
      </c>
      <c r="H145" s="39"/>
      <c r="I145" s="40" t="s">
        <v>109</v>
      </c>
      <c r="J145" s="40"/>
      <c r="K145" s="40"/>
      <c r="L145" s="41" t="n">
        <v>46258</v>
      </c>
      <c r="M145" s="42" t="s">
        <v>87</v>
      </c>
      <c r="N145" s="43" t="n">
        <f aca="false">IF(OR($L145="",$M145=""),"",$L145+MATCH($M145,Listas!$F$5:$F$11,0)-1)</f>
        <v>46260</v>
      </c>
      <c r="O145" s="44"/>
      <c r="P145" s="39" t="s">
        <v>79</v>
      </c>
      <c r="Q145" s="44"/>
      <c r="R145" s="38"/>
      <c r="S145" s="38"/>
      <c r="T145" s="36" t="str">
        <f aca="false">IF($F145="","",IF(ISNUMBER(SEARCH("(externo)",$I145&amp;$J145&amp;$K145)),"Terceirizada","Interna"))</f>
        <v>Terceirizada</v>
      </c>
      <c r="U145" s="43" t="n">
        <f aca="false">IF($N145="","",IF($Q145="",$N145,$Q145))</f>
        <v>46260</v>
      </c>
      <c r="V145" s="36" t="n">
        <f aca="false">IF($F145="","",IF(OR($O145="",$N145=""),0,IF($O145&lt;=$N145,1,0)))</f>
        <v>0</v>
      </c>
      <c r="W145" s="36" t="n">
        <f aca="false">IF($F145="","",IF(OR($O145="",$U145=""),0,IF($O145&lt;=$U145,1,0)))</f>
        <v>0</v>
      </c>
      <c r="X145" s="37" t="str">
        <f aca="false">IF(OR($O145="",$N145=""),"",MAX(0,$O145-$N145))</f>
        <v/>
      </c>
      <c r="Y145" s="36" t="n">
        <f aca="false">IF($F145="","",IF(AND($Q145&lt;&gt;"",$N145&lt;&gt;"",$Q145&lt;&gt;$N145),1,0))</f>
        <v>0</v>
      </c>
      <c r="Z145" s="36" t="n">
        <f aca="false">IF($F145="","",IF($P145="Cancelada",0,IF(OR($O145&lt;&gt;"",$P145="Concluída"),1,0)))</f>
        <v>0</v>
      </c>
    </row>
    <row r="146" customFormat="false" ht="16.5" hidden="false" customHeight="true" outlineLevel="0" collapsed="false">
      <c r="A146" s="36" t="n">
        <f aca="false">IF($F146="","",COUNTA($F$5:$F146))</f>
        <v>142</v>
      </c>
      <c r="B146" s="37" t="str">
        <f aca="true">IF($F146="","",IF($P146="Cancelada","Cancelada",IF(OR($O146&lt;&gt;"",$P146="Concluída"),IF(OR($N146="",$O146="",$O146&lt;=$N146),"Concluída","Concluída com atraso"),IF($N146="","Na carteira",IF($N146&lt;TODAY(),"VENCIDA",IF($P146="Em execução","Em execução",IF($N146=TODAY(),"Hoje","Programada")))))))</f>
        <v>VENCIDA</v>
      </c>
      <c r="C146" s="38" t="s">
        <v>312</v>
      </c>
      <c r="D146" s="38" t="s">
        <v>127</v>
      </c>
      <c r="E146" s="38" t="s">
        <v>313</v>
      </c>
      <c r="F146" s="38" t="s">
        <v>319</v>
      </c>
      <c r="G146" s="39" t="s">
        <v>72</v>
      </c>
      <c r="H146" s="39"/>
      <c r="I146" s="40" t="s">
        <v>109</v>
      </c>
      <c r="J146" s="40"/>
      <c r="K146" s="40"/>
      <c r="L146" s="41" t="n">
        <v>46258</v>
      </c>
      <c r="M146" s="42" t="s">
        <v>87</v>
      </c>
      <c r="N146" s="43" t="n">
        <f aca="false">IF(OR($L146="",$M146=""),"",$L146+MATCH($M146,Listas!$F$5:$F$11,0)-1)</f>
        <v>46260</v>
      </c>
      <c r="O146" s="44"/>
      <c r="P146" s="39" t="s">
        <v>79</v>
      </c>
      <c r="Q146" s="44"/>
      <c r="R146" s="38"/>
      <c r="S146" s="38"/>
      <c r="T146" s="36" t="str">
        <f aca="false">IF($F146="","",IF(ISNUMBER(SEARCH("(externo)",$I146&amp;$J146&amp;$K146)),"Terceirizada","Interna"))</f>
        <v>Terceirizada</v>
      </c>
      <c r="U146" s="43" t="n">
        <f aca="false">IF($N146="","",IF($Q146="",$N146,$Q146))</f>
        <v>46260</v>
      </c>
      <c r="V146" s="36" t="n">
        <f aca="false">IF($F146="","",IF(OR($O146="",$N146=""),0,IF($O146&lt;=$N146,1,0)))</f>
        <v>0</v>
      </c>
      <c r="W146" s="36" t="n">
        <f aca="false">IF($F146="","",IF(OR($O146="",$U146=""),0,IF($O146&lt;=$U146,1,0)))</f>
        <v>0</v>
      </c>
      <c r="X146" s="37" t="str">
        <f aca="false">IF(OR($O146="",$N146=""),"",MAX(0,$O146-$N146))</f>
        <v/>
      </c>
      <c r="Y146" s="36" t="n">
        <f aca="false">IF($F146="","",IF(AND($Q146&lt;&gt;"",$N146&lt;&gt;"",$Q146&lt;&gt;$N146),1,0))</f>
        <v>0</v>
      </c>
      <c r="Z146" s="36" t="n">
        <f aca="false">IF($F146="","",IF($P146="Cancelada",0,IF(OR($O146&lt;&gt;"",$P146="Concluída"),1,0)))</f>
        <v>0</v>
      </c>
    </row>
    <row r="147" customFormat="false" ht="16.5" hidden="false" customHeight="true" outlineLevel="0" collapsed="false">
      <c r="A147" s="36" t="n">
        <f aca="false">IF($F147="","",COUNTA($F$5:$F147))</f>
        <v>143</v>
      </c>
      <c r="B147" s="37" t="str">
        <f aca="true">IF($F147="","",IF($P147="Cancelada","Cancelada",IF(OR($O147&lt;&gt;"",$P147="Concluída"),IF(OR($N147="",$O147="",$O147&lt;=$N147),"Concluída","Concluída com atraso"),IF($N147="","Na carteira",IF($N147&lt;TODAY(),"VENCIDA",IF($P147="Em execução","Em execução",IF($N147=TODAY(),"Hoje","Programada")))))))</f>
        <v>VENCIDA</v>
      </c>
      <c r="C147" s="38" t="s">
        <v>312</v>
      </c>
      <c r="D147" s="38" t="s">
        <v>127</v>
      </c>
      <c r="E147" s="38" t="s">
        <v>313</v>
      </c>
      <c r="F147" s="38" t="s">
        <v>320</v>
      </c>
      <c r="G147" s="39" t="s">
        <v>72</v>
      </c>
      <c r="H147" s="39"/>
      <c r="I147" s="40" t="s">
        <v>109</v>
      </c>
      <c r="J147" s="40"/>
      <c r="K147" s="40"/>
      <c r="L147" s="41" t="n">
        <v>46258</v>
      </c>
      <c r="M147" s="42" t="s">
        <v>87</v>
      </c>
      <c r="N147" s="43" t="n">
        <f aca="false">IF(OR($L147="",$M147=""),"",$L147+MATCH($M147,Listas!$F$5:$F$11,0)-1)</f>
        <v>46260</v>
      </c>
      <c r="O147" s="44"/>
      <c r="P147" s="39" t="s">
        <v>79</v>
      </c>
      <c r="Q147" s="44"/>
      <c r="R147" s="38"/>
      <c r="S147" s="38"/>
      <c r="T147" s="36" t="str">
        <f aca="false">IF($F147="","",IF(ISNUMBER(SEARCH("(externo)",$I147&amp;$J147&amp;$K147)),"Terceirizada","Interna"))</f>
        <v>Terceirizada</v>
      </c>
      <c r="U147" s="43" t="n">
        <f aca="false">IF($N147="","",IF($Q147="",$N147,$Q147))</f>
        <v>46260</v>
      </c>
      <c r="V147" s="36" t="n">
        <f aca="false">IF($F147="","",IF(OR($O147="",$N147=""),0,IF($O147&lt;=$N147,1,0)))</f>
        <v>0</v>
      </c>
      <c r="W147" s="36" t="n">
        <f aca="false">IF($F147="","",IF(OR($O147="",$U147=""),0,IF($O147&lt;=$U147,1,0)))</f>
        <v>0</v>
      </c>
      <c r="X147" s="37" t="str">
        <f aca="false">IF(OR($O147="",$N147=""),"",MAX(0,$O147-$N147))</f>
        <v/>
      </c>
      <c r="Y147" s="36" t="n">
        <f aca="false">IF($F147="","",IF(AND($Q147&lt;&gt;"",$N147&lt;&gt;"",$Q147&lt;&gt;$N147),1,0))</f>
        <v>0</v>
      </c>
      <c r="Z147" s="36" t="n">
        <f aca="false">IF($F147="","",IF($P147="Cancelada",0,IF(OR($O147&lt;&gt;"",$P147="Concluída"),1,0)))</f>
        <v>0</v>
      </c>
    </row>
    <row r="148" customFormat="false" ht="16.5" hidden="false" customHeight="true" outlineLevel="0" collapsed="false">
      <c r="A148" s="36" t="n">
        <f aca="false">IF($F148="","",COUNTA($F$5:$F148))</f>
        <v>144</v>
      </c>
      <c r="B148" s="37" t="str">
        <f aca="true">IF($F148="","",IF($P148="Cancelada","Cancelada",IF(OR($O148&lt;&gt;"",$P148="Concluída"),IF(OR($N148="",$O148="",$O148&lt;=$N148),"Concluída","Concluída com atraso"),IF($N148="","Na carteira",IF($N148&lt;TODAY(),"VENCIDA",IF($P148="Em execução","Em execução",IF($N148=TODAY(),"Hoje","Programada")))))))</f>
        <v>VENCIDA</v>
      </c>
      <c r="C148" s="38" t="s">
        <v>312</v>
      </c>
      <c r="D148" s="38" t="s">
        <v>127</v>
      </c>
      <c r="E148" s="38" t="s">
        <v>313</v>
      </c>
      <c r="F148" s="38" t="s">
        <v>321</v>
      </c>
      <c r="G148" s="39" t="s">
        <v>72</v>
      </c>
      <c r="H148" s="39"/>
      <c r="I148" s="40" t="s">
        <v>109</v>
      </c>
      <c r="J148" s="40"/>
      <c r="K148" s="40"/>
      <c r="L148" s="41" t="n">
        <v>46258</v>
      </c>
      <c r="M148" s="42" t="s">
        <v>87</v>
      </c>
      <c r="N148" s="43" t="n">
        <f aca="false">IF(OR($L148="",$M148=""),"",$L148+MATCH($M148,Listas!$F$5:$F$11,0)-1)</f>
        <v>46260</v>
      </c>
      <c r="O148" s="44"/>
      <c r="P148" s="39" t="s">
        <v>79</v>
      </c>
      <c r="Q148" s="44"/>
      <c r="R148" s="38"/>
      <c r="S148" s="38"/>
      <c r="T148" s="36" t="str">
        <f aca="false">IF($F148="","",IF(ISNUMBER(SEARCH("(externo)",$I148&amp;$J148&amp;$K148)),"Terceirizada","Interna"))</f>
        <v>Terceirizada</v>
      </c>
      <c r="U148" s="43" t="n">
        <f aca="false">IF($N148="","",IF($Q148="",$N148,$Q148))</f>
        <v>46260</v>
      </c>
      <c r="V148" s="36" t="n">
        <f aca="false">IF($F148="","",IF(OR($O148="",$N148=""),0,IF($O148&lt;=$N148,1,0)))</f>
        <v>0</v>
      </c>
      <c r="W148" s="36" t="n">
        <f aca="false">IF($F148="","",IF(OR($O148="",$U148=""),0,IF($O148&lt;=$U148,1,0)))</f>
        <v>0</v>
      </c>
      <c r="X148" s="37" t="str">
        <f aca="false">IF(OR($O148="",$N148=""),"",MAX(0,$O148-$N148))</f>
        <v/>
      </c>
      <c r="Y148" s="36" t="n">
        <f aca="false">IF($F148="","",IF(AND($Q148&lt;&gt;"",$N148&lt;&gt;"",$Q148&lt;&gt;$N148),1,0))</f>
        <v>0</v>
      </c>
      <c r="Z148" s="36" t="n">
        <f aca="false">IF($F148="","",IF($P148="Cancelada",0,IF(OR($O148&lt;&gt;"",$P148="Concluída"),1,0)))</f>
        <v>0</v>
      </c>
    </row>
    <row r="149" customFormat="false" ht="16.5" hidden="false" customHeight="true" outlineLevel="0" collapsed="false">
      <c r="A149" s="36" t="n">
        <f aca="false">IF($F149="","",COUNTA($F$5:$F149))</f>
        <v>145</v>
      </c>
      <c r="B149" s="37" t="str">
        <f aca="true">IF($F149="","",IF($P149="Cancelada","Cancelada",IF(OR($O149&lt;&gt;"",$P149="Concluída"),IF(OR($N149="",$O149="",$O149&lt;=$N149),"Concluída","Concluída com atraso"),IF($N149="","Na carteira",IF($N149&lt;TODAY(),"VENCIDA",IF($P149="Em execução","Em execução",IF($N149=TODAY(),"Hoje","Programada")))))))</f>
        <v>VENCIDA</v>
      </c>
      <c r="C149" s="38" t="s">
        <v>312</v>
      </c>
      <c r="D149" s="38" t="s">
        <v>127</v>
      </c>
      <c r="E149" s="38" t="s">
        <v>313</v>
      </c>
      <c r="F149" s="38" t="s">
        <v>322</v>
      </c>
      <c r="G149" s="39" t="s">
        <v>72</v>
      </c>
      <c r="H149" s="39"/>
      <c r="I149" s="40" t="s">
        <v>109</v>
      </c>
      <c r="J149" s="40"/>
      <c r="K149" s="40"/>
      <c r="L149" s="41" t="n">
        <v>46258</v>
      </c>
      <c r="M149" s="42" t="s">
        <v>87</v>
      </c>
      <c r="N149" s="43" t="n">
        <f aca="false">IF(OR($L149="",$M149=""),"",$L149+MATCH($M149,Listas!$F$5:$F$11,0)-1)</f>
        <v>46260</v>
      </c>
      <c r="O149" s="44"/>
      <c r="P149" s="39" t="s">
        <v>79</v>
      </c>
      <c r="Q149" s="44"/>
      <c r="R149" s="38"/>
      <c r="S149" s="38"/>
      <c r="T149" s="36" t="str">
        <f aca="false">IF($F149="","",IF(ISNUMBER(SEARCH("(externo)",$I149&amp;$J149&amp;$K149)),"Terceirizada","Interna"))</f>
        <v>Terceirizada</v>
      </c>
      <c r="U149" s="43" t="n">
        <f aca="false">IF($N149="","",IF($Q149="",$N149,$Q149))</f>
        <v>46260</v>
      </c>
      <c r="V149" s="36" t="n">
        <f aca="false">IF($F149="","",IF(OR($O149="",$N149=""),0,IF($O149&lt;=$N149,1,0)))</f>
        <v>0</v>
      </c>
      <c r="W149" s="36" t="n">
        <f aca="false">IF($F149="","",IF(OR($O149="",$U149=""),0,IF($O149&lt;=$U149,1,0)))</f>
        <v>0</v>
      </c>
      <c r="X149" s="37" t="str">
        <f aca="false">IF(OR($O149="",$N149=""),"",MAX(0,$O149-$N149))</f>
        <v/>
      </c>
      <c r="Y149" s="36" t="n">
        <f aca="false">IF($F149="","",IF(AND($Q149&lt;&gt;"",$N149&lt;&gt;"",$Q149&lt;&gt;$N149),1,0))</f>
        <v>0</v>
      </c>
      <c r="Z149" s="36" t="n">
        <f aca="false">IF($F149="","",IF($P149="Cancelada",0,IF(OR($O149&lt;&gt;"",$P149="Concluída"),1,0)))</f>
        <v>0</v>
      </c>
    </row>
    <row r="150" customFormat="false" ht="16.5" hidden="false" customHeight="true" outlineLevel="0" collapsed="false">
      <c r="A150" s="36" t="n">
        <f aca="false">IF($F150="","",COUNTA($F$5:$F150))</f>
        <v>146</v>
      </c>
      <c r="B150" s="37" t="str">
        <f aca="true">IF($F150="","",IF($P150="Cancelada","Cancelada",IF(OR($O150&lt;&gt;"",$P150="Concluída"),IF(OR($N150="",$O150="",$O150&lt;=$N150),"Concluída","Concluída com atraso"),IF($N150="","Na carteira",IF($N150&lt;TODAY(),"VENCIDA",IF($P150="Em execução","Em execução",IF($N150=TODAY(),"Hoje","Programada")))))))</f>
        <v>VENCIDA</v>
      </c>
      <c r="C150" s="38" t="s">
        <v>312</v>
      </c>
      <c r="D150" s="38" t="s">
        <v>127</v>
      </c>
      <c r="E150" s="38" t="s">
        <v>313</v>
      </c>
      <c r="F150" s="38" t="s">
        <v>323</v>
      </c>
      <c r="G150" s="39" t="s">
        <v>72</v>
      </c>
      <c r="H150" s="39"/>
      <c r="I150" s="40" t="s">
        <v>109</v>
      </c>
      <c r="J150" s="40"/>
      <c r="K150" s="40"/>
      <c r="L150" s="41" t="n">
        <v>46258</v>
      </c>
      <c r="M150" s="42" t="s">
        <v>87</v>
      </c>
      <c r="N150" s="43" t="n">
        <f aca="false">IF(OR($L150="",$M150=""),"",$L150+MATCH($M150,Listas!$F$5:$F$11,0)-1)</f>
        <v>46260</v>
      </c>
      <c r="O150" s="44"/>
      <c r="P150" s="39" t="s">
        <v>79</v>
      </c>
      <c r="Q150" s="44"/>
      <c r="R150" s="38"/>
      <c r="S150" s="38"/>
      <c r="T150" s="36" t="str">
        <f aca="false">IF($F150="","",IF(ISNUMBER(SEARCH("(externo)",$I150&amp;$J150&amp;$K150)),"Terceirizada","Interna"))</f>
        <v>Terceirizada</v>
      </c>
      <c r="U150" s="43" t="n">
        <f aca="false">IF($N150="","",IF($Q150="",$N150,$Q150))</f>
        <v>46260</v>
      </c>
      <c r="V150" s="36" t="n">
        <f aca="false">IF($F150="","",IF(OR($O150="",$N150=""),0,IF($O150&lt;=$N150,1,0)))</f>
        <v>0</v>
      </c>
      <c r="W150" s="36" t="n">
        <f aca="false">IF($F150="","",IF(OR($O150="",$U150=""),0,IF($O150&lt;=$U150,1,0)))</f>
        <v>0</v>
      </c>
      <c r="X150" s="37" t="str">
        <f aca="false">IF(OR($O150="",$N150=""),"",MAX(0,$O150-$N150))</f>
        <v/>
      </c>
      <c r="Y150" s="36" t="n">
        <f aca="false">IF($F150="","",IF(AND($Q150&lt;&gt;"",$N150&lt;&gt;"",$Q150&lt;&gt;$N150),1,0))</f>
        <v>0</v>
      </c>
      <c r="Z150" s="36" t="n">
        <f aca="false">IF($F150="","",IF($P150="Cancelada",0,IF(OR($O150&lt;&gt;"",$P150="Concluída"),1,0)))</f>
        <v>0</v>
      </c>
    </row>
    <row r="151" customFormat="false" ht="16.5" hidden="false" customHeight="true" outlineLevel="0" collapsed="false">
      <c r="A151" s="36" t="n">
        <f aca="false">IF($F151="","",COUNTA($F$5:$F151))</f>
        <v>147</v>
      </c>
      <c r="B151" s="37" t="str">
        <f aca="true">IF($F151="","",IF($P151="Cancelada","Cancelada",IF(OR($O151&lt;&gt;"",$P151="Concluída"),IF(OR($N151="",$O151="",$O151&lt;=$N151),"Concluída","Concluída com atraso"),IF($N151="","Na carteira",IF($N151&lt;TODAY(),"VENCIDA",IF($P151="Em execução","Em execução",IF($N151=TODAY(),"Hoje","Programada")))))))</f>
        <v>VENCIDA</v>
      </c>
      <c r="C151" s="38" t="s">
        <v>312</v>
      </c>
      <c r="D151" s="38" t="s">
        <v>127</v>
      </c>
      <c r="E151" s="38" t="s">
        <v>313</v>
      </c>
      <c r="F151" s="38" t="s">
        <v>324</v>
      </c>
      <c r="G151" s="39" t="s">
        <v>72</v>
      </c>
      <c r="H151" s="39"/>
      <c r="I151" s="40" t="s">
        <v>109</v>
      </c>
      <c r="J151" s="40"/>
      <c r="K151" s="40"/>
      <c r="L151" s="41" t="n">
        <v>46258</v>
      </c>
      <c r="M151" s="42" t="s">
        <v>87</v>
      </c>
      <c r="N151" s="43" t="n">
        <f aca="false">IF(OR($L151="",$M151=""),"",$L151+MATCH($M151,Listas!$F$5:$F$11,0)-1)</f>
        <v>46260</v>
      </c>
      <c r="O151" s="44"/>
      <c r="P151" s="39" t="s">
        <v>79</v>
      </c>
      <c r="Q151" s="44"/>
      <c r="R151" s="38"/>
      <c r="S151" s="38"/>
      <c r="T151" s="36" t="str">
        <f aca="false">IF($F151="","",IF(ISNUMBER(SEARCH("(externo)",$I151&amp;$J151&amp;$K151)),"Terceirizada","Interna"))</f>
        <v>Terceirizada</v>
      </c>
      <c r="U151" s="43" t="n">
        <f aca="false">IF($N151="","",IF($Q151="",$N151,$Q151))</f>
        <v>46260</v>
      </c>
      <c r="V151" s="36" t="n">
        <f aca="false">IF($F151="","",IF(OR($O151="",$N151=""),0,IF($O151&lt;=$N151,1,0)))</f>
        <v>0</v>
      </c>
      <c r="W151" s="36" t="n">
        <f aca="false">IF($F151="","",IF(OR($O151="",$U151=""),0,IF($O151&lt;=$U151,1,0)))</f>
        <v>0</v>
      </c>
      <c r="X151" s="37" t="str">
        <f aca="false">IF(OR($O151="",$N151=""),"",MAX(0,$O151-$N151))</f>
        <v/>
      </c>
      <c r="Y151" s="36" t="n">
        <f aca="false">IF($F151="","",IF(AND($Q151&lt;&gt;"",$N151&lt;&gt;"",$Q151&lt;&gt;$N151),1,0))</f>
        <v>0</v>
      </c>
      <c r="Z151" s="36" t="n">
        <f aca="false">IF($F151="","",IF($P151="Cancelada",0,IF(OR($O151&lt;&gt;"",$P151="Concluída"),1,0)))</f>
        <v>0</v>
      </c>
    </row>
    <row r="152" customFormat="false" ht="16.5" hidden="false" customHeight="true" outlineLevel="0" collapsed="false">
      <c r="A152" s="36" t="n">
        <f aca="false">IF($F152="","",COUNTA($F$5:$F152))</f>
        <v>148</v>
      </c>
      <c r="B152" s="37" t="str">
        <f aca="true">IF($F152="","",IF($P152="Cancelada","Cancelada",IF(OR($O152&lt;&gt;"",$P152="Concluída"),IF(OR($N152="",$O152="",$O152&lt;=$N152),"Concluída","Concluída com atraso"),IF($N152="","Na carteira",IF($N152&lt;TODAY(),"VENCIDA",IF($P152="Em execução","Em execução",IF($N152=TODAY(),"Hoje","Programada")))))))</f>
        <v>VENCIDA</v>
      </c>
      <c r="C152" s="38" t="s">
        <v>312</v>
      </c>
      <c r="D152" s="38" t="s">
        <v>127</v>
      </c>
      <c r="E152" s="38" t="s">
        <v>313</v>
      </c>
      <c r="F152" s="38" t="s">
        <v>325</v>
      </c>
      <c r="G152" s="39" t="s">
        <v>72</v>
      </c>
      <c r="H152" s="39"/>
      <c r="I152" s="40" t="s">
        <v>109</v>
      </c>
      <c r="J152" s="40"/>
      <c r="K152" s="40"/>
      <c r="L152" s="41" t="n">
        <v>46258</v>
      </c>
      <c r="M152" s="42" t="s">
        <v>87</v>
      </c>
      <c r="N152" s="43" t="n">
        <f aca="false">IF(OR($L152="",$M152=""),"",$L152+MATCH($M152,Listas!$F$5:$F$11,0)-1)</f>
        <v>46260</v>
      </c>
      <c r="O152" s="44"/>
      <c r="P152" s="39" t="s">
        <v>79</v>
      </c>
      <c r="Q152" s="44"/>
      <c r="R152" s="38"/>
      <c r="S152" s="38"/>
      <c r="T152" s="36" t="str">
        <f aca="false">IF($F152="","",IF(ISNUMBER(SEARCH("(externo)",$I152&amp;$J152&amp;$K152)),"Terceirizada","Interna"))</f>
        <v>Terceirizada</v>
      </c>
      <c r="U152" s="43" t="n">
        <f aca="false">IF($N152="","",IF($Q152="",$N152,$Q152))</f>
        <v>46260</v>
      </c>
      <c r="V152" s="36" t="n">
        <f aca="false">IF($F152="","",IF(OR($O152="",$N152=""),0,IF($O152&lt;=$N152,1,0)))</f>
        <v>0</v>
      </c>
      <c r="W152" s="36" t="n">
        <f aca="false">IF($F152="","",IF(OR($O152="",$U152=""),0,IF($O152&lt;=$U152,1,0)))</f>
        <v>0</v>
      </c>
      <c r="X152" s="37" t="str">
        <f aca="false">IF(OR($O152="",$N152=""),"",MAX(0,$O152-$N152))</f>
        <v/>
      </c>
      <c r="Y152" s="36" t="n">
        <f aca="false">IF($F152="","",IF(AND($Q152&lt;&gt;"",$N152&lt;&gt;"",$Q152&lt;&gt;$N152),1,0))</f>
        <v>0</v>
      </c>
      <c r="Z152" s="36" t="n">
        <f aca="false">IF($F152="","",IF($P152="Cancelada",0,IF(OR($O152&lt;&gt;"",$P152="Concluída"),1,0)))</f>
        <v>0</v>
      </c>
    </row>
    <row r="153" customFormat="false" ht="16.5" hidden="false" customHeight="true" outlineLevel="0" collapsed="false">
      <c r="A153" s="36" t="n">
        <f aca="false">IF($F153="","",COUNTA($F$5:$F153))</f>
        <v>149</v>
      </c>
      <c r="B153" s="37" t="str">
        <f aca="true">IF($F153="","",IF($P153="Cancelada","Cancelada",IF(OR($O153&lt;&gt;"",$P153="Concluída"),IF(OR($N153="",$O153="",$O153&lt;=$N153),"Concluída","Concluída com atraso"),IF($N153="","Na carteira",IF($N153&lt;TODAY(),"VENCIDA",IF($P153="Em execução","Em execução",IF($N153=TODAY(),"Hoje","Programada")))))))</f>
        <v>Em execução</v>
      </c>
      <c r="C153" s="38" t="s">
        <v>312</v>
      </c>
      <c r="D153" s="38" t="s">
        <v>127</v>
      </c>
      <c r="E153" s="38" t="s">
        <v>313</v>
      </c>
      <c r="F153" s="38" t="s">
        <v>326</v>
      </c>
      <c r="G153" s="39" t="s">
        <v>72</v>
      </c>
      <c r="H153" s="39"/>
      <c r="I153" s="40" t="s">
        <v>109</v>
      </c>
      <c r="J153" s="40"/>
      <c r="K153" s="40"/>
      <c r="L153" s="41" t="n">
        <v>46258</v>
      </c>
      <c r="M153" s="42" t="s">
        <v>92</v>
      </c>
      <c r="N153" s="43" t="n">
        <f aca="false">IF(OR($L153="",$M153=""),"",$L153+MATCH($M153,Listas!$F$5:$F$11,0)-1)</f>
        <v>46261</v>
      </c>
      <c r="O153" s="44"/>
      <c r="P153" s="39" t="s">
        <v>79</v>
      </c>
      <c r="Q153" s="44"/>
      <c r="R153" s="38"/>
      <c r="S153" s="38"/>
      <c r="T153" s="36" t="str">
        <f aca="false">IF($F153="","",IF(ISNUMBER(SEARCH("(externo)",$I153&amp;$J153&amp;$K153)),"Terceirizada","Interna"))</f>
        <v>Terceirizada</v>
      </c>
      <c r="U153" s="43" t="n">
        <f aca="false">IF($N153="","",IF($Q153="",$N153,$Q153))</f>
        <v>46261</v>
      </c>
      <c r="V153" s="36" t="n">
        <f aca="false">IF($F153="","",IF(OR($O153="",$N153=""),0,IF($O153&lt;=$N153,1,0)))</f>
        <v>0</v>
      </c>
      <c r="W153" s="36" t="n">
        <f aca="false">IF($F153="","",IF(OR($O153="",$U153=""),0,IF($O153&lt;=$U153,1,0)))</f>
        <v>0</v>
      </c>
      <c r="X153" s="37" t="str">
        <f aca="false">IF(OR($O153="",$N153=""),"",MAX(0,$O153-$N153))</f>
        <v/>
      </c>
      <c r="Y153" s="36" t="n">
        <f aca="false">IF($F153="","",IF(AND($Q153&lt;&gt;"",$N153&lt;&gt;"",$Q153&lt;&gt;$N153),1,0))</f>
        <v>0</v>
      </c>
      <c r="Z153" s="36" t="n">
        <f aca="false">IF($F153="","",IF($P153="Cancelada",0,IF(OR($O153&lt;&gt;"",$P153="Concluída"),1,0)))</f>
        <v>0</v>
      </c>
    </row>
    <row r="154" customFormat="false" ht="16.5" hidden="false" customHeight="true" outlineLevel="0" collapsed="false">
      <c r="A154" s="36" t="n">
        <f aca="false">IF($F154="","",COUNTA($F$5:$F154))</f>
        <v>150</v>
      </c>
      <c r="B154" s="37" t="str">
        <f aca="true">IF($F154="","",IF($P154="Cancelada","Cancelada",IF(OR($O154&lt;&gt;"",$P154="Concluída"),IF(OR($N154="",$O154="",$O154&lt;=$N154),"Concluída","Concluída com atraso"),IF($N154="","Na carteira",IF($N154&lt;TODAY(),"VENCIDA",IF($P154="Em execução","Em execução",IF($N154=TODAY(),"Hoje","Programada")))))))</f>
        <v>Em execução</v>
      </c>
      <c r="C154" s="38" t="s">
        <v>312</v>
      </c>
      <c r="D154" s="38" t="s">
        <v>127</v>
      </c>
      <c r="E154" s="38" t="s">
        <v>313</v>
      </c>
      <c r="F154" s="38" t="s">
        <v>327</v>
      </c>
      <c r="G154" s="39" t="s">
        <v>72</v>
      </c>
      <c r="H154" s="39"/>
      <c r="I154" s="40" t="s">
        <v>109</v>
      </c>
      <c r="J154" s="40"/>
      <c r="K154" s="40"/>
      <c r="L154" s="41" t="n">
        <v>46258</v>
      </c>
      <c r="M154" s="42" t="s">
        <v>92</v>
      </c>
      <c r="N154" s="43" t="n">
        <f aca="false">IF(OR($L154="",$M154=""),"",$L154+MATCH($M154,Listas!$F$5:$F$11,0)-1)</f>
        <v>46261</v>
      </c>
      <c r="O154" s="44"/>
      <c r="P154" s="39" t="s">
        <v>79</v>
      </c>
      <c r="Q154" s="44"/>
      <c r="R154" s="38"/>
      <c r="S154" s="38"/>
      <c r="T154" s="36" t="str">
        <f aca="false">IF($F154="","",IF(ISNUMBER(SEARCH("(externo)",$I154&amp;$J154&amp;$K154)),"Terceirizada","Interna"))</f>
        <v>Terceirizada</v>
      </c>
      <c r="U154" s="43" t="n">
        <f aca="false">IF($N154="","",IF($Q154="",$N154,$Q154))</f>
        <v>46261</v>
      </c>
      <c r="V154" s="36" t="n">
        <f aca="false">IF($F154="","",IF(OR($O154="",$N154=""),0,IF($O154&lt;=$N154,1,0)))</f>
        <v>0</v>
      </c>
      <c r="W154" s="36" t="n">
        <f aca="false">IF($F154="","",IF(OR($O154="",$U154=""),0,IF($O154&lt;=$U154,1,0)))</f>
        <v>0</v>
      </c>
      <c r="X154" s="37" t="str">
        <f aca="false">IF(OR($O154="",$N154=""),"",MAX(0,$O154-$N154))</f>
        <v/>
      </c>
      <c r="Y154" s="36" t="n">
        <f aca="false">IF($F154="","",IF(AND($Q154&lt;&gt;"",$N154&lt;&gt;"",$Q154&lt;&gt;$N154),1,0))</f>
        <v>0</v>
      </c>
      <c r="Z154" s="36" t="n">
        <f aca="false">IF($F154="","",IF($P154="Cancelada",0,IF(OR($O154&lt;&gt;"",$P154="Concluída"),1,0)))</f>
        <v>0</v>
      </c>
    </row>
    <row r="155" customFormat="false" ht="16.5" hidden="false" customHeight="true" outlineLevel="0" collapsed="false">
      <c r="A155" s="36" t="n">
        <f aca="false">IF($F155="","",COUNTA($F$5:$F155))</f>
        <v>151</v>
      </c>
      <c r="B155" s="37" t="str">
        <f aca="true">IF($F155="","",IF($P155="Cancelada","Cancelada",IF(OR($O155&lt;&gt;"",$P155="Concluída"),IF(OR($N155="",$O155="",$O155&lt;=$N155),"Concluída","Concluída com atraso"),IF($N155="","Na carteira",IF($N155&lt;TODAY(),"VENCIDA",IF($P155="Em execução","Em execução",IF($N155=TODAY(),"Hoje","Programada")))))))</f>
        <v>Em execução</v>
      </c>
      <c r="C155" s="38" t="s">
        <v>312</v>
      </c>
      <c r="D155" s="38" t="s">
        <v>127</v>
      </c>
      <c r="E155" s="38" t="s">
        <v>313</v>
      </c>
      <c r="F155" s="38" t="s">
        <v>328</v>
      </c>
      <c r="G155" s="39" t="s">
        <v>72</v>
      </c>
      <c r="H155" s="39"/>
      <c r="I155" s="40" t="s">
        <v>109</v>
      </c>
      <c r="J155" s="40"/>
      <c r="K155" s="40"/>
      <c r="L155" s="41" t="n">
        <v>46258</v>
      </c>
      <c r="M155" s="42" t="s">
        <v>92</v>
      </c>
      <c r="N155" s="43" t="n">
        <f aca="false">IF(OR($L155="",$M155=""),"",$L155+MATCH($M155,Listas!$F$5:$F$11,0)-1)</f>
        <v>46261</v>
      </c>
      <c r="O155" s="44"/>
      <c r="P155" s="39" t="s">
        <v>79</v>
      </c>
      <c r="Q155" s="44"/>
      <c r="R155" s="38"/>
      <c r="S155" s="38"/>
      <c r="T155" s="36" t="str">
        <f aca="false">IF($F155="","",IF(ISNUMBER(SEARCH("(externo)",$I155&amp;$J155&amp;$K155)),"Terceirizada","Interna"))</f>
        <v>Terceirizada</v>
      </c>
      <c r="U155" s="43" t="n">
        <f aca="false">IF($N155="","",IF($Q155="",$N155,$Q155))</f>
        <v>46261</v>
      </c>
      <c r="V155" s="36" t="n">
        <f aca="false">IF($F155="","",IF(OR($O155="",$N155=""),0,IF($O155&lt;=$N155,1,0)))</f>
        <v>0</v>
      </c>
      <c r="W155" s="36" t="n">
        <f aca="false">IF($F155="","",IF(OR($O155="",$U155=""),0,IF($O155&lt;=$U155,1,0)))</f>
        <v>0</v>
      </c>
      <c r="X155" s="37" t="str">
        <f aca="false">IF(OR($O155="",$N155=""),"",MAX(0,$O155-$N155))</f>
        <v/>
      </c>
      <c r="Y155" s="36" t="n">
        <f aca="false">IF($F155="","",IF(AND($Q155&lt;&gt;"",$N155&lt;&gt;"",$Q155&lt;&gt;$N155),1,0))</f>
        <v>0</v>
      </c>
      <c r="Z155" s="36" t="n">
        <f aca="false">IF($F155="","",IF($P155="Cancelada",0,IF(OR($O155&lt;&gt;"",$P155="Concluída"),1,0)))</f>
        <v>0</v>
      </c>
    </row>
    <row r="156" customFormat="false" ht="16.5" hidden="false" customHeight="true" outlineLevel="0" collapsed="false">
      <c r="A156" s="36" t="n">
        <f aca="false">IF($F156="","",COUNTA($F$5:$F156))</f>
        <v>152</v>
      </c>
      <c r="B156" s="37" t="str">
        <f aca="true">IF($F156="","",IF($P156="Cancelada","Cancelada",IF(OR($O156&lt;&gt;"",$P156="Concluída"),IF(OR($N156="",$O156="",$O156&lt;=$N156),"Concluída","Concluída com atraso"),IF($N156="","Na carteira",IF($N156&lt;TODAY(),"VENCIDA",IF($P156="Em execução","Em execução",IF($N156=TODAY(),"Hoje","Programada")))))))</f>
        <v>Em execução</v>
      </c>
      <c r="C156" s="38" t="s">
        <v>312</v>
      </c>
      <c r="D156" s="38" t="s">
        <v>127</v>
      </c>
      <c r="E156" s="38" t="s">
        <v>313</v>
      </c>
      <c r="F156" s="38" t="s">
        <v>329</v>
      </c>
      <c r="G156" s="39" t="s">
        <v>72</v>
      </c>
      <c r="H156" s="39"/>
      <c r="I156" s="40" t="s">
        <v>109</v>
      </c>
      <c r="J156" s="40"/>
      <c r="K156" s="40"/>
      <c r="L156" s="41" t="n">
        <v>46258</v>
      </c>
      <c r="M156" s="42" t="s">
        <v>92</v>
      </c>
      <c r="N156" s="43" t="n">
        <f aca="false">IF(OR($L156="",$M156=""),"",$L156+MATCH($M156,Listas!$F$5:$F$11,0)-1)</f>
        <v>46261</v>
      </c>
      <c r="O156" s="44"/>
      <c r="P156" s="39" t="s">
        <v>79</v>
      </c>
      <c r="Q156" s="44"/>
      <c r="R156" s="38"/>
      <c r="S156" s="38"/>
      <c r="T156" s="36" t="str">
        <f aca="false">IF($F156="","",IF(ISNUMBER(SEARCH("(externo)",$I156&amp;$J156&amp;$K156)),"Terceirizada","Interna"))</f>
        <v>Terceirizada</v>
      </c>
      <c r="U156" s="43" t="n">
        <f aca="false">IF($N156="","",IF($Q156="",$N156,$Q156))</f>
        <v>46261</v>
      </c>
      <c r="V156" s="36" t="n">
        <f aca="false">IF($F156="","",IF(OR($O156="",$N156=""),0,IF($O156&lt;=$N156,1,0)))</f>
        <v>0</v>
      </c>
      <c r="W156" s="36" t="n">
        <f aca="false">IF($F156="","",IF(OR($O156="",$U156=""),0,IF($O156&lt;=$U156,1,0)))</f>
        <v>0</v>
      </c>
      <c r="X156" s="37" t="str">
        <f aca="false">IF(OR($O156="",$N156=""),"",MAX(0,$O156-$N156))</f>
        <v/>
      </c>
      <c r="Y156" s="36" t="n">
        <f aca="false">IF($F156="","",IF(AND($Q156&lt;&gt;"",$N156&lt;&gt;"",$Q156&lt;&gt;$N156),1,0))</f>
        <v>0</v>
      </c>
      <c r="Z156" s="36" t="n">
        <f aca="false">IF($F156="","",IF($P156="Cancelada",0,IF(OR($O156&lt;&gt;"",$P156="Concluída"),1,0)))</f>
        <v>0</v>
      </c>
    </row>
    <row r="157" customFormat="false" ht="16.5" hidden="false" customHeight="true" outlineLevel="0" collapsed="false">
      <c r="A157" s="36" t="n">
        <f aca="false">IF($F157="","",COUNTA($F$5:$F157))</f>
        <v>153</v>
      </c>
      <c r="B157" s="37" t="str">
        <f aca="true">IF($F157="","",IF($P157="Cancelada","Cancelada",IF(OR($O157&lt;&gt;"",$P157="Concluída"),IF(OR($N157="",$O157="",$O157&lt;=$N157),"Concluída","Concluída com atraso"),IF($N157="","Na carteira",IF($N157&lt;TODAY(),"VENCIDA",IF($P157="Em execução","Em execução",IF($N157=TODAY(),"Hoje","Programada")))))))</f>
        <v>Em execução</v>
      </c>
      <c r="C157" s="38" t="s">
        <v>312</v>
      </c>
      <c r="D157" s="38" t="s">
        <v>127</v>
      </c>
      <c r="E157" s="38" t="s">
        <v>313</v>
      </c>
      <c r="F157" s="38" t="s">
        <v>330</v>
      </c>
      <c r="G157" s="39" t="s">
        <v>72</v>
      </c>
      <c r="H157" s="39"/>
      <c r="I157" s="40" t="s">
        <v>109</v>
      </c>
      <c r="J157" s="40"/>
      <c r="K157" s="40"/>
      <c r="L157" s="41" t="n">
        <v>46258</v>
      </c>
      <c r="M157" s="42" t="s">
        <v>92</v>
      </c>
      <c r="N157" s="43" t="n">
        <f aca="false">IF(OR($L157="",$M157=""),"",$L157+MATCH($M157,Listas!$F$5:$F$11,0)-1)</f>
        <v>46261</v>
      </c>
      <c r="O157" s="44"/>
      <c r="P157" s="39" t="s">
        <v>79</v>
      </c>
      <c r="Q157" s="44"/>
      <c r="R157" s="38"/>
      <c r="S157" s="38"/>
      <c r="T157" s="36" t="str">
        <f aca="false">IF($F157="","",IF(ISNUMBER(SEARCH("(externo)",$I157&amp;$J157&amp;$K157)),"Terceirizada","Interna"))</f>
        <v>Terceirizada</v>
      </c>
      <c r="U157" s="43" t="n">
        <f aca="false">IF($N157="","",IF($Q157="",$N157,$Q157))</f>
        <v>46261</v>
      </c>
      <c r="V157" s="36" t="n">
        <f aca="false">IF($F157="","",IF(OR($O157="",$N157=""),0,IF($O157&lt;=$N157,1,0)))</f>
        <v>0</v>
      </c>
      <c r="W157" s="36" t="n">
        <f aca="false">IF($F157="","",IF(OR($O157="",$U157=""),0,IF($O157&lt;=$U157,1,0)))</f>
        <v>0</v>
      </c>
      <c r="X157" s="37" t="str">
        <f aca="false">IF(OR($O157="",$N157=""),"",MAX(0,$O157-$N157))</f>
        <v/>
      </c>
      <c r="Y157" s="36" t="n">
        <f aca="false">IF($F157="","",IF(AND($Q157&lt;&gt;"",$N157&lt;&gt;"",$Q157&lt;&gt;$N157),1,0))</f>
        <v>0</v>
      </c>
      <c r="Z157" s="36" t="n">
        <f aca="false">IF($F157="","",IF($P157="Cancelada",0,IF(OR($O157&lt;&gt;"",$P157="Concluída"),1,0)))</f>
        <v>0</v>
      </c>
    </row>
    <row r="158" customFormat="false" ht="16.5" hidden="false" customHeight="true" outlineLevel="0" collapsed="false">
      <c r="A158" s="36" t="n">
        <f aca="false">IF($F158="","",COUNTA($F$5:$F158))</f>
        <v>154</v>
      </c>
      <c r="B158" s="37" t="str">
        <f aca="true">IF($F158="","",IF($P158="Cancelada","Cancelada",IF(OR($O158&lt;&gt;"",$P158="Concluída"),IF(OR($N158="",$O158="",$O158&lt;=$N158),"Concluída","Concluída com atraso"),IF($N158="","Na carteira",IF($N158&lt;TODAY(),"VENCIDA",IF($P158="Em execução","Em execução",IF($N158=TODAY(),"Hoje","Programada")))))))</f>
        <v>Em execução</v>
      </c>
      <c r="C158" s="38" t="s">
        <v>312</v>
      </c>
      <c r="D158" s="38" t="s">
        <v>127</v>
      </c>
      <c r="E158" s="38" t="s">
        <v>313</v>
      </c>
      <c r="F158" s="38" t="s">
        <v>331</v>
      </c>
      <c r="G158" s="39" t="s">
        <v>72</v>
      </c>
      <c r="H158" s="39"/>
      <c r="I158" s="40" t="s">
        <v>109</v>
      </c>
      <c r="J158" s="40"/>
      <c r="K158" s="40"/>
      <c r="L158" s="41" t="n">
        <v>46258</v>
      </c>
      <c r="M158" s="42" t="s">
        <v>92</v>
      </c>
      <c r="N158" s="43" t="n">
        <f aca="false">IF(OR($L158="",$M158=""),"",$L158+MATCH($M158,Listas!$F$5:$F$11,0)-1)</f>
        <v>46261</v>
      </c>
      <c r="O158" s="44"/>
      <c r="P158" s="39" t="s">
        <v>79</v>
      </c>
      <c r="Q158" s="44"/>
      <c r="R158" s="38"/>
      <c r="S158" s="38"/>
      <c r="T158" s="36" t="str">
        <f aca="false">IF($F158="","",IF(ISNUMBER(SEARCH("(externo)",$I158&amp;$J158&amp;$K158)),"Terceirizada","Interna"))</f>
        <v>Terceirizada</v>
      </c>
      <c r="U158" s="43" t="n">
        <f aca="false">IF($N158="","",IF($Q158="",$N158,$Q158))</f>
        <v>46261</v>
      </c>
      <c r="V158" s="36" t="n">
        <f aca="false">IF($F158="","",IF(OR($O158="",$N158=""),0,IF($O158&lt;=$N158,1,0)))</f>
        <v>0</v>
      </c>
      <c r="W158" s="36" t="n">
        <f aca="false">IF($F158="","",IF(OR($O158="",$U158=""),0,IF($O158&lt;=$U158,1,0)))</f>
        <v>0</v>
      </c>
      <c r="X158" s="37" t="str">
        <f aca="false">IF(OR($O158="",$N158=""),"",MAX(0,$O158-$N158))</f>
        <v/>
      </c>
      <c r="Y158" s="36" t="n">
        <f aca="false">IF($F158="","",IF(AND($Q158&lt;&gt;"",$N158&lt;&gt;"",$Q158&lt;&gt;$N158),1,0))</f>
        <v>0</v>
      </c>
      <c r="Z158" s="36" t="n">
        <f aca="false">IF($F158="","",IF($P158="Cancelada",0,IF(OR($O158&lt;&gt;"",$P158="Concluída"),1,0)))</f>
        <v>0</v>
      </c>
    </row>
    <row r="159" customFormat="false" ht="16.5" hidden="false" customHeight="true" outlineLevel="0" collapsed="false">
      <c r="A159" s="36" t="n">
        <f aca="false">IF($F159="","",COUNTA($F$5:$F159))</f>
        <v>155</v>
      </c>
      <c r="B159" s="37" t="str">
        <f aca="true">IF($F159="","",IF($P159="Cancelada","Cancelada",IF(OR($O159&lt;&gt;"",$P159="Concluída"),IF(OR($N159="",$O159="",$O159&lt;=$N159),"Concluída","Concluída com atraso"),IF($N159="","Na carteira",IF($N159&lt;TODAY(),"VENCIDA",IF($P159="Em execução","Em execução",IF($N159=TODAY(),"Hoje","Programada")))))))</f>
        <v>Em execução</v>
      </c>
      <c r="C159" s="38" t="s">
        <v>312</v>
      </c>
      <c r="D159" s="38" t="s">
        <v>127</v>
      </c>
      <c r="E159" s="38" t="s">
        <v>313</v>
      </c>
      <c r="F159" s="38" t="s">
        <v>332</v>
      </c>
      <c r="G159" s="39" t="s">
        <v>72</v>
      </c>
      <c r="H159" s="39"/>
      <c r="I159" s="40" t="s">
        <v>109</v>
      </c>
      <c r="J159" s="40"/>
      <c r="K159" s="40"/>
      <c r="L159" s="41" t="n">
        <v>46258</v>
      </c>
      <c r="M159" s="42" t="s">
        <v>92</v>
      </c>
      <c r="N159" s="43" t="n">
        <f aca="false">IF(OR($L159="",$M159=""),"",$L159+MATCH($M159,Listas!$F$5:$F$11,0)-1)</f>
        <v>46261</v>
      </c>
      <c r="O159" s="44"/>
      <c r="P159" s="39" t="s">
        <v>79</v>
      </c>
      <c r="Q159" s="44"/>
      <c r="R159" s="38"/>
      <c r="S159" s="38"/>
      <c r="T159" s="36" t="str">
        <f aca="false">IF($F159="","",IF(ISNUMBER(SEARCH("(externo)",$I159&amp;$J159&amp;$K159)),"Terceirizada","Interna"))</f>
        <v>Terceirizada</v>
      </c>
      <c r="U159" s="43" t="n">
        <f aca="false">IF($N159="","",IF($Q159="",$N159,$Q159))</f>
        <v>46261</v>
      </c>
      <c r="V159" s="36" t="n">
        <f aca="false">IF($F159="","",IF(OR($O159="",$N159=""),0,IF($O159&lt;=$N159,1,0)))</f>
        <v>0</v>
      </c>
      <c r="W159" s="36" t="n">
        <f aca="false">IF($F159="","",IF(OR($O159="",$U159=""),0,IF($O159&lt;=$U159,1,0)))</f>
        <v>0</v>
      </c>
      <c r="X159" s="37" t="str">
        <f aca="false">IF(OR($O159="",$N159=""),"",MAX(0,$O159-$N159))</f>
        <v/>
      </c>
      <c r="Y159" s="36" t="n">
        <f aca="false">IF($F159="","",IF(AND($Q159&lt;&gt;"",$N159&lt;&gt;"",$Q159&lt;&gt;$N159),1,0))</f>
        <v>0</v>
      </c>
      <c r="Z159" s="36" t="n">
        <f aca="false">IF($F159="","",IF($P159="Cancelada",0,IF(OR($O159&lt;&gt;"",$P159="Concluída"),1,0)))</f>
        <v>0</v>
      </c>
    </row>
    <row r="160" customFormat="false" ht="16.5" hidden="false" customHeight="true" outlineLevel="0" collapsed="false">
      <c r="A160" s="36" t="n">
        <f aca="false">IF($F160="","",COUNTA($F$5:$F160))</f>
        <v>156</v>
      </c>
      <c r="B160" s="37" t="str">
        <f aca="true">IF($F160="","",IF($P160="Cancelada","Cancelada",IF(OR($O160&lt;&gt;"",$P160="Concluída"),IF(OR($N160="",$O160="",$O160&lt;=$N160),"Concluída","Concluída com atraso"),IF($N160="","Na carteira",IF($N160&lt;TODAY(),"VENCIDA",IF($P160="Em execução","Em execução",IF($N160=TODAY(),"Hoje","Programada")))))))</f>
        <v>Em execução</v>
      </c>
      <c r="C160" s="38" t="s">
        <v>312</v>
      </c>
      <c r="D160" s="38" t="s">
        <v>127</v>
      </c>
      <c r="E160" s="38" t="s">
        <v>313</v>
      </c>
      <c r="F160" s="38" t="s">
        <v>333</v>
      </c>
      <c r="G160" s="39" t="s">
        <v>72</v>
      </c>
      <c r="H160" s="39"/>
      <c r="I160" s="40" t="s">
        <v>109</v>
      </c>
      <c r="J160" s="40"/>
      <c r="K160" s="40"/>
      <c r="L160" s="41" t="n">
        <v>46258</v>
      </c>
      <c r="M160" s="42" t="s">
        <v>92</v>
      </c>
      <c r="N160" s="43" t="n">
        <f aca="false">IF(OR($L160="",$M160=""),"",$L160+MATCH($M160,Listas!$F$5:$F$11,0)-1)</f>
        <v>46261</v>
      </c>
      <c r="O160" s="44"/>
      <c r="P160" s="39" t="s">
        <v>79</v>
      </c>
      <c r="Q160" s="44"/>
      <c r="R160" s="38"/>
      <c r="S160" s="38"/>
      <c r="T160" s="36" t="str">
        <f aca="false">IF($F160="","",IF(ISNUMBER(SEARCH("(externo)",$I160&amp;$J160&amp;$K160)),"Terceirizada","Interna"))</f>
        <v>Terceirizada</v>
      </c>
      <c r="U160" s="43" t="n">
        <f aca="false">IF($N160="","",IF($Q160="",$N160,$Q160))</f>
        <v>46261</v>
      </c>
      <c r="V160" s="36" t="n">
        <f aca="false">IF($F160="","",IF(OR($O160="",$N160=""),0,IF($O160&lt;=$N160,1,0)))</f>
        <v>0</v>
      </c>
      <c r="W160" s="36" t="n">
        <f aca="false">IF($F160="","",IF(OR($O160="",$U160=""),0,IF($O160&lt;=$U160,1,0)))</f>
        <v>0</v>
      </c>
      <c r="X160" s="37" t="str">
        <f aca="false">IF(OR($O160="",$N160=""),"",MAX(0,$O160-$N160))</f>
        <v/>
      </c>
      <c r="Y160" s="36" t="n">
        <f aca="false">IF($F160="","",IF(AND($Q160&lt;&gt;"",$N160&lt;&gt;"",$Q160&lt;&gt;$N160),1,0))</f>
        <v>0</v>
      </c>
      <c r="Z160" s="36" t="n">
        <f aca="false">IF($F160="","",IF($P160="Cancelada",0,IF(OR($O160&lt;&gt;"",$P160="Concluída"),1,0)))</f>
        <v>0</v>
      </c>
    </row>
    <row r="161" customFormat="false" ht="16.5" hidden="false" customHeight="true" outlineLevel="0" collapsed="false">
      <c r="A161" s="36" t="n">
        <f aca="false">IF($F161="","",COUNTA($F$5:$F161))</f>
        <v>157</v>
      </c>
      <c r="B161" s="37" t="str">
        <f aca="true">IF($F161="","",IF($P161="Cancelada","Cancelada",IF(OR($O161&lt;&gt;"",$P161="Concluída"),IF(OR($N161="",$O161="",$O161&lt;=$N161),"Concluída","Concluída com atraso"),IF($N161="","Na carteira",IF($N161&lt;TODAY(),"VENCIDA",IF($P161="Em execução","Em execução",IF($N161=TODAY(),"Hoje","Programada")))))))</f>
        <v>Em execução</v>
      </c>
      <c r="C161" s="38" t="s">
        <v>312</v>
      </c>
      <c r="D161" s="38" t="s">
        <v>127</v>
      </c>
      <c r="E161" s="38" t="s">
        <v>313</v>
      </c>
      <c r="F161" s="38" t="s">
        <v>334</v>
      </c>
      <c r="G161" s="39" t="s">
        <v>72</v>
      </c>
      <c r="H161" s="39"/>
      <c r="I161" s="40" t="s">
        <v>109</v>
      </c>
      <c r="J161" s="40"/>
      <c r="K161" s="40"/>
      <c r="L161" s="41" t="n">
        <v>46258</v>
      </c>
      <c r="M161" s="42" t="s">
        <v>92</v>
      </c>
      <c r="N161" s="43" t="n">
        <f aca="false">IF(OR($L161="",$M161=""),"",$L161+MATCH($M161,Listas!$F$5:$F$11,0)-1)</f>
        <v>46261</v>
      </c>
      <c r="O161" s="44"/>
      <c r="P161" s="39" t="s">
        <v>79</v>
      </c>
      <c r="Q161" s="44"/>
      <c r="R161" s="38"/>
      <c r="S161" s="38"/>
      <c r="T161" s="36" t="str">
        <f aca="false">IF($F161="","",IF(ISNUMBER(SEARCH("(externo)",$I161&amp;$J161&amp;$K161)),"Terceirizada","Interna"))</f>
        <v>Terceirizada</v>
      </c>
      <c r="U161" s="43" t="n">
        <f aca="false">IF($N161="","",IF($Q161="",$N161,$Q161))</f>
        <v>46261</v>
      </c>
      <c r="V161" s="36" t="n">
        <f aca="false">IF($F161="","",IF(OR($O161="",$N161=""),0,IF($O161&lt;=$N161,1,0)))</f>
        <v>0</v>
      </c>
      <c r="W161" s="36" t="n">
        <f aca="false">IF($F161="","",IF(OR($O161="",$U161=""),0,IF($O161&lt;=$U161,1,0)))</f>
        <v>0</v>
      </c>
      <c r="X161" s="37" t="str">
        <f aca="false">IF(OR($O161="",$N161=""),"",MAX(0,$O161-$N161))</f>
        <v/>
      </c>
      <c r="Y161" s="36" t="n">
        <f aca="false">IF($F161="","",IF(AND($Q161&lt;&gt;"",$N161&lt;&gt;"",$Q161&lt;&gt;$N161),1,0))</f>
        <v>0</v>
      </c>
      <c r="Z161" s="36" t="n">
        <f aca="false">IF($F161="","",IF($P161="Cancelada",0,IF(OR($O161&lt;&gt;"",$P161="Concluída"),1,0)))</f>
        <v>0</v>
      </c>
    </row>
    <row r="162" customFormat="false" ht="16.5" hidden="false" customHeight="true" outlineLevel="0" collapsed="false">
      <c r="A162" s="36" t="n">
        <f aca="false">IF($F162="","",COUNTA($F$5:$F162))</f>
        <v>158</v>
      </c>
      <c r="B162" s="37" t="str">
        <f aca="true">IF($F162="","",IF($P162="Cancelada","Cancelada",IF(OR($O162&lt;&gt;"",$P162="Concluída"),IF(OR($N162="",$O162="",$O162&lt;=$N162),"Concluída","Concluída com atraso"),IF($N162="","Na carteira",IF($N162&lt;TODAY(),"VENCIDA",IF($P162="Em execução","Em execução",IF($N162=TODAY(),"Hoje","Programada")))))))</f>
        <v>Em execução</v>
      </c>
      <c r="C162" s="38" t="s">
        <v>312</v>
      </c>
      <c r="D162" s="38" t="s">
        <v>127</v>
      </c>
      <c r="E162" s="38" t="s">
        <v>313</v>
      </c>
      <c r="F162" s="38" t="s">
        <v>335</v>
      </c>
      <c r="G162" s="39" t="s">
        <v>72</v>
      </c>
      <c r="H162" s="39"/>
      <c r="I162" s="40" t="s">
        <v>109</v>
      </c>
      <c r="J162" s="40"/>
      <c r="K162" s="40"/>
      <c r="L162" s="41" t="n">
        <v>46258</v>
      </c>
      <c r="M162" s="42" t="s">
        <v>92</v>
      </c>
      <c r="N162" s="43" t="n">
        <f aca="false">IF(OR($L162="",$M162=""),"",$L162+MATCH($M162,Listas!$F$5:$F$11,0)-1)</f>
        <v>46261</v>
      </c>
      <c r="O162" s="44"/>
      <c r="P162" s="39" t="s">
        <v>79</v>
      </c>
      <c r="Q162" s="44"/>
      <c r="R162" s="38"/>
      <c r="S162" s="38"/>
      <c r="T162" s="36" t="str">
        <f aca="false">IF($F162="","",IF(ISNUMBER(SEARCH("(externo)",$I162&amp;$J162&amp;$K162)),"Terceirizada","Interna"))</f>
        <v>Terceirizada</v>
      </c>
      <c r="U162" s="43" t="n">
        <f aca="false">IF($N162="","",IF($Q162="",$N162,$Q162))</f>
        <v>46261</v>
      </c>
      <c r="V162" s="36" t="n">
        <f aca="false">IF($F162="","",IF(OR($O162="",$N162=""),0,IF($O162&lt;=$N162,1,0)))</f>
        <v>0</v>
      </c>
      <c r="W162" s="36" t="n">
        <f aca="false">IF($F162="","",IF(OR($O162="",$U162=""),0,IF($O162&lt;=$U162,1,0)))</f>
        <v>0</v>
      </c>
      <c r="X162" s="37" t="str">
        <f aca="false">IF(OR($O162="",$N162=""),"",MAX(0,$O162-$N162))</f>
        <v/>
      </c>
      <c r="Y162" s="36" t="n">
        <f aca="false">IF($F162="","",IF(AND($Q162&lt;&gt;"",$N162&lt;&gt;"",$Q162&lt;&gt;$N162),1,0))</f>
        <v>0</v>
      </c>
      <c r="Z162" s="36" t="n">
        <f aca="false">IF($F162="","",IF($P162="Cancelada",0,IF(OR($O162&lt;&gt;"",$P162="Concluída"),1,0)))</f>
        <v>0</v>
      </c>
    </row>
    <row r="163" customFormat="false" ht="16.5" hidden="false" customHeight="true" outlineLevel="0" collapsed="false">
      <c r="A163" s="36" t="n">
        <f aca="false">IF($F163="","",COUNTA($F$5:$F163))</f>
        <v>159</v>
      </c>
      <c r="B163" s="37" t="str">
        <f aca="true">IF($F163="","",IF($P163="Cancelada","Cancelada",IF(OR($O163&lt;&gt;"",$P163="Concluída"),IF(OR($N163="",$O163="",$O163&lt;=$N163),"Concluída","Concluída com atraso"),IF($N163="","Na carteira",IF($N163&lt;TODAY(),"VENCIDA",IF($P163="Em execução","Em execução",IF($N163=TODAY(),"Hoje","Programada")))))))</f>
        <v>Em execução</v>
      </c>
      <c r="C163" s="38" t="s">
        <v>312</v>
      </c>
      <c r="D163" s="38" t="s">
        <v>127</v>
      </c>
      <c r="E163" s="38" t="s">
        <v>313</v>
      </c>
      <c r="F163" s="38" t="s">
        <v>336</v>
      </c>
      <c r="G163" s="39" t="s">
        <v>72</v>
      </c>
      <c r="H163" s="39"/>
      <c r="I163" s="40" t="s">
        <v>109</v>
      </c>
      <c r="J163" s="40"/>
      <c r="K163" s="40"/>
      <c r="L163" s="41" t="n">
        <v>46258</v>
      </c>
      <c r="M163" s="42" t="s">
        <v>92</v>
      </c>
      <c r="N163" s="43" t="n">
        <f aca="false">IF(OR($L163="",$M163=""),"",$L163+MATCH($M163,Listas!$F$5:$F$11,0)-1)</f>
        <v>46261</v>
      </c>
      <c r="O163" s="44"/>
      <c r="P163" s="39" t="s">
        <v>79</v>
      </c>
      <c r="Q163" s="44"/>
      <c r="R163" s="38"/>
      <c r="S163" s="38"/>
      <c r="T163" s="36" t="str">
        <f aca="false">IF($F163="","",IF(ISNUMBER(SEARCH("(externo)",$I163&amp;$J163&amp;$K163)),"Terceirizada","Interna"))</f>
        <v>Terceirizada</v>
      </c>
      <c r="U163" s="43" t="n">
        <f aca="false">IF($N163="","",IF($Q163="",$N163,$Q163))</f>
        <v>46261</v>
      </c>
      <c r="V163" s="36" t="n">
        <f aca="false">IF($F163="","",IF(OR($O163="",$N163=""),0,IF($O163&lt;=$N163,1,0)))</f>
        <v>0</v>
      </c>
      <c r="W163" s="36" t="n">
        <f aca="false">IF($F163="","",IF(OR($O163="",$U163=""),0,IF($O163&lt;=$U163,1,0)))</f>
        <v>0</v>
      </c>
      <c r="X163" s="37" t="str">
        <f aca="false">IF(OR($O163="",$N163=""),"",MAX(0,$O163-$N163))</f>
        <v/>
      </c>
      <c r="Y163" s="36" t="n">
        <f aca="false">IF($F163="","",IF(AND($Q163&lt;&gt;"",$N163&lt;&gt;"",$Q163&lt;&gt;$N163),1,0))</f>
        <v>0</v>
      </c>
      <c r="Z163" s="36" t="n">
        <f aca="false">IF($F163="","",IF($P163="Cancelada",0,IF(OR($O163&lt;&gt;"",$P163="Concluída"),1,0)))</f>
        <v>0</v>
      </c>
    </row>
    <row r="164" customFormat="false" ht="16.5" hidden="false" customHeight="true" outlineLevel="0" collapsed="false">
      <c r="A164" s="36" t="n">
        <f aca="false">IF($F164="","",COUNTA($F$5:$F164))</f>
        <v>160</v>
      </c>
      <c r="B164" s="37" t="str">
        <f aca="true">IF($F164="","",IF($P164="Cancelada","Cancelada",IF(OR($O164&lt;&gt;"",$P164="Concluída"),IF(OR($N164="",$O164="",$O164&lt;=$N164),"Concluída","Concluída com atraso"),IF($N164="","Na carteira",IF($N164&lt;TODAY(),"VENCIDA",IF($P164="Em execução","Em execução",IF($N164=TODAY(),"Hoje","Programada")))))))</f>
        <v>Em execução</v>
      </c>
      <c r="C164" s="38" t="s">
        <v>312</v>
      </c>
      <c r="D164" s="38" t="s">
        <v>127</v>
      </c>
      <c r="E164" s="38" t="s">
        <v>313</v>
      </c>
      <c r="F164" s="38" t="s">
        <v>337</v>
      </c>
      <c r="G164" s="39" t="s">
        <v>72</v>
      </c>
      <c r="H164" s="39"/>
      <c r="I164" s="40" t="s">
        <v>109</v>
      </c>
      <c r="J164" s="40"/>
      <c r="K164" s="40"/>
      <c r="L164" s="41" t="n">
        <v>46258</v>
      </c>
      <c r="M164" s="42" t="s">
        <v>97</v>
      </c>
      <c r="N164" s="43" t="n">
        <f aca="false">IF(OR($L164="",$M164=""),"",$L164+MATCH($M164,Listas!$F$5:$F$11,0)-1)</f>
        <v>46262</v>
      </c>
      <c r="O164" s="44"/>
      <c r="P164" s="39" t="s">
        <v>79</v>
      </c>
      <c r="Q164" s="44"/>
      <c r="R164" s="38"/>
      <c r="S164" s="38"/>
      <c r="T164" s="36" t="str">
        <f aca="false">IF($F164="","",IF(ISNUMBER(SEARCH("(externo)",$I164&amp;$J164&amp;$K164)),"Terceirizada","Interna"))</f>
        <v>Terceirizada</v>
      </c>
      <c r="U164" s="43" t="n">
        <f aca="false">IF($N164="","",IF($Q164="",$N164,$Q164))</f>
        <v>46262</v>
      </c>
      <c r="V164" s="36" t="n">
        <f aca="false">IF($F164="","",IF(OR($O164="",$N164=""),0,IF($O164&lt;=$N164,1,0)))</f>
        <v>0</v>
      </c>
      <c r="W164" s="36" t="n">
        <f aca="false">IF($F164="","",IF(OR($O164="",$U164=""),0,IF($O164&lt;=$U164,1,0)))</f>
        <v>0</v>
      </c>
      <c r="X164" s="37" t="str">
        <f aca="false">IF(OR($O164="",$N164=""),"",MAX(0,$O164-$N164))</f>
        <v/>
      </c>
      <c r="Y164" s="36" t="n">
        <f aca="false">IF($F164="","",IF(AND($Q164&lt;&gt;"",$N164&lt;&gt;"",$Q164&lt;&gt;$N164),1,0))</f>
        <v>0</v>
      </c>
      <c r="Z164" s="36" t="n">
        <f aca="false">IF($F164="","",IF($P164="Cancelada",0,IF(OR($O164&lt;&gt;"",$P164="Concluída"),1,0)))</f>
        <v>0</v>
      </c>
    </row>
    <row r="165" customFormat="false" ht="16.5" hidden="false" customHeight="true" outlineLevel="0" collapsed="false">
      <c r="A165" s="36" t="n">
        <f aca="false">IF($F165="","",COUNTA($F$5:$F165))</f>
        <v>161</v>
      </c>
      <c r="B165" s="37" t="str">
        <f aca="true">IF($F165="","",IF($P165="Cancelada","Cancelada",IF(OR($O165&lt;&gt;"",$P165="Concluída"),IF(OR($N165="",$O165="",$O165&lt;=$N165),"Concluída","Concluída com atraso"),IF($N165="","Na carteira",IF($N165&lt;TODAY(),"VENCIDA",IF($P165="Em execução","Em execução",IF($N165=TODAY(),"Hoje","Programada")))))))</f>
        <v>Em execução</v>
      </c>
      <c r="C165" s="38" t="s">
        <v>312</v>
      </c>
      <c r="D165" s="38" t="s">
        <v>127</v>
      </c>
      <c r="E165" s="38" t="s">
        <v>313</v>
      </c>
      <c r="F165" s="38" t="s">
        <v>338</v>
      </c>
      <c r="G165" s="39" t="s">
        <v>72</v>
      </c>
      <c r="H165" s="39"/>
      <c r="I165" s="40" t="s">
        <v>109</v>
      </c>
      <c r="J165" s="40"/>
      <c r="K165" s="40"/>
      <c r="L165" s="41" t="n">
        <v>46258</v>
      </c>
      <c r="M165" s="42" t="s">
        <v>97</v>
      </c>
      <c r="N165" s="43" t="n">
        <f aca="false">IF(OR($L165="",$M165=""),"",$L165+MATCH($M165,Listas!$F$5:$F$11,0)-1)</f>
        <v>46262</v>
      </c>
      <c r="O165" s="44"/>
      <c r="P165" s="39" t="s">
        <v>79</v>
      </c>
      <c r="Q165" s="44"/>
      <c r="R165" s="38"/>
      <c r="S165" s="38"/>
      <c r="T165" s="36" t="str">
        <f aca="false">IF($F165="","",IF(ISNUMBER(SEARCH("(externo)",$I165&amp;$J165&amp;$K165)),"Terceirizada","Interna"))</f>
        <v>Terceirizada</v>
      </c>
      <c r="U165" s="43" t="n">
        <f aca="false">IF($N165="","",IF($Q165="",$N165,$Q165))</f>
        <v>46262</v>
      </c>
      <c r="V165" s="36" t="n">
        <f aca="false">IF($F165="","",IF(OR($O165="",$N165=""),0,IF($O165&lt;=$N165,1,0)))</f>
        <v>0</v>
      </c>
      <c r="W165" s="36" t="n">
        <f aca="false">IF($F165="","",IF(OR($O165="",$U165=""),0,IF($O165&lt;=$U165,1,0)))</f>
        <v>0</v>
      </c>
      <c r="X165" s="37" t="str">
        <f aca="false">IF(OR($O165="",$N165=""),"",MAX(0,$O165-$N165))</f>
        <v/>
      </c>
      <c r="Y165" s="36" t="n">
        <f aca="false">IF($F165="","",IF(AND($Q165&lt;&gt;"",$N165&lt;&gt;"",$Q165&lt;&gt;$N165),1,0))</f>
        <v>0</v>
      </c>
      <c r="Z165" s="36" t="n">
        <f aca="false">IF($F165="","",IF($P165="Cancelada",0,IF(OR($O165&lt;&gt;"",$P165="Concluída"),1,0)))</f>
        <v>0</v>
      </c>
    </row>
    <row r="166" customFormat="false" ht="16.5" hidden="false" customHeight="true" outlineLevel="0" collapsed="false">
      <c r="A166" s="36" t="n">
        <f aca="false">IF($F166="","",COUNTA($F$5:$F166))</f>
        <v>162</v>
      </c>
      <c r="B166" s="37" t="str">
        <f aca="true">IF($F166="","",IF($P166="Cancelada","Cancelada",IF(OR($O166&lt;&gt;"",$P166="Concluída"),IF(OR($N166="",$O166="",$O166&lt;=$N166),"Concluída","Concluída com atraso"),IF($N166="","Na carteira",IF($N166&lt;TODAY(),"VENCIDA",IF($P166="Em execução","Em execução",IF($N166=TODAY(),"Hoje","Programada")))))))</f>
        <v>Em execução</v>
      </c>
      <c r="C166" s="38" t="s">
        <v>312</v>
      </c>
      <c r="D166" s="38" t="s">
        <v>127</v>
      </c>
      <c r="E166" s="38" t="s">
        <v>313</v>
      </c>
      <c r="F166" s="38" t="s">
        <v>339</v>
      </c>
      <c r="G166" s="39" t="s">
        <v>72</v>
      </c>
      <c r="H166" s="39"/>
      <c r="I166" s="40" t="s">
        <v>109</v>
      </c>
      <c r="J166" s="40"/>
      <c r="K166" s="40"/>
      <c r="L166" s="41" t="n">
        <v>46258</v>
      </c>
      <c r="M166" s="42" t="s">
        <v>97</v>
      </c>
      <c r="N166" s="43" t="n">
        <f aca="false">IF(OR($L166="",$M166=""),"",$L166+MATCH($M166,Listas!$F$5:$F$11,0)-1)</f>
        <v>46262</v>
      </c>
      <c r="O166" s="44"/>
      <c r="P166" s="39" t="s">
        <v>79</v>
      </c>
      <c r="Q166" s="44"/>
      <c r="R166" s="38"/>
      <c r="S166" s="38"/>
      <c r="T166" s="36" t="str">
        <f aca="false">IF($F166="","",IF(ISNUMBER(SEARCH("(externo)",$I166&amp;$J166&amp;$K166)),"Terceirizada","Interna"))</f>
        <v>Terceirizada</v>
      </c>
      <c r="U166" s="43" t="n">
        <f aca="false">IF($N166="","",IF($Q166="",$N166,$Q166))</f>
        <v>46262</v>
      </c>
      <c r="V166" s="36" t="n">
        <f aca="false">IF($F166="","",IF(OR($O166="",$N166=""),0,IF($O166&lt;=$N166,1,0)))</f>
        <v>0</v>
      </c>
      <c r="W166" s="36" t="n">
        <f aca="false">IF($F166="","",IF(OR($O166="",$U166=""),0,IF($O166&lt;=$U166,1,0)))</f>
        <v>0</v>
      </c>
      <c r="X166" s="37" t="str">
        <f aca="false">IF(OR($O166="",$N166=""),"",MAX(0,$O166-$N166))</f>
        <v/>
      </c>
      <c r="Y166" s="36" t="n">
        <f aca="false">IF($F166="","",IF(AND($Q166&lt;&gt;"",$N166&lt;&gt;"",$Q166&lt;&gt;$N166),1,0))</f>
        <v>0</v>
      </c>
      <c r="Z166" s="36" t="n">
        <f aca="false">IF($F166="","",IF($P166="Cancelada",0,IF(OR($O166&lt;&gt;"",$P166="Concluída"),1,0)))</f>
        <v>0</v>
      </c>
    </row>
    <row r="167" customFormat="false" ht="16.5" hidden="false" customHeight="true" outlineLevel="0" collapsed="false">
      <c r="A167" s="36" t="n">
        <f aca="false">IF($F167="","",COUNTA($F$5:$F167))</f>
        <v>163</v>
      </c>
      <c r="B167" s="37" t="str">
        <f aca="true">IF($F167="","",IF($P167="Cancelada","Cancelada",IF(OR($O167&lt;&gt;"",$P167="Concluída"),IF(OR($N167="",$O167="",$O167&lt;=$N167),"Concluída","Concluída com atraso"),IF($N167="","Na carteira",IF($N167&lt;TODAY(),"VENCIDA",IF($P167="Em execução","Em execução",IF($N167=TODAY(),"Hoje","Programada")))))))</f>
        <v>Em execução</v>
      </c>
      <c r="C167" s="38" t="s">
        <v>312</v>
      </c>
      <c r="D167" s="38" t="s">
        <v>127</v>
      </c>
      <c r="E167" s="38" t="s">
        <v>313</v>
      </c>
      <c r="F167" s="38" t="s">
        <v>340</v>
      </c>
      <c r="G167" s="39" t="s">
        <v>72</v>
      </c>
      <c r="H167" s="39"/>
      <c r="I167" s="40" t="s">
        <v>109</v>
      </c>
      <c r="J167" s="40"/>
      <c r="K167" s="40"/>
      <c r="L167" s="41" t="n">
        <v>46258</v>
      </c>
      <c r="M167" s="42" t="s">
        <v>97</v>
      </c>
      <c r="N167" s="43" t="n">
        <f aca="false">IF(OR($L167="",$M167=""),"",$L167+MATCH($M167,Listas!$F$5:$F$11,0)-1)</f>
        <v>46262</v>
      </c>
      <c r="O167" s="44"/>
      <c r="P167" s="39" t="s">
        <v>79</v>
      </c>
      <c r="Q167" s="44"/>
      <c r="R167" s="38"/>
      <c r="S167" s="38"/>
      <c r="T167" s="36" t="str">
        <f aca="false">IF($F167="","",IF(ISNUMBER(SEARCH("(externo)",$I167&amp;$J167&amp;$K167)),"Terceirizada","Interna"))</f>
        <v>Terceirizada</v>
      </c>
      <c r="U167" s="43" t="n">
        <f aca="false">IF($N167="","",IF($Q167="",$N167,$Q167))</f>
        <v>46262</v>
      </c>
      <c r="V167" s="36" t="n">
        <f aca="false">IF($F167="","",IF(OR($O167="",$N167=""),0,IF($O167&lt;=$N167,1,0)))</f>
        <v>0</v>
      </c>
      <c r="W167" s="36" t="n">
        <f aca="false">IF($F167="","",IF(OR($O167="",$U167=""),0,IF($O167&lt;=$U167,1,0)))</f>
        <v>0</v>
      </c>
      <c r="X167" s="37" t="str">
        <f aca="false">IF(OR($O167="",$N167=""),"",MAX(0,$O167-$N167))</f>
        <v/>
      </c>
      <c r="Y167" s="36" t="n">
        <f aca="false">IF($F167="","",IF(AND($Q167&lt;&gt;"",$N167&lt;&gt;"",$Q167&lt;&gt;$N167),1,0))</f>
        <v>0</v>
      </c>
      <c r="Z167" s="36" t="n">
        <f aca="false">IF($F167="","",IF($P167="Cancelada",0,IF(OR($O167&lt;&gt;"",$P167="Concluída"),1,0)))</f>
        <v>0</v>
      </c>
    </row>
    <row r="168" customFormat="false" ht="16.5" hidden="false" customHeight="true" outlineLevel="0" collapsed="false">
      <c r="A168" s="36" t="n">
        <f aca="false">IF($F168="","",COUNTA($F$5:$F168))</f>
        <v>164</v>
      </c>
      <c r="B168" s="37" t="str">
        <f aca="true">IF($F168="","",IF($P168="Cancelada","Cancelada",IF(OR($O168&lt;&gt;"",$P168="Concluída"),IF(OR($N168="",$O168="",$O168&lt;=$N168),"Concluída","Concluída com atraso"),IF($N168="","Na carteira",IF($N168&lt;TODAY(),"VENCIDA",IF($P168="Em execução","Em execução",IF($N168=TODAY(),"Hoje","Programada")))))))</f>
        <v>Em execução</v>
      </c>
      <c r="C168" s="38" t="s">
        <v>312</v>
      </c>
      <c r="D168" s="38" t="s">
        <v>127</v>
      </c>
      <c r="E168" s="38" t="s">
        <v>313</v>
      </c>
      <c r="F168" s="38" t="s">
        <v>341</v>
      </c>
      <c r="G168" s="39" t="s">
        <v>72</v>
      </c>
      <c r="H168" s="39"/>
      <c r="I168" s="40" t="s">
        <v>109</v>
      </c>
      <c r="J168" s="40"/>
      <c r="K168" s="40"/>
      <c r="L168" s="41" t="n">
        <v>46258</v>
      </c>
      <c r="M168" s="42" t="s">
        <v>97</v>
      </c>
      <c r="N168" s="43" t="n">
        <f aca="false">IF(OR($L168="",$M168=""),"",$L168+MATCH($M168,Listas!$F$5:$F$11,0)-1)</f>
        <v>46262</v>
      </c>
      <c r="O168" s="44"/>
      <c r="P168" s="39" t="s">
        <v>79</v>
      </c>
      <c r="Q168" s="44"/>
      <c r="R168" s="38"/>
      <c r="S168" s="38"/>
      <c r="T168" s="36" t="str">
        <f aca="false">IF($F168="","",IF(ISNUMBER(SEARCH("(externo)",$I168&amp;$J168&amp;$K168)),"Terceirizada","Interna"))</f>
        <v>Terceirizada</v>
      </c>
      <c r="U168" s="43" t="n">
        <f aca="false">IF($N168="","",IF($Q168="",$N168,$Q168))</f>
        <v>46262</v>
      </c>
      <c r="V168" s="36" t="n">
        <f aca="false">IF($F168="","",IF(OR($O168="",$N168=""),0,IF($O168&lt;=$N168,1,0)))</f>
        <v>0</v>
      </c>
      <c r="W168" s="36" t="n">
        <f aca="false">IF($F168="","",IF(OR($O168="",$U168=""),0,IF($O168&lt;=$U168,1,0)))</f>
        <v>0</v>
      </c>
      <c r="X168" s="37" t="str">
        <f aca="false">IF(OR($O168="",$N168=""),"",MAX(0,$O168-$N168))</f>
        <v/>
      </c>
      <c r="Y168" s="36" t="n">
        <f aca="false">IF($F168="","",IF(AND($Q168&lt;&gt;"",$N168&lt;&gt;"",$Q168&lt;&gt;$N168),1,0))</f>
        <v>0</v>
      </c>
      <c r="Z168" s="36" t="n">
        <f aca="false">IF($F168="","",IF($P168="Cancelada",0,IF(OR($O168&lt;&gt;"",$P168="Concluída"),1,0)))</f>
        <v>0</v>
      </c>
    </row>
    <row r="169" customFormat="false" ht="16.5" hidden="false" customHeight="true" outlineLevel="0" collapsed="false">
      <c r="A169" s="36" t="n">
        <f aca="false">IF($F169="","",COUNTA($F$5:$F169))</f>
        <v>165</v>
      </c>
      <c r="B169" s="37" t="str">
        <f aca="true">IF($F169="","",IF($P169="Cancelada","Cancelada",IF(OR($O169&lt;&gt;"",$P169="Concluída"),IF(OR($N169="",$O169="",$O169&lt;=$N169),"Concluída","Concluída com atraso"),IF($N169="","Na carteira",IF($N169&lt;TODAY(),"VENCIDA",IF($P169="Em execução","Em execução",IF($N169=TODAY(),"Hoje","Programada")))))))</f>
        <v>Em execução</v>
      </c>
      <c r="C169" s="38" t="s">
        <v>312</v>
      </c>
      <c r="D169" s="38" t="s">
        <v>127</v>
      </c>
      <c r="E169" s="38" t="s">
        <v>313</v>
      </c>
      <c r="F169" s="38" t="s">
        <v>342</v>
      </c>
      <c r="G169" s="39" t="s">
        <v>72</v>
      </c>
      <c r="H169" s="39"/>
      <c r="I169" s="40" t="s">
        <v>109</v>
      </c>
      <c r="J169" s="40"/>
      <c r="K169" s="40"/>
      <c r="L169" s="41" t="n">
        <v>46258</v>
      </c>
      <c r="M169" s="42" t="s">
        <v>97</v>
      </c>
      <c r="N169" s="43" t="n">
        <f aca="false">IF(OR($L169="",$M169=""),"",$L169+MATCH($M169,Listas!$F$5:$F$11,0)-1)</f>
        <v>46262</v>
      </c>
      <c r="O169" s="44"/>
      <c r="P169" s="39" t="s">
        <v>79</v>
      </c>
      <c r="Q169" s="44"/>
      <c r="R169" s="38"/>
      <c r="S169" s="38"/>
      <c r="T169" s="36" t="str">
        <f aca="false">IF($F169="","",IF(ISNUMBER(SEARCH("(externo)",$I169&amp;$J169&amp;$K169)),"Terceirizada","Interna"))</f>
        <v>Terceirizada</v>
      </c>
      <c r="U169" s="43" t="n">
        <f aca="false">IF($N169="","",IF($Q169="",$N169,$Q169))</f>
        <v>46262</v>
      </c>
      <c r="V169" s="36" t="n">
        <f aca="false">IF($F169="","",IF(OR($O169="",$N169=""),0,IF($O169&lt;=$N169,1,0)))</f>
        <v>0</v>
      </c>
      <c r="W169" s="36" t="n">
        <f aca="false">IF($F169="","",IF(OR($O169="",$U169=""),0,IF($O169&lt;=$U169,1,0)))</f>
        <v>0</v>
      </c>
      <c r="X169" s="37" t="str">
        <f aca="false">IF(OR($O169="",$N169=""),"",MAX(0,$O169-$N169))</f>
        <v/>
      </c>
      <c r="Y169" s="36" t="n">
        <f aca="false">IF($F169="","",IF(AND($Q169&lt;&gt;"",$N169&lt;&gt;"",$Q169&lt;&gt;$N169),1,0))</f>
        <v>0</v>
      </c>
      <c r="Z169" s="36" t="n">
        <f aca="false">IF($F169="","",IF($P169="Cancelada",0,IF(OR($O169&lt;&gt;"",$P169="Concluída"),1,0)))</f>
        <v>0</v>
      </c>
    </row>
    <row r="170" customFormat="false" ht="16.5" hidden="false" customHeight="true" outlineLevel="0" collapsed="false">
      <c r="A170" s="36" t="n">
        <f aca="false">IF($F170="","",COUNTA($F$5:$F170))</f>
        <v>166</v>
      </c>
      <c r="B170" s="37" t="str">
        <f aca="true">IF($F170="","",IF($P170="Cancelada","Cancelada",IF(OR($O170&lt;&gt;"",$P170="Concluída"),IF(OR($N170="",$O170="",$O170&lt;=$N170),"Concluída","Concluída com atraso"),IF($N170="","Na carteira",IF($N170&lt;TODAY(),"VENCIDA",IF($P170="Em execução","Em execução",IF($N170=TODAY(),"Hoje","Programada")))))))</f>
        <v>Em execução</v>
      </c>
      <c r="C170" s="38" t="s">
        <v>312</v>
      </c>
      <c r="D170" s="38" t="s">
        <v>127</v>
      </c>
      <c r="E170" s="38" t="s">
        <v>313</v>
      </c>
      <c r="F170" s="38" t="s">
        <v>343</v>
      </c>
      <c r="G170" s="39" t="s">
        <v>72</v>
      </c>
      <c r="H170" s="39"/>
      <c r="I170" s="40" t="s">
        <v>109</v>
      </c>
      <c r="J170" s="40"/>
      <c r="K170" s="40"/>
      <c r="L170" s="41" t="n">
        <v>46258</v>
      </c>
      <c r="M170" s="42" t="s">
        <v>97</v>
      </c>
      <c r="N170" s="43" t="n">
        <f aca="false">IF(OR($L170="",$M170=""),"",$L170+MATCH($M170,Listas!$F$5:$F$11,0)-1)</f>
        <v>46262</v>
      </c>
      <c r="O170" s="44"/>
      <c r="P170" s="39" t="s">
        <v>79</v>
      </c>
      <c r="Q170" s="44"/>
      <c r="R170" s="38"/>
      <c r="S170" s="38"/>
      <c r="T170" s="36" t="str">
        <f aca="false">IF($F170="","",IF(ISNUMBER(SEARCH("(externo)",$I170&amp;$J170&amp;$K170)),"Terceirizada","Interna"))</f>
        <v>Terceirizada</v>
      </c>
      <c r="U170" s="43" t="n">
        <f aca="false">IF($N170="","",IF($Q170="",$N170,$Q170))</f>
        <v>46262</v>
      </c>
      <c r="V170" s="36" t="n">
        <f aca="false">IF($F170="","",IF(OR($O170="",$N170=""),0,IF($O170&lt;=$N170,1,0)))</f>
        <v>0</v>
      </c>
      <c r="W170" s="36" t="n">
        <f aca="false">IF($F170="","",IF(OR($O170="",$U170=""),0,IF($O170&lt;=$U170,1,0)))</f>
        <v>0</v>
      </c>
      <c r="X170" s="37" t="str">
        <f aca="false">IF(OR($O170="",$N170=""),"",MAX(0,$O170-$N170))</f>
        <v/>
      </c>
      <c r="Y170" s="36" t="n">
        <f aca="false">IF($F170="","",IF(AND($Q170&lt;&gt;"",$N170&lt;&gt;"",$Q170&lt;&gt;$N170),1,0))</f>
        <v>0</v>
      </c>
      <c r="Z170" s="36" t="n">
        <f aca="false">IF($F170="","",IF($P170="Cancelada",0,IF(OR($O170&lt;&gt;"",$P170="Concluída"),1,0)))</f>
        <v>0</v>
      </c>
    </row>
    <row r="171" customFormat="false" ht="16.5" hidden="false" customHeight="true" outlineLevel="0" collapsed="false">
      <c r="A171" s="36" t="n">
        <f aca="false">IF($F171="","",COUNTA($F$5:$F171))</f>
        <v>167</v>
      </c>
      <c r="B171" s="37" t="str">
        <f aca="true">IF($F171="","",IF($P171="Cancelada","Cancelada",IF(OR($O171&lt;&gt;"",$P171="Concluída"),IF(OR($N171="",$O171="",$O171&lt;=$N171),"Concluída","Concluída com atraso"),IF($N171="","Na carteira",IF($N171&lt;TODAY(),"VENCIDA",IF($P171="Em execução","Em execução",IF($N171=TODAY(),"Hoje","Programada")))))))</f>
        <v>Em execução</v>
      </c>
      <c r="C171" s="38" t="s">
        <v>312</v>
      </c>
      <c r="D171" s="38" t="s">
        <v>127</v>
      </c>
      <c r="E171" s="38" t="s">
        <v>313</v>
      </c>
      <c r="F171" s="38" t="s">
        <v>344</v>
      </c>
      <c r="G171" s="39" t="s">
        <v>72</v>
      </c>
      <c r="H171" s="39"/>
      <c r="I171" s="40" t="s">
        <v>109</v>
      </c>
      <c r="J171" s="40"/>
      <c r="K171" s="40"/>
      <c r="L171" s="41" t="n">
        <v>46258</v>
      </c>
      <c r="M171" s="42" t="s">
        <v>97</v>
      </c>
      <c r="N171" s="43" t="n">
        <f aca="false">IF(OR($L171="",$M171=""),"",$L171+MATCH($M171,Listas!$F$5:$F$11,0)-1)</f>
        <v>46262</v>
      </c>
      <c r="O171" s="44"/>
      <c r="P171" s="39" t="s">
        <v>79</v>
      </c>
      <c r="Q171" s="44"/>
      <c r="R171" s="38"/>
      <c r="S171" s="38"/>
      <c r="T171" s="36" t="str">
        <f aca="false">IF($F171="","",IF(ISNUMBER(SEARCH("(externo)",$I171&amp;$J171&amp;$K171)),"Terceirizada","Interna"))</f>
        <v>Terceirizada</v>
      </c>
      <c r="U171" s="43" t="n">
        <f aca="false">IF($N171="","",IF($Q171="",$N171,$Q171))</f>
        <v>46262</v>
      </c>
      <c r="V171" s="36" t="n">
        <f aca="false">IF($F171="","",IF(OR($O171="",$N171=""),0,IF($O171&lt;=$N171,1,0)))</f>
        <v>0</v>
      </c>
      <c r="W171" s="36" t="n">
        <f aca="false">IF($F171="","",IF(OR($O171="",$U171=""),0,IF($O171&lt;=$U171,1,0)))</f>
        <v>0</v>
      </c>
      <c r="X171" s="37" t="str">
        <f aca="false">IF(OR($O171="",$N171=""),"",MAX(0,$O171-$N171))</f>
        <v/>
      </c>
      <c r="Y171" s="36" t="n">
        <f aca="false">IF($F171="","",IF(AND($Q171&lt;&gt;"",$N171&lt;&gt;"",$Q171&lt;&gt;$N171),1,0))</f>
        <v>0</v>
      </c>
      <c r="Z171" s="36" t="n">
        <f aca="false">IF($F171="","",IF($P171="Cancelada",0,IF(OR($O171&lt;&gt;"",$P171="Concluída"),1,0)))</f>
        <v>0</v>
      </c>
    </row>
    <row r="172" customFormat="false" ht="16.5" hidden="false" customHeight="true" outlineLevel="0" collapsed="false">
      <c r="A172" s="36" t="n">
        <f aca="false">IF($F172="","",COUNTA($F$5:$F172))</f>
        <v>168</v>
      </c>
      <c r="B172" s="37" t="str">
        <f aca="true">IF($F172="","",IF($P172="Cancelada","Cancelada",IF(OR($O172&lt;&gt;"",$P172="Concluída"),IF(OR($N172="",$O172="",$O172&lt;=$N172),"Concluída","Concluída com atraso"),IF($N172="","Na carteira",IF($N172&lt;TODAY(),"VENCIDA",IF($P172="Em execução","Em execução",IF($N172=TODAY(),"Hoje","Programada")))))))</f>
        <v>Em execução</v>
      </c>
      <c r="C172" s="38" t="s">
        <v>312</v>
      </c>
      <c r="D172" s="38" t="s">
        <v>127</v>
      </c>
      <c r="E172" s="38" t="s">
        <v>313</v>
      </c>
      <c r="F172" s="38" t="s">
        <v>345</v>
      </c>
      <c r="G172" s="39" t="s">
        <v>72</v>
      </c>
      <c r="H172" s="39"/>
      <c r="I172" s="40" t="s">
        <v>109</v>
      </c>
      <c r="J172" s="40"/>
      <c r="K172" s="40"/>
      <c r="L172" s="41" t="n">
        <v>46258</v>
      </c>
      <c r="M172" s="42" t="s">
        <v>97</v>
      </c>
      <c r="N172" s="43" t="n">
        <f aca="false">IF(OR($L172="",$M172=""),"",$L172+MATCH($M172,Listas!$F$5:$F$11,0)-1)</f>
        <v>46262</v>
      </c>
      <c r="O172" s="44"/>
      <c r="P172" s="39" t="s">
        <v>79</v>
      </c>
      <c r="Q172" s="44"/>
      <c r="R172" s="38"/>
      <c r="S172" s="38"/>
      <c r="T172" s="36" t="str">
        <f aca="false">IF($F172="","",IF(ISNUMBER(SEARCH("(externo)",$I172&amp;$J172&amp;$K172)),"Terceirizada","Interna"))</f>
        <v>Terceirizada</v>
      </c>
      <c r="U172" s="43" t="n">
        <f aca="false">IF($N172="","",IF($Q172="",$N172,$Q172))</f>
        <v>46262</v>
      </c>
      <c r="V172" s="36" t="n">
        <f aca="false">IF($F172="","",IF(OR($O172="",$N172=""),0,IF($O172&lt;=$N172,1,0)))</f>
        <v>0</v>
      </c>
      <c r="W172" s="36" t="n">
        <f aca="false">IF($F172="","",IF(OR($O172="",$U172=""),0,IF($O172&lt;=$U172,1,0)))</f>
        <v>0</v>
      </c>
      <c r="X172" s="37" t="str">
        <f aca="false">IF(OR($O172="",$N172=""),"",MAX(0,$O172-$N172))</f>
        <v/>
      </c>
      <c r="Y172" s="36" t="n">
        <f aca="false">IF($F172="","",IF(AND($Q172&lt;&gt;"",$N172&lt;&gt;"",$Q172&lt;&gt;$N172),1,0))</f>
        <v>0</v>
      </c>
      <c r="Z172" s="36" t="n">
        <f aca="false">IF($F172="","",IF($P172="Cancelada",0,IF(OR($O172&lt;&gt;"",$P172="Concluída"),1,0)))</f>
        <v>0</v>
      </c>
    </row>
    <row r="173" customFormat="false" ht="16.5" hidden="false" customHeight="true" outlineLevel="0" collapsed="false">
      <c r="A173" s="36" t="n">
        <f aca="false">IF($F173="","",COUNTA($F$5:$F173))</f>
        <v>169</v>
      </c>
      <c r="B173" s="37" t="str">
        <f aca="true">IF($F173="","",IF($P173="Cancelada","Cancelada",IF(OR($O173&lt;&gt;"",$P173="Concluída"),IF(OR($N173="",$O173="",$O173&lt;=$N173),"Concluída","Concluída com atraso"),IF($N173="","Na carteira",IF($N173&lt;TODAY(),"VENCIDA",IF($P173="Em execução","Em execução",IF($N173=TODAY(),"Hoje","Programada")))))))</f>
        <v>Em execução</v>
      </c>
      <c r="C173" s="38" t="s">
        <v>312</v>
      </c>
      <c r="D173" s="38" t="s">
        <v>127</v>
      </c>
      <c r="E173" s="38" t="s">
        <v>313</v>
      </c>
      <c r="F173" s="38" t="s">
        <v>346</v>
      </c>
      <c r="G173" s="39" t="s">
        <v>72</v>
      </c>
      <c r="H173" s="39"/>
      <c r="I173" s="40" t="s">
        <v>109</v>
      </c>
      <c r="J173" s="40"/>
      <c r="K173" s="40"/>
      <c r="L173" s="41" t="n">
        <v>46258</v>
      </c>
      <c r="M173" s="42" t="s">
        <v>97</v>
      </c>
      <c r="N173" s="43" t="n">
        <f aca="false">IF(OR($L173="",$M173=""),"",$L173+MATCH($M173,Listas!$F$5:$F$11,0)-1)</f>
        <v>46262</v>
      </c>
      <c r="O173" s="44"/>
      <c r="P173" s="39" t="s">
        <v>79</v>
      </c>
      <c r="Q173" s="44"/>
      <c r="R173" s="38"/>
      <c r="S173" s="38"/>
      <c r="T173" s="36" t="str">
        <f aca="false">IF($F173="","",IF(ISNUMBER(SEARCH("(externo)",$I173&amp;$J173&amp;$K173)),"Terceirizada","Interna"))</f>
        <v>Terceirizada</v>
      </c>
      <c r="U173" s="43" t="n">
        <f aca="false">IF($N173="","",IF($Q173="",$N173,$Q173))</f>
        <v>46262</v>
      </c>
      <c r="V173" s="36" t="n">
        <f aca="false">IF($F173="","",IF(OR($O173="",$N173=""),0,IF($O173&lt;=$N173,1,0)))</f>
        <v>0</v>
      </c>
      <c r="W173" s="36" t="n">
        <f aca="false">IF($F173="","",IF(OR($O173="",$U173=""),0,IF($O173&lt;=$U173,1,0)))</f>
        <v>0</v>
      </c>
      <c r="X173" s="37" t="str">
        <f aca="false">IF(OR($O173="",$N173=""),"",MAX(0,$O173-$N173))</f>
        <v/>
      </c>
      <c r="Y173" s="36" t="n">
        <f aca="false">IF($F173="","",IF(AND($Q173&lt;&gt;"",$N173&lt;&gt;"",$Q173&lt;&gt;$N173),1,0))</f>
        <v>0</v>
      </c>
      <c r="Z173" s="36" t="n">
        <f aca="false">IF($F173="","",IF($P173="Cancelada",0,IF(OR($O173&lt;&gt;"",$P173="Concluída"),1,0)))</f>
        <v>0</v>
      </c>
    </row>
    <row r="174" customFormat="false" ht="16.5" hidden="false" customHeight="true" outlineLevel="0" collapsed="false">
      <c r="A174" s="36" t="n">
        <f aca="false">IF($F174="","",COUNTA($F$5:$F174))</f>
        <v>170</v>
      </c>
      <c r="B174" s="37" t="str">
        <f aca="true">IF($F174="","",IF($P174="Cancelada","Cancelada",IF(OR($O174&lt;&gt;"",$P174="Concluída"),IF(OR($N174="",$O174="",$O174&lt;=$N174),"Concluída","Concluída com atraso"),IF($N174="","Na carteira",IF($N174&lt;TODAY(),"VENCIDA",IF($P174="Em execução","Em execução",IF($N174=TODAY(),"Hoje","Programada")))))))</f>
        <v>Em execução</v>
      </c>
      <c r="C174" s="38" t="s">
        <v>312</v>
      </c>
      <c r="D174" s="38" t="s">
        <v>127</v>
      </c>
      <c r="E174" s="38" t="s">
        <v>313</v>
      </c>
      <c r="F174" s="38" t="s">
        <v>347</v>
      </c>
      <c r="G174" s="39" t="s">
        <v>72</v>
      </c>
      <c r="H174" s="39"/>
      <c r="I174" s="40" t="s">
        <v>109</v>
      </c>
      <c r="J174" s="40"/>
      <c r="K174" s="40"/>
      <c r="L174" s="41" t="n">
        <v>46258</v>
      </c>
      <c r="M174" s="42" t="s">
        <v>97</v>
      </c>
      <c r="N174" s="43" t="n">
        <f aca="false">IF(OR($L174="",$M174=""),"",$L174+MATCH($M174,Listas!$F$5:$F$11,0)-1)</f>
        <v>46262</v>
      </c>
      <c r="O174" s="44"/>
      <c r="P174" s="39" t="s">
        <v>79</v>
      </c>
      <c r="Q174" s="44"/>
      <c r="R174" s="38"/>
      <c r="S174" s="38"/>
      <c r="T174" s="36" t="str">
        <f aca="false">IF($F174="","",IF(ISNUMBER(SEARCH("(externo)",$I174&amp;$J174&amp;$K174)),"Terceirizada","Interna"))</f>
        <v>Terceirizada</v>
      </c>
      <c r="U174" s="43" t="n">
        <f aca="false">IF($N174="","",IF($Q174="",$N174,$Q174))</f>
        <v>46262</v>
      </c>
      <c r="V174" s="36" t="n">
        <f aca="false">IF($F174="","",IF(OR($O174="",$N174=""),0,IF($O174&lt;=$N174,1,0)))</f>
        <v>0</v>
      </c>
      <c r="W174" s="36" t="n">
        <f aca="false">IF($F174="","",IF(OR($O174="",$U174=""),0,IF($O174&lt;=$U174,1,0)))</f>
        <v>0</v>
      </c>
      <c r="X174" s="37" t="str">
        <f aca="false">IF(OR($O174="",$N174=""),"",MAX(0,$O174-$N174))</f>
        <v/>
      </c>
      <c r="Y174" s="36" t="n">
        <f aca="false">IF($F174="","",IF(AND($Q174&lt;&gt;"",$N174&lt;&gt;"",$Q174&lt;&gt;$N174),1,0))</f>
        <v>0</v>
      </c>
      <c r="Z174" s="36" t="n">
        <f aca="false">IF($F174="","",IF($P174="Cancelada",0,IF(OR($O174&lt;&gt;"",$P174="Concluída"),1,0)))</f>
        <v>0</v>
      </c>
    </row>
    <row r="175" customFormat="false" ht="16.5" hidden="false" customHeight="true" outlineLevel="0" collapsed="false">
      <c r="A175" s="36" t="n">
        <f aca="false">IF($F175="","",COUNTA($F$5:$F175))</f>
        <v>171</v>
      </c>
      <c r="B175" s="37" t="str">
        <f aca="true">IF($F175="","",IF($P175="Cancelada","Cancelada",IF(OR($O175&lt;&gt;"",$P175="Concluída"),IF(OR($N175="",$O175="",$O175&lt;=$N175),"Concluída","Concluída com atraso"),IF($N175="","Na carteira",IF($N175&lt;TODAY(),"VENCIDA",IF($P175="Em execução","Em execução",IF($N175=TODAY(),"Hoje","Programada")))))))</f>
        <v>VENCIDA</v>
      </c>
      <c r="C175" s="38"/>
      <c r="D175" s="38" t="s">
        <v>71</v>
      </c>
      <c r="E175" s="38" t="s">
        <v>162</v>
      </c>
      <c r="F175" s="38" t="s">
        <v>348</v>
      </c>
      <c r="G175" s="39" t="s">
        <v>72</v>
      </c>
      <c r="H175" s="39"/>
      <c r="I175" s="40" t="s">
        <v>76</v>
      </c>
      <c r="J175" s="40" t="s">
        <v>102</v>
      </c>
      <c r="K175" s="40"/>
      <c r="L175" s="41" t="n">
        <v>46258</v>
      </c>
      <c r="M175" s="42" t="s">
        <v>87</v>
      </c>
      <c r="N175" s="43" t="n">
        <f aca="false">IF(OR($L175="",$M175=""),"",$L175+MATCH($M175,Listas!$F$5:$F$11,0)-1)</f>
        <v>46260</v>
      </c>
      <c r="O175" s="44"/>
      <c r="P175" s="39"/>
      <c r="Q175" s="44"/>
      <c r="R175" s="38"/>
      <c r="S175" s="38"/>
      <c r="T175" s="36" t="str">
        <f aca="false">IF($F175="","",IF(ISNUMBER(SEARCH("(externo)",$I175&amp;$J175&amp;$K175)),"Terceirizada","Interna"))</f>
        <v>Interna</v>
      </c>
      <c r="U175" s="43" t="n">
        <f aca="false">IF($N175="","",IF($Q175="",$N175,$Q175))</f>
        <v>46260</v>
      </c>
      <c r="V175" s="36" t="n">
        <f aca="false">IF($F175="","",IF(OR($O175="",$N175=""),0,IF($O175&lt;=$N175,1,0)))</f>
        <v>0</v>
      </c>
      <c r="W175" s="36" t="n">
        <f aca="false">IF($F175="","",IF(OR($O175="",$U175=""),0,IF($O175&lt;=$U175,1,0)))</f>
        <v>0</v>
      </c>
      <c r="X175" s="37" t="str">
        <f aca="false">IF(OR($O175="",$N175=""),"",MAX(0,$O175-$N175))</f>
        <v/>
      </c>
      <c r="Y175" s="36" t="n">
        <f aca="false">IF($F175="","",IF(AND($Q175&lt;&gt;"",$N175&lt;&gt;"",$Q175&lt;&gt;$N175),1,0))</f>
        <v>0</v>
      </c>
      <c r="Z175" s="36" t="n">
        <f aca="false">IF($F175="","",IF($P175="Cancelada",0,IF(OR($O175&lt;&gt;"",$P175="Concluída"),1,0)))</f>
        <v>0</v>
      </c>
    </row>
    <row r="176" customFormat="false" ht="16.5" hidden="false" customHeight="true" outlineLevel="0" collapsed="false">
      <c r="A176" s="36" t="n">
        <f aca="false">IF($F176="","",COUNTA($F$5:$F176))</f>
        <v>172</v>
      </c>
      <c r="B176" s="37" t="str">
        <f aca="true">IF($F176="","",IF($P176="Cancelada","Cancelada",IF(OR($O176&lt;&gt;"",$P176="Concluída"),IF(OR($N176="",$O176="",$O176&lt;=$N176),"Concluída","Concluída com atraso"),IF($N176="","Na carteira",IF($N176&lt;TODAY(),"VENCIDA",IF($P176="Em execução","Em execução",IF($N176=TODAY(),"Hoje","Programada")))))))</f>
        <v>VENCIDA</v>
      </c>
      <c r="C176" s="38"/>
      <c r="D176" s="38" t="s">
        <v>77</v>
      </c>
      <c r="E176" s="38" t="s">
        <v>162</v>
      </c>
      <c r="F176" s="38" t="s">
        <v>348</v>
      </c>
      <c r="G176" s="39" t="s">
        <v>72</v>
      </c>
      <c r="H176" s="39"/>
      <c r="I176" s="40" t="s">
        <v>76</v>
      </c>
      <c r="J176" s="40" t="s">
        <v>102</v>
      </c>
      <c r="K176" s="40"/>
      <c r="L176" s="41" t="n">
        <v>46258</v>
      </c>
      <c r="M176" s="42" t="s">
        <v>87</v>
      </c>
      <c r="N176" s="43" t="n">
        <f aca="false">IF(OR($L176="",$M176=""),"",$L176+MATCH($M176,Listas!$F$5:$F$11,0)-1)</f>
        <v>46260</v>
      </c>
      <c r="O176" s="44"/>
      <c r="P176" s="39"/>
      <c r="Q176" s="44"/>
      <c r="R176" s="38"/>
      <c r="S176" s="38"/>
      <c r="T176" s="36" t="str">
        <f aca="false">IF($F176="","",IF(ISNUMBER(SEARCH("(externo)",$I176&amp;$J176&amp;$K176)),"Terceirizada","Interna"))</f>
        <v>Interna</v>
      </c>
      <c r="U176" s="43" t="n">
        <f aca="false">IF($N176="","",IF($Q176="",$N176,$Q176))</f>
        <v>46260</v>
      </c>
      <c r="V176" s="36" t="n">
        <f aca="false">IF($F176="","",IF(OR($O176="",$N176=""),0,IF($O176&lt;=$N176,1,0)))</f>
        <v>0</v>
      </c>
      <c r="W176" s="36" t="n">
        <f aca="false">IF($F176="","",IF(OR($O176="",$U176=""),0,IF($O176&lt;=$U176,1,0)))</f>
        <v>0</v>
      </c>
      <c r="X176" s="37" t="str">
        <f aca="false">IF(OR($O176="",$N176=""),"",MAX(0,$O176-$N176))</f>
        <v/>
      </c>
      <c r="Y176" s="36" t="n">
        <f aca="false">IF($F176="","",IF(AND($Q176&lt;&gt;"",$N176&lt;&gt;"",$Q176&lt;&gt;$N176),1,0))</f>
        <v>0</v>
      </c>
      <c r="Z176" s="36" t="n">
        <f aca="false">IF($F176="","",IF($P176="Cancelada",0,IF(OR($O176&lt;&gt;"",$P176="Concluída"),1,0)))</f>
        <v>0</v>
      </c>
    </row>
    <row r="177" customFormat="false" ht="16.5" hidden="false" customHeight="true" outlineLevel="0" collapsed="false">
      <c r="A177" s="36" t="str">
        <f aca="false">IF($F177="","",COUNTA($F$5:$F177))</f>
        <v/>
      </c>
      <c r="B177" s="37" t="str">
        <f aca="true">IF($F177="","",IF($P177="Cancelada","Cancelada",IF(OR($O177&lt;&gt;"",$P177="Concluída"),IF(OR($N177="",$O177="",$O177&lt;=$N177),"Concluída","Concluída com atraso"),IF($N177="","Na carteira",IF($N177&lt;TODAY(),"VENCIDA",IF($P177="Em execução","Em execução",IF($N177=TODAY(),"Hoje","Programada")))))))</f>
        <v/>
      </c>
      <c r="C177" s="38"/>
      <c r="D177" s="38"/>
      <c r="E177" s="38"/>
      <c r="F177" s="38"/>
      <c r="G177" s="39"/>
      <c r="H177" s="39"/>
      <c r="I177" s="40"/>
      <c r="J177" s="40"/>
      <c r="K177" s="40"/>
      <c r="L177" s="41"/>
      <c r="M177" s="42"/>
      <c r="N177" s="43" t="str">
        <f aca="false">IF(OR($L177="",$M177=""),"",$L177+MATCH($M177,Listas!$F$5:$F$11,0)-1)</f>
        <v/>
      </c>
      <c r="O177" s="44"/>
      <c r="P177" s="39"/>
      <c r="Q177" s="44"/>
      <c r="R177" s="38"/>
      <c r="S177" s="38"/>
      <c r="T177" s="36" t="str">
        <f aca="false">IF($F177="","",IF(ISNUMBER(SEARCH("(externo)",$I177&amp;$J177&amp;$K177)),"Terceirizada","Interna"))</f>
        <v/>
      </c>
      <c r="U177" s="43" t="str">
        <f aca="false">IF($N177="","",IF($Q177="",$N177,$Q177))</f>
        <v/>
      </c>
      <c r="V177" s="36" t="str">
        <f aca="false">IF($F177="","",IF(OR($O177="",$N177=""),0,IF($O177&lt;=$N177,1,0)))</f>
        <v/>
      </c>
      <c r="W177" s="36" t="str">
        <f aca="false">IF($F177="","",IF(OR($O177="",$U177=""),0,IF($O177&lt;=$U177,1,0)))</f>
        <v/>
      </c>
      <c r="X177" s="37" t="str">
        <f aca="false">IF(OR($O177="",$N177=""),"",MAX(0,$O177-$N177))</f>
        <v/>
      </c>
      <c r="Y177" s="36" t="str">
        <f aca="false">IF($F177="","",IF(AND($Q177&lt;&gt;"",$N177&lt;&gt;"",$Q177&lt;&gt;$N177),1,0))</f>
        <v/>
      </c>
      <c r="Z177" s="36" t="str">
        <f aca="false">IF($F177="","",IF($P177="Cancelada",0,IF(OR($O177&lt;&gt;"",$P177="Concluída"),1,0)))</f>
        <v/>
      </c>
    </row>
    <row r="178" customFormat="false" ht="16.5" hidden="false" customHeight="true" outlineLevel="0" collapsed="false">
      <c r="A178" s="36" t="str">
        <f aca="false">IF($F178="","",COUNTA($F$5:$F178))</f>
        <v/>
      </c>
      <c r="B178" s="37" t="str">
        <f aca="true">IF($F178="","",IF($P178="Cancelada","Cancelada",IF(OR($O178&lt;&gt;"",$P178="Concluída"),IF(OR($N178="",$O178="",$O178&lt;=$N178),"Concluída","Concluída com atraso"),IF($N178="","Na carteira",IF($N178&lt;TODAY(),"VENCIDA",IF($P178="Em execução","Em execução",IF($N178=TODAY(),"Hoje","Programada")))))))</f>
        <v/>
      </c>
      <c r="C178" s="38"/>
      <c r="D178" s="38"/>
      <c r="E178" s="38"/>
      <c r="F178" s="38"/>
      <c r="G178" s="39"/>
      <c r="H178" s="39"/>
      <c r="I178" s="40"/>
      <c r="J178" s="40"/>
      <c r="K178" s="40"/>
      <c r="L178" s="41"/>
      <c r="M178" s="42"/>
      <c r="N178" s="43" t="str">
        <f aca="false">IF(OR($L178="",$M178=""),"",$L178+MATCH($M178,Listas!$F$5:$F$11,0)-1)</f>
        <v/>
      </c>
      <c r="O178" s="44"/>
      <c r="P178" s="39"/>
      <c r="Q178" s="44"/>
      <c r="R178" s="38"/>
      <c r="S178" s="38"/>
      <c r="T178" s="36" t="str">
        <f aca="false">IF($F178="","",IF(ISNUMBER(SEARCH("(externo)",$I178&amp;$J178&amp;$K178)),"Terceirizada","Interna"))</f>
        <v/>
      </c>
      <c r="U178" s="43" t="str">
        <f aca="false">IF($N178="","",IF($Q178="",$N178,$Q178))</f>
        <v/>
      </c>
      <c r="V178" s="36" t="str">
        <f aca="false">IF($F178="","",IF(OR($O178="",$N178=""),0,IF($O178&lt;=$N178,1,0)))</f>
        <v/>
      </c>
      <c r="W178" s="36" t="str">
        <f aca="false">IF($F178="","",IF(OR($O178="",$U178=""),0,IF($O178&lt;=$U178,1,0)))</f>
        <v/>
      </c>
      <c r="X178" s="37" t="str">
        <f aca="false">IF(OR($O178="",$N178=""),"",MAX(0,$O178-$N178))</f>
        <v/>
      </c>
      <c r="Y178" s="36" t="str">
        <f aca="false">IF($F178="","",IF(AND($Q178&lt;&gt;"",$N178&lt;&gt;"",$Q178&lt;&gt;$N178),1,0))</f>
        <v/>
      </c>
      <c r="Z178" s="36" t="str">
        <f aca="false">IF($F178="","",IF($P178="Cancelada",0,IF(OR($O178&lt;&gt;"",$P178="Concluída"),1,0)))</f>
        <v/>
      </c>
    </row>
    <row r="179" customFormat="false" ht="16.5" hidden="false" customHeight="true" outlineLevel="0" collapsed="false">
      <c r="A179" s="36" t="str">
        <f aca="false">IF($F179="","",COUNTA($F$5:$F179))</f>
        <v/>
      </c>
      <c r="B179" s="37" t="str">
        <f aca="true">IF($F179="","",IF($P179="Cancelada","Cancelada",IF(OR($O179&lt;&gt;"",$P179="Concluída"),IF(OR($N179="",$O179="",$O179&lt;=$N179),"Concluída","Concluída com atraso"),IF($N179="","Na carteira",IF($N179&lt;TODAY(),"VENCIDA",IF($P179="Em execução","Em execução",IF($N179=TODAY(),"Hoje","Programada")))))))</f>
        <v/>
      </c>
      <c r="C179" s="38"/>
      <c r="D179" s="38"/>
      <c r="E179" s="38"/>
      <c r="F179" s="38"/>
      <c r="G179" s="39"/>
      <c r="H179" s="39"/>
      <c r="I179" s="40"/>
      <c r="J179" s="40"/>
      <c r="K179" s="40"/>
      <c r="L179" s="41"/>
      <c r="M179" s="42"/>
      <c r="N179" s="43" t="str">
        <f aca="false">IF(OR($L179="",$M179=""),"",$L179+MATCH($M179,Listas!$F$5:$F$11,0)-1)</f>
        <v/>
      </c>
      <c r="O179" s="44"/>
      <c r="P179" s="39"/>
      <c r="Q179" s="44"/>
      <c r="R179" s="38"/>
      <c r="S179" s="38"/>
      <c r="T179" s="36" t="str">
        <f aca="false">IF($F179="","",IF(ISNUMBER(SEARCH("(externo)",$I179&amp;$J179&amp;$K179)),"Terceirizada","Interna"))</f>
        <v/>
      </c>
      <c r="U179" s="43" t="str">
        <f aca="false">IF($N179="","",IF($Q179="",$N179,$Q179))</f>
        <v/>
      </c>
      <c r="V179" s="36" t="str">
        <f aca="false">IF($F179="","",IF(OR($O179="",$N179=""),0,IF($O179&lt;=$N179,1,0)))</f>
        <v/>
      </c>
      <c r="W179" s="36" t="str">
        <f aca="false">IF($F179="","",IF(OR($O179="",$U179=""),0,IF($O179&lt;=$U179,1,0)))</f>
        <v/>
      </c>
      <c r="X179" s="37" t="str">
        <f aca="false">IF(OR($O179="",$N179=""),"",MAX(0,$O179-$N179))</f>
        <v/>
      </c>
      <c r="Y179" s="36" t="str">
        <f aca="false">IF($F179="","",IF(AND($Q179&lt;&gt;"",$N179&lt;&gt;"",$Q179&lt;&gt;$N179),1,0))</f>
        <v/>
      </c>
      <c r="Z179" s="36" t="str">
        <f aca="false">IF($F179="","",IF($P179="Cancelada",0,IF(OR($O179&lt;&gt;"",$P179="Concluída"),1,0)))</f>
        <v/>
      </c>
    </row>
    <row r="180" customFormat="false" ht="16.5" hidden="false" customHeight="true" outlineLevel="0" collapsed="false">
      <c r="A180" s="36" t="str">
        <f aca="false">IF($F180="","",COUNTA($F$5:$F180))</f>
        <v/>
      </c>
      <c r="B180" s="37" t="str">
        <f aca="true">IF($F180="","",IF($P180="Cancelada","Cancelada",IF(OR($O180&lt;&gt;"",$P180="Concluída"),IF(OR($N180="",$O180="",$O180&lt;=$N180),"Concluída","Concluída com atraso"),IF($N180="","Na carteira",IF($N180&lt;TODAY(),"VENCIDA",IF($P180="Em execução","Em execução",IF($N180=TODAY(),"Hoje","Programada")))))))</f>
        <v/>
      </c>
      <c r="C180" s="38"/>
      <c r="D180" s="38"/>
      <c r="E180" s="38"/>
      <c r="F180" s="38"/>
      <c r="G180" s="39"/>
      <c r="H180" s="39"/>
      <c r="I180" s="40"/>
      <c r="J180" s="40"/>
      <c r="K180" s="40"/>
      <c r="L180" s="41"/>
      <c r="M180" s="42"/>
      <c r="N180" s="43" t="str">
        <f aca="false">IF(OR($L180="",$M180=""),"",$L180+MATCH($M180,Listas!$F$5:$F$11,0)-1)</f>
        <v/>
      </c>
      <c r="O180" s="44"/>
      <c r="P180" s="39"/>
      <c r="Q180" s="44"/>
      <c r="R180" s="38"/>
      <c r="S180" s="38"/>
      <c r="T180" s="36" t="str">
        <f aca="false">IF($F180="","",IF(ISNUMBER(SEARCH("(externo)",$I180&amp;$J180&amp;$K180)),"Terceirizada","Interna"))</f>
        <v/>
      </c>
      <c r="U180" s="43" t="str">
        <f aca="false">IF($N180="","",IF($Q180="",$N180,$Q180))</f>
        <v/>
      </c>
      <c r="V180" s="36" t="str">
        <f aca="false">IF($F180="","",IF(OR($O180="",$N180=""),0,IF($O180&lt;=$N180,1,0)))</f>
        <v/>
      </c>
      <c r="W180" s="36" t="str">
        <f aca="false">IF($F180="","",IF(OR($O180="",$U180=""),0,IF($O180&lt;=$U180,1,0)))</f>
        <v/>
      </c>
      <c r="X180" s="37" t="str">
        <f aca="false">IF(OR($O180="",$N180=""),"",MAX(0,$O180-$N180))</f>
        <v/>
      </c>
      <c r="Y180" s="36" t="str">
        <f aca="false">IF($F180="","",IF(AND($Q180&lt;&gt;"",$N180&lt;&gt;"",$Q180&lt;&gt;$N180),1,0))</f>
        <v/>
      </c>
      <c r="Z180" s="36" t="str">
        <f aca="false">IF($F180="","",IF($P180="Cancelada",0,IF(OR($O180&lt;&gt;"",$P180="Concluída"),1,0)))</f>
        <v/>
      </c>
    </row>
    <row r="181" customFormat="false" ht="16.5" hidden="false" customHeight="true" outlineLevel="0" collapsed="false">
      <c r="A181" s="36" t="str">
        <f aca="false">IF($F181="","",COUNTA($F$5:$F181))</f>
        <v/>
      </c>
      <c r="B181" s="37" t="str">
        <f aca="true">IF($F181="","",IF($P181="Cancelada","Cancelada",IF(OR($O181&lt;&gt;"",$P181="Concluída"),IF(OR($N181="",$O181="",$O181&lt;=$N181),"Concluída","Concluída com atraso"),IF($N181="","Na carteira",IF($N181&lt;TODAY(),"VENCIDA",IF($P181="Em execução","Em execução",IF($N181=TODAY(),"Hoje","Programada")))))))</f>
        <v/>
      </c>
      <c r="C181" s="38"/>
      <c r="D181" s="38"/>
      <c r="E181" s="38"/>
      <c r="F181" s="38"/>
      <c r="G181" s="39"/>
      <c r="H181" s="39"/>
      <c r="I181" s="40"/>
      <c r="J181" s="40"/>
      <c r="K181" s="40"/>
      <c r="L181" s="41"/>
      <c r="M181" s="42"/>
      <c r="N181" s="43" t="str">
        <f aca="false">IF(OR($L181="",$M181=""),"",$L181+MATCH($M181,Listas!$F$5:$F$11,0)-1)</f>
        <v/>
      </c>
      <c r="O181" s="44"/>
      <c r="P181" s="39"/>
      <c r="Q181" s="44"/>
      <c r="R181" s="38"/>
      <c r="S181" s="38"/>
      <c r="T181" s="36" t="str">
        <f aca="false">IF($F181="","",IF(ISNUMBER(SEARCH("(externo)",$I181&amp;$J181&amp;$K181)),"Terceirizada","Interna"))</f>
        <v/>
      </c>
      <c r="U181" s="43" t="str">
        <f aca="false">IF($N181="","",IF($Q181="",$N181,$Q181))</f>
        <v/>
      </c>
      <c r="V181" s="36" t="str">
        <f aca="false">IF($F181="","",IF(OR($O181="",$N181=""),0,IF($O181&lt;=$N181,1,0)))</f>
        <v/>
      </c>
      <c r="W181" s="36" t="str">
        <f aca="false">IF($F181="","",IF(OR($O181="",$U181=""),0,IF($O181&lt;=$U181,1,0)))</f>
        <v/>
      </c>
      <c r="X181" s="37" t="str">
        <f aca="false">IF(OR($O181="",$N181=""),"",MAX(0,$O181-$N181))</f>
        <v/>
      </c>
      <c r="Y181" s="36" t="str">
        <f aca="false">IF($F181="","",IF(AND($Q181&lt;&gt;"",$N181&lt;&gt;"",$Q181&lt;&gt;$N181),1,0))</f>
        <v/>
      </c>
      <c r="Z181" s="36" t="str">
        <f aca="false">IF($F181="","",IF($P181="Cancelada",0,IF(OR($O181&lt;&gt;"",$P181="Concluída"),1,0)))</f>
        <v/>
      </c>
    </row>
    <row r="182" customFormat="false" ht="16.5" hidden="false" customHeight="true" outlineLevel="0" collapsed="false">
      <c r="A182" s="36" t="str">
        <f aca="false">IF($F182="","",COUNTA($F$5:$F182))</f>
        <v/>
      </c>
      <c r="B182" s="37" t="str">
        <f aca="true">IF($F182="","",IF($P182="Cancelada","Cancelada",IF(OR($O182&lt;&gt;"",$P182="Concluída"),IF(OR($N182="",$O182="",$O182&lt;=$N182),"Concluída","Concluída com atraso"),IF($N182="","Na carteira",IF($N182&lt;TODAY(),"VENCIDA",IF($P182="Em execução","Em execução",IF($N182=TODAY(),"Hoje","Programada")))))))</f>
        <v/>
      </c>
      <c r="C182" s="38"/>
      <c r="D182" s="38"/>
      <c r="E182" s="38"/>
      <c r="F182" s="38"/>
      <c r="G182" s="39"/>
      <c r="H182" s="39"/>
      <c r="I182" s="40"/>
      <c r="J182" s="40"/>
      <c r="K182" s="40"/>
      <c r="L182" s="41"/>
      <c r="M182" s="42"/>
      <c r="N182" s="43" t="str">
        <f aca="false">IF(OR($L182="",$M182=""),"",$L182+MATCH($M182,Listas!$F$5:$F$11,0)-1)</f>
        <v/>
      </c>
      <c r="O182" s="44"/>
      <c r="P182" s="39"/>
      <c r="Q182" s="44"/>
      <c r="R182" s="38"/>
      <c r="S182" s="38"/>
      <c r="T182" s="36" t="str">
        <f aca="false">IF($F182="","",IF(ISNUMBER(SEARCH("(externo)",$I182&amp;$J182&amp;$K182)),"Terceirizada","Interna"))</f>
        <v/>
      </c>
      <c r="U182" s="43" t="str">
        <f aca="false">IF($N182="","",IF($Q182="",$N182,$Q182))</f>
        <v/>
      </c>
      <c r="V182" s="36" t="str">
        <f aca="false">IF($F182="","",IF(OR($O182="",$N182=""),0,IF($O182&lt;=$N182,1,0)))</f>
        <v/>
      </c>
      <c r="W182" s="36" t="str">
        <f aca="false">IF($F182="","",IF(OR($O182="",$U182=""),0,IF($O182&lt;=$U182,1,0)))</f>
        <v/>
      </c>
      <c r="X182" s="37" t="str">
        <f aca="false">IF(OR($O182="",$N182=""),"",MAX(0,$O182-$N182))</f>
        <v/>
      </c>
      <c r="Y182" s="36" t="str">
        <f aca="false">IF($F182="","",IF(AND($Q182&lt;&gt;"",$N182&lt;&gt;"",$Q182&lt;&gt;$N182),1,0))</f>
        <v/>
      </c>
      <c r="Z182" s="36" t="str">
        <f aca="false">IF($F182="","",IF($P182="Cancelada",0,IF(OR($O182&lt;&gt;"",$P182="Concluída"),1,0)))</f>
        <v/>
      </c>
    </row>
    <row r="183" customFormat="false" ht="16.5" hidden="false" customHeight="true" outlineLevel="0" collapsed="false">
      <c r="A183" s="36" t="str">
        <f aca="false">IF($F183="","",COUNTA($F$5:$F183))</f>
        <v/>
      </c>
      <c r="B183" s="37" t="str">
        <f aca="true">IF($F183="","",IF($P183="Cancelada","Cancelada",IF(OR($O183&lt;&gt;"",$P183="Concluída"),IF(OR($N183="",$O183="",$O183&lt;=$N183),"Concluída","Concluída com atraso"),IF($N183="","Na carteira",IF($N183&lt;TODAY(),"VENCIDA",IF($P183="Em execução","Em execução",IF($N183=TODAY(),"Hoje","Programada")))))))</f>
        <v/>
      </c>
      <c r="C183" s="38"/>
      <c r="D183" s="38"/>
      <c r="E183" s="38"/>
      <c r="F183" s="38"/>
      <c r="G183" s="39"/>
      <c r="H183" s="39"/>
      <c r="I183" s="40"/>
      <c r="J183" s="40"/>
      <c r="K183" s="40"/>
      <c r="L183" s="41"/>
      <c r="M183" s="42"/>
      <c r="N183" s="43" t="str">
        <f aca="false">IF(OR($L183="",$M183=""),"",$L183+MATCH($M183,Listas!$F$5:$F$11,0)-1)</f>
        <v/>
      </c>
      <c r="O183" s="44"/>
      <c r="P183" s="39"/>
      <c r="Q183" s="44"/>
      <c r="R183" s="38"/>
      <c r="S183" s="38"/>
      <c r="T183" s="36" t="str">
        <f aca="false">IF($F183="","",IF(ISNUMBER(SEARCH("(externo)",$I183&amp;$J183&amp;$K183)),"Terceirizada","Interna"))</f>
        <v/>
      </c>
      <c r="U183" s="43" t="str">
        <f aca="false">IF($N183="","",IF($Q183="",$N183,$Q183))</f>
        <v/>
      </c>
      <c r="V183" s="36" t="str">
        <f aca="false">IF($F183="","",IF(OR($O183="",$N183=""),0,IF($O183&lt;=$N183,1,0)))</f>
        <v/>
      </c>
      <c r="W183" s="36" t="str">
        <f aca="false">IF($F183="","",IF(OR($O183="",$U183=""),0,IF($O183&lt;=$U183,1,0)))</f>
        <v/>
      </c>
      <c r="X183" s="37" t="str">
        <f aca="false">IF(OR($O183="",$N183=""),"",MAX(0,$O183-$N183))</f>
        <v/>
      </c>
      <c r="Y183" s="36" t="str">
        <f aca="false">IF($F183="","",IF(AND($Q183&lt;&gt;"",$N183&lt;&gt;"",$Q183&lt;&gt;$N183),1,0))</f>
        <v/>
      </c>
      <c r="Z183" s="36" t="str">
        <f aca="false">IF($F183="","",IF($P183="Cancelada",0,IF(OR($O183&lt;&gt;"",$P183="Concluída"),1,0)))</f>
        <v/>
      </c>
    </row>
    <row r="184" customFormat="false" ht="16.5" hidden="false" customHeight="true" outlineLevel="0" collapsed="false">
      <c r="A184" s="36" t="str">
        <f aca="false">IF($F184="","",COUNTA($F$5:$F184))</f>
        <v/>
      </c>
      <c r="B184" s="37" t="str">
        <f aca="true">IF($F184="","",IF($P184="Cancelada","Cancelada",IF(OR($O184&lt;&gt;"",$P184="Concluída"),IF(OR($N184="",$O184="",$O184&lt;=$N184),"Concluída","Concluída com atraso"),IF($N184="","Na carteira",IF($N184&lt;TODAY(),"VENCIDA",IF($P184="Em execução","Em execução",IF($N184=TODAY(),"Hoje","Programada")))))))</f>
        <v/>
      </c>
      <c r="C184" s="38"/>
      <c r="D184" s="38"/>
      <c r="E184" s="38"/>
      <c r="F184" s="38"/>
      <c r="G184" s="39"/>
      <c r="H184" s="39"/>
      <c r="I184" s="40"/>
      <c r="J184" s="40"/>
      <c r="K184" s="40"/>
      <c r="L184" s="41"/>
      <c r="M184" s="42"/>
      <c r="N184" s="43" t="str">
        <f aca="false">IF(OR($L184="",$M184=""),"",$L184+MATCH($M184,Listas!$F$5:$F$11,0)-1)</f>
        <v/>
      </c>
      <c r="O184" s="44"/>
      <c r="P184" s="39"/>
      <c r="Q184" s="44"/>
      <c r="R184" s="38"/>
      <c r="S184" s="38"/>
      <c r="T184" s="36" t="str">
        <f aca="false">IF($F184="","",IF(ISNUMBER(SEARCH("(externo)",$I184&amp;$J184&amp;$K184)),"Terceirizada","Interna"))</f>
        <v/>
      </c>
      <c r="U184" s="43" t="str">
        <f aca="false">IF($N184="","",IF($Q184="",$N184,$Q184))</f>
        <v/>
      </c>
      <c r="V184" s="36" t="str">
        <f aca="false">IF($F184="","",IF(OR($O184="",$N184=""),0,IF($O184&lt;=$N184,1,0)))</f>
        <v/>
      </c>
      <c r="W184" s="36" t="str">
        <f aca="false">IF($F184="","",IF(OR($O184="",$U184=""),0,IF($O184&lt;=$U184,1,0)))</f>
        <v/>
      </c>
      <c r="X184" s="37" t="str">
        <f aca="false">IF(OR($O184="",$N184=""),"",MAX(0,$O184-$N184))</f>
        <v/>
      </c>
      <c r="Y184" s="36" t="str">
        <f aca="false">IF($F184="","",IF(AND($Q184&lt;&gt;"",$N184&lt;&gt;"",$Q184&lt;&gt;$N184),1,0))</f>
        <v/>
      </c>
      <c r="Z184" s="36" t="str">
        <f aca="false">IF($F184="","",IF($P184="Cancelada",0,IF(OR($O184&lt;&gt;"",$P184="Concluída"),1,0)))</f>
        <v/>
      </c>
    </row>
    <row r="185" customFormat="false" ht="16.5" hidden="false" customHeight="true" outlineLevel="0" collapsed="false">
      <c r="A185" s="36" t="str">
        <f aca="false">IF($F185="","",COUNTA($F$5:$F185))</f>
        <v/>
      </c>
      <c r="B185" s="37" t="str">
        <f aca="true">IF($F185="","",IF($P185="Cancelada","Cancelada",IF(OR($O185&lt;&gt;"",$P185="Concluída"),IF(OR($N185="",$O185="",$O185&lt;=$N185),"Concluída","Concluída com atraso"),IF($N185="","Na carteira",IF($N185&lt;TODAY(),"VENCIDA",IF($P185="Em execução","Em execução",IF($N185=TODAY(),"Hoje","Programada")))))))</f>
        <v/>
      </c>
      <c r="C185" s="38"/>
      <c r="D185" s="38"/>
      <c r="E185" s="38"/>
      <c r="F185" s="38"/>
      <c r="G185" s="39"/>
      <c r="H185" s="39"/>
      <c r="I185" s="40"/>
      <c r="J185" s="40"/>
      <c r="K185" s="40"/>
      <c r="L185" s="41"/>
      <c r="M185" s="42"/>
      <c r="N185" s="43" t="str">
        <f aca="false">IF(OR($L185="",$M185=""),"",$L185+MATCH($M185,Listas!$F$5:$F$11,0)-1)</f>
        <v/>
      </c>
      <c r="O185" s="44"/>
      <c r="P185" s="39"/>
      <c r="Q185" s="44"/>
      <c r="R185" s="38"/>
      <c r="S185" s="38"/>
      <c r="T185" s="36" t="str">
        <f aca="false">IF($F185="","",IF(ISNUMBER(SEARCH("(externo)",$I185&amp;$J185&amp;$K185)),"Terceirizada","Interna"))</f>
        <v/>
      </c>
      <c r="U185" s="43" t="str">
        <f aca="false">IF($N185="","",IF($Q185="",$N185,$Q185))</f>
        <v/>
      </c>
      <c r="V185" s="36" t="str">
        <f aca="false">IF($F185="","",IF(OR($O185="",$N185=""),0,IF($O185&lt;=$N185,1,0)))</f>
        <v/>
      </c>
      <c r="W185" s="36" t="str">
        <f aca="false">IF($F185="","",IF(OR($O185="",$U185=""),0,IF($O185&lt;=$U185,1,0)))</f>
        <v/>
      </c>
      <c r="X185" s="37" t="str">
        <f aca="false">IF(OR($O185="",$N185=""),"",MAX(0,$O185-$N185))</f>
        <v/>
      </c>
      <c r="Y185" s="36" t="str">
        <f aca="false">IF($F185="","",IF(AND($Q185&lt;&gt;"",$N185&lt;&gt;"",$Q185&lt;&gt;$N185),1,0))</f>
        <v/>
      </c>
      <c r="Z185" s="36" t="str">
        <f aca="false">IF($F185="","",IF($P185="Cancelada",0,IF(OR($O185&lt;&gt;"",$P185="Concluída"),1,0)))</f>
        <v/>
      </c>
    </row>
    <row r="186" customFormat="false" ht="16.5" hidden="false" customHeight="true" outlineLevel="0" collapsed="false">
      <c r="A186" s="36" t="str">
        <f aca="false">IF($F186="","",COUNTA($F$5:$F186))</f>
        <v/>
      </c>
      <c r="B186" s="37" t="str">
        <f aca="true">IF($F186="","",IF($P186="Cancelada","Cancelada",IF(OR($O186&lt;&gt;"",$P186="Concluída"),IF(OR($N186="",$O186="",$O186&lt;=$N186),"Concluída","Concluída com atraso"),IF($N186="","Na carteira",IF($N186&lt;TODAY(),"VENCIDA",IF($P186="Em execução","Em execução",IF($N186=TODAY(),"Hoje","Programada")))))))</f>
        <v/>
      </c>
      <c r="C186" s="38"/>
      <c r="D186" s="38"/>
      <c r="E186" s="38"/>
      <c r="F186" s="38"/>
      <c r="G186" s="39"/>
      <c r="H186" s="39"/>
      <c r="I186" s="40"/>
      <c r="J186" s="40"/>
      <c r="K186" s="40"/>
      <c r="L186" s="41"/>
      <c r="M186" s="42"/>
      <c r="N186" s="43" t="str">
        <f aca="false">IF(OR($L186="",$M186=""),"",$L186+MATCH($M186,Listas!$F$5:$F$11,0)-1)</f>
        <v/>
      </c>
      <c r="O186" s="44"/>
      <c r="P186" s="39"/>
      <c r="Q186" s="44"/>
      <c r="R186" s="38"/>
      <c r="S186" s="38"/>
      <c r="T186" s="36" t="str">
        <f aca="false">IF($F186="","",IF(ISNUMBER(SEARCH("(externo)",$I186&amp;$J186&amp;$K186)),"Terceirizada","Interna"))</f>
        <v/>
      </c>
      <c r="U186" s="43" t="str">
        <f aca="false">IF($N186="","",IF($Q186="",$N186,$Q186))</f>
        <v/>
      </c>
      <c r="V186" s="36" t="str">
        <f aca="false">IF($F186="","",IF(OR($O186="",$N186=""),0,IF($O186&lt;=$N186,1,0)))</f>
        <v/>
      </c>
      <c r="W186" s="36" t="str">
        <f aca="false">IF($F186="","",IF(OR($O186="",$U186=""),0,IF($O186&lt;=$U186,1,0)))</f>
        <v/>
      </c>
      <c r="X186" s="37" t="str">
        <f aca="false">IF(OR($O186="",$N186=""),"",MAX(0,$O186-$N186))</f>
        <v/>
      </c>
      <c r="Y186" s="36" t="str">
        <f aca="false">IF($F186="","",IF(AND($Q186&lt;&gt;"",$N186&lt;&gt;"",$Q186&lt;&gt;$N186),1,0))</f>
        <v/>
      </c>
      <c r="Z186" s="36" t="str">
        <f aca="false">IF($F186="","",IF($P186="Cancelada",0,IF(OR($O186&lt;&gt;"",$P186="Concluída"),1,0)))</f>
        <v/>
      </c>
    </row>
    <row r="187" customFormat="false" ht="16.5" hidden="false" customHeight="true" outlineLevel="0" collapsed="false">
      <c r="A187" s="36" t="str">
        <f aca="false">IF($F187="","",COUNTA($F$5:$F187))</f>
        <v/>
      </c>
      <c r="B187" s="37" t="str">
        <f aca="true">IF($F187="","",IF($P187="Cancelada","Cancelada",IF(OR($O187&lt;&gt;"",$P187="Concluída"),IF(OR($N187="",$O187="",$O187&lt;=$N187),"Concluída","Concluída com atraso"),IF($N187="","Na carteira",IF($N187&lt;TODAY(),"VENCIDA",IF($P187="Em execução","Em execução",IF($N187=TODAY(),"Hoje","Programada")))))))</f>
        <v/>
      </c>
      <c r="C187" s="38"/>
      <c r="D187" s="38"/>
      <c r="E187" s="38"/>
      <c r="F187" s="38"/>
      <c r="G187" s="39"/>
      <c r="H187" s="39"/>
      <c r="I187" s="40"/>
      <c r="J187" s="40"/>
      <c r="K187" s="40"/>
      <c r="L187" s="41"/>
      <c r="M187" s="42"/>
      <c r="N187" s="43" t="str">
        <f aca="false">IF(OR($L187="",$M187=""),"",$L187+MATCH($M187,Listas!$F$5:$F$11,0)-1)</f>
        <v/>
      </c>
      <c r="O187" s="44"/>
      <c r="P187" s="39"/>
      <c r="Q187" s="44"/>
      <c r="R187" s="38"/>
      <c r="S187" s="38"/>
      <c r="T187" s="36" t="str">
        <f aca="false">IF($F187="","",IF(ISNUMBER(SEARCH("(externo)",$I187&amp;$J187&amp;$K187)),"Terceirizada","Interna"))</f>
        <v/>
      </c>
      <c r="U187" s="43" t="str">
        <f aca="false">IF($N187="","",IF($Q187="",$N187,$Q187))</f>
        <v/>
      </c>
      <c r="V187" s="36" t="str">
        <f aca="false">IF($F187="","",IF(OR($O187="",$N187=""),0,IF($O187&lt;=$N187,1,0)))</f>
        <v/>
      </c>
      <c r="W187" s="36" t="str">
        <f aca="false">IF($F187="","",IF(OR($O187="",$U187=""),0,IF($O187&lt;=$U187,1,0)))</f>
        <v/>
      </c>
      <c r="X187" s="37" t="str">
        <f aca="false">IF(OR($O187="",$N187=""),"",MAX(0,$O187-$N187))</f>
        <v/>
      </c>
      <c r="Y187" s="36" t="str">
        <f aca="false">IF($F187="","",IF(AND($Q187&lt;&gt;"",$N187&lt;&gt;"",$Q187&lt;&gt;$N187),1,0))</f>
        <v/>
      </c>
      <c r="Z187" s="36" t="str">
        <f aca="false">IF($F187="","",IF($P187="Cancelada",0,IF(OR($O187&lt;&gt;"",$P187="Concluída"),1,0)))</f>
        <v/>
      </c>
    </row>
    <row r="188" customFormat="false" ht="16.5" hidden="false" customHeight="true" outlineLevel="0" collapsed="false">
      <c r="A188" s="36" t="str">
        <f aca="false">IF($F188="","",COUNTA($F$5:$F188))</f>
        <v/>
      </c>
      <c r="B188" s="37" t="str">
        <f aca="true">IF($F188="","",IF($P188="Cancelada","Cancelada",IF(OR($O188&lt;&gt;"",$P188="Concluída"),IF(OR($N188="",$O188="",$O188&lt;=$N188),"Concluída","Concluída com atraso"),IF($N188="","Na carteira",IF($N188&lt;TODAY(),"VENCIDA",IF($P188="Em execução","Em execução",IF($N188=TODAY(),"Hoje","Programada")))))))</f>
        <v/>
      </c>
      <c r="C188" s="38"/>
      <c r="D188" s="38"/>
      <c r="E188" s="38"/>
      <c r="F188" s="38"/>
      <c r="G188" s="39"/>
      <c r="H188" s="39"/>
      <c r="I188" s="40"/>
      <c r="J188" s="40"/>
      <c r="K188" s="40"/>
      <c r="L188" s="41"/>
      <c r="M188" s="42"/>
      <c r="N188" s="43" t="str">
        <f aca="false">IF(OR($L188="",$M188=""),"",$L188+MATCH($M188,Listas!$F$5:$F$11,0)-1)</f>
        <v/>
      </c>
      <c r="O188" s="44"/>
      <c r="P188" s="39"/>
      <c r="Q188" s="44"/>
      <c r="R188" s="38"/>
      <c r="S188" s="38"/>
      <c r="T188" s="36" t="str">
        <f aca="false">IF($F188="","",IF(ISNUMBER(SEARCH("(externo)",$I188&amp;$J188&amp;$K188)),"Terceirizada","Interna"))</f>
        <v/>
      </c>
      <c r="U188" s="43" t="str">
        <f aca="false">IF($N188="","",IF($Q188="",$N188,$Q188))</f>
        <v/>
      </c>
      <c r="V188" s="36" t="str">
        <f aca="false">IF($F188="","",IF(OR($O188="",$N188=""),0,IF($O188&lt;=$N188,1,0)))</f>
        <v/>
      </c>
      <c r="W188" s="36" t="str">
        <f aca="false">IF($F188="","",IF(OR($O188="",$U188=""),0,IF($O188&lt;=$U188,1,0)))</f>
        <v/>
      </c>
      <c r="X188" s="37" t="str">
        <f aca="false">IF(OR($O188="",$N188=""),"",MAX(0,$O188-$N188))</f>
        <v/>
      </c>
      <c r="Y188" s="36" t="str">
        <f aca="false">IF($F188="","",IF(AND($Q188&lt;&gt;"",$N188&lt;&gt;"",$Q188&lt;&gt;$N188),1,0))</f>
        <v/>
      </c>
      <c r="Z188" s="36" t="str">
        <f aca="false">IF($F188="","",IF($P188="Cancelada",0,IF(OR($O188&lt;&gt;"",$P188="Concluída"),1,0)))</f>
        <v/>
      </c>
    </row>
    <row r="189" customFormat="false" ht="16.5" hidden="false" customHeight="true" outlineLevel="0" collapsed="false">
      <c r="A189" s="36" t="str">
        <f aca="false">IF($F189="","",COUNTA($F$5:$F189))</f>
        <v/>
      </c>
      <c r="B189" s="37" t="str">
        <f aca="true">IF($F189="","",IF($P189="Cancelada","Cancelada",IF(OR($O189&lt;&gt;"",$P189="Concluída"),IF(OR($N189="",$O189="",$O189&lt;=$N189),"Concluída","Concluída com atraso"),IF($N189="","Na carteira",IF($N189&lt;TODAY(),"VENCIDA",IF($P189="Em execução","Em execução",IF($N189=TODAY(),"Hoje","Programada")))))))</f>
        <v/>
      </c>
      <c r="C189" s="38"/>
      <c r="D189" s="38"/>
      <c r="E189" s="38"/>
      <c r="F189" s="38"/>
      <c r="G189" s="39"/>
      <c r="H189" s="39"/>
      <c r="I189" s="40"/>
      <c r="J189" s="40"/>
      <c r="K189" s="40"/>
      <c r="L189" s="41"/>
      <c r="M189" s="42"/>
      <c r="N189" s="43" t="str">
        <f aca="false">IF(OR($L189="",$M189=""),"",$L189+MATCH($M189,Listas!$F$5:$F$11,0)-1)</f>
        <v/>
      </c>
      <c r="O189" s="44"/>
      <c r="P189" s="39"/>
      <c r="Q189" s="44"/>
      <c r="R189" s="38"/>
      <c r="S189" s="38"/>
      <c r="T189" s="36" t="str">
        <f aca="false">IF($F189="","",IF(ISNUMBER(SEARCH("(externo)",$I189&amp;$J189&amp;$K189)),"Terceirizada","Interna"))</f>
        <v/>
      </c>
      <c r="U189" s="43" t="str">
        <f aca="false">IF($N189="","",IF($Q189="",$N189,$Q189))</f>
        <v/>
      </c>
      <c r="V189" s="36" t="str">
        <f aca="false">IF($F189="","",IF(OR($O189="",$N189=""),0,IF($O189&lt;=$N189,1,0)))</f>
        <v/>
      </c>
      <c r="W189" s="36" t="str">
        <f aca="false">IF($F189="","",IF(OR($O189="",$U189=""),0,IF($O189&lt;=$U189,1,0)))</f>
        <v/>
      </c>
      <c r="X189" s="37" t="str">
        <f aca="false">IF(OR($O189="",$N189=""),"",MAX(0,$O189-$N189))</f>
        <v/>
      </c>
      <c r="Y189" s="36" t="str">
        <f aca="false">IF($F189="","",IF(AND($Q189&lt;&gt;"",$N189&lt;&gt;"",$Q189&lt;&gt;$N189),1,0))</f>
        <v/>
      </c>
      <c r="Z189" s="36" t="str">
        <f aca="false">IF($F189="","",IF($P189="Cancelada",0,IF(OR($O189&lt;&gt;"",$P189="Concluída"),1,0)))</f>
        <v/>
      </c>
    </row>
    <row r="190" customFormat="false" ht="16.5" hidden="false" customHeight="true" outlineLevel="0" collapsed="false">
      <c r="A190" s="36" t="str">
        <f aca="false">IF($F190="","",COUNTA($F$5:$F190))</f>
        <v/>
      </c>
      <c r="B190" s="37" t="str">
        <f aca="true">IF($F190="","",IF($P190="Cancelada","Cancelada",IF(OR($O190&lt;&gt;"",$P190="Concluída"),IF(OR($N190="",$O190="",$O190&lt;=$N190),"Concluída","Concluída com atraso"),IF($N190="","Na carteira",IF($N190&lt;TODAY(),"VENCIDA",IF($P190="Em execução","Em execução",IF($N190=TODAY(),"Hoje","Programada")))))))</f>
        <v/>
      </c>
      <c r="C190" s="38"/>
      <c r="D190" s="38"/>
      <c r="E190" s="38"/>
      <c r="F190" s="38"/>
      <c r="G190" s="39"/>
      <c r="H190" s="39"/>
      <c r="I190" s="40"/>
      <c r="J190" s="40"/>
      <c r="K190" s="40"/>
      <c r="L190" s="41"/>
      <c r="M190" s="42"/>
      <c r="N190" s="43" t="str">
        <f aca="false">IF(OR($L190="",$M190=""),"",$L190+MATCH($M190,Listas!$F$5:$F$11,0)-1)</f>
        <v/>
      </c>
      <c r="O190" s="44"/>
      <c r="P190" s="39"/>
      <c r="Q190" s="44"/>
      <c r="R190" s="38"/>
      <c r="S190" s="38"/>
      <c r="T190" s="36" t="str">
        <f aca="false">IF($F190="","",IF(ISNUMBER(SEARCH("(externo)",$I190&amp;$J190&amp;$K190)),"Terceirizada","Interna"))</f>
        <v/>
      </c>
      <c r="U190" s="43" t="str">
        <f aca="false">IF($N190="","",IF($Q190="",$N190,$Q190))</f>
        <v/>
      </c>
      <c r="V190" s="36" t="str">
        <f aca="false">IF($F190="","",IF(OR($O190="",$N190=""),0,IF($O190&lt;=$N190,1,0)))</f>
        <v/>
      </c>
      <c r="W190" s="36" t="str">
        <f aca="false">IF($F190="","",IF(OR($O190="",$U190=""),0,IF($O190&lt;=$U190,1,0)))</f>
        <v/>
      </c>
      <c r="X190" s="37" t="str">
        <f aca="false">IF(OR($O190="",$N190=""),"",MAX(0,$O190-$N190))</f>
        <v/>
      </c>
      <c r="Y190" s="36" t="str">
        <f aca="false">IF($F190="","",IF(AND($Q190&lt;&gt;"",$N190&lt;&gt;"",$Q190&lt;&gt;$N190),1,0))</f>
        <v/>
      </c>
      <c r="Z190" s="36" t="str">
        <f aca="false">IF($F190="","",IF($P190="Cancelada",0,IF(OR($O190&lt;&gt;"",$P190="Concluída"),1,0)))</f>
        <v/>
      </c>
    </row>
    <row r="191" customFormat="false" ht="16.5" hidden="false" customHeight="true" outlineLevel="0" collapsed="false">
      <c r="A191" s="36" t="str">
        <f aca="false">IF($F191="","",COUNTA($F$5:$F191))</f>
        <v/>
      </c>
      <c r="B191" s="37" t="str">
        <f aca="true">IF($F191="","",IF($P191="Cancelada","Cancelada",IF(OR($O191&lt;&gt;"",$P191="Concluída"),IF(OR($N191="",$O191="",$O191&lt;=$N191),"Concluída","Concluída com atraso"),IF($N191="","Na carteira",IF($N191&lt;TODAY(),"VENCIDA",IF($P191="Em execução","Em execução",IF($N191=TODAY(),"Hoje","Programada")))))))</f>
        <v/>
      </c>
      <c r="C191" s="38"/>
      <c r="D191" s="38"/>
      <c r="E191" s="38"/>
      <c r="F191" s="38"/>
      <c r="G191" s="39"/>
      <c r="H191" s="39"/>
      <c r="I191" s="40"/>
      <c r="J191" s="40"/>
      <c r="K191" s="40"/>
      <c r="L191" s="41"/>
      <c r="M191" s="42"/>
      <c r="N191" s="43" t="str">
        <f aca="false">IF(OR($L191="",$M191=""),"",$L191+MATCH($M191,Listas!$F$5:$F$11,0)-1)</f>
        <v/>
      </c>
      <c r="O191" s="44"/>
      <c r="P191" s="39"/>
      <c r="Q191" s="44"/>
      <c r="R191" s="38"/>
      <c r="S191" s="38"/>
      <c r="T191" s="36" t="str">
        <f aca="false">IF($F191="","",IF(ISNUMBER(SEARCH("(externo)",$I191&amp;$J191&amp;$K191)),"Terceirizada","Interna"))</f>
        <v/>
      </c>
      <c r="U191" s="43" t="str">
        <f aca="false">IF($N191="","",IF($Q191="",$N191,$Q191))</f>
        <v/>
      </c>
      <c r="V191" s="36" t="str">
        <f aca="false">IF($F191="","",IF(OR($O191="",$N191=""),0,IF($O191&lt;=$N191,1,0)))</f>
        <v/>
      </c>
      <c r="W191" s="36" t="str">
        <f aca="false">IF($F191="","",IF(OR($O191="",$U191=""),0,IF($O191&lt;=$U191,1,0)))</f>
        <v/>
      </c>
      <c r="X191" s="37" t="str">
        <f aca="false">IF(OR($O191="",$N191=""),"",MAX(0,$O191-$N191))</f>
        <v/>
      </c>
      <c r="Y191" s="36" t="str">
        <f aca="false">IF($F191="","",IF(AND($Q191&lt;&gt;"",$N191&lt;&gt;"",$Q191&lt;&gt;$N191),1,0))</f>
        <v/>
      </c>
      <c r="Z191" s="36" t="str">
        <f aca="false">IF($F191="","",IF($P191="Cancelada",0,IF(OR($O191&lt;&gt;"",$P191="Concluída"),1,0)))</f>
        <v/>
      </c>
    </row>
    <row r="192" customFormat="false" ht="16.5" hidden="false" customHeight="true" outlineLevel="0" collapsed="false">
      <c r="A192" s="36" t="str">
        <f aca="false">IF($F192="","",COUNTA($F$5:$F192))</f>
        <v/>
      </c>
      <c r="B192" s="37" t="str">
        <f aca="true">IF($F192="","",IF($P192="Cancelada","Cancelada",IF(OR($O192&lt;&gt;"",$P192="Concluída"),IF(OR($N192="",$O192="",$O192&lt;=$N192),"Concluída","Concluída com atraso"),IF($N192="","Na carteira",IF($N192&lt;TODAY(),"VENCIDA",IF($P192="Em execução","Em execução",IF($N192=TODAY(),"Hoje","Programada")))))))</f>
        <v/>
      </c>
      <c r="C192" s="38"/>
      <c r="D192" s="38"/>
      <c r="E192" s="38"/>
      <c r="F192" s="38"/>
      <c r="G192" s="39"/>
      <c r="H192" s="39"/>
      <c r="I192" s="40"/>
      <c r="J192" s="40"/>
      <c r="K192" s="40"/>
      <c r="L192" s="41"/>
      <c r="M192" s="42"/>
      <c r="N192" s="43" t="str">
        <f aca="false">IF(OR($L192="",$M192=""),"",$L192+MATCH($M192,Listas!$F$5:$F$11,0)-1)</f>
        <v/>
      </c>
      <c r="O192" s="44"/>
      <c r="P192" s="39"/>
      <c r="Q192" s="44"/>
      <c r="R192" s="38"/>
      <c r="S192" s="38"/>
      <c r="T192" s="36" t="str">
        <f aca="false">IF($F192="","",IF(ISNUMBER(SEARCH("(externo)",$I192&amp;$J192&amp;$K192)),"Terceirizada","Interna"))</f>
        <v/>
      </c>
      <c r="U192" s="43" t="str">
        <f aca="false">IF($N192="","",IF($Q192="",$N192,$Q192))</f>
        <v/>
      </c>
      <c r="V192" s="36" t="str">
        <f aca="false">IF($F192="","",IF(OR($O192="",$N192=""),0,IF($O192&lt;=$N192,1,0)))</f>
        <v/>
      </c>
      <c r="W192" s="36" t="str">
        <f aca="false">IF($F192="","",IF(OR($O192="",$U192=""),0,IF($O192&lt;=$U192,1,0)))</f>
        <v/>
      </c>
      <c r="X192" s="37" t="str">
        <f aca="false">IF(OR($O192="",$N192=""),"",MAX(0,$O192-$N192))</f>
        <v/>
      </c>
      <c r="Y192" s="36" t="str">
        <f aca="false">IF($F192="","",IF(AND($Q192&lt;&gt;"",$N192&lt;&gt;"",$Q192&lt;&gt;$N192),1,0))</f>
        <v/>
      </c>
      <c r="Z192" s="36" t="str">
        <f aca="false">IF($F192="","",IF($P192="Cancelada",0,IF(OR($O192&lt;&gt;"",$P192="Concluída"),1,0)))</f>
        <v/>
      </c>
    </row>
    <row r="193" customFormat="false" ht="16.5" hidden="false" customHeight="true" outlineLevel="0" collapsed="false">
      <c r="A193" s="36" t="str">
        <f aca="false">IF($F193="","",COUNTA($F$5:$F193))</f>
        <v/>
      </c>
      <c r="B193" s="37" t="str">
        <f aca="true">IF($F193="","",IF($P193="Cancelada","Cancelada",IF(OR($O193&lt;&gt;"",$P193="Concluída"),IF(OR($N193="",$O193="",$O193&lt;=$N193),"Concluída","Concluída com atraso"),IF($N193="","Na carteira",IF($N193&lt;TODAY(),"VENCIDA",IF($P193="Em execução","Em execução",IF($N193=TODAY(),"Hoje","Programada")))))))</f>
        <v/>
      </c>
      <c r="C193" s="38"/>
      <c r="D193" s="38"/>
      <c r="E193" s="38"/>
      <c r="F193" s="38"/>
      <c r="G193" s="39"/>
      <c r="H193" s="39"/>
      <c r="I193" s="40"/>
      <c r="J193" s="40"/>
      <c r="K193" s="40"/>
      <c r="L193" s="41"/>
      <c r="M193" s="42"/>
      <c r="N193" s="43" t="str">
        <f aca="false">IF(OR($L193="",$M193=""),"",$L193+MATCH($M193,Listas!$F$5:$F$11,0)-1)</f>
        <v/>
      </c>
      <c r="O193" s="44"/>
      <c r="P193" s="39"/>
      <c r="Q193" s="44"/>
      <c r="R193" s="38"/>
      <c r="S193" s="38"/>
      <c r="T193" s="36" t="str">
        <f aca="false">IF($F193="","",IF(ISNUMBER(SEARCH("(externo)",$I193&amp;$J193&amp;$K193)),"Terceirizada","Interna"))</f>
        <v/>
      </c>
      <c r="U193" s="43" t="str">
        <f aca="false">IF($N193="","",IF($Q193="",$N193,$Q193))</f>
        <v/>
      </c>
      <c r="V193" s="36" t="str">
        <f aca="false">IF($F193="","",IF(OR($O193="",$N193=""),0,IF($O193&lt;=$N193,1,0)))</f>
        <v/>
      </c>
      <c r="W193" s="36" t="str">
        <f aca="false">IF($F193="","",IF(OR($O193="",$U193=""),0,IF($O193&lt;=$U193,1,0)))</f>
        <v/>
      </c>
      <c r="X193" s="37" t="str">
        <f aca="false">IF(OR($O193="",$N193=""),"",MAX(0,$O193-$N193))</f>
        <v/>
      </c>
      <c r="Y193" s="36" t="str">
        <f aca="false">IF($F193="","",IF(AND($Q193&lt;&gt;"",$N193&lt;&gt;"",$Q193&lt;&gt;$N193),1,0))</f>
        <v/>
      </c>
      <c r="Z193" s="36" t="str">
        <f aca="false">IF($F193="","",IF($P193="Cancelada",0,IF(OR($O193&lt;&gt;"",$P193="Concluída"),1,0)))</f>
        <v/>
      </c>
    </row>
    <row r="194" customFormat="false" ht="16.5" hidden="false" customHeight="true" outlineLevel="0" collapsed="false">
      <c r="A194" s="36" t="str">
        <f aca="false">IF($F194="","",COUNTA($F$5:$F194))</f>
        <v/>
      </c>
      <c r="B194" s="37" t="str">
        <f aca="true">IF($F194="","",IF($P194="Cancelada","Cancelada",IF(OR($O194&lt;&gt;"",$P194="Concluída"),IF(OR($N194="",$O194="",$O194&lt;=$N194),"Concluída","Concluída com atraso"),IF($N194="","Na carteira",IF($N194&lt;TODAY(),"VENCIDA",IF($P194="Em execução","Em execução",IF($N194=TODAY(),"Hoje","Programada")))))))</f>
        <v/>
      </c>
      <c r="C194" s="38"/>
      <c r="D194" s="38"/>
      <c r="E194" s="38"/>
      <c r="F194" s="38"/>
      <c r="G194" s="39"/>
      <c r="H194" s="39"/>
      <c r="I194" s="40"/>
      <c r="J194" s="40"/>
      <c r="K194" s="40"/>
      <c r="L194" s="41"/>
      <c r="M194" s="42"/>
      <c r="N194" s="43" t="str">
        <f aca="false">IF(OR($L194="",$M194=""),"",$L194+MATCH($M194,Listas!$F$5:$F$11,0)-1)</f>
        <v/>
      </c>
      <c r="O194" s="44"/>
      <c r="P194" s="39"/>
      <c r="Q194" s="44"/>
      <c r="R194" s="38"/>
      <c r="S194" s="38"/>
      <c r="T194" s="36" t="str">
        <f aca="false">IF($F194="","",IF(ISNUMBER(SEARCH("(externo)",$I194&amp;$J194&amp;$K194)),"Terceirizada","Interna"))</f>
        <v/>
      </c>
      <c r="U194" s="43" t="str">
        <f aca="false">IF($N194="","",IF($Q194="",$N194,$Q194))</f>
        <v/>
      </c>
      <c r="V194" s="36" t="str">
        <f aca="false">IF($F194="","",IF(OR($O194="",$N194=""),0,IF($O194&lt;=$N194,1,0)))</f>
        <v/>
      </c>
      <c r="W194" s="36" t="str">
        <f aca="false">IF($F194="","",IF(OR($O194="",$U194=""),0,IF($O194&lt;=$U194,1,0)))</f>
        <v/>
      </c>
      <c r="X194" s="37" t="str">
        <f aca="false">IF(OR($O194="",$N194=""),"",MAX(0,$O194-$N194))</f>
        <v/>
      </c>
      <c r="Y194" s="36" t="str">
        <f aca="false">IF($F194="","",IF(AND($Q194&lt;&gt;"",$N194&lt;&gt;"",$Q194&lt;&gt;$N194),1,0))</f>
        <v/>
      </c>
      <c r="Z194" s="36" t="str">
        <f aca="false">IF($F194="","",IF($P194="Cancelada",0,IF(OR($O194&lt;&gt;"",$P194="Concluída"),1,0)))</f>
        <v/>
      </c>
    </row>
    <row r="195" customFormat="false" ht="16.5" hidden="false" customHeight="true" outlineLevel="0" collapsed="false">
      <c r="A195" s="36" t="str">
        <f aca="false">IF($F195="","",COUNTA($F$5:$F195))</f>
        <v/>
      </c>
      <c r="B195" s="37" t="str">
        <f aca="true">IF($F195="","",IF($P195="Cancelada","Cancelada",IF(OR($O195&lt;&gt;"",$P195="Concluída"),IF(OR($N195="",$O195="",$O195&lt;=$N195),"Concluída","Concluída com atraso"),IF($N195="","Na carteira",IF($N195&lt;TODAY(),"VENCIDA",IF($P195="Em execução","Em execução",IF($N195=TODAY(),"Hoje","Programada")))))))</f>
        <v/>
      </c>
      <c r="C195" s="38"/>
      <c r="D195" s="38"/>
      <c r="E195" s="38"/>
      <c r="F195" s="38"/>
      <c r="G195" s="39"/>
      <c r="H195" s="39"/>
      <c r="I195" s="40"/>
      <c r="J195" s="40"/>
      <c r="K195" s="40"/>
      <c r="L195" s="41"/>
      <c r="M195" s="42"/>
      <c r="N195" s="43" t="str">
        <f aca="false">IF(OR($L195="",$M195=""),"",$L195+MATCH($M195,Listas!$F$5:$F$11,0)-1)</f>
        <v/>
      </c>
      <c r="O195" s="44"/>
      <c r="P195" s="39"/>
      <c r="Q195" s="44"/>
      <c r="R195" s="38"/>
      <c r="S195" s="38"/>
      <c r="T195" s="36" t="str">
        <f aca="false">IF($F195="","",IF(ISNUMBER(SEARCH("(externo)",$I195&amp;$J195&amp;$K195)),"Terceirizada","Interna"))</f>
        <v/>
      </c>
      <c r="U195" s="43" t="str">
        <f aca="false">IF($N195="","",IF($Q195="",$N195,$Q195))</f>
        <v/>
      </c>
      <c r="V195" s="36" t="str">
        <f aca="false">IF($F195="","",IF(OR($O195="",$N195=""),0,IF($O195&lt;=$N195,1,0)))</f>
        <v/>
      </c>
      <c r="W195" s="36" t="str">
        <f aca="false">IF($F195="","",IF(OR($O195="",$U195=""),0,IF($O195&lt;=$U195,1,0)))</f>
        <v/>
      </c>
      <c r="X195" s="37" t="str">
        <f aca="false">IF(OR($O195="",$N195=""),"",MAX(0,$O195-$N195))</f>
        <v/>
      </c>
      <c r="Y195" s="36" t="str">
        <f aca="false">IF($F195="","",IF(AND($Q195&lt;&gt;"",$N195&lt;&gt;"",$Q195&lt;&gt;$N195),1,0))</f>
        <v/>
      </c>
      <c r="Z195" s="36" t="str">
        <f aca="false">IF($F195="","",IF($P195="Cancelada",0,IF(OR($O195&lt;&gt;"",$P195="Concluída"),1,0)))</f>
        <v/>
      </c>
    </row>
    <row r="196" customFormat="false" ht="16.5" hidden="false" customHeight="true" outlineLevel="0" collapsed="false">
      <c r="A196" s="36" t="str">
        <f aca="false">IF($F196="","",COUNTA($F$5:$F196))</f>
        <v/>
      </c>
      <c r="B196" s="37" t="str">
        <f aca="true">IF($F196="","",IF($P196="Cancelada","Cancelada",IF(OR($O196&lt;&gt;"",$P196="Concluída"),IF(OR($N196="",$O196="",$O196&lt;=$N196),"Concluída","Concluída com atraso"),IF($N196="","Na carteira",IF($N196&lt;TODAY(),"VENCIDA",IF($P196="Em execução","Em execução",IF($N196=TODAY(),"Hoje","Programada")))))))</f>
        <v/>
      </c>
      <c r="C196" s="38"/>
      <c r="D196" s="38"/>
      <c r="E196" s="38"/>
      <c r="F196" s="38"/>
      <c r="G196" s="39"/>
      <c r="H196" s="39"/>
      <c r="I196" s="40"/>
      <c r="J196" s="40"/>
      <c r="K196" s="40"/>
      <c r="L196" s="41"/>
      <c r="M196" s="42"/>
      <c r="N196" s="43" t="str">
        <f aca="false">IF(OR($L196="",$M196=""),"",$L196+MATCH($M196,Listas!$F$5:$F$11,0)-1)</f>
        <v/>
      </c>
      <c r="O196" s="44"/>
      <c r="P196" s="39"/>
      <c r="Q196" s="44"/>
      <c r="R196" s="38"/>
      <c r="S196" s="38"/>
      <c r="T196" s="36" t="str">
        <f aca="false">IF($F196="","",IF(ISNUMBER(SEARCH("(externo)",$I196&amp;$J196&amp;$K196)),"Terceirizada","Interna"))</f>
        <v/>
      </c>
      <c r="U196" s="43" t="str">
        <f aca="false">IF($N196="","",IF($Q196="",$N196,$Q196))</f>
        <v/>
      </c>
      <c r="V196" s="36" t="str">
        <f aca="false">IF($F196="","",IF(OR($O196="",$N196=""),0,IF($O196&lt;=$N196,1,0)))</f>
        <v/>
      </c>
      <c r="W196" s="36" t="str">
        <f aca="false">IF($F196="","",IF(OR($O196="",$U196=""),0,IF($O196&lt;=$U196,1,0)))</f>
        <v/>
      </c>
      <c r="X196" s="37" t="str">
        <f aca="false">IF(OR($O196="",$N196=""),"",MAX(0,$O196-$N196))</f>
        <v/>
      </c>
      <c r="Y196" s="36" t="str">
        <f aca="false">IF($F196="","",IF(AND($Q196&lt;&gt;"",$N196&lt;&gt;"",$Q196&lt;&gt;$N196),1,0))</f>
        <v/>
      </c>
      <c r="Z196" s="36" t="str">
        <f aca="false">IF($F196="","",IF($P196="Cancelada",0,IF(OR($O196&lt;&gt;"",$P196="Concluída"),1,0)))</f>
        <v/>
      </c>
    </row>
    <row r="197" customFormat="false" ht="16.5" hidden="false" customHeight="true" outlineLevel="0" collapsed="false">
      <c r="A197" s="36" t="str">
        <f aca="false">IF($F197="","",COUNTA($F$5:$F197))</f>
        <v/>
      </c>
      <c r="B197" s="37" t="str">
        <f aca="true">IF($F197="","",IF($P197="Cancelada","Cancelada",IF(OR($O197&lt;&gt;"",$P197="Concluída"),IF(OR($N197="",$O197="",$O197&lt;=$N197),"Concluída","Concluída com atraso"),IF($N197="","Na carteira",IF($N197&lt;TODAY(),"VENCIDA",IF($P197="Em execução","Em execução",IF($N197=TODAY(),"Hoje","Programada")))))))</f>
        <v/>
      </c>
      <c r="C197" s="38"/>
      <c r="D197" s="38"/>
      <c r="E197" s="38"/>
      <c r="F197" s="38"/>
      <c r="G197" s="39"/>
      <c r="H197" s="39"/>
      <c r="I197" s="40"/>
      <c r="J197" s="40"/>
      <c r="K197" s="40"/>
      <c r="L197" s="41"/>
      <c r="M197" s="42"/>
      <c r="N197" s="43" t="str">
        <f aca="false">IF(OR($L197="",$M197=""),"",$L197+MATCH($M197,Listas!$F$5:$F$11,0)-1)</f>
        <v/>
      </c>
      <c r="O197" s="44"/>
      <c r="P197" s="39"/>
      <c r="Q197" s="44"/>
      <c r="R197" s="38"/>
      <c r="S197" s="38"/>
      <c r="T197" s="36" t="str">
        <f aca="false">IF($F197="","",IF(ISNUMBER(SEARCH("(externo)",$I197&amp;$J197&amp;$K197)),"Terceirizada","Interna"))</f>
        <v/>
      </c>
      <c r="U197" s="43" t="str">
        <f aca="false">IF($N197="","",IF($Q197="",$N197,$Q197))</f>
        <v/>
      </c>
      <c r="V197" s="36" t="str">
        <f aca="false">IF($F197="","",IF(OR($O197="",$N197=""),0,IF($O197&lt;=$N197,1,0)))</f>
        <v/>
      </c>
      <c r="W197" s="36" t="str">
        <f aca="false">IF($F197="","",IF(OR($O197="",$U197=""),0,IF($O197&lt;=$U197,1,0)))</f>
        <v/>
      </c>
      <c r="X197" s="37" t="str">
        <f aca="false">IF(OR($O197="",$N197=""),"",MAX(0,$O197-$N197))</f>
        <v/>
      </c>
      <c r="Y197" s="36" t="str">
        <f aca="false">IF($F197="","",IF(AND($Q197&lt;&gt;"",$N197&lt;&gt;"",$Q197&lt;&gt;$N197),1,0))</f>
        <v/>
      </c>
      <c r="Z197" s="36" t="str">
        <f aca="false">IF($F197="","",IF($P197="Cancelada",0,IF(OR($O197&lt;&gt;"",$P197="Concluída"),1,0)))</f>
        <v/>
      </c>
    </row>
    <row r="198" customFormat="false" ht="16.5" hidden="false" customHeight="true" outlineLevel="0" collapsed="false">
      <c r="A198" s="36" t="str">
        <f aca="false">IF($F198="","",COUNTA($F$5:$F198))</f>
        <v/>
      </c>
      <c r="B198" s="37" t="str">
        <f aca="true">IF($F198="","",IF($P198="Cancelada","Cancelada",IF(OR($O198&lt;&gt;"",$P198="Concluída"),IF(OR($N198="",$O198="",$O198&lt;=$N198),"Concluída","Concluída com atraso"),IF($N198="","Na carteira",IF($N198&lt;TODAY(),"VENCIDA",IF($P198="Em execução","Em execução",IF($N198=TODAY(),"Hoje","Programada")))))))</f>
        <v/>
      </c>
      <c r="C198" s="38"/>
      <c r="D198" s="38"/>
      <c r="E198" s="38"/>
      <c r="F198" s="38"/>
      <c r="G198" s="39"/>
      <c r="H198" s="39"/>
      <c r="I198" s="40"/>
      <c r="J198" s="40"/>
      <c r="K198" s="40"/>
      <c r="L198" s="41"/>
      <c r="M198" s="42"/>
      <c r="N198" s="43" t="str">
        <f aca="false">IF(OR($L198="",$M198=""),"",$L198+MATCH($M198,Listas!$F$5:$F$11,0)-1)</f>
        <v/>
      </c>
      <c r="O198" s="44"/>
      <c r="P198" s="39"/>
      <c r="Q198" s="44"/>
      <c r="R198" s="38"/>
      <c r="S198" s="38"/>
      <c r="T198" s="36" t="str">
        <f aca="false">IF($F198="","",IF(ISNUMBER(SEARCH("(externo)",$I198&amp;$J198&amp;$K198)),"Terceirizada","Interna"))</f>
        <v/>
      </c>
      <c r="U198" s="43" t="str">
        <f aca="false">IF($N198="","",IF($Q198="",$N198,$Q198))</f>
        <v/>
      </c>
      <c r="V198" s="36" t="str">
        <f aca="false">IF($F198="","",IF(OR($O198="",$N198=""),0,IF($O198&lt;=$N198,1,0)))</f>
        <v/>
      </c>
      <c r="W198" s="36" t="str">
        <f aca="false">IF($F198="","",IF(OR($O198="",$U198=""),0,IF($O198&lt;=$U198,1,0)))</f>
        <v/>
      </c>
      <c r="X198" s="37" t="str">
        <f aca="false">IF(OR($O198="",$N198=""),"",MAX(0,$O198-$N198))</f>
        <v/>
      </c>
      <c r="Y198" s="36" t="str">
        <f aca="false">IF($F198="","",IF(AND($Q198&lt;&gt;"",$N198&lt;&gt;"",$Q198&lt;&gt;$N198),1,0))</f>
        <v/>
      </c>
      <c r="Z198" s="36" t="str">
        <f aca="false">IF($F198="","",IF($P198="Cancelada",0,IF(OR($O198&lt;&gt;"",$P198="Concluída"),1,0)))</f>
        <v/>
      </c>
    </row>
    <row r="199" customFormat="false" ht="16.5" hidden="false" customHeight="true" outlineLevel="0" collapsed="false">
      <c r="A199" s="36" t="str">
        <f aca="false">IF($F199="","",COUNTA($F$5:$F199))</f>
        <v/>
      </c>
      <c r="B199" s="37" t="str">
        <f aca="true">IF($F199="","",IF($P199="Cancelada","Cancelada",IF(OR($O199&lt;&gt;"",$P199="Concluída"),IF(OR($N199="",$O199="",$O199&lt;=$N199),"Concluída","Concluída com atraso"),IF($N199="","Na carteira",IF($N199&lt;TODAY(),"VENCIDA",IF($P199="Em execução","Em execução",IF($N199=TODAY(),"Hoje","Programada")))))))</f>
        <v/>
      </c>
      <c r="C199" s="38"/>
      <c r="D199" s="38"/>
      <c r="E199" s="38"/>
      <c r="F199" s="38"/>
      <c r="G199" s="39"/>
      <c r="H199" s="39"/>
      <c r="I199" s="40"/>
      <c r="J199" s="40"/>
      <c r="K199" s="40"/>
      <c r="L199" s="41"/>
      <c r="M199" s="42"/>
      <c r="N199" s="43" t="str">
        <f aca="false">IF(OR($L199="",$M199=""),"",$L199+MATCH($M199,Listas!$F$5:$F$11,0)-1)</f>
        <v/>
      </c>
      <c r="O199" s="44"/>
      <c r="P199" s="39"/>
      <c r="Q199" s="44"/>
      <c r="R199" s="38"/>
      <c r="S199" s="38"/>
      <c r="T199" s="36" t="str">
        <f aca="false">IF($F199="","",IF(ISNUMBER(SEARCH("(externo)",$I199&amp;$J199&amp;$K199)),"Terceirizada","Interna"))</f>
        <v/>
      </c>
      <c r="U199" s="43" t="str">
        <f aca="false">IF($N199="","",IF($Q199="",$N199,$Q199))</f>
        <v/>
      </c>
      <c r="V199" s="36" t="str">
        <f aca="false">IF($F199="","",IF(OR($O199="",$N199=""),0,IF($O199&lt;=$N199,1,0)))</f>
        <v/>
      </c>
      <c r="W199" s="36" t="str">
        <f aca="false">IF($F199="","",IF(OR($O199="",$U199=""),0,IF($O199&lt;=$U199,1,0)))</f>
        <v/>
      </c>
      <c r="X199" s="37" t="str">
        <f aca="false">IF(OR($O199="",$N199=""),"",MAX(0,$O199-$N199))</f>
        <v/>
      </c>
      <c r="Y199" s="36" t="str">
        <f aca="false">IF($F199="","",IF(AND($Q199&lt;&gt;"",$N199&lt;&gt;"",$Q199&lt;&gt;$N199),1,0))</f>
        <v/>
      </c>
      <c r="Z199" s="36" t="str">
        <f aca="false">IF($F199="","",IF($P199="Cancelada",0,IF(OR($O199&lt;&gt;"",$P199="Concluída"),1,0)))</f>
        <v/>
      </c>
    </row>
    <row r="200" customFormat="false" ht="16.5" hidden="false" customHeight="true" outlineLevel="0" collapsed="false">
      <c r="A200" s="36" t="str">
        <f aca="false">IF($F200="","",COUNTA($F$5:$F200))</f>
        <v/>
      </c>
      <c r="B200" s="37" t="str">
        <f aca="true">IF($F200="","",IF($P200="Cancelada","Cancelada",IF(OR($O200&lt;&gt;"",$P200="Concluída"),IF(OR($N200="",$O200="",$O200&lt;=$N200),"Concluída","Concluída com atraso"),IF($N200="","Na carteira",IF($N200&lt;TODAY(),"VENCIDA",IF($P200="Em execução","Em execução",IF($N200=TODAY(),"Hoje","Programada")))))))</f>
        <v/>
      </c>
      <c r="C200" s="38"/>
      <c r="D200" s="38"/>
      <c r="E200" s="38"/>
      <c r="F200" s="38"/>
      <c r="G200" s="39"/>
      <c r="H200" s="39"/>
      <c r="I200" s="40"/>
      <c r="J200" s="40"/>
      <c r="K200" s="40"/>
      <c r="L200" s="41"/>
      <c r="M200" s="42"/>
      <c r="N200" s="43" t="str">
        <f aca="false">IF(OR($L200="",$M200=""),"",$L200+MATCH($M200,Listas!$F$5:$F$11,0)-1)</f>
        <v/>
      </c>
      <c r="O200" s="44"/>
      <c r="P200" s="39"/>
      <c r="Q200" s="44"/>
      <c r="R200" s="38"/>
      <c r="S200" s="38"/>
      <c r="T200" s="36" t="str">
        <f aca="false">IF($F200="","",IF(ISNUMBER(SEARCH("(externo)",$I200&amp;$J200&amp;$K200)),"Terceirizada","Interna"))</f>
        <v/>
      </c>
      <c r="U200" s="43" t="str">
        <f aca="false">IF($N200="","",IF($Q200="",$N200,$Q200))</f>
        <v/>
      </c>
      <c r="V200" s="36" t="str">
        <f aca="false">IF($F200="","",IF(OR($O200="",$N200=""),0,IF($O200&lt;=$N200,1,0)))</f>
        <v/>
      </c>
      <c r="W200" s="36" t="str">
        <f aca="false">IF($F200="","",IF(OR($O200="",$U200=""),0,IF($O200&lt;=$U200,1,0)))</f>
        <v/>
      </c>
      <c r="X200" s="37" t="str">
        <f aca="false">IF(OR($O200="",$N200=""),"",MAX(0,$O200-$N200))</f>
        <v/>
      </c>
      <c r="Y200" s="36" t="str">
        <f aca="false">IF($F200="","",IF(AND($Q200&lt;&gt;"",$N200&lt;&gt;"",$Q200&lt;&gt;$N200),1,0))</f>
        <v/>
      </c>
      <c r="Z200" s="36" t="str">
        <f aca="false">IF($F200="","",IF($P200="Cancelada",0,IF(OR($O200&lt;&gt;"",$P200="Concluída"),1,0)))</f>
        <v/>
      </c>
    </row>
    <row r="201" customFormat="false" ht="16.5" hidden="false" customHeight="true" outlineLevel="0" collapsed="false">
      <c r="A201" s="36" t="str">
        <f aca="false">IF($F201="","",COUNTA($F$5:$F201))</f>
        <v/>
      </c>
      <c r="B201" s="37" t="str">
        <f aca="true">IF($F201="","",IF($P201="Cancelada","Cancelada",IF(OR($O201&lt;&gt;"",$P201="Concluída"),IF(OR($N201="",$O201="",$O201&lt;=$N201),"Concluída","Concluída com atraso"),IF($N201="","Na carteira",IF($N201&lt;TODAY(),"VENCIDA",IF($P201="Em execução","Em execução",IF($N201=TODAY(),"Hoje","Programada")))))))</f>
        <v/>
      </c>
      <c r="C201" s="38"/>
      <c r="D201" s="38"/>
      <c r="E201" s="38"/>
      <c r="F201" s="38"/>
      <c r="G201" s="39"/>
      <c r="H201" s="39"/>
      <c r="I201" s="40"/>
      <c r="J201" s="40"/>
      <c r="K201" s="40"/>
      <c r="L201" s="41"/>
      <c r="M201" s="42"/>
      <c r="N201" s="43" t="str">
        <f aca="false">IF(OR($L201="",$M201=""),"",$L201+MATCH($M201,Listas!$F$5:$F$11,0)-1)</f>
        <v/>
      </c>
      <c r="O201" s="44"/>
      <c r="P201" s="39"/>
      <c r="Q201" s="44"/>
      <c r="R201" s="38"/>
      <c r="S201" s="38"/>
      <c r="T201" s="36" t="str">
        <f aca="false">IF($F201="","",IF(ISNUMBER(SEARCH("(externo)",$I201&amp;$J201&amp;$K201)),"Terceirizada","Interna"))</f>
        <v/>
      </c>
      <c r="U201" s="43" t="str">
        <f aca="false">IF($N201="","",IF($Q201="",$N201,$Q201))</f>
        <v/>
      </c>
      <c r="V201" s="36" t="str">
        <f aca="false">IF($F201="","",IF(OR($O201="",$N201=""),0,IF($O201&lt;=$N201,1,0)))</f>
        <v/>
      </c>
      <c r="W201" s="36" t="str">
        <f aca="false">IF($F201="","",IF(OR($O201="",$U201=""),0,IF($O201&lt;=$U201,1,0)))</f>
        <v/>
      </c>
      <c r="X201" s="37" t="str">
        <f aca="false">IF(OR($O201="",$N201=""),"",MAX(0,$O201-$N201))</f>
        <v/>
      </c>
      <c r="Y201" s="36" t="str">
        <f aca="false">IF($F201="","",IF(AND($Q201&lt;&gt;"",$N201&lt;&gt;"",$Q201&lt;&gt;$N201),1,0))</f>
        <v/>
      </c>
      <c r="Z201" s="36" t="str">
        <f aca="false">IF($F201="","",IF($P201="Cancelada",0,IF(OR($O201&lt;&gt;"",$P201="Concluída"),1,0)))</f>
        <v/>
      </c>
    </row>
    <row r="202" customFormat="false" ht="16.5" hidden="false" customHeight="true" outlineLevel="0" collapsed="false">
      <c r="A202" s="36" t="str">
        <f aca="false">IF($F202="","",COUNTA($F$5:$F202))</f>
        <v/>
      </c>
      <c r="B202" s="37" t="str">
        <f aca="true">IF($F202="","",IF($P202="Cancelada","Cancelada",IF(OR($O202&lt;&gt;"",$P202="Concluída"),IF(OR($N202="",$O202="",$O202&lt;=$N202),"Concluída","Concluída com atraso"),IF($N202="","Na carteira",IF($N202&lt;TODAY(),"VENCIDA",IF($P202="Em execução","Em execução",IF($N202=TODAY(),"Hoje","Programada")))))))</f>
        <v/>
      </c>
      <c r="C202" s="38"/>
      <c r="D202" s="38"/>
      <c r="E202" s="38"/>
      <c r="F202" s="38"/>
      <c r="G202" s="39"/>
      <c r="H202" s="39"/>
      <c r="I202" s="40"/>
      <c r="J202" s="40"/>
      <c r="K202" s="40"/>
      <c r="L202" s="41"/>
      <c r="M202" s="42"/>
      <c r="N202" s="43" t="str">
        <f aca="false">IF(OR($L202="",$M202=""),"",$L202+MATCH($M202,Listas!$F$5:$F$11,0)-1)</f>
        <v/>
      </c>
      <c r="O202" s="44"/>
      <c r="P202" s="39"/>
      <c r="Q202" s="44"/>
      <c r="R202" s="38"/>
      <c r="S202" s="38"/>
      <c r="T202" s="36" t="str">
        <f aca="false">IF($F202="","",IF(ISNUMBER(SEARCH("(externo)",$I202&amp;$J202&amp;$K202)),"Terceirizada","Interna"))</f>
        <v/>
      </c>
      <c r="U202" s="43" t="str">
        <f aca="false">IF($N202="","",IF($Q202="",$N202,$Q202))</f>
        <v/>
      </c>
      <c r="V202" s="36" t="str">
        <f aca="false">IF($F202="","",IF(OR($O202="",$N202=""),0,IF($O202&lt;=$N202,1,0)))</f>
        <v/>
      </c>
      <c r="W202" s="36" t="str">
        <f aca="false">IF($F202="","",IF(OR($O202="",$U202=""),0,IF($O202&lt;=$U202,1,0)))</f>
        <v/>
      </c>
      <c r="X202" s="37" t="str">
        <f aca="false">IF(OR($O202="",$N202=""),"",MAX(0,$O202-$N202))</f>
        <v/>
      </c>
      <c r="Y202" s="36" t="str">
        <f aca="false">IF($F202="","",IF(AND($Q202&lt;&gt;"",$N202&lt;&gt;"",$Q202&lt;&gt;$N202),1,0))</f>
        <v/>
      </c>
      <c r="Z202" s="36" t="str">
        <f aca="false">IF($F202="","",IF($P202="Cancelada",0,IF(OR($O202&lt;&gt;"",$P202="Concluída"),1,0)))</f>
        <v/>
      </c>
    </row>
    <row r="203" customFormat="false" ht="16.5" hidden="false" customHeight="true" outlineLevel="0" collapsed="false">
      <c r="A203" s="36" t="str">
        <f aca="false">IF($F203="","",COUNTA($F$5:$F203))</f>
        <v/>
      </c>
      <c r="B203" s="37" t="str">
        <f aca="true">IF($F203="","",IF($P203="Cancelada","Cancelada",IF(OR($O203&lt;&gt;"",$P203="Concluída"),IF(OR($N203="",$O203="",$O203&lt;=$N203),"Concluída","Concluída com atraso"),IF($N203="","Na carteira",IF($N203&lt;TODAY(),"VENCIDA",IF($P203="Em execução","Em execução",IF($N203=TODAY(),"Hoje","Programada")))))))</f>
        <v/>
      </c>
      <c r="C203" s="38"/>
      <c r="D203" s="38"/>
      <c r="E203" s="38"/>
      <c r="F203" s="38"/>
      <c r="G203" s="39"/>
      <c r="H203" s="39"/>
      <c r="I203" s="40"/>
      <c r="J203" s="40"/>
      <c r="K203" s="40"/>
      <c r="L203" s="41"/>
      <c r="M203" s="42"/>
      <c r="N203" s="43" t="str">
        <f aca="false">IF(OR($L203="",$M203=""),"",$L203+MATCH($M203,Listas!$F$5:$F$11,0)-1)</f>
        <v/>
      </c>
      <c r="O203" s="44"/>
      <c r="P203" s="39"/>
      <c r="Q203" s="44"/>
      <c r="R203" s="38"/>
      <c r="S203" s="38"/>
      <c r="T203" s="36" t="str">
        <f aca="false">IF($F203="","",IF(ISNUMBER(SEARCH("(externo)",$I203&amp;$J203&amp;$K203)),"Terceirizada","Interna"))</f>
        <v/>
      </c>
      <c r="U203" s="43" t="str">
        <f aca="false">IF($N203="","",IF($Q203="",$N203,$Q203))</f>
        <v/>
      </c>
      <c r="V203" s="36" t="str">
        <f aca="false">IF($F203="","",IF(OR($O203="",$N203=""),0,IF($O203&lt;=$N203,1,0)))</f>
        <v/>
      </c>
      <c r="W203" s="36" t="str">
        <f aca="false">IF($F203="","",IF(OR($O203="",$U203=""),0,IF($O203&lt;=$U203,1,0)))</f>
        <v/>
      </c>
      <c r="X203" s="37" t="str">
        <f aca="false">IF(OR($O203="",$N203=""),"",MAX(0,$O203-$N203))</f>
        <v/>
      </c>
      <c r="Y203" s="36" t="str">
        <f aca="false">IF($F203="","",IF(AND($Q203&lt;&gt;"",$N203&lt;&gt;"",$Q203&lt;&gt;$N203),1,0))</f>
        <v/>
      </c>
      <c r="Z203" s="36" t="str">
        <f aca="false">IF($F203="","",IF($P203="Cancelada",0,IF(OR($O203&lt;&gt;"",$P203="Concluída"),1,0)))</f>
        <v/>
      </c>
    </row>
    <row r="204" customFormat="false" ht="16.5" hidden="false" customHeight="true" outlineLevel="0" collapsed="false">
      <c r="A204" s="36" t="str">
        <f aca="false">IF($F204="","",COUNTA($F$5:$F204))</f>
        <v/>
      </c>
      <c r="B204" s="37" t="str">
        <f aca="true">IF($F204="","",IF($P204="Cancelada","Cancelada",IF(OR($O204&lt;&gt;"",$P204="Concluída"),IF(OR($N204="",$O204="",$O204&lt;=$N204),"Concluída","Concluída com atraso"),IF($N204="","Na carteira",IF($N204&lt;TODAY(),"VENCIDA",IF($P204="Em execução","Em execução",IF($N204=TODAY(),"Hoje","Programada")))))))</f>
        <v/>
      </c>
      <c r="C204" s="38"/>
      <c r="D204" s="38"/>
      <c r="E204" s="38"/>
      <c r="F204" s="38"/>
      <c r="G204" s="39"/>
      <c r="H204" s="39"/>
      <c r="I204" s="40"/>
      <c r="J204" s="40"/>
      <c r="K204" s="40"/>
      <c r="L204" s="41"/>
      <c r="M204" s="42"/>
      <c r="N204" s="43" t="str">
        <f aca="false">IF(OR($L204="",$M204=""),"",$L204+MATCH($M204,Listas!$F$5:$F$11,0)-1)</f>
        <v/>
      </c>
      <c r="O204" s="44"/>
      <c r="P204" s="39"/>
      <c r="Q204" s="44"/>
      <c r="R204" s="38"/>
      <c r="S204" s="38"/>
      <c r="T204" s="36" t="str">
        <f aca="false">IF($F204="","",IF(ISNUMBER(SEARCH("(externo)",$I204&amp;$J204&amp;$K204)),"Terceirizada","Interna"))</f>
        <v/>
      </c>
      <c r="U204" s="43" t="str">
        <f aca="false">IF($N204="","",IF($Q204="",$N204,$Q204))</f>
        <v/>
      </c>
      <c r="V204" s="36" t="str">
        <f aca="false">IF($F204="","",IF(OR($O204="",$N204=""),0,IF($O204&lt;=$N204,1,0)))</f>
        <v/>
      </c>
      <c r="W204" s="36" t="str">
        <f aca="false">IF($F204="","",IF(OR($O204="",$U204=""),0,IF($O204&lt;=$U204,1,0)))</f>
        <v/>
      </c>
      <c r="X204" s="37" t="str">
        <f aca="false">IF(OR($O204="",$N204=""),"",MAX(0,$O204-$N204))</f>
        <v/>
      </c>
      <c r="Y204" s="36" t="str">
        <f aca="false">IF($F204="","",IF(AND($Q204&lt;&gt;"",$N204&lt;&gt;"",$Q204&lt;&gt;$N204),1,0))</f>
        <v/>
      </c>
      <c r="Z204" s="36" t="str">
        <f aca="false">IF($F204="","",IF($P204="Cancelada",0,IF(OR($O204&lt;&gt;"",$P204="Concluída"),1,0)))</f>
        <v/>
      </c>
    </row>
    <row r="205" customFormat="false" ht="16.5" hidden="false" customHeight="true" outlineLevel="0" collapsed="false">
      <c r="A205" s="36" t="str">
        <f aca="false">IF($F205="","",COUNTA($F$5:$F205))</f>
        <v/>
      </c>
      <c r="B205" s="37" t="str">
        <f aca="true">IF($F205="","",IF($P205="Cancelada","Cancelada",IF(OR($O205&lt;&gt;"",$P205="Concluída"),IF(OR($N205="",$O205="",$O205&lt;=$N205),"Concluída","Concluída com atraso"),IF($N205="","Na carteira",IF($N205&lt;TODAY(),"VENCIDA",IF($P205="Em execução","Em execução",IF($N205=TODAY(),"Hoje","Programada")))))))</f>
        <v/>
      </c>
      <c r="C205" s="38"/>
      <c r="D205" s="38"/>
      <c r="E205" s="38"/>
      <c r="F205" s="38"/>
      <c r="G205" s="39"/>
      <c r="H205" s="39"/>
      <c r="I205" s="40"/>
      <c r="J205" s="40"/>
      <c r="K205" s="40"/>
      <c r="L205" s="41"/>
      <c r="M205" s="42"/>
      <c r="N205" s="43" t="str">
        <f aca="false">IF(OR($L205="",$M205=""),"",$L205+MATCH($M205,Listas!$F$5:$F$11,0)-1)</f>
        <v/>
      </c>
      <c r="O205" s="44"/>
      <c r="P205" s="39"/>
      <c r="Q205" s="44"/>
      <c r="R205" s="38"/>
      <c r="S205" s="38"/>
      <c r="T205" s="36" t="str">
        <f aca="false">IF($F205="","",IF(ISNUMBER(SEARCH("(externo)",$I205&amp;$J205&amp;$K205)),"Terceirizada","Interna"))</f>
        <v/>
      </c>
      <c r="U205" s="43" t="str">
        <f aca="false">IF($N205="","",IF($Q205="",$N205,$Q205))</f>
        <v/>
      </c>
      <c r="V205" s="36" t="str">
        <f aca="false">IF($F205="","",IF(OR($O205="",$N205=""),0,IF($O205&lt;=$N205,1,0)))</f>
        <v/>
      </c>
      <c r="W205" s="36" t="str">
        <f aca="false">IF($F205="","",IF(OR($O205="",$U205=""),0,IF($O205&lt;=$U205,1,0)))</f>
        <v/>
      </c>
      <c r="X205" s="37" t="str">
        <f aca="false">IF(OR($O205="",$N205=""),"",MAX(0,$O205-$N205))</f>
        <v/>
      </c>
      <c r="Y205" s="36" t="str">
        <f aca="false">IF($F205="","",IF(AND($Q205&lt;&gt;"",$N205&lt;&gt;"",$Q205&lt;&gt;$N205),1,0))</f>
        <v/>
      </c>
      <c r="Z205" s="36" t="str">
        <f aca="false">IF($F205="","",IF($P205="Cancelada",0,IF(OR($O205&lt;&gt;"",$P205="Concluída"),1,0)))</f>
        <v/>
      </c>
    </row>
    <row r="206" customFormat="false" ht="16.5" hidden="false" customHeight="true" outlineLevel="0" collapsed="false">
      <c r="A206" s="36" t="str">
        <f aca="false">IF($F206="","",COUNTA($F$5:$F206))</f>
        <v/>
      </c>
      <c r="B206" s="37" t="str">
        <f aca="true">IF($F206="","",IF($P206="Cancelada","Cancelada",IF(OR($O206&lt;&gt;"",$P206="Concluída"),IF(OR($N206="",$O206="",$O206&lt;=$N206),"Concluída","Concluída com atraso"),IF($N206="","Na carteira",IF($N206&lt;TODAY(),"VENCIDA",IF($P206="Em execução","Em execução",IF($N206=TODAY(),"Hoje","Programada")))))))</f>
        <v/>
      </c>
      <c r="C206" s="38"/>
      <c r="D206" s="38"/>
      <c r="E206" s="38"/>
      <c r="F206" s="38"/>
      <c r="G206" s="39"/>
      <c r="H206" s="39"/>
      <c r="I206" s="40"/>
      <c r="J206" s="40"/>
      <c r="K206" s="40"/>
      <c r="L206" s="41"/>
      <c r="M206" s="42"/>
      <c r="N206" s="43" t="str">
        <f aca="false">IF(OR($L206="",$M206=""),"",$L206+MATCH($M206,Listas!$F$5:$F$11,0)-1)</f>
        <v/>
      </c>
      <c r="O206" s="44"/>
      <c r="P206" s="39"/>
      <c r="Q206" s="44"/>
      <c r="R206" s="38"/>
      <c r="S206" s="38"/>
      <c r="T206" s="36" t="str">
        <f aca="false">IF($F206="","",IF(ISNUMBER(SEARCH("(externo)",$I206&amp;$J206&amp;$K206)),"Terceirizada","Interna"))</f>
        <v/>
      </c>
      <c r="U206" s="43" t="str">
        <f aca="false">IF($N206="","",IF($Q206="",$N206,$Q206))</f>
        <v/>
      </c>
      <c r="V206" s="36" t="str">
        <f aca="false">IF($F206="","",IF(OR($O206="",$N206=""),0,IF($O206&lt;=$N206,1,0)))</f>
        <v/>
      </c>
      <c r="W206" s="36" t="str">
        <f aca="false">IF($F206="","",IF(OR($O206="",$U206=""),0,IF($O206&lt;=$U206,1,0)))</f>
        <v/>
      </c>
      <c r="X206" s="37" t="str">
        <f aca="false">IF(OR($O206="",$N206=""),"",MAX(0,$O206-$N206))</f>
        <v/>
      </c>
      <c r="Y206" s="36" t="str">
        <f aca="false">IF($F206="","",IF(AND($Q206&lt;&gt;"",$N206&lt;&gt;"",$Q206&lt;&gt;$N206),1,0))</f>
        <v/>
      </c>
      <c r="Z206" s="36" t="str">
        <f aca="false">IF($F206="","",IF($P206="Cancelada",0,IF(OR($O206&lt;&gt;"",$P206="Concluída"),1,0)))</f>
        <v/>
      </c>
    </row>
    <row r="207" customFormat="false" ht="16.5" hidden="false" customHeight="true" outlineLevel="0" collapsed="false">
      <c r="A207" s="36" t="str">
        <f aca="false">IF($F207="","",COUNTA($F$5:$F207))</f>
        <v/>
      </c>
      <c r="B207" s="37" t="str">
        <f aca="true">IF($F207="","",IF($P207="Cancelada","Cancelada",IF(OR($O207&lt;&gt;"",$P207="Concluída"),IF(OR($N207="",$O207="",$O207&lt;=$N207),"Concluída","Concluída com atraso"),IF($N207="","Na carteira",IF($N207&lt;TODAY(),"VENCIDA",IF($P207="Em execução","Em execução",IF($N207=TODAY(),"Hoje","Programada")))))))</f>
        <v/>
      </c>
      <c r="C207" s="38"/>
      <c r="D207" s="38"/>
      <c r="E207" s="38"/>
      <c r="F207" s="38"/>
      <c r="G207" s="39"/>
      <c r="H207" s="39"/>
      <c r="I207" s="40"/>
      <c r="J207" s="40"/>
      <c r="K207" s="40"/>
      <c r="L207" s="41"/>
      <c r="M207" s="42"/>
      <c r="N207" s="43" t="str">
        <f aca="false">IF(OR($L207="",$M207=""),"",$L207+MATCH($M207,Listas!$F$5:$F$11,0)-1)</f>
        <v/>
      </c>
      <c r="O207" s="44"/>
      <c r="P207" s="39"/>
      <c r="Q207" s="44"/>
      <c r="R207" s="38"/>
      <c r="S207" s="38"/>
      <c r="T207" s="36" t="str">
        <f aca="false">IF($F207="","",IF(ISNUMBER(SEARCH("(externo)",$I207&amp;$J207&amp;$K207)),"Terceirizada","Interna"))</f>
        <v/>
      </c>
      <c r="U207" s="43" t="str">
        <f aca="false">IF($N207="","",IF($Q207="",$N207,$Q207))</f>
        <v/>
      </c>
      <c r="V207" s="36" t="str">
        <f aca="false">IF($F207="","",IF(OR($O207="",$N207=""),0,IF($O207&lt;=$N207,1,0)))</f>
        <v/>
      </c>
      <c r="W207" s="36" t="str">
        <f aca="false">IF($F207="","",IF(OR($O207="",$U207=""),0,IF($O207&lt;=$U207,1,0)))</f>
        <v/>
      </c>
      <c r="X207" s="37" t="str">
        <f aca="false">IF(OR($O207="",$N207=""),"",MAX(0,$O207-$N207))</f>
        <v/>
      </c>
      <c r="Y207" s="36" t="str">
        <f aca="false">IF($F207="","",IF(AND($Q207&lt;&gt;"",$N207&lt;&gt;"",$Q207&lt;&gt;$N207),1,0))</f>
        <v/>
      </c>
      <c r="Z207" s="36" t="str">
        <f aca="false">IF($F207="","",IF($P207="Cancelada",0,IF(OR($O207&lt;&gt;"",$P207="Concluída"),1,0)))</f>
        <v/>
      </c>
    </row>
    <row r="208" customFormat="false" ht="16.5" hidden="false" customHeight="true" outlineLevel="0" collapsed="false">
      <c r="A208" s="36" t="str">
        <f aca="false">IF($F208="","",COUNTA($F$5:$F208))</f>
        <v/>
      </c>
      <c r="B208" s="37" t="str">
        <f aca="true">IF($F208="","",IF($P208="Cancelada","Cancelada",IF(OR($O208&lt;&gt;"",$P208="Concluída"),IF(OR($N208="",$O208="",$O208&lt;=$N208),"Concluída","Concluída com atraso"),IF($N208="","Na carteira",IF($N208&lt;TODAY(),"VENCIDA",IF($P208="Em execução","Em execução",IF($N208=TODAY(),"Hoje","Programada")))))))</f>
        <v/>
      </c>
      <c r="C208" s="38"/>
      <c r="D208" s="38"/>
      <c r="E208" s="38"/>
      <c r="F208" s="38"/>
      <c r="G208" s="39"/>
      <c r="H208" s="39"/>
      <c r="I208" s="40"/>
      <c r="J208" s="40"/>
      <c r="K208" s="40"/>
      <c r="L208" s="41"/>
      <c r="M208" s="42"/>
      <c r="N208" s="43" t="str">
        <f aca="false">IF(OR($L208="",$M208=""),"",$L208+MATCH($M208,Listas!$F$5:$F$11,0)-1)</f>
        <v/>
      </c>
      <c r="O208" s="44"/>
      <c r="P208" s="39"/>
      <c r="Q208" s="44"/>
      <c r="R208" s="38"/>
      <c r="S208" s="38"/>
      <c r="T208" s="36" t="str">
        <f aca="false">IF($F208="","",IF(ISNUMBER(SEARCH("(externo)",$I208&amp;$J208&amp;$K208)),"Terceirizada","Interna"))</f>
        <v/>
      </c>
      <c r="U208" s="43" t="str">
        <f aca="false">IF($N208="","",IF($Q208="",$N208,$Q208))</f>
        <v/>
      </c>
      <c r="V208" s="36" t="str">
        <f aca="false">IF($F208="","",IF(OR($O208="",$N208=""),0,IF($O208&lt;=$N208,1,0)))</f>
        <v/>
      </c>
      <c r="W208" s="36" t="str">
        <f aca="false">IF($F208="","",IF(OR($O208="",$U208=""),0,IF($O208&lt;=$U208,1,0)))</f>
        <v/>
      </c>
      <c r="X208" s="37" t="str">
        <f aca="false">IF(OR($O208="",$N208=""),"",MAX(0,$O208-$N208))</f>
        <v/>
      </c>
      <c r="Y208" s="36" t="str">
        <f aca="false">IF($F208="","",IF(AND($Q208&lt;&gt;"",$N208&lt;&gt;"",$Q208&lt;&gt;$N208),1,0))</f>
        <v/>
      </c>
      <c r="Z208" s="36" t="str">
        <f aca="false">IF($F208="","",IF($P208="Cancelada",0,IF(OR($O208&lt;&gt;"",$P208="Concluída"),1,0)))</f>
        <v/>
      </c>
    </row>
    <row r="209" customFormat="false" ht="16.5" hidden="false" customHeight="true" outlineLevel="0" collapsed="false">
      <c r="A209" s="36" t="str">
        <f aca="false">IF($F209="","",COUNTA($F$5:$F209))</f>
        <v/>
      </c>
      <c r="B209" s="37" t="str">
        <f aca="true">IF($F209="","",IF($P209="Cancelada","Cancelada",IF(OR($O209&lt;&gt;"",$P209="Concluída"),IF(OR($N209="",$O209="",$O209&lt;=$N209),"Concluída","Concluída com atraso"),IF($N209="","Na carteira",IF($N209&lt;TODAY(),"VENCIDA",IF($P209="Em execução","Em execução",IF($N209=TODAY(),"Hoje","Programada")))))))</f>
        <v/>
      </c>
      <c r="C209" s="38"/>
      <c r="D209" s="38"/>
      <c r="E209" s="38"/>
      <c r="F209" s="38"/>
      <c r="G209" s="39"/>
      <c r="H209" s="39"/>
      <c r="I209" s="40"/>
      <c r="J209" s="40"/>
      <c r="K209" s="40"/>
      <c r="L209" s="41"/>
      <c r="M209" s="42"/>
      <c r="N209" s="43" t="str">
        <f aca="false">IF(OR($L209="",$M209=""),"",$L209+MATCH($M209,Listas!$F$5:$F$11,0)-1)</f>
        <v/>
      </c>
      <c r="O209" s="44"/>
      <c r="P209" s="39"/>
      <c r="Q209" s="44"/>
      <c r="R209" s="38"/>
      <c r="S209" s="38"/>
      <c r="T209" s="36" t="str">
        <f aca="false">IF($F209="","",IF(ISNUMBER(SEARCH("(externo)",$I209&amp;$J209&amp;$K209)),"Terceirizada","Interna"))</f>
        <v/>
      </c>
      <c r="U209" s="43" t="str">
        <f aca="false">IF($N209="","",IF($Q209="",$N209,$Q209))</f>
        <v/>
      </c>
      <c r="V209" s="36" t="str">
        <f aca="false">IF($F209="","",IF(OR($O209="",$N209=""),0,IF($O209&lt;=$N209,1,0)))</f>
        <v/>
      </c>
      <c r="W209" s="36" t="str">
        <f aca="false">IF($F209="","",IF(OR($O209="",$U209=""),0,IF($O209&lt;=$U209,1,0)))</f>
        <v/>
      </c>
      <c r="X209" s="37" t="str">
        <f aca="false">IF(OR($O209="",$N209=""),"",MAX(0,$O209-$N209))</f>
        <v/>
      </c>
      <c r="Y209" s="36" t="str">
        <f aca="false">IF($F209="","",IF(AND($Q209&lt;&gt;"",$N209&lt;&gt;"",$Q209&lt;&gt;$N209),1,0))</f>
        <v/>
      </c>
      <c r="Z209" s="36" t="str">
        <f aca="false">IF($F209="","",IF($P209="Cancelada",0,IF(OR($O209&lt;&gt;"",$P209="Concluída"),1,0)))</f>
        <v/>
      </c>
    </row>
    <row r="210" customFormat="false" ht="16.5" hidden="false" customHeight="true" outlineLevel="0" collapsed="false">
      <c r="A210" s="36" t="str">
        <f aca="false">IF($F210="","",COUNTA($F$5:$F210))</f>
        <v/>
      </c>
      <c r="B210" s="37" t="str">
        <f aca="true">IF($F210="","",IF($P210="Cancelada","Cancelada",IF(OR($O210&lt;&gt;"",$P210="Concluída"),IF(OR($N210="",$O210="",$O210&lt;=$N210),"Concluída","Concluída com atraso"),IF($N210="","Na carteira",IF($N210&lt;TODAY(),"VENCIDA",IF($P210="Em execução","Em execução",IF($N210=TODAY(),"Hoje","Programada")))))))</f>
        <v/>
      </c>
      <c r="C210" s="38"/>
      <c r="D210" s="38"/>
      <c r="E210" s="38"/>
      <c r="F210" s="38"/>
      <c r="G210" s="39"/>
      <c r="H210" s="39"/>
      <c r="I210" s="40"/>
      <c r="J210" s="40"/>
      <c r="K210" s="40"/>
      <c r="L210" s="41"/>
      <c r="M210" s="42"/>
      <c r="N210" s="43" t="str">
        <f aca="false">IF(OR($L210="",$M210=""),"",$L210+MATCH($M210,Listas!$F$5:$F$11,0)-1)</f>
        <v/>
      </c>
      <c r="O210" s="44"/>
      <c r="P210" s="39"/>
      <c r="Q210" s="44"/>
      <c r="R210" s="38"/>
      <c r="S210" s="38"/>
      <c r="T210" s="36" t="str">
        <f aca="false">IF($F210="","",IF(ISNUMBER(SEARCH("(externo)",$I210&amp;$J210&amp;$K210)),"Terceirizada","Interna"))</f>
        <v/>
      </c>
      <c r="U210" s="43" t="str">
        <f aca="false">IF($N210="","",IF($Q210="",$N210,$Q210))</f>
        <v/>
      </c>
      <c r="V210" s="36" t="str">
        <f aca="false">IF($F210="","",IF(OR($O210="",$N210=""),0,IF($O210&lt;=$N210,1,0)))</f>
        <v/>
      </c>
      <c r="W210" s="36" t="str">
        <f aca="false">IF($F210="","",IF(OR($O210="",$U210=""),0,IF($O210&lt;=$U210,1,0)))</f>
        <v/>
      </c>
      <c r="X210" s="37" t="str">
        <f aca="false">IF(OR($O210="",$N210=""),"",MAX(0,$O210-$N210))</f>
        <v/>
      </c>
      <c r="Y210" s="36" t="str">
        <f aca="false">IF($F210="","",IF(AND($Q210&lt;&gt;"",$N210&lt;&gt;"",$Q210&lt;&gt;$N210),1,0))</f>
        <v/>
      </c>
      <c r="Z210" s="36" t="str">
        <f aca="false">IF($F210="","",IF($P210="Cancelada",0,IF(OR($O210&lt;&gt;"",$P210="Concluída"),1,0)))</f>
        <v/>
      </c>
    </row>
    <row r="211" customFormat="false" ht="16.5" hidden="false" customHeight="true" outlineLevel="0" collapsed="false">
      <c r="A211" s="36" t="str">
        <f aca="false">IF($F211="","",COUNTA($F$5:$F211))</f>
        <v/>
      </c>
      <c r="B211" s="37" t="str">
        <f aca="true">IF($F211="","",IF($P211="Cancelada","Cancelada",IF(OR($O211&lt;&gt;"",$P211="Concluída"),IF(OR($N211="",$O211="",$O211&lt;=$N211),"Concluída","Concluída com atraso"),IF($N211="","Na carteira",IF($N211&lt;TODAY(),"VENCIDA",IF($P211="Em execução","Em execução",IF($N211=TODAY(),"Hoje","Programada")))))))</f>
        <v/>
      </c>
      <c r="C211" s="38"/>
      <c r="D211" s="38"/>
      <c r="E211" s="38"/>
      <c r="F211" s="38"/>
      <c r="G211" s="39"/>
      <c r="H211" s="39"/>
      <c r="I211" s="40"/>
      <c r="J211" s="40"/>
      <c r="K211" s="40"/>
      <c r="L211" s="41"/>
      <c r="M211" s="42"/>
      <c r="N211" s="43" t="str">
        <f aca="false">IF(OR($L211="",$M211=""),"",$L211+MATCH($M211,Listas!$F$5:$F$11,0)-1)</f>
        <v/>
      </c>
      <c r="O211" s="44"/>
      <c r="P211" s="39"/>
      <c r="Q211" s="44"/>
      <c r="R211" s="38"/>
      <c r="S211" s="38"/>
      <c r="T211" s="36" t="str">
        <f aca="false">IF($F211="","",IF(ISNUMBER(SEARCH("(externo)",$I211&amp;$J211&amp;$K211)),"Terceirizada","Interna"))</f>
        <v/>
      </c>
      <c r="U211" s="43" t="str">
        <f aca="false">IF($N211="","",IF($Q211="",$N211,$Q211))</f>
        <v/>
      </c>
      <c r="V211" s="36" t="str">
        <f aca="false">IF($F211="","",IF(OR($O211="",$N211=""),0,IF($O211&lt;=$N211,1,0)))</f>
        <v/>
      </c>
      <c r="W211" s="36" t="str">
        <f aca="false">IF($F211="","",IF(OR($O211="",$U211=""),0,IF($O211&lt;=$U211,1,0)))</f>
        <v/>
      </c>
      <c r="X211" s="37" t="str">
        <f aca="false">IF(OR($O211="",$N211=""),"",MAX(0,$O211-$N211))</f>
        <v/>
      </c>
      <c r="Y211" s="36" t="str">
        <f aca="false">IF($F211="","",IF(AND($Q211&lt;&gt;"",$N211&lt;&gt;"",$Q211&lt;&gt;$N211),1,0))</f>
        <v/>
      </c>
      <c r="Z211" s="36" t="str">
        <f aca="false">IF($F211="","",IF($P211="Cancelada",0,IF(OR($O211&lt;&gt;"",$P211="Concluída"),1,0)))</f>
        <v/>
      </c>
    </row>
    <row r="212" customFormat="false" ht="16.5" hidden="false" customHeight="true" outlineLevel="0" collapsed="false">
      <c r="A212" s="36" t="str">
        <f aca="false">IF($F212="","",COUNTA($F$5:$F212))</f>
        <v/>
      </c>
      <c r="B212" s="37" t="str">
        <f aca="true">IF($F212="","",IF($P212="Cancelada","Cancelada",IF(OR($O212&lt;&gt;"",$P212="Concluída"),IF(OR($N212="",$O212="",$O212&lt;=$N212),"Concluída","Concluída com atraso"),IF($N212="","Na carteira",IF($N212&lt;TODAY(),"VENCIDA",IF($P212="Em execução","Em execução",IF($N212=TODAY(),"Hoje","Programada")))))))</f>
        <v/>
      </c>
      <c r="C212" s="38"/>
      <c r="D212" s="38"/>
      <c r="E212" s="38"/>
      <c r="F212" s="38"/>
      <c r="G212" s="39"/>
      <c r="H212" s="39"/>
      <c r="I212" s="40"/>
      <c r="J212" s="40"/>
      <c r="K212" s="40"/>
      <c r="L212" s="41"/>
      <c r="M212" s="42"/>
      <c r="N212" s="43" t="str">
        <f aca="false">IF(OR($L212="",$M212=""),"",$L212+MATCH($M212,Listas!$F$5:$F$11,0)-1)</f>
        <v/>
      </c>
      <c r="O212" s="44"/>
      <c r="P212" s="39"/>
      <c r="Q212" s="44"/>
      <c r="R212" s="38"/>
      <c r="S212" s="38"/>
      <c r="T212" s="36" t="str">
        <f aca="false">IF($F212="","",IF(ISNUMBER(SEARCH("(externo)",$I212&amp;$J212&amp;$K212)),"Terceirizada","Interna"))</f>
        <v/>
      </c>
      <c r="U212" s="43" t="str">
        <f aca="false">IF($N212="","",IF($Q212="",$N212,$Q212))</f>
        <v/>
      </c>
      <c r="V212" s="36" t="str">
        <f aca="false">IF($F212="","",IF(OR($O212="",$N212=""),0,IF($O212&lt;=$N212,1,0)))</f>
        <v/>
      </c>
      <c r="W212" s="36" t="str">
        <f aca="false">IF($F212="","",IF(OR($O212="",$U212=""),0,IF($O212&lt;=$U212,1,0)))</f>
        <v/>
      </c>
      <c r="X212" s="37" t="str">
        <f aca="false">IF(OR($O212="",$N212=""),"",MAX(0,$O212-$N212))</f>
        <v/>
      </c>
      <c r="Y212" s="36" t="str">
        <f aca="false">IF($F212="","",IF(AND($Q212&lt;&gt;"",$N212&lt;&gt;"",$Q212&lt;&gt;$N212),1,0))</f>
        <v/>
      </c>
      <c r="Z212" s="36" t="str">
        <f aca="false">IF($F212="","",IF($P212="Cancelada",0,IF(OR($O212&lt;&gt;"",$P212="Concluída"),1,0)))</f>
        <v/>
      </c>
    </row>
    <row r="213" customFormat="false" ht="16.5" hidden="false" customHeight="true" outlineLevel="0" collapsed="false">
      <c r="A213" s="36" t="str">
        <f aca="false">IF($F213="","",COUNTA($F$5:$F213))</f>
        <v/>
      </c>
      <c r="B213" s="37" t="str">
        <f aca="true">IF($F213="","",IF($P213="Cancelada","Cancelada",IF(OR($O213&lt;&gt;"",$P213="Concluída"),IF(OR($N213="",$O213="",$O213&lt;=$N213),"Concluída","Concluída com atraso"),IF($N213="","Na carteira",IF($N213&lt;TODAY(),"VENCIDA",IF($P213="Em execução","Em execução",IF($N213=TODAY(),"Hoje","Programada")))))))</f>
        <v/>
      </c>
      <c r="C213" s="38"/>
      <c r="D213" s="38"/>
      <c r="E213" s="38"/>
      <c r="F213" s="38"/>
      <c r="G213" s="39"/>
      <c r="H213" s="39"/>
      <c r="I213" s="40"/>
      <c r="J213" s="40"/>
      <c r="K213" s="40"/>
      <c r="L213" s="41"/>
      <c r="M213" s="42"/>
      <c r="N213" s="43" t="str">
        <f aca="false">IF(OR($L213="",$M213=""),"",$L213+MATCH($M213,Listas!$F$5:$F$11,0)-1)</f>
        <v/>
      </c>
      <c r="O213" s="44"/>
      <c r="P213" s="39"/>
      <c r="Q213" s="44"/>
      <c r="R213" s="38"/>
      <c r="S213" s="38"/>
      <c r="T213" s="36" t="str">
        <f aca="false">IF($F213="","",IF(ISNUMBER(SEARCH("(externo)",$I213&amp;$J213&amp;$K213)),"Terceirizada","Interna"))</f>
        <v/>
      </c>
      <c r="U213" s="43" t="str">
        <f aca="false">IF($N213="","",IF($Q213="",$N213,$Q213))</f>
        <v/>
      </c>
      <c r="V213" s="36" t="str">
        <f aca="false">IF($F213="","",IF(OR($O213="",$N213=""),0,IF($O213&lt;=$N213,1,0)))</f>
        <v/>
      </c>
      <c r="W213" s="36" t="str">
        <f aca="false">IF($F213="","",IF(OR($O213="",$U213=""),0,IF($O213&lt;=$U213,1,0)))</f>
        <v/>
      </c>
      <c r="X213" s="37" t="str">
        <f aca="false">IF(OR($O213="",$N213=""),"",MAX(0,$O213-$N213))</f>
        <v/>
      </c>
      <c r="Y213" s="36" t="str">
        <f aca="false">IF($F213="","",IF(AND($Q213&lt;&gt;"",$N213&lt;&gt;"",$Q213&lt;&gt;$N213),1,0))</f>
        <v/>
      </c>
      <c r="Z213" s="36" t="str">
        <f aca="false">IF($F213="","",IF($P213="Cancelada",0,IF(OR($O213&lt;&gt;"",$P213="Concluída"),1,0)))</f>
        <v/>
      </c>
    </row>
    <row r="214" customFormat="false" ht="16.5" hidden="false" customHeight="true" outlineLevel="0" collapsed="false">
      <c r="A214" s="36" t="str">
        <f aca="false">IF($F214="","",COUNTA($F$5:$F214))</f>
        <v/>
      </c>
      <c r="B214" s="37" t="str">
        <f aca="true">IF($F214="","",IF($P214="Cancelada","Cancelada",IF(OR($O214&lt;&gt;"",$P214="Concluída"),IF(OR($N214="",$O214="",$O214&lt;=$N214),"Concluída","Concluída com atraso"),IF($N214="","Na carteira",IF($N214&lt;TODAY(),"VENCIDA",IF($P214="Em execução","Em execução",IF($N214=TODAY(),"Hoje","Programada")))))))</f>
        <v/>
      </c>
      <c r="C214" s="38"/>
      <c r="D214" s="38"/>
      <c r="E214" s="38"/>
      <c r="F214" s="38"/>
      <c r="G214" s="39"/>
      <c r="H214" s="39"/>
      <c r="I214" s="40"/>
      <c r="J214" s="40"/>
      <c r="K214" s="40"/>
      <c r="L214" s="41"/>
      <c r="M214" s="42"/>
      <c r="N214" s="43" t="str">
        <f aca="false">IF(OR($L214="",$M214=""),"",$L214+MATCH($M214,Listas!$F$5:$F$11,0)-1)</f>
        <v/>
      </c>
      <c r="O214" s="44"/>
      <c r="P214" s="39"/>
      <c r="Q214" s="44"/>
      <c r="R214" s="38"/>
      <c r="S214" s="38"/>
      <c r="T214" s="36" t="str">
        <f aca="false">IF($F214="","",IF(ISNUMBER(SEARCH("(externo)",$I214&amp;$J214&amp;$K214)),"Terceirizada","Interna"))</f>
        <v/>
      </c>
      <c r="U214" s="43" t="str">
        <f aca="false">IF($N214="","",IF($Q214="",$N214,$Q214))</f>
        <v/>
      </c>
      <c r="V214" s="36" t="str">
        <f aca="false">IF($F214="","",IF(OR($O214="",$N214=""),0,IF($O214&lt;=$N214,1,0)))</f>
        <v/>
      </c>
      <c r="W214" s="36" t="str">
        <f aca="false">IF($F214="","",IF(OR($O214="",$U214=""),0,IF($O214&lt;=$U214,1,0)))</f>
        <v/>
      </c>
      <c r="X214" s="37" t="str">
        <f aca="false">IF(OR($O214="",$N214=""),"",MAX(0,$O214-$N214))</f>
        <v/>
      </c>
      <c r="Y214" s="36" t="str">
        <f aca="false">IF($F214="","",IF(AND($Q214&lt;&gt;"",$N214&lt;&gt;"",$Q214&lt;&gt;$N214),1,0))</f>
        <v/>
      </c>
      <c r="Z214" s="36" t="str">
        <f aca="false">IF($F214="","",IF($P214="Cancelada",0,IF(OR($O214&lt;&gt;"",$P214="Concluída"),1,0)))</f>
        <v/>
      </c>
    </row>
    <row r="215" customFormat="false" ht="16.5" hidden="false" customHeight="true" outlineLevel="0" collapsed="false">
      <c r="A215" s="36" t="str">
        <f aca="false">IF($F215="","",COUNTA($F$5:$F215))</f>
        <v/>
      </c>
      <c r="B215" s="37" t="str">
        <f aca="true">IF($F215="","",IF($P215="Cancelada","Cancelada",IF(OR($O215&lt;&gt;"",$P215="Concluída"),IF(OR($N215="",$O215="",$O215&lt;=$N215),"Concluída","Concluída com atraso"),IF($N215="","Na carteira",IF($N215&lt;TODAY(),"VENCIDA",IF($P215="Em execução","Em execução",IF($N215=TODAY(),"Hoje","Programada")))))))</f>
        <v/>
      </c>
      <c r="C215" s="38"/>
      <c r="D215" s="38"/>
      <c r="E215" s="38"/>
      <c r="F215" s="38"/>
      <c r="G215" s="39"/>
      <c r="H215" s="39"/>
      <c r="I215" s="40"/>
      <c r="J215" s="40"/>
      <c r="K215" s="40"/>
      <c r="L215" s="41"/>
      <c r="M215" s="42"/>
      <c r="N215" s="43" t="str">
        <f aca="false">IF(OR($L215="",$M215=""),"",$L215+MATCH($M215,Listas!$F$5:$F$11,0)-1)</f>
        <v/>
      </c>
      <c r="O215" s="44"/>
      <c r="P215" s="39"/>
      <c r="Q215" s="44"/>
      <c r="R215" s="38"/>
      <c r="S215" s="38"/>
      <c r="T215" s="36" t="str">
        <f aca="false">IF($F215="","",IF(ISNUMBER(SEARCH("(externo)",$I215&amp;$J215&amp;$K215)),"Terceirizada","Interna"))</f>
        <v/>
      </c>
      <c r="U215" s="43" t="str">
        <f aca="false">IF($N215="","",IF($Q215="",$N215,$Q215))</f>
        <v/>
      </c>
      <c r="V215" s="36" t="str">
        <f aca="false">IF($F215="","",IF(OR($O215="",$N215=""),0,IF($O215&lt;=$N215,1,0)))</f>
        <v/>
      </c>
      <c r="W215" s="36" t="str">
        <f aca="false">IF($F215="","",IF(OR($O215="",$U215=""),0,IF($O215&lt;=$U215,1,0)))</f>
        <v/>
      </c>
      <c r="X215" s="37" t="str">
        <f aca="false">IF(OR($O215="",$N215=""),"",MAX(0,$O215-$N215))</f>
        <v/>
      </c>
      <c r="Y215" s="36" t="str">
        <f aca="false">IF($F215="","",IF(AND($Q215&lt;&gt;"",$N215&lt;&gt;"",$Q215&lt;&gt;$N215),1,0))</f>
        <v/>
      </c>
      <c r="Z215" s="36" t="str">
        <f aca="false">IF($F215="","",IF($P215="Cancelada",0,IF(OR($O215&lt;&gt;"",$P215="Concluída"),1,0)))</f>
        <v/>
      </c>
    </row>
    <row r="216" customFormat="false" ht="16.5" hidden="false" customHeight="true" outlineLevel="0" collapsed="false">
      <c r="A216" s="36" t="str">
        <f aca="false">IF($F216="","",COUNTA($F$5:$F216))</f>
        <v/>
      </c>
      <c r="B216" s="37" t="str">
        <f aca="true">IF($F216="","",IF($P216="Cancelada","Cancelada",IF(OR($O216&lt;&gt;"",$P216="Concluída"),IF(OR($N216="",$O216="",$O216&lt;=$N216),"Concluída","Concluída com atraso"),IF($N216="","Na carteira",IF($N216&lt;TODAY(),"VENCIDA",IF($P216="Em execução","Em execução",IF($N216=TODAY(),"Hoje","Programada")))))))</f>
        <v/>
      </c>
      <c r="C216" s="38"/>
      <c r="D216" s="38"/>
      <c r="E216" s="38"/>
      <c r="F216" s="38"/>
      <c r="G216" s="39"/>
      <c r="H216" s="39"/>
      <c r="I216" s="40"/>
      <c r="J216" s="40"/>
      <c r="K216" s="40"/>
      <c r="L216" s="41"/>
      <c r="M216" s="42"/>
      <c r="N216" s="43" t="str">
        <f aca="false">IF(OR($L216="",$M216=""),"",$L216+MATCH($M216,Listas!$F$5:$F$11,0)-1)</f>
        <v/>
      </c>
      <c r="O216" s="44"/>
      <c r="P216" s="39"/>
      <c r="Q216" s="44"/>
      <c r="R216" s="38"/>
      <c r="S216" s="38"/>
      <c r="T216" s="36" t="str">
        <f aca="false">IF($F216="","",IF(ISNUMBER(SEARCH("(externo)",$I216&amp;$J216&amp;$K216)),"Terceirizada","Interna"))</f>
        <v/>
      </c>
      <c r="U216" s="43" t="str">
        <f aca="false">IF($N216="","",IF($Q216="",$N216,$Q216))</f>
        <v/>
      </c>
      <c r="V216" s="36" t="str">
        <f aca="false">IF($F216="","",IF(OR($O216="",$N216=""),0,IF($O216&lt;=$N216,1,0)))</f>
        <v/>
      </c>
      <c r="W216" s="36" t="str">
        <f aca="false">IF($F216="","",IF(OR($O216="",$U216=""),0,IF($O216&lt;=$U216,1,0)))</f>
        <v/>
      </c>
      <c r="X216" s="37" t="str">
        <f aca="false">IF(OR($O216="",$N216=""),"",MAX(0,$O216-$N216))</f>
        <v/>
      </c>
      <c r="Y216" s="36" t="str">
        <f aca="false">IF($F216="","",IF(AND($Q216&lt;&gt;"",$N216&lt;&gt;"",$Q216&lt;&gt;$N216),1,0))</f>
        <v/>
      </c>
      <c r="Z216" s="36" t="str">
        <f aca="false">IF($F216="","",IF($P216="Cancelada",0,IF(OR($O216&lt;&gt;"",$P216="Concluída"),1,0)))</f>
        <v/>
      </c>
    </row>
    <row r="217" customFormat="false" ht="16.5" hidden="false" customHeight="true" outlineLevel="0" collapsed="false">
      <c r="A217" s="36" t="str">
        <f aca="false">IF($F217="","",COUNTA($F$5:$F217))</f>
        <v/>
      </c>
      <c r="B217" s="37" t="str">
        <f aca="true">IF($F217="","",IF($P217="Cancelada","Cancelada",IF(OR($O217&lt;&gt;"",$P217="Concluída"),IF(OR($N217="",$O217="",$O217&lt;=$N217),"Concluída","Concluída com atraso"),IF($N217="","Na carteira",IF($N217&lt;TODAY(),"VENCIDA",IF($P217="Em execução","Em execução",IF($N217=TODAY(),"Hoje","Programada")))))))</f>
        <v/>
      </c>
      <c r="C217" s="38"/>
      <c r="D217" s="38"/>
      <c r="E217" s="38"/>
      <c r="F217" s="38"/>
      <c r="G217" s="39"/>
      <c r="H217" s="39"/>
      <c r="I217" s="40"/>
      <c r="J217" s="40"/>
      <c r="K217" s="40"/>
      <c r="L217" s="41"/>
      <c r="M217" s="42"/>
      <c r="N217" s="43" t="str">
        <f aca="false">IF(OR($L217="",$M217=""),"",$L217+MATCH($M217,Listas!$F$5:$F$11,0)-1)</f>
        <v/>
      </c>
      <c r="O217" s="44"/>
      <c r="P217" s="39"/>
      <c r="Q217" s="44"/>
      <c r="R217" s="38"/>
      <c r="S217" s="38"/>
      <c r="T217" s="36" t="str">
        <f aca="false">IF($F217="","",IF(ISNUMBER(SEARCH("(externo)",$I217&amp;$J217&amp;$K217)),"Terceirizada","Interna"))</f>
        <v/>
      </c>
      <c r="U217" s="43" t="str">
        <f aca="false">IF($N217="","",IF($Q217="",$N217,$Q217))</f>
        <v/>
      </c>
      <c r="V217" s="36" t="str">
        <f aca="false">IF($F217="","",IF(OR($O217="",$N217=""),0,IF($O217&lt;=$N217,1,0)))</f>
        <v/>
      </c>
      <c r="W217" s="36" t="str">
        <f aca="false">IF($F217="","",IF(OR($O217="",$U217=""),0,IF($O217&lt;=$U217,1,0)))</f>
        <v/>
      </c>
      <c r="X217" s="37" t="str">
        <f aca="false">IF(OR($O217="",$N217=""),"",MAX(0,$O217-$N217))</f>
        <v/>
      </c>
      <c r="Y217" s="36" t="str">
        <f aca="false">IF($F217="","",IF(AND($Q217&lt;&gt;"",$N217&lt;&gt;"",$Q217&lt;&gt;$N217),1,0))</f>
        <v/>
      </c>
      <c r="Z217" s="36" t="str">
        <f aca="false">IF($F217="","",IF($P217="Cancelada",0,IF(OR($O217&lt;&gt;"",$P217="Concluída"),1,0)))</f>
        <v/>
      </c>
    </row>
    <row r="218" customFormat="false" ht="16.5" hidden="false" customHeight="true" outlineLevel="0" collapsed="false">
      <c r="A218" s="36" t="str">
        <f aca="false">IF($F218="","",COUNTA($F$5:$F218))</f>
        <v/>
      </c>
      <c r="B218" s="37" t="str">
        <f aca="true">IF($F218="","",IF($P218="Cancelada","Cancelada",IF(OR($O218&lt;&gt;"",$P218="Concluída"),IF(OR($N218="",$O218="",$O218&lt;=$N218),"Concluída","Concluída com atraso"),IF($N218="","Na carteira",IF($N218&lt;TODAY(),"VENCIDA",IF($P218="Em execução","Em execução",IF($N218=TODAY(),"Hoje","Programada")))))))</f>
        <v/>
      </c>
      <c r="C218" s="38"/>
      <c r="D218" s="38"/>
      <c r="E218" s="38"/>
      <c r="F218" s="38"/>
      <c r="G218" s="39"/>
      <c r="H218" s="39"/>
      <c r="I218" s="40"/>
      <c r="J218" s="40"/>
      <c r="K218" s="40"/>
      <c r="L218" s="41"/>
      <c r="M218" s="42"/>
      <c r="N218" s="43" t="str">
        <f aca="false">IF(OR($L218="",$M218=""),"",$L218+MATCH($M218,Listas!$F$5:$F$11,0)-1)</f>
        <v/>
      </c>
      <c r="O218" s="44"/>
      <c r="P218" s="39"/>
      <c r="Q218" s="44"/>
      <c r="R218" s="38"/>
      <c r="S218" s="38"/>
      <c r="T218" s="36" t="str">
        <f aca="false">IF($F218="","",IF(ISNUMBER(SEARCH("(externo)",$I218&amp;$J218&amp;$K218)),"Terceirizada","Interna"))</f>
        <v/>
      </c>
      <c r="U218" s="43" t="str">
        <f aca="false">IF($N218="","",IF($Q218="",$N218,$Q218))</f>
        <v/>
      </c>
      <c r="V218" s="36" t="str">
        <f aca="false">IF($F218="","",IF(OR($O218="",$N218=""),0,IF($O218&lt;=$N218,1,0)))</f>
        <v/>
      </c>
      <c r="W218" s="36" t="str">
        <f aca="false">IF($F218="","",IF(OR($O218="",$U218=""),0,IF($O218&lt;=$U218,1,0)))</f>
        <v/>
      </c>
      <c r="X218" s="37" t="str">
        <f aca="false">IF(OR($O218="",$N218=""),"",MAX(0,$O218-$N218))</f>
        <v/>
      </c>
      <c r="Y218" s="36" t="str">
        <f aca="false">IF($F218="","",IF(AND($Q218&lt;&gt;"",$N218&lt;&gt;"",$Q218&lt;&gt;$N218),1,0))</f>
        <v/>
      </c>
      <c r="Z218" s="36" t="str">
        <f aca="false">IF($F218="","",IF($P218="Cancelada",0,IF(OR($O218&lt;&gt;"",$P218="Concluída"),1,0)))</f>
        <v/>
      </c>
    </row>
    <row r="219" customFormat="false" ht="16.5" hidden="false" customHeight="true" outlineLevel="0" collapsed="false">
      <c r="A219" s="36" t="str">
        <f aca="false">IF($F219="","",COUNTA($F$5:$F219))</f>
        <v/>
      </c>
      <c r="B219" s="37" t="str">
        <f aca="true">IF($F219="","",IF($P219="Cancelada","Cancelada",IF(OR($O219&lt;&gt;"",$P219="Concluída"),IF(OR($N219="",$O219="",$O219&lt;=$N219),"Concluída","Concluída com atraso"),IF($N219="","Na carteira",IF($N219&lt;TODAY(),"VENCIDA",IF($P219="Em execução","Em execução",IF($N219=TODAY(),"Hoje","Programada")))))))</f>
        <v/>
      </c>
      <c r="C219" s="38"/>
      <c r="D219" s="38"/>
      <c r="E219" s="38"/>
      <c r="F219" s="38"/>
      <c r="G219" s="39"/>
      <c r="H219" s="39"/>
      <c r="I219" s="40"/>
      <c r="J219" s="40"/>
      <c r="K219" s="40"/>
      <c r="L219" s="41"/>
      <c r="M219" s="42"/>
      <c r="N219" s="43" t="str">
        <f aca="false">IF(OR($L219="",$M219=""),"",$L219+MATCH($M219,Listas!$F$5:$F$11,0)-1)</f>
        <v/>
      </c>
      <c r="O219" s="44"/>
      <c r="P219" s="39"/>
      <c r="Q219" s="44"/>
      <c r="R219" s="38"/>
      <c r="S219" s="38"/>
      <c r="T219" s="36" t="str">
        <f aca="false">IF($F219="","",IF(ISNUMBER(SEARCH("(externo)",$I219&amp;$J219&amp;$K219)),"Terceirizada","Interna"))</f>
        <v/>
      </c>
      <c r="U219" s="43" t="str">
        <f aca="false">IF($N219="","",IF($Q219="",$N219,$Q219))</f>
        <v/>
      </c>
      <c r="V219" s="36" t="str">
        <f aca="false">IF($F219="","",IF(OR($O219="",$N219=""),0,IF($O219&lt;=$N219,1,0)))</f>
        <v/>
      </c>
      <c r="W219" s="36" t="str">
        <f aca="false">IF($F219="","",IF(OR($O219="",$U219=""),0,IF($O219&lt;=$U219,1,0)))</f>
        <v/>
      </c>
      <c r="X219" s="37" t="str">
        <f aca="false">IF(OR($O219="",$N219=""),"",MAX(0,$O219-$N219))</f>
        <v/>
      </c>
      <c r="Y219" s="36" t="str">
        <f aca="false">IF($F219="","",IF(AND($Q219&lt;&gt;"",$N219&lt;&gt;"",$Q219&lt;&gt;$N219),1,0))</f>
        <v/>
      </c>
      <c r="Z219" s="36" t="str">
        <f aca="false">IF($F219="","",IF($P219="Cancelada",0,IF(OR($O219&lt;&gt;"",$P219="Concluída"),1,0)))</f>
        <v/>
      </c>
    </row>
    <row r="220" customFormat="false" ht="16.5" hidden="false" customHeight="true" outlineLevel="0" collapsed="false">
      <c r="A220" s="36" t="str">
        <f aca="false">IF($F220="","",COUNTA($F$5:$F220))</f>
        <v/>
      </c>
      <c r="B220" s="37" t="str">
        <f aca="true">IF($F220="","",IF($P220="Cancelada","Cancelada",IF(OR($O220&lt;&gt;"",$P220="Concluída"),IF(OR($N220="",$O220="",$O220&lt;=$N220),"Concluída","Concluída com atraso"),IF($N220="","Na carteira",IF($N220&lt;TODAY(),"VENCIDA",IF($P220="Em execução","Em execução",IF($N220=TODAY(),"Hoje","Programada")))))))</f>
        <v/>
      </c>
      <c r="C220" s="38"/>
      <c r="D220" s="38"/>
      <c r="E220" s="38"/>
      <c r="F220" s="38"/>
      <c r="G220" s="39"/>
      <c r="H220" s="39"/>
      <c r="I220" s="40"/>
      <c r="J220" s="40"/>
      <c r="K220" s="40"/>
      <c r="L220" s="41"/>
      <c r="M220" s="42"/>
      <c r="N220" s="43" t="str">
        <f aca="false">IF(OR($L220="",$M220=""),"",$L220+MATCH($M220,Listas!$F$5:$F$11,0)-1)</f>
        <v/>
      </c>
      <c r="O220" s="44"/>
      <c r="P220" s="39"/>
      <c r="Q220" s="44"/>
      <c r="R220" s="38"/>
      <c r="S220" s="38"/>
      <c r="T220" s="36" t="str">
        <f aca="false">IF($F220="","",IF(ISNUMBER(SEARCH("(externo)",$I220&amp;$J220&amp;$K220)),"Terceirizada","Interna"))</f>
        <v/>
      </c>
      <c r="U220" s="43" t="str">
        <f aca="false">IF($N220="","",IF($Q220="",$N220,$Q220))</f>
        <v/>
      </c>
      <c r="V220" s="36" t="str">
        <f aca="false">IF($F220="","",IF(OR($O220="",$N220=""),0,IF($O220&lt;=$N220,1,0)))</f>
        <v/>
      </c>
      <c r="W220" s="36" t="str">
        <f aca="false">IF($F220="","",IF(OR($O220="",$U220=""),0,IF($O220&lt;=$U220,1,0)))</f>
        <v/>
      </c>
      <c r="X220" s="37" t="str">
        <f aca="false">IF(OR($O220="",$N220=""),"",MAX(0,$O220-$N220))</f>
        <v/>
      </c>
      <c r="Y220" s="36" t="str">
        <f aca="false">IF($F220="","",IF(AND($Q220&lt;&gt;"",$N220&lt;&gt;"",$Q220&lt;&gt;$N220),1,0))</f>
        <v/>
      </c>
      <c r="Z220" s="36" t="str">
        <f aca="false">IF($F220="","",IF($P220="Cancelada",0,IF(OR($O220&lt;&gt;"",$P220="Concluída"),1,0)))</f>
        <v/>
      </c>
    </row>
    <row r="221" customFormat="false" ht="16.5" hidden="false" customHeight="true" outlineLevel="0" collapsed="false">
      <c r="A221" s="36" t="str">
        <f aca="false">IF($F221="","",COUNTA($F$5:$F221))</f>
        <v/>
      </c>
      <c r="B221" s="37" t="str">
        <f aca="true">IF($F221="","",IF($P221="Cancelada","Cancelada",IF(OR($O221&lt;&gt;"",$P221="Concluída"),IF(OR($N221="",$O221="",$O221&lt;=$N221),"Concluída","Concluída com atraso"),IF($N221="","Na carteira",IF($N221&lt;TODAY(),"VENCIDA",IF($P221="Em execução","Em execução",IF($N221=TODAY(),"Hoje","Programada")))))))</f>
        <v/>
      </c>
      <c r="C221" s="38"/>
      <c r="D221" s="38"/>
      <c r="E221" s="38"/>
      <c r="F221" s="38"/>
      <c r="G221" s="39"/>
      <c r="H221" s="39"/>
      <c r="I221" s="40"/>
      <c r="J221" s="40"/>
      <c r="K221" s="40"/>
      <c r="L221" s="41"/>
      <c r="M221" s="42"/>
      <c r="N221" s="43" t="str">
        <f aca="false">IF(OR($L221="",$M221=""),"",$L221+MATCH($M221,Listas!$F$5:$F$11,0)-1)</f>
        <v/>
      </c>
      <c r="O221" s="44"/>
      <c r="P221" s="39"/>
      <c r="Q221" s="44"/>
      <c r="R221" s="38"/>
      <c r="S221" s="38"/>
      <c r="T221" s="36" t="str">
        <f aca="false">IF($F221="","",IF(ISNUMBER(SEARCH("(externo)",$I221&amp;$J221&amp;$K221)),"Terceirizada","Interna"))</f>
        <v/>
      </c>
      <c r="U221" s="43" t="str">
        <f aca="false">IF($N221="","",IF($Q221="",$N221,$Q221))</f>
        <v/>
      </c>
      <c r="V221" s="36" t="str">
        <f aca="false">IF($F221="","",IF(OR($O221="",$N221=""),0,IF($O221&lt;=$N221,1,0)))</f>
        <v/>
      </c>
      <c r="W221" s="36" t="str">
        <f aca="false">IF($F221="","",IF(OR($O221="",$U221=""),0,IF($O221&lt;=$U221,1,0)))</f>
        <v/>
      </c>
      <c r="X221" s="37" t="str">
        <f aca="false">IF(OR($O221="",$N221=""),"",MAX(0,$O221-$N221))</f>
        <v/>
      </c>
      <c r="Y221" s="36" t="str">
        <f aca="false">IF($F221="","",IF(AND($Q221&lt;&gt;"",$N221&lt;&gt;"",$Q221&lt;&gt;$N221),1,0))</f>
        <v/>
      </c>
      <c r="Z221" s="36" t="str">
        <f aca="false">IF($F221="","",IF($P221="Cancelada",0,IF(OR($O221&lt;&gt;"",$P221="Concluída"),1,0)))</f>
        <v/>
      </c>
    </row>
    <row r="222" customFormat="false" ht="16.5" hidden="false" customHeight="true" outlineLevel="0" collapsed="false">
      <c r="A222" s="36" t="str">
        <f aca="false">IF($F222="","",COUNTA($F$5:$F222))</f>
        <v/>
      </c>
      <c r="B222" s="37" t="str">
        <f aca="true">IF($F222="","",IF($P222="Cancelada","Cancelada",IF(OR($O222&lt;&gt;"",$P222="Concluída"),IF(OR($N222="",$O222="",$O222&lt;=$N222),"Concluída","Concluída com atraso"),IF($N222="","Na carteira",IF($N222&lt;TODAY(),"VENCIDA",IF($P222="Em execução","Em execução",IF($N222=TODAY(),"Hoje","Programada")))))))</f>
        <v/>
      </c>
      <c r="C222" s="38"/>
      <c r="D222" s="38"/>
      <c r="E222" s="38"/>
      <c r="F222" s="38"/>
      <c r="G222" s="39"/>
      <c r="H222" s="39"/>
      <c r="I222" s="40"/>
      <c r="J222" s="40"/>
      <c r="K222" s="40"/>
      <c r="L222" s="41"/>
      <c r="M222" s="42"/>
      <c r="N222" s="43" t="str">
        <f aca="false">IF(OR($L222="",$M222=""),"",$L222+MATCH($M222,Listas!$F$5:$F$11,0)-1)</f>
        <v/>
      </c>
      <c r="O222" s="44"/>
      <c r="P222" s="39"/>
      <c r="Q222" s="44"/>
      <c r="R222" s="38"/>
      <c r="S222" s="38"/>
      <c r="T222" s="36" t="str">
        <f aca="false">IF($F222="","",IF(ISNUMBER(SEARCH("(externo)",$I222&amp;$J222&amp;$K222)),"Terceirizada","Interna"))</f>
        <v/>
      </c>
      <c r="U222" s="43" t="str">
        <f aca="false">IF($N222="","",IF($Q222="",$N222,$Q222))</f>
        <v/>
      </c>
      <c r="V222" s="36" t="str">
        <f aca="false">IF($F222="","",IF(OR($O222="",$N222=""),0,IF($O222&lt;=$N222,1,0)))</f>
        <v/>
      </c>
      <c r="W222" s="36" t="str">
        <f aca="false">IF($F222="","",IF(OR($O222="",$U222=""),0,IF($O222&lt;=$U222,1,0)))</f>
        <v/>
      </c>
      <c r="X222" s="37" t="str">
        <f aca="false">IF(OR($O222="",$N222=""),"",MAX(0,$O222-$N222))</f>
        <v/>
      </c>
      <c r="Y222" s="36" t="str">
        <f aca="false">IF($F222="","",IF(AND($Q222&lt;&gt;"",$N222&lt;&gt;"",$Q222&lt;&gt;$N222),1,0))</f>
        <v/>
      </c>
      <c r="Z222" s="36" t="str">
        <f aca="false">IF($F222="","",IF($P222="Cancelada",0,IF(OR($O222&lt;&gt;"",$P222="Concluída"),1,0)))</f>
        <v/>
      </c>
    </row>
    <row r="223" customFormat="false" ht="16.5" hidden="false" customHeight="true" outlineLevel="0" collapsed="false">
      <c r="A223" s="36" t="str">
        <f aca="false">IF($F223="","",COUNTA($F$5:$F223))</f>
        <v/>
      </c>
      <c r="B223" s="37" t="str">
        <f aca="true">IF($F223="","",IF($P223="Cancelada","Cancelada",IF(OR($O223&lt;&gt;"",$P223="Concluída"),IF(OR($N223="",$O223="",$O223&lt;=$N223),"Concluída","Concluída com atraso"),IF($N223="","Na carteira",IF($N223&lt;TODAY(),"VENCIDA",IF($P223="Em execução","Em execução",IF($N223=TODAY(),"Hoje","Programada")))))))</f>
        <v/>
      </c>
      <c r="C223" s="38"/>
      <c r="D223" s="38"/>
      <c r="E223" s="38"/>
      <c r="F223" s="38"/>
      <c r="G223" s="39"/>
      <c r="H223" s="39"/>
      <c r="I223" s="40"/>
      <c r="J223" s="40"/>
      <c r="K223" s="40"/>
      <c r="L223" s="41"/>
      <c r="M223" s="42"/>
      <c r="N223" s="43" t="str">
        <f aca="false">IF(OR($L223="",$M223=""),"",$L223+MATCH($M223,Listas!$F$5:$F$11,0)-1)</f>
        <v/>
      </c>
      <c r="O223" s="44"/>
      <c r="P223" s="39"/>
      <c r="Q223" s="44"/>
      <c r="R223" s="38"/>
      <c r="S223" s="38"/>
      <c r="T223" s="36" t="str">
        <f aca="false">IF($F223="","",IF(ISNUMBER(SEARCH("(externo)",$I223&amp;$J223&amp;$K223)),"Terceirizada","Interna"))</f>
        <v/>
      </c>
      <c r="U223" s="43" t="str">
        <f aca="false">IF($N223="","",IF($Q223="",$N223,$Q223))</f>
        <v/>
      </c>
      <c r="V223" s="36" t="str">
        <f aca="false">IF($F223="","",IF(OR($O223="",$N223=""),0,IF($O223&lt;=$N223,1,0)))</f>
        <v/>
      </c>
      <c r="W223" s="36" t="str">
        <f aca="false">IF($F223="","",IF(OR($O223="",$U223=""),0,IF($O223&lt;=$U223,1,0)))</f>
        <v/>
      </c>
      <c r="X223" s="37" t="str">
        <f aca="false">IF(OR($O223="",$N223=""),"",MAX(0,$O223-$N223))</f>
        <v/>
      </c>
      <c r="Y223" s="36" t="str">
        <f aca="false">IF($F223="","",IF(AND($Q223&lt;&gt;"",$N223&lt;&gt;"",$Q223&lt;&gt;$N223),1,0))</f>
        <v/>
      </c>
      <c r="Z223" s="36" t="str">
        <f aca="false">IF($F223="","",IF($P223="Cancelada",0,IF(OR($O223&lt;&gt;"",$P223="Concluída"),1,0)))</f>
        <v/>
      </c>
    </row>
    <row r="224" customFormat="false" ht="16.5" hidden="false" customHeight="true" outlineLevel="0" collapsed="false">
      <c r="A224" s="36" t="str">
        <f aca="false">IF($F224="","",COUNTA($F$5:$F224))</f>
        <v/>
      </c>
      <c r="B224" s="37" t="str">
        <f aca="true">IF($F224="","",IF($P224="Cancelada","Cancelada",IF(OR($O224&lt;&gt;"",$P224="Concluída"),IF(OR($N224="",$O224="",$O224&lt;=$N224),"Concluída","Concluída com atraso"),IF($N224="","Na carteira",IF($N224&lt;TODAY(),"VENCIDA",IF($P224="Em execução","Em execução",IF($N224=TODAY(),"Hoje","Programada")))))))</f>
        <v/>
      </c>
      <c r="C224" s="38"/>
      <c r="D224" s="38"/>
      <c r="E224" s="38"/>
      <c r="F224" s="38"/>
      <c r="G224" s="39"/>
      <c r="H224" s="39"/>
      <c r="I224" s="40"/>
      <c r="J224" s="40"/>
      <c r="K224" s="40"/>
      <c r="L224" s="41"/>
      <c r="M224" s="42"/>
      <c r="N224" s="43" t="str">
        <f aca="false">IF(OR($L224="",$M224=""),"",$L224+MATCH($M224,Listas!$F$5:$F$11,0)-1)</f>
        <v/>
      </c>
      <c r="O224" s="44"/>
      <c r="P224" s="39"/>
      <c r="Q224" s="44"/>
      <c r="R224" s="38"/>
      <c r="S224" s="38"/>
      <c r="T224" s="36" t="str">
        <f aca="false">IF($F224="","",IF(ISNUMBER(SEARCH("(externo)",$I224&amp;$J224&amp;$K224)),"Terceirizada","Interna"))</f>
        <v/>
      </c>
      <c r="U224" s="43" t="str">
        <f aca="false">IF($N224="","",IF($Q224="",$N224,$Q224))</f>
        <v/>
      </c>
      <c r="V224" s="36" t="str">
        <f aca="false">IF($F224="","",IF(OR($O224="",$N224=""),0,IF($O224&lt;=$N224,1,0)))</f>
        <v/>
      </c>
      <c r="W224" s="36" t="str">
        <f aca="false">IF($F224="","",IF(OR($O224="",$U224=""),0,IF($O224&lt;=$U224,1,0)))</f>
        <v/>
      </c>
      <c r="X224" s="37" t="str">
        <f aca="false">IF(OR($O224="",$N224=""),"",MAX(0,$O224-$N224))</f>
        <v/>
      </c>
      <c r="Y224" s="36" t="str">
        <f aca="false">IF($F224="","",IF(AND($Q224&lt;&gt;"",$N224&lt;&gt;"",$Q224&lt;&gt;$N224),1,0))</f>
        <v/>
      </c>
      <c r="Z224" s="36" t="str">
        <f aca="false">IF($F224="","",IF($P224="Cancelada",0,IF(OR($O224&lt;&gt;"",$P224="Concluída"),1,0)))</f>
        <v/>
      </c>
    </row>
    <row r="225" customFormat="false" ht="16.5" hidden="false" customHeight="true" outlineLevel="0" collapsed="false">
      <c r="A225" s="36" t="str">
        <f aca="false">IF($F225="","",COUNTA($F$5:$F225))</f>
        <v/>
      </c>
      <c r="B225" s="37" t="str">
        <f aca="true">IF($F225="","",IF($P225="Cancelada","Cancelada",IF(OR($O225&lt;&gt;"",$P225="Concluída"),IF(OR($N225="",$O225="",$O225&lt;=$N225),"Concluída","Concluída com atraso"),IF($N225="","Na carteira",IF($N225&lt;TODAY(),"VENCIDA",IF($P225="Em execução","Em execução",IF($N225=TODAY(),"Hoje","Programada")))))))</f>
        <v/>
      </c>
      <c r="C225" s="38"/>
      <c r="D225" s="38"/>
      <c r="E225" s="38"/>
      <c r="F225" s="38"/>
      <c r="G225" s="39"/>
      <c r="H225" s="39"/>
      <c r="I225" s="40"/>
      <c r="J225" s="40"/>
      <c r="K225" s="40"/>
      <c r="L225" s="41"/>
      <c r="M225" s="42"/>
      <c r="N225" s="43" t="str">
        <f aca="false">IF(OR($L225="",$M225=""),"",$L225+MATCH($M225,Listas!$F$5:$F$11,0)-1)</f>
        <v/>
      </c>
      <c r="O225" s="44"/>
      <c r="P225" s="39"/>
      <c r="Q225" s="44"/>
      <c r="R225" s="38"/>
      <c r="S225" s="38"/>
      <c r="T225" s="36" t="str">
        <f aca="false">IF($F225="","",IF(ISNUMBER(SEARCH("(externo)",$I225&amp;$J225&amp;$K225)),"Terceirizada","Interna"))</f>
        <v/>
      </c>
      <c r="U225" s="43" t="str">
        <f aca="false">IF($N225="","",IF($Q225="",$N225,$Q225))</f>
        <v/>
      </c>
      <c r="V225" s="36" t="str">
        <f aca="false">IF($F225="","",IF(OR($O225="",$N225=""),0,IF($O225&lt;=$N225,1,0)))</f>
        <v/>
      </c>
      <c r="W225" s="36" t="str">
        <f aca="false">IF($F225="","",IF(OR($O225="",$U225=""),0,IF($O225&lt;=$U225,1,0)))</f>
        <v/>
      </c>
      <c r="X225" s="37" t="str">
        <f aca="false">IF(OR($O225="",$N225=""),"",MAX(0,$O225-$N225))</f>
        <v/>
      </c>
      <c r="Y225" s="36" t="str">
        <f aca="false">IF($F225="","",IF(AND($Q225&lt;&gt;"",$N225&lt;&gt;"",$Q225&lt;&gt;$N225),1,0))</f>
        <v/>
      </c>
      <c r="Z225" s="36" t="str">
        <f aca="false">IF($F225="","",IF($P225="Cancelada",0,IF(OR($O225&lt;&gt;"",$P225="Concluída"),1,0)))</f>
        <v/>
      </c>
    </row>
    <row r="226" customFormat="false" ht="16.5" hidden="false" customHeight="true" outlineLevel="0" collapsed="false">
      <c r="A226" s="36" t="str">
        <f aca="false">IF($F226="","",COUNTA($F$5:$F226))</f>
        <v/>
      </c>
      <c r="B226" s="37" t="str">
        <f aca="true">IF($F226="","",IF($P226="Cancelada","Cancelada",IF(OR($O226&lt;&gt;"",$P226="Concluída"),IF(OR($N226="",$O226="",$O226&lt;=$N226),"Concluída","Concluída com atraso"),IF($N226="","Na carteira",IF($N226&lt;TODAY(),"VENCIDA",IF($P226="Em execução","Em execução",IF($N226=TODAY(),"Hoje","Programada")))))))</f>
        <v/>
      </c>
      <c r="C226" s="38"/>
      <c r="D226" s="38"/>
      <c r="E226" s="38"/>
      <c r="F226" s="38"/>
      <c r="G226" s="39"/>
      <c r="H226" s="39"/>
      <c r="I226" s="40"/>
      <c r="J226" s="40"/>
      <c r="K226" s="40"/>
      <c r="L226" s="41"/>
      <c r="M226" s="42"/>
      <c r="N226" s="43" t="str">
        <f aca="false">IF(OR($L226="",$M226=""),"",$L226+MATCH($M226,Listas!$F$5:$F$11,0)-1)</f>
        <v/>
      </c>
      <c r="O226" s="44"/>
      <c r="P226" s="39"/>
      <c r="Q226" s="44"/>
      <c r="R226" s="38"/>
      <c r="S226" s="38"/>
      <c r="T226" s="36" t="str">
        <f aca="false">IF($F226="","",IF(ISNUMBER(SEARCH("(externo)",$I226&amp;$J226&amp;$K226)),"Terceirizada","Interna"))</f>
        <v/>
      </c>
      <c r="U226" s="43" t="str">
        <f aca="false">IF($N226="","",IF($Q226="",$N226,$Q226))</f>
        <v/>
      </c>
      <c r="V226" s="36" t="str">
        <f aca="false">IF($F226="","",IF(OR($O226="",$N226=""),0,IF($O226&lt;=$N226,1,0)))</f>
        <v/>
      </c>
      <c r="W226" s="36" t="str">
        <f aca="false">IF($F226="","",IF(OR($O226="",$U226=""),0,IF($O226&lt;=$U226,1,0)))</f>
        <v/>
      </c>
      <c r="X226" s="37" t="str">
        <f aca="false">IF(OR($O226="",$N226=""),"",MAX(0,$O226-$N226))</f>
        <v/>
      </c>
      <c r="Y226" s="36" t="str">
        <f aca="false">IF($F226="","",IF(AND($Q226&lt;&gt;"",$N226&lt;&gt;"",$Q226&lt;&gt;$N226),1,0))</f>
        <v/>
      </c>
      <c r="Z226" s="36" t="str">
        <f aca="false">IF($F226="","",IF($P226="Cancelada",0,IF(OR($O226&lt;&gt;"",$P226="Concluída"),1,0)))</f>
        <v/>
      </c>
    </row>
    <row r="227" customFormat="false" ht="16.5" hidden="false" customHeight="true" outlineLevel="0" collapsed="false">
      <c r="A227" s="36" t="str">
        <f aca="false">IF($F227="","",COUNTA($F$5:$F227))</f>
        <v/>
      </c>
      <c r="B227" s="37" t="str">
        <f aca="true">IF($F227="","",IF($P227="Cancelada","Cancelada",IF(OR($O227&lt;&gt;"",$P227="Concluída"),IF(OR($N227="",$O227="",$O227&lt;=$N227),"Concluída","Concluída com atraso"),IF($N227="","Na carteira",IF($N227&lt;TODAY(),"VENCIDA",IF($P227="Em execução","Em execução",IF($N227=TODAY(),"Hoje","Programada")))))))</f>
        <v/>
      </c>
      <c r="C227" s="38"/>
      <c r="D227" s="38"/>
      <c r="E227" s="38"/>
      <c r="F227" s="38"/>
      <c r="G227" s="39"/>
      <c r="H227" s="39"/>
      <c r="I227" s="40"/>
      <c r="J227" s="40"/>
      <c r="K227" s="40"/>
      <c r="L227" s="41"/>
      <c r="M227" s="42"/>
      <c r="N227" s="43" t="str">
        <f aca="false">IF(OR($L227="",$M227=""),"",$L227+MATCH($M227,Listas!$F$5:$F$11,0)-1)</f>
        <v/>
      </c>
      <c r="O227" s="44"/>
      <c r="P227" s="39"/>
      <c r="Q227" s="44"/>
      <c r="R227" s="38"/>
      <c r="S227" s="38"/>
      <c r="T227" s="36" t="str">
        <f aca="false">IF($F227="","",IF(ISNUMBER(SEARCH("(externo)",$I227&amp;$J227&amp;$K227)),"Terceirizada","Interna"))</f>
        <v/>
      </c>
      <c r="U227" s="43" t="str">
        <f aca="false">IF($N227="","",IF($Q227="",$N227,$Q227))</f>
        <v/>
      </c>
      <c r="V227" s="36" t="str">
        <f aca="false">IF($F227="","",IF(OR($O227="",$N227=""),0,IF($O227&lt;=$N227,1,0)))</f>
        <v/>
      </c>
      <c r="W227" s="36" t="str">
        <f aca="false">IF($F227="","",IF(OR($O227="",$U227=""),0,IF($O227&lt;=$U227,1,0)))</f>
        <v/>
      </c>
      <c r="X227" s="37" t="str">
        <f aca="false">IF(OR($O227="",$N227=""),"",MAX(0,$O227-$N227))</f>
        <v/>
      </c>
      <c r="Y227" s="36" t="str">
        <f aca="false">IF($F227="","",IF(AND($Q227&lt;&gt;"",$N227&lt;&gt;"",$Q227&lt;&gt;$N227),1,0))</f>
        <v/>
      </c>
      <c r="Z227" s="36" t="str">
        <f aca="false">IF($F227="","",IF($P227="Cancelada",0,IF(OR($O227&lt;&gt;"",$P227="Concluída"),1,0)))</f>
        <v/>
      </c>
    </row>
    <row r="228" customFormat="false" ht="16.5" hidden="false" customHeight="true" outlineLevel="0" collapsed="false">
      <c r="A228" s="36" t="str">
        <f aca="false">IF($F228="","",COUNTA($F$5:$F228))</f>
        <v/>
      </c>
      <c r="B228" s="37" t="str">
        <f aca="true">IF($F228="","",IF($P228="Cancelada","Cancelada",IF(OR($O228&lt;&gt;"",$P228="Concluída"),IF(OR($N228="",$O228="",$O228&lt;=$N228),"Concluída","Concluída com atraso"),IF($N228="","Na carteira",IF($N228&lt;TODAY(),"VENCIDA",IF($P228="Em execução","Em execução",IF($N228=TODAY(),"Hoje","Programada")))))))</f>
        <v/>
      </c>
      <c r="C228" s="38"/>
      <c r="D228" s="38"/>
      <c r="E228" s="38"/>
      <c r="F228" s="38"/>
      <c r="G228" s="39"/>
      <c r="H228" s="39"/>
      <c r="I228" s="40"/>
      <c r="J228" s="40"/>
      <c r="K228" s="40"/>
      <c r="L228" s="41"/>
      <c r="M228" s="42"/>
      <c r="N228" s="43" t="str">
        <f aca="false">IF(OR($L228="",$M228=""),"",$L228+MATCH($M228,Listas!$F$5:$F$11,0)-1)</f>
        <v/>
      </c>
      <c r="O228" s="44"/>
      <c r="P228" s="39"/>
      <c r="Q228" s="44"/>
      <c r="R228" s="38"/>
      <c r="S228" s="38"/>
      <c r="T228" s="36" t="str">
        <f aca="false">IF($F228="","",IF(ISNUMBER(SEARCH("(externo)",$I228&amp;$J228&amp;$K228)),"Terceirizada","Interna"))</f>
        <v/>
      </c>
      <c r="U228" s="43" t="str">
        <f aca="false">IF($N228="","",IF($Q228="",$N228,$Q228))</f>
        <v/>
      </c>
      <c r="V228" s="36" t="str">
        <f aca="false">IF($F228="","",IF(OR($O228="",$N228=""),0,IF($O228&lt;=$N228,1,0)))</f>
        <v/>
      </c>
      <c r="W228" s="36" t="str">
        <f aca="false">IF($F228="","",IF(OR($O228="",$U228=""),0,IF($O228&lt;=$U228,1,0)))</f>
        <v/>
      </c>
      <c r="X228" s="37" t="str">
        <f aca="false">IF(OR($O228="",$N228=""),"",MAX(0,$O228-$N228))</f>
        <v/>
      </c>
      <c r="Y228" s="36" t="str">
        <f aca="false">IF($F228="","",IF(AND($Q228&lt;&gt;"",$N228&lt;&gt;"",$Q228&lt;&gt;$N228),1,0))</f>
        <v/>
      </c>
      <c r="Z228" s="36" t="str">
        <f aca="false">IF($F228="","",IF($P228="Cancelada",0,IF(OR($O228&lt;&gt;"",$P228="Concluída"),1,0)))</f>
        <v/>
      </c>
    </row>
    <row r="229" customFormat="false" ht="16.5" hidden="false" customHeight="true" outlineLevel="0" collapsed="false">
      <c r="A229" s="36" t="str">
        <f aca="false">IF($F229="","",COUNTA($F$5:$F229))</f>
        <v/>
      </c>
      <c r="B229" s="37" t="str">
        <f aca="true">IF($F229="","",IF($P229="Cancelada","Cancelada",IF(OR($O229&lt;&gt;"",$P229="Concluída"),IF(OR($N229="",$O229="",$O229&lt;=$N229),"Concluída","Concluída com atraso"),IF($N229="","Na carteira",IF($N229&lt;TODAY(),"VENCIDA",IF($P229="Em execução","Em execução",IF($N229=TODAY(),"Hoje","Programada")))))))</f>
        <v/>
      </c>
      <c r="C229" s="38"/>
      <c r="D229" s="38"/>
      <c r="E229" s="38"/>
      <c r="F229" s="38"/>
      <c r="G229" s="39"/>
      <c r="H229" s="39"/>
      <c r="I229" s="40"/>
      <c r="J229" s="40"/>
      <c r="K229" s="40"/>
      <c r="L229" s="41"/>
      <c r="M229" s="42"/>
      <c r="N229" s="43" t="str">
        <f aca="false">IF(OR($L229="",$M229=""),"",$L229+MATCH($M229,Listas!$F$5:$F$11,0)-1)</f>
        <v/>
      </c>
      <c r="O229" s="44"/>
      <c r="P229" s="39"/>
      <c r="Q229" s="44"/>
      <c r="R229" s="38"/>
      <c r="S229" s="38"/>
      <c r="T229" s="36" t="str">
        <f aca="false">IF($F229="","",IF(ISNUMBER(SEARCH("(externo)",$I229&amp;$J229&amp;$K229)),"Terceirizada","Interna"))</f>
        <v/>
      </c>
      <c r="U229" s="43" t="str">
        <f aca="false">IF($N229="","",IF($Q229="",$N229,$Q229))</f>
        <v/>
      </c>
      <c r="V229" s="36" t="str">
        <f aca="false">IF($F229="","",IF(OR($O229="",$N229=""),0,IF($O229&lt;=$N229,1,0)))</f>
        <v/>
      </c>
      <c r="W229" s="36" t="str">
        <f aca="false">IF($F229="","",IF(OR($O229="",$U229=""),0,IF($O229&lt;=$U229,1,0)))</f>
        <v/>
      </c>
      <c r="X229" s="37" t="str">
        <f aca="false">IF(OR($O229="",$N229=""),"",MAX(0,$O229-$N229))</f>
        <v/>
      </c>
      <c r="Y229" s="36" t="str">
        <f aca="false">IF($F229="","",IF(AND($Q229&lt;&gt;"",$N229&lt;&gt;"",$Q229&lt;&gt;$N229),1,0))</f>
        <v/>
      </c>
      <c r="Z229" s="36" t="str">
        <f aca="false">IF($F229="","",IF($P229="Cancelada",0,IF(OR($O229&lt;&gt;"",$P229="Concluída"),1,0)))</f>
        <v/>
      </c>
    </row>
    <row r="230" customFormat="false" ht="16.5" hidden="false" customHeight="true" outlineLevel="0" collapsed="false">
      <c r="A230" s="36" t="str">
        <f aca="false">IF($F230="","",COUNTA($F$5:$F230))</f>
        <v/>
      </c>
      <c r="B230" s="37" t="str">
        <f aca="true">IF($F230="","",IF($P230="Cancelada","Cancelada",IF(OR($O230&lt;&gt;"",$P230="Concluída"),IF(OR($N230="",$O230="",$O230&lt;=$N230),"Concluída","Concluída com atraso"),IF($N230="","Na carteira",IF($N230&lt;TODAY(),"VENCIDA",IF($P230="Em execução","Em execução",IF($N230=TODAY(),"Hoje","Programada")))))))</f>
        <v/>
      </c>
      <c r="C230" s="38"/>
      <c r="D230" s="38"/>
      <c r="E230" s="38"/>
      <c r="F230" s="38"/>
      <c r="G230" s="39"/>
      <c r="H230" s="39"/>
      <c r="I230" s="40"/>
      <c r="J230" s="40"/>
      <c r="K230" s="40"/>
      <c r="L230" s="41"/>
      <c r="M230" s="42"/>
      <c r="N230" s="43" t="str">
        <f aca="false">IF(OR($L230="",$M230=""),"",$L230+MATCH($M230,Listas!$F$5:$F$11,0)-1)</f>
        <v/>
      </c>
      <c r="O230" s="44"/>
      <c r="P230" s="39"/>
      <c r="Q230" s="44"/>
      <c r="R230" s="38"/>
      <c r="S230" s="38"/>
      <c r="T230" s="36" t="str">
        <f aca="false">IF($F230="","",IF(ISNUMBER(SEARCH("(externo)",$I230&amp;$J230&amp;$K230)),"Terceirizada","Interna"))</f>
        <v/>
      </c>
      <c r="U230" s="43" t="str">
        <f aca="false">IF($N230="","",IF($Q230="",$N230,$Q230))</f>
        <v/>
      </c>
      <c r="V230" s="36" t="str">
        <f aca="false">IF($F230="","",IF(OR($O230="",$N230=""),0,IF($O230&lt;=$N230,1,0)))</f>
        <v/>
      </c>
      <c r="W230" s="36" t="str">
        <f aca="false">IF($F230="","",IF(OR($O230="",$U230=""),0,IF($O230&lt;=$U230,1,0)))</f>
        <v/>
      </c>
      <c r="X230" s="37" t="str">
        <f aca="false">IF(OR($O230="",$N230=""),"",MAX(0,$O230-$N230))</f>
        <v/>
      </c>
      <c r="Y230" s="36" t="str">
        <f aca="false">IF($F230="","",IF(AND($Q230&lt;&gt;"",$N230&lt;&gt;"",$Q230&lt;&gt;$N230),1,0))</f>
        <v/>
      </c>
      <c r="Z230" s="36" t="str">
        <f aca="false">IF($F230="","",IF($P230="Cancelada",0,IF(OR($O230&lt;&gt;"",$P230="Concluída"),1,0)))</f>
        <v/>
      </c>
    </row>
    <row r="231" customFormat="false" ht="16.5" hidden="false" customHeight="true" outlineLevel="0" collapsed="false">
      <c r="A231" s="36" t="str">
        <f aca="false">IF($F231="","",COUNTA($F$5:$F231))</f>
        <v/>
      </c>
      <c r="B231" s="37" t="str">
        <f aca="true">IF($F231="","",IF($P231="Cancelada","Cancelada",IF(OR($O231&lt;&gt;"",$P231="Concluída"),IF(OR($N231="",$O231="",$O231&lt;=$N231),"Concluída","Concluída com atraso"),IF($N231="","Na carteira",IF($N231&lt;TODAY(),"VENCIDA",IF($P231="Em execução","Em execução",IF($N231=TODAY(),"Hoje","Programada")))))))</f>
        <v/>
      </c>
      <c r="C231" s="38"/>
      <c r="D231" s="38"/>
      <c r="E231" s="38"/>
      <c r="F231" s="38"/>
      <c r="G231" s="39"/>
      <c r="H231" s="39"/>
      <c r="I231" s="40"/>
      <c r="J231" s="40"/>
      <c r="K231" s="40"/>
      <c r="L231" s="41"/>
      <c r="M231" s="42"/>
      <c r="N231" s="43" t="str">
        <f aca="false">IF(OR($L231="",$M231=""),"",$L231+MATCH($M231,Listas!$F$5:$F$11,0)-1)</f>
        <v/>
      </c>
      <c r="O231" s="44"/>
      <c r="P231" s="39"/>
      <c r="Q231" s="44"/>
      <c r="R231" s="38"/>
      <c r="S231" s="38"/>
      <c r="T231" s="36" t="str">
        <f aca="false">IF($F231="","",IF(ISNUMBER(SEARCH("(externo)",$I231&amp;$J231&amp;$K231)),"Terceirizada","Interna"))</f>
        <v/>
      </c>
      <c r="U231" s="43" t="str">
        <f aca="false">IF($N231="","",IF($Q231="",$N231,$Q231))</f>
        <v/>
      </c>
      <c r="V231" s="36" t="str">
        <f aca="false">IF($F231="","",IF(OR($O231="",$N231=""),0,IF($O231&lt;=$N231,1,0)))</f>
        <v/>
      </c>
      <c r="W231" s="36" t="str">
        <f aca="false">IF($F231="","",IF(OR($O231="",$U231=""),0,IF($O231&lt;=$U231,1,0)))</f>
        <v/>
      </c>
      <c r="X231" s="37" t="str">
        <f aca="false">IF(OR($O231="",$N231=""),"",MAX(0,$O231-$N231))</f>
        <v/>
      </c>
      <c r="Y231" s="36" t="str">
        <f aca="false">IF($F231="","",IF(AND($Q231&lt;&gt;"",$N231&lt;&gt;"",$Q231&lt;&gt;$N231),1,0))</f>
        <v/>
      </c>
      <c r="Z231" s="36" t="str">
        <f aca="false">IF($F231="","",IF($P231="Cancelada",0,IF(OR($O231&lt;&gt;"",$P231="Concluída"),1,0)))</f>
        <v/>
      </c>
    </row>
    <row r="232" customFormat="false" ht="16.5" hidden="false" customHeight="true" outlineLevel="0" collapsed="false">
      <c r="A232" s="36" t="str">
        <f aca="false">IF($F232="","",COUNTA($F$5:$F232))</f>
        <v/>
      </c>
      <c r="B232" s="37" t="str">
        <f aca="true">IF($F232="","",IF($P232="Cancelada","Cancelada",IF(OR($O232&lt;&gt;"",$P232="Concluída"),IF(OR($N232="",$O232="",$O232&lt;=$N232),"Concluída","Concluída com atraso"),IF($N232="","Na carteira",IF($N232&lt;TODAY(),"VENCIDA",IF($P232="Em execução","Em execução",IF($N232=TODAY(),"Hoje","Programada")))))))</f>
        <v/>
      </c>
      <c r="C232" s="38"/>
      <c r="D232" s="38"/>
      <c r="E232" s="38"/>
      <c r="F232" s="38"/>
      <c r="G232" s="39"/>
      <c r="H232" s="39"/>
      <c r="I232" s="40"/>
      <c r="J232" s="40"/>
      <c r="K232" s="40"/>
      <c r="L232" s="41"/>
      <c r="M232" s="42"/>
      <c r="N232" s="43" t="str">
        <f aca="false">IF(OR($L232="",$M232=""),"",$L232+MATCH($M232,Listas!$F$5:$F$11,0)-1)</f>
        <v/>
      </c>
      <c r="O232" s="44"/>
      <c r="P232" s="39"/>
      <c r="Q232" s="44"/>
      <c r="R232" s="38"/>
      <c r="S232" s="38"/>
      <c r="T232" s="36" t="str">
        <f aca="false">IF($F232="","",IF(ISNUMBER(SEARCH("(externo)",$I232&amp;$J232&amp;$K232)),"Terceirizada","Interna"))</f>
        <v/>
      </c>
      <c r="U232" s="43" t="str">
        <f aca="false">IF($N232="","",IF($Q232="",$N232,$Q232))</f>
        <v/>
      </c>
      <c r="V232" s="36" t="str">
        <f aca="false">IF($F232="","",IF(OR($O232="",$N232=""),0,IF($O232&lt;=$N232,1,0)))</f>
        <v/>
      </c>
      <c r="W232" s="36" t="str">
        <f aca="false">IF($F232="","",IF(OR($O232="",$U232=""),0,IF($O232&lt;=$U232,1,0)))</f>
        <v/>
      </c>
      <c r="X232" s="37" t="str">
        <f aca="false">IF(OR($O232="",$N232=""),"",MAX(0,$O232-$N232))</f>
        <v/>
      </c>
      <c r="Y232" s="36" t="str">
        <f aca="false">IF($F232="","",IF(AND($Q232&lt;&gt;"",$N232&lt;&gt;"",$Q232&lt;&gt;$N232),1,0))</f>
        <v/>
      </c>
      <c r="Z232" s="36" t="str">
        <f aca="false">IF($F232="","",IF($P232="Cancelada",0,IF(OR($O232&lt;&gt;"",$P232="Concluída"),1,0)))</f>
        <v/>
      </c>
    </row>
    <row r="233" customFormat="false" ht="16.5" hidden="false" customHeight="true" outlineLevel="0" collapsed="false">
      <c r="A233" s="36" t="str">
        <f aca="false">IF($F233="","",COUNTA($F$5:$F233))</f>
        <v/>
      </c>
      <c r="B233" s="37" t="str">
        <f aca="true">IF($F233="","",IF($P233="Cancelada","Cancelada",IF(OR($O233&lt;&gt;"",$P233="Concluída"),IF(OR($N233="",$O233="",$O233&lt;=$N233),"Concluída","Concluída com atraso"),IF($N233="","Na carteira",IF($N233&lt;TODAY(),"VENCIDA",IF($P233="Em execução","Em execução",IF($N233=TODAY(),"Hoje","Programada")))))))</f>
        <v/>
      </c>
      <c r="C233" s="38"/>
      <c r="D233" s="38"/>
      <c r="E233" s="38"/>
      <c r="F233" s="38"/>
      <c r="G233" s="39"/>
      <c r="H233" s="39"/>
      <c r="I233" s="40"/>
      <c r="J233" s="40"/>
      <c r="K233" s="40"/>
      <c r="L233" s="41"/>
      <c r="M233" s="42"/>
      <c r="N233" s="43" t="str">
        <f aca="false">IF(OR($L233="",$M233=""),"",$L233+MATCH($M233,Listas!$F$5:$F$11,0)-1)</f>
        <v/>
      </c>
      <c r="O233" s="44"/>
      <c r="P233" s="39"/>
      <c r="Q233" s="44"/>
      <c r="R233" s="38"/>
      <c r="S233" s="38"/>
      <c r="T233" s="36" t="str">
        <f aca="false">IF($F233="","",IF(ISNUMBER(SEARCH("(externo)",$I233&amp;$J233&amp;$K233)),"Terceirizada","Interna"))</f>
        <v/>
      </c>
      <c r="U233" s="43" t="str">
        <f aca="false">IF($N233="","",IF($Q233="",$N233,$Q233))</f>
        <v/>
      </c>
      <c r="V233" s="36" t="str">
        <f aca="false">IF($F233="","",IF(OR($O233="",$N233=""),0,IF($O233&lt;=$N233,1,0)))</f>
        <v/>
      </c>
      <c r="W233" s="36" t="str">
        <f aca="false">IF($F233="","",IF(OR($O233="",$U233=""),0,IF($O233&lt;=$U233,1,0)))</f>
        <v/>
      </c>
      <c r="X233" s="37" t="str">
        <f aca="false">IF(OR($O233="",$N233=""),"",MAX(0,$O233-$N233))</f>
        <v/>
      </c>
      <c r="Y233" s="36" t="str">
        <f aca="false">IF($F233="","",IF(AND($Q233&lt;&gt;"",$N233&lt;&gt;"",$Q233&lt;&gt;$N233),1,0))</f>
        <v/>
      </c>
      <c r="Z233" s="36" t="str">
        <f aca="false">IF($F233="","",IF($P233="Cancelada",0,IF(OR($O233&lt;&gt;"",$P233="Concluída"),1,0)))</f>
        <v/>
      </c>
    </row>
    <row r="234" customFormat="false" ht="16.5" hidden="false" customHeight="true" outlineLevel="0" collapsed="false">
      <c r="A234" s="36" t="str">
        <f aca="false">IF($F234="","",COUNTA($F$5:$F234))</f>
        <v/>
      </c>
      <c r="B234" s="37" t="str">
        <f aca="true">IF($F234="","",IF($P234="Cancelada","Cancelada",IF(OR($O234&lt;&gt;"",$P234="Concluída"),IF(OR($N234="",$O234="",$O234&lt;=$N234),"Concluída","Concluída com atraso"),IF($N234="","Na carteira",IF($N234&lt;TODAY(),"VENCIDA",IF($P234="Em execução","Em execução",IF($N234=TODAY(),"Hoje","Programada")))))))</f>
        <v/>
      </c>
      <c r="C234" s="38"/>
      <c r="D234" s="38"/>
      <c r="E234" s="38"/>
      <c r="F234" s="38"/>
      <c r="G234" s="39"/>
      <c r="H234" s="39"/>
      <c r="I234" s="40"/>
      <c r="J234" s="40"/>
      <c r="K234" s="40"/>
      <c r="L234" s="41"/>
      <c r="M234" s="42"/>
      <c r="N234" s="43" t="str">
        <f aca="false">IF(OR($L234="",$M234=""),"",$L234+MATCH($M234,Listas!$F$5:$F$11,0)-1)</f>
        <v/>
      </c>
      <c r="O234" s="44"/>
      <c r="P234" s="39"/>
      <c r="Q234" s="44"/>
      <c r="R234" s="38"/>
      <c r="S234" s="38"/>
      <c r="T234" s="36" t="str">
        <f aca="false">IF($F234="","",IF(ISNUMBER(SEARCH("(externo)",$I234&amp;$J234&amp;$K234)),"Terceirizada","Interna"))</f>
        <v/>
      </c>
      <c r="U234" s="43" t="str">
        <f aca="false">IF($N234="","",IF($Q234="",$N234,$Q234))</f>
        <v/>
      </c>
      <c r="V234" s="36" t="str">
        <f aca="false">IF($F234="","",IF(OR($O234="",$N234=""),0,IF($O234&lt;=$N234,1,0)))</f>
        <v/>
      </c>
      <c r="W234" s="36" t="str">
        <f aca="false">IF($F234="","",IF(OR($O234="",$U234=""),0,IF($O234&lt;=$U234,1,0)))</f>
        <v/>
      </c>
      <c r="X234" s="37" t="str">
        <f aca="false">IF(OR($O234="",$N234=""),"",MAX(0,$O234-$N234))</f>
        <v/>
      </c>
      <c r="Y234" s="36" t="str">
        <f aca="false">IF($F234="","",IF(AND($Q234&lt;&gt;"",$N234&lt;&gt;"",$Q234&lt;&gt;$N234),1,0))</f>
        <v/>
      </c>
      <c r="Z234" s="36" t="str">
        <f aca="false">IF($F234="","",IF($P234="Cancelada",0,IF(OR($O234&lt;&gt;"",$P234="Concluída"),1,0)))</f>
        <v/>
      </c>
    </row>
    <row r="235" customFormat="false" ht="16.5" hidden="false" customHeight="true" outlineLevel="0" collapsed="false">
      <c r="A235" s="36" t="str">
        <f aca="false">IF($F235="","",COUNTA($F$5:$F235))</f>
        <v/>
      </c>
      <c r="B235" s="37" t="str">
        <f aca="true">IF($F235="","",IF($P235="Cancelada","Cancelada",IF(OR($O235&lt;&gt;"",$P235="Concluída"),IF(OR($N235="",$O235="",$O235&lt;=$N235),"Concluída","Concluída com atraso"),IF($N235="","Na carteira",IF($N235&lt;TODAY(),"VENCIDA",IF($P235="Em execução","Em execução",IF($N235=TODAY(),"Hoje","Programada")))))))</f>
        <v/>
      </c>
      <c r="C235" s="38"/>
      <c r="D235" s="38"/>
      <c r="E235" s="38"/>
      <c r="F235" s="38"/>
      <c r="G235" s="39"/>
      <c r="H235" s="39"/>
      <c r="I235" s="40"/>
      <c r="J235" s="40"/>
      <c r="K235" s="40"/>
      <c r="L235" s="41"/>
      <c r="M235" s="42"/>
      <c r="N235" s="43" t="str">
        <f aca="false">IF(OR($L235="",$M235=""),"",$L235+MATCH($M235,Listas!$F$5:$F$11,0)-1)</f>
        <v/>
      </c>
      <c r="O235" s="44"/>
      <c r="P235" s="39"/>
      <c r="Q235" s="44"/>
      <c r="R235" s="38"/>
      <c r="S235" s="38"/>
      <c r="T235" s="36" t="str">
        <f aca="false">IF($F235="","",IF(ISNUMBER(SEARCH("(externo)",$I235&amp;$J235&amp;$K235)),"Terceirizada","Interna"))</f>
        <v/>
      </c>
      <c r="U235" s="43" t="str">
        <f aca="false">IF($N235="","",IF($Q235="",$N235,$Q235))</f>
        <v/>
      </c>
      <c r="V235" s="36" t="str">
        <f aca="false">IF($F235="","",IF(OR($O235="",$N235=""),0,IF($O235&lt;=$N235,1,0)))</f>
        <v/>
      </c>
      <c r="W235" s="36" t="str">
        <f aca="false">IF($F235="","",IF(OR($O235="",$U235=""),0,IF($O235&lt;=$U235,1,0)))</f>
        <v/>
      </c>
      <c r="X235" s="37" t="str">
        <f aca="false">IF(OR($O235="",$N235=""),"",MAX(0,$O235-$N235))</f>
        <v/>
      </c>
      <c r="Y235" s="36" t="str">
        <f aca="false">IF($F235="","",IF(AND($Q235&lt;&gt;"",$N235&lt;&gt;"",$Q235&lt;&gt;$N235),1,0))</f>
        <v/>
      </c>
      <c r="Z235" s="36" t="str">
        <f aca="false">IF($F235="","",IF($P235="Cancelada",0,IF(OR($O235&lt;&gt;"",$P235="Concluída"),1,0)))</f>
        <v/>
      </c>
    </row>
    <row r="236" customFormat="false" ht="16.5" hidden="false" customHeight="true" outlineLevel="0" collapsed="false">
      <c r="A236" s="36" t="str">
        <f aca="false">IF($F236="","",COUNTA($F$5:$F236))</f>
        <v/>
      </c>
      <c r="B236" s="37" t="str">
        <f aca="true">IF($F236="","",IF($P236="Cancelada","Cancelada",IF(OR($O236&lt;&gt;"",$P236="Concluída"),IF(OR($N236="",$O236="",$O236&lt;=$N236),"Concluída","Concluída com atraso"),IF($N236="","Na carteira",IF($N236&lt;TODAY(),"VENCIDA",IF($P236="Em execução","Em execução",IF($N236=TODAY(),"Hoje","Programada")))))))</f>
        <v/>
      </c>
      <c r="C236" s="38"/>
      <c r="D236" s="38"/>
      <c r="E236" s="38"/>
      <c r="F236" s="38"/>
      <c r="G236" s="39"/>
      <c r="H236" s="39"/>
      <c r="I236" s="40"/>
      <c r="J236" s="40"/>
      <c r="K236" s="40"/>
      <c r="L236" s="41"/>
      <c r="M236" s="42"/>
      <c r="N236" s="43" t="str">
        <f aca="false">IF(OR($L236="",$M236=""),"",$L236+MATCH($M236,Listas!$F$5:$F$11,0)-1)</f>
        <v/>
      </c>
      <c r="O236" s="44"/>
      <c r="P236" s="39"/>
      <c r="Q236" s="44"/>
      <c r="R236" s="38"/>
      <c r="S236" s="38"/>
      <c r="T236" s="36" t="str">
        <f aca="false">IF($F236="","",IF(ISNUMBER(SEARCH("(externo)",$I236&amp;$J236&amp;$K236)),"Terceirizada","Interna"))</f>
        <v/>
      </c>
      <c r="U236" s="43" t="str">
        <f aca="false">IF($N236="","",IF($Q236="",$N236,$Q236))</f>
        <v/>
      </c>
      <c r="V236" s="36" t="str">
        <f aca="false">IF($F236="","",IF(OR($O236="",$N236=""),0,IF($O236&lt;=$N236,1,0)))</f>
        <v/>
      </c>
      <c r="W236" s="36" t="str">
        <f aca="false">IF($F236="","",IF(OR($O236="",$U236=""),0,IF($O236&lt;=$U236,1,0)))</f>
        <v/>
      </c>
      <c r="X236" s="37" t="str">
        <f aca="false">IF(OR($O236="",$N236=""),"",MAX(0,$O236-$N236))</f>
        <v/>
      </c>
      <c r="Y236" s="36" t="str">
        <f aca="false">IF($F236="","",IF(AND($Q236&lt;&gt;"",$N236&lt;&gt;"",$Q236&lt;&gt;$N236),1,0))</f>
        <v/>
      </c>
      <c r="Z236" s="36" t="str">
        <f aca="false">IF($F236="","",IF($P236="Cancelada",0,IF(OR($O236&lt;&gt;"",$P236="Concluída"),1,0)))</f>
        <v/>
      </c>
    </row>
    <row r="237" customFormat="false" ht="16.5" hidden="false" customHeight="true" outlineLevel="0" collapsed="false">
      <c r="A237" s="36" t="str">
        <f aca="false">IF($F237="","",COUNTA($F$5:$F237))</f>
        <v/>
      </c>
      <c r="B237" s="37" t="str">
        <f aca="true">IF($F237="","",IF($P237="Cancelada","Cancelada",IF(OR($O237&lt;&gt;"",$P237="Concluída"),IF(OR($N237="",$O237="",$O237&lt;=$N237),"Concluída","Concluída com atraso"),IF($N237="","Na carteira",IF($N237&lt;TODAY(),"VENCIDA",IF($P237="Em execução","Em execução",IF($N237=TODAY(),"Hoje","Programada")))))))</f>
        <v/>
      </c>
      <c r="C237" s="38"/>
      <c r="D237" s="38"/>
      <c r="E237" s="38"/>
      <c r="F237" s="38"/>
      <c r="G237" s="39"/>
      <c r="H237" s="39"/>
      <c r="I237" s="40"/>
      <c r="J237" s="40"/>
      <c r="K237" s="40"/>
      <c r="L237" s="41"/>
      <c r="M237" s="42"/>
      <c r="N237" s="43" t="str">
        <f aca="false">IF(OR($L237="",$M237=""),"",$L237+MATCH($M237,Listas!$F$5:$F$11,0)-1)</f>
        <v/>
      </c>
      <c r="O237" s="44"/>
      <c r="P237" s="39"/>
      <c r="Q237" s="44"/>
      <c r="R237" s="38"/>
      <c r="S237" s="38"/>
      <c r="T237" s="36" t="str">
        <f aca="false">IF($F237="","",IF(ISNUMBER(SEARCH("(externo)",$I237&amp;$J237&amp;$K237)),"Terceirizada","Interna"))</f>
        <v/>
      </c>
      <c r="U237" s="43" t="str">
        <f aca="false">IF($N237="","",IF($Q237="",$N237,$Q237))</f>
        <v/>
      </c>
      <c r="V237" s="36" t="str">
        <f aca="false">IF($F237="","",IF(OR($O237="",$N237=""),0,IF($O237&lt;=$N237,1,0)))</f>
        <v/>
      </c>
      <c r="W237" s="36" t="str">
        <f aca="false">IF($F237="","",IF(OR($O237="",$U237=""),0,IF($O237&lt;=$U237,1,0)))</f>
        <v/>
      </c>
      <c r="X237" s="37" t="str">
        <f aca="false">IF(OR($O237="",$N237=""),"",MAX(0,$O237-$N237))</f>
        <v/>
      </c>
      <c r="Y237" s="36" t="str">
        <f aca="false">IF($F237="","",IF(AND($Q237&lt;&gt;"",$N237&lt;&gt;"",$Q237&lt;&gt;$N237),1,0))</f>
        <v/>
      </c>
      <c r="Z237" s="36" t="str">
        <f aca="false">IF($F237="","",IF($P237="Cancelada",0,IF(OR($O237&lt;&gt;"",$P237="Concluída"),1,0)))</f>
        <v/>
      </c>
    </row>
    <row r="238" customFormat="false" ht="16.5" hidden="false" customHeight="true" outlineLevel="0" collapsed="false">
      <c r="A238" s="36" t="str">
        <f aca="false">IF($F238="","",COUNTA($F$5:$F238))</f>
        <v/>
      </c>
      <c r="B238" s="37" t="str">
        <f aca="true">IF($F238="","",IF($P238="Cancelada","Cancelada",IF(OR($O238&lt;&gt;"",$P238="Concluída"),IF(OR($N238="",$O238="",$O238&lt;=$N238),"Concluída","Concluída com atraso"),IF($N238="","Na carteira",IF($N238&lt;TODAY(),"VENCIDA",IF($P238="Em execução","Em execução",IF($N238=TODAY(),"Hoje","Programada")))))))</f>
        <v/>
      </c>
      <c r="C238" s="38"/>
      <c r="D238" s="38"/>
      <c r="E238" s="38"/>
      <c r="F238" s="38"/>
      <c r="G238" s="39"/>
      <c r="H238" s="39"/>
      <c r="I238" s="40"/>
      <c r="J238" s="40"/>
      <c r="K238" s="40"/>
      <c r="L238" s="41"/>
      <c r="M238" s="42"/>
      <c r="N238" s="43" t="str">
        <f aca="false">IF(OR($L238="",$M238=""),"",$L238+MATCH($M238,Listas!$F$5:$F$11,0)-1)</f>
        <v/>
      </c>
      <c r="O238" s="44"/>
      <c r="P238" s="39"/>
      <c r="Q238" s="44"/>
      <c r="R238" s="38"/>
      <c r="S238" s="38"/>
      <c r="T238" s="36" t="str">
        <f aca="false">IF($F238="","",IF(ISNUMBER(SEARCH("(externo)",$I238&amp;$J238&amp;$K238)),"Terceirizada","Interna"))</f>
        <v/>
      </c>
      <c r="U238" s="43" t="str">
        <f aca="false">IF($N238="","",IF($Q238="",$N238,$Q238))</f>
        <v/>
      </c>
      <c r="V238" s="36" t="str">
        <f aca="false">IF($F238="","",IF(OR($O238="",$N238=""),0,IF($O238&lt;=$N238,1,0)))</f>
        <v/>
      </c>
      <c r="W238" s="36" t="str">
        <f aca="false">IF($F238="","",IF(OR($O238="",$U238=""),0,IF($O238&lt;=$U238,1,0)))</f>
        <v/>
      </c>
      <c r="X238" s="37" t="str">
        <f aca="false">IF(OR($O238="",$N238=""),"",MAX(0,$O238-$N238))</f>
        <v/>
      </c>
      <c r="Y238" s="36" t="str">
        <f aca="false">IF($F238="","",IF(AND($Q238&lt;&gt;"",$N238&lt;&gt;"",$Q238&lt;&gt;$N238),1,0))</f>
        <v/>
      </c>
      <c r="Z238" s="36" t="str">
        <f aca="false">IF($F238="","",IF($P238="Cancelada",0,IF(OR($O238&lt;&gt;"",$P238="Concluída"),1,0)))</f>
        <v/>
      </c>
    </row>
    <row r="239" customFormat="false" ht="16.5" hidden="false" customHeight="true" outlineLevel="0" collapsed="false">
      <c r="A239" s="36" t="str">
        <f aca="false">IF($F239="","",COUNTA($F$5:$F239))</f>
        <v/>
      </c>
      <c r="B239" s="37" t="str">
        <f aca="true">IF($F239="","",IF($P239="Cancelada","Cancelada",IF(OR($O239&lt;&gt;"",$P239="Concluída"),IF(OR($N239="",$O239="",$O239&lt;=$N239),"Concluída","Concluída com atraso"),IF($N239="","Na carteira",IF($N239&lt;TODAY(),"VENCIDA",IF($P239="Em execução","Em execução",IF($N239=TODAY(),"Hoje","Programada")))))))</f>
        <v/>
      </c>
      <c r="C239" s="38"/>
      <c r="D239" s="38"/>
      <c r="E239" s="38"/>
      <c r="F239" s="38"/>
      <c r="G239" s="39"/>
      <c r="H239" s="39"/>
      <c r="I239" s="40"/>
      <c r="J239" s="40"/>
      <c r="K239" s="40"/>
      <c r="L239" s="41"/>
      <c r="M239" s="42"/>
      <c r="N239" s="43" t="str">
        <f aca="false">IF(OR($L239="",$M239=""),"",$L239+MATCH($M239,Listas!$F$5:$F$11,0)-1)</f>
        <v/>
      </c>
      <c r="O239" s="44"/>
      <c r="P239" s="39"/>
      <c r="Q239" s="44"/>
      <c r="R239" s="38"/>
      <c r="S239" s="38"/>
      <c r="T239" s="36" t="str">
        <f aca="false">IF($F239="","",IF(ISNUMBER(SEARCH("(externo)",$I239&amp;$J239&amp;$K239)),"Terceirizada","Interna"))</f>
        <v/>
      </c>
      <c r="U239" s="43" t="str">
        <f aca="false">IF($N239="","",IF($Q239="",$N239,$Q239))</f>
        <v/>
      </c>
      <c r="V239" s="36" t="str">
        <f aca="false">IF($F239="","",IF(OR($O239="",$N239=""),0,IF($O239&lt;=$N239,1,0)))</f>
        <v/>
      </c>
      <c r="W239" s="36" t="str">
        <f aca="false">IF($F239="","",IF(OR($O239="",$U239=""),0,IF($O239&lt;=$U239,1,0)))</f>
        <v/>
      </c>
      <c r="X239" s="37" t="str">
        <f aca="false">IF(OR($O239="",$N239=""),"",MAX(0,$O239-$N239))</f>
        <v/>
      </c>
      <c r="Y239" s="36" t="str">
        <f aca="false">IF($F239="","",IF(AND($Q239&lt;&gt;"",$N239&lt;&gt;"",$Q239&lt;&gt;$N239),1,0))</f>
        <v/>
      </c>
      <c r="Z239" s="36" t="str">
        <f aca="false">IF($F239="","",IF($P239="Cancelada",0,IF(OR($O239&lt;&gt;"",$P239="Concluída"),1,0)))</f>
        <v/>
      </c>
    </row>
    <row r="240" customFormat="false" ht="16.5" hidden="false" customHeight="true" outlineLevel="0" collapsed="false">
      <c r="A240" s="36" t="str">
        <f aca="false">IF($F240="","",COUNTA($F$5:$F240))</f>
        <v/>
      </c>
      <c r="B240" s="37" t="str">
        <f aca="true">IF($F240="","",IF($P240="Cancelada","Cancelada",IF(OR($O240&lt;&gt;"",$P240="Concluída"),IF(OR($N240="",$O240="",$O240&lt;=$N240),"Concluída","Concluída com atraso"),IF($N240="","Na carteira",IF($N240&lt;TODAY(),"VENCIDA",IF($P240="Em execução","Em execução",IF($N240=TODAY(),"Hoje","Programada")))))))</f>
        <v/>
      </c>
      <c r="C240" s="38"/>
      <c r="D240" s="38"/>
      <c r="E240" s="38"/>
      <c r="F240" s="38"/>
      <c r="G240" s="39"/>
      <c r="H240" s="39"/>
      <c r="I240" s="40"/>
      <c r="J240" s="40"/>
      <c r="K240" s="40"/>
      <c r="L240" s="41"/>
      <c r="M240" s="42"/>
      <c r="N240" s="43" t="str">
        <f aca="false">IF(OR($L240="",$M240=""),"",$L240+MATCH($M240,Listas!$F$5:$F$11,0)-1)</f>
        <v/>
      </c>
      <c r="O240" s="44"/>
      <c r="P240" s="39"/>
      <c r="Q240" s="44"/>
      <c r="R240" s="38"/>
      <c r="S240" s="38"/>
      <c r="T240" s="36" t="str">
        <f aca="false">IF($F240="","",IF(ISNUMBER(SEARCH("(externo)",$I240&amp;$J240&amp;$K240)),"Terceirizada","Interna"))</f>
        <v/>
      </c>
      <c r="U240" s="43" t="str">
        <f aca="false">IF($N240="","",IF($Q240="",$N240,$Q240))</f>
        <v/>
      </c>
      <c r="V240" s="36" t="str">
        <f aca="false">IF($F240="","",IF(OR($O240="",$N240=""),0,IF($O240&lt;=$N240,1,0)))</f>
        <v/>
      </c>
      <c r="W240" s="36" t="str">
        <f aca="false">IF($F240="","",IF(OR($O240="",$U240=""),0,IF($O240&lt;=$U240,1,0)))</f>
        <v/>
      </c>
      <c r="X240" s="37" t="str">
        <f aca="false">IF(OR($O240="",$N240=""),"",MAX(0,$O240-$N240))</f>
        <v/>
      </c>
      <c r="Y240" s="36" t="str">
        <f aca="false">IF($F240="","",IF(AND($Q240&lt;&gt;"",$N240&lt;&gt;"",$Q240&lt;&gt;$N240),1,0))</f>
        <v/>
      </c>
      <c r="Z240" s="36" t="str">
        <f aca="false">IF($F240="","",IF($P240="Cancelada",0,IF(OR($O240&lt;&gt;"",$P240="Concluída"),1,0)))</f>
        <v/>
      </c>
    </row>
    <row r="241" customFormat="false" ht="16.5" hidden="false" customHeight="true" outlineLevel="0" collapsed="false">
      <c r="A241" s="36" t="str">
        <f aca="false">IF($F241="","",COUNTA($F$5:$F241))</f>
        <v/>
      </c>
      <c r="B241" s="37" t="str">
        <f aca="true">IF($F241="","",IF($P241="Cancelada","Cancelada",IF(OR($O241&lt;&gt;"",$P241="Concluída"),IF(OR($N241="",$O241="",$O241&lt;=$N241),"Concluída","Concluída com atraso"),IF($N241="","Na carteira",IF($N241&lt;TODAY(),"VENCIDA",IF($P241="Em execução","Em execução",IF($N241=TODAY(),"Hoje","Programada")))))))</f>
        <v/>
      </c>
      <c r="C241" s="38"/>
      <c r="D241" s="38"/>
      <c r="E241" s="38"/>
      <c r="F241" s="38"/>
      <c r="G241" s="39"/>
      <c r="H241" s="39"/>
      <c r="I241" s="40"/>
      <c r="J241" s="40"/>
      <c r="K241" s="40"/>
      <c r="L241" s="41"/>
      <c r="M241" s="42"/>
      <c r="N241" s="43" t="str">
        <f aca="false">IF(OR($L241="",$M241=""),"",$L241+MATCH($M241,Listas!$F$5:$F$11,0)-1)</f>
        <v/>
      </c>
      <c r="O241" s="44"/>
      <c r="P241" s="39"/>
      <c r="Q241" s="44"/>
      <c r="R241" s="38"/>
      <c r="S241" s="38"/>
      <c r="T241" s="36" t="str">
        <f aca="false">IF($F241="","",IF(ISNUMBER(SEARCH("(externo)",$I241&amp;$J241&amp;$K241)),"Terceirizada","Interna"))</f>
        <v/>
      </c>
      <c r="U241" s="43" t="str">
        <f aca="false">IF($N241="","",IF($Q241="",$N241,$Q241))</f>
        <v/>
      </c>
      <c r="V241" s="36" t="str">
        <f aca="false">IF($F241="","",IF(OR($O241="",$N241=""),0,IF($O241&lt;=$N241,1,0)))</f>
        <v/>
      </c>
      <c r="W241" s="36" t="str">
        <f aca="false">IF($F241="","",IF(OR($O241="",$U241=""),0,IF($O241&lt;=$U241,1,0)))</f>
        <v/>
      </c>
      <c r="X241" s="37" t="str">
        <f aca="false">IF(OR($O241="",$N241=""),"",MAX(0,$O241-$N241))</f>
        <v/>
      </c>
      <c r="Y241" s="36" t="str">
        <f aca="false">IF($F241="","",IF(AND($Q241&lt;&gt;"",$N241&lt;&gt;"",$Q241&lt;&gt;$N241),1,0))</f>
        <v/>
      </c>
      <c r="Z241" s="36" t="str">
        <f aca="false">IF($F241="","",IF($P241="Cancelada",0,IF(OR($O241&lt;&gt;"",$P241="Concluída"),1,0)))</f>
        <v/>
      </c>
    </row>
    <row r="242" customFormat="false" ht="16.5" hidden="false" customHeight="true" outlineLevel="0" collapsed="false">
      <c r="A242" s="36" t="str">
        <f aca="false">IF($F242="","",COUNTA($F$5:$F242))</f>
        <v/>
      </c>
      <c r="B242" s="37" t="str">
        <f aca="true">IF($F242="","",IF($P242="Cancelada","Cancelada",IF(OR($O242&lt;&gt;"",$P242="Concluída"),IF(OR($N242="",$O242="",$O242&lt;=$N242),"Concluída","Concluída com atraso"),IF($N242="","Na carteira",IF($N242&lt;TODAY(),"VENCIDA",IF($P242="Em execução","Em execução",IF($N242=TODAY(),"Hoje","Programada")))))))</f>
        <v/>
      </c>
      <c r="C242" s="38"/>
      <c r="D242" s="38"/>
      <c r="E242" s="38"/>
      <c r="F242" s="38"/>
      <c r="G242" s="39"/>
      <c r="H242" s="39"/>
      <c r="I242" s="40"/>
      <c r="J242" s="40"/>
      <c r="K242" s="40"/>
      <c r="L242" s="41"/>
      <c r="M242" s="42"/>
      <c r="N242" s="43" t="str">
        <f aca="false">IF(OR($L242="",$M242=""),"",$L242+MATCH($M242,Listas!$F$5:$F$11,0)-1)</f>
        <v/>
      </c>
      <c r="O242" s="44"/>
      <c r="P242" s="39"/>
      <c r="Q242" s="44"/>
      <c r="R242" s="38"/>
      <c r="S242" s="38"/>
      <c r="T242" s="36" t="str">
        <f aca="false">IF($F242="","",IF(ISNUMBER(SEARCH("(externo)",$I242&amp;$J242&amp;$K242)),"Terceirizada","Interna"))</f>
        <v/>
      </c>
      <c r="U242" s="43" t="str">
        <f aca="false">IF($N242="","",IF($Q242="",$N242,$Q242))</f>
        <v/>
      </c>
      <c r="V242" s="36" t="str">
        <f aca="false">IF($F242="","",IF(OR($O242="",$N242=""),0,IF($O242&lt;=$N242,1,0)))</f>
        <v/>
      </c>
      <c r="W242" s="36" t="str">
        <f aca="false">IF($F242="","",IF(OR($O242="",$U242=""),0,IF($O242&lt;=$U242,1,0)))</f>
        <v/>
      </c>
      <c r="X242" s="37" t="str">
        <f aca="false">IF(OR($O242="",$N242=""),"",MAX(0,$O242-$N242))</f>
        <v/>
      </c>
      <c r="Y242" s="36" t="str">
        <f aca="false">IF($F242="","",IF(AND($Q242&lt;&gt;"",$N242&lt;&gt;"",$Q242&lt;&gt;$N242),1,0))</f>
        <v/>
      </c>
      <c r="Z242" s="36" t="str">
        <f aca="false">IF($F242="","",IF($P242="Cancelada",0,IF(OR($O242&lt;&gt;"",$P242="Concluída"),1,0)))</f>
        <v/>
      </c>
    </row>
    <row r="243" customFormat="false" ht="16.5" hidden="false" customHeight="true" outlineLevel="0" collapsed="false">
      <c r="A243" s="36" t="str">
        <f aca="false">IF($F243="","",COUNTA($F$5:$F243))</f>
        <v/>
      </c>
      <c r="B243" s="37" t="str">
        <f aca="true">IF($F243="","",IF($P243="Cancelada","Cancelada",IF(OR($O243&lt;&gt;"",$P243="Concluída"),IF(OR($N243="",$O243="",$O243&lt;=$N243),"Concluída","Concluída com atraso"),IF($N243="","Na carteira",IF($N243&lt;TODAY(),"VENCIDA",IF($P243="Em execução","Em execução",IF($N243=TODAY(),"Hoje","Programada")))))))</f>
        <v/>
      </c>
      <c r="C243" s="38"/>
      <c r="D243" s="38"/>
      <c r="E243" s="38"/>
      <c r="F243" s="38"/>
      <c r="G243" s="39"/>
      <c r="H243" s="39"/>
      <c r="I243" s="40"/>
      <c r="J243" s="40"/>
      <c r="K243" s="40"/>
      <c r="L243" s="41"/>
      <c r="M243" s="42"/>
      <c r="N243" s="43" t="str">
        <f aca="false">IF(OR($L243="",$M243=""),"",$L243+MATCH($M243,Listas!$F$5:$F$11,0)-1)</f>
        <v/>
      </c>
      <c r="O243" s="44"/>
      <c r="P243" s="39"/>
      <c r="Q243" s="44"/>
      <c r="R243" s="38"/>
      <c r="S243" s="38"/>
      <c r="T243" s="36" t="str">
        <f aca="false">IF($F243="","",IF(ISNUMBER(SEARCH("(externo)",$I243&amp;$J243&amp;$K243)),"Terceirizada","Interna"))</f>
        <v/>
      </c>
      <c r="U243" s="43" t="str">
        <f aca="false">IF($N243="","",IF($Q243="",$N243,$Q243))</f>
        <v/>
      </c>
      <c r="V243" s="36" t="str">
        <f aca="false">IF($F243="","",IF(OR($O243="",$N243=""),0,IF($O243&lt;=$N243,1,0)))</f>
        <v/>
      </c>
      <c r="W243" s="36" t="str">
        <f aca="false">IF($F243="","",IF(OR($O243="",$U243=""),0,IF($O243&lt;=$U243,1,0)))</f>
        <v/>
      </c>
      <c r="X243" s="37" t="str">
        <f aca="false">IF(OR($O243="",$N243=""),"",MAX(0,$O243-$N243))</f>
        <v/>
      </c>
      <c r="Y243" s="36" t="str">
        <f aca="false">IF($F243="","",IF(AND($Q243&lt;&gt;"",$N243&lt;&gt;"",$Q243&lt;&gt;$N243),1,0))</f>
        <v/>
      </c>
      <c r="Z243" s="36" t="str">
        <f aca="false">IF($F243="","",IF($P243="Cancelada",0,IF(OR($O243&lt;&gt;"",$P243="Concluída"),1,0)))</f>
        <v/>
      </c>
    </row>
    <row r="244" customFormat="false" ht="16.5" hidden="false" customHeight="true" outlineLevel="0" collapsed="false">
      <c r="A244" s="36" t="str">
        <f aca="false">IF($F244="","",COUNTA($F$5:$F244))</f>
        <v/>
      </c>
      <c r="B244" s="37" t="str">
        <f aca="true">IF($F244="","",IF($P244="Cancelada","Cancelada",IF(OR($O244&lt;&gt;"",$P244="Concluída"),IF(OR($N244="",$O244="",$O244&lt;=$N244),"Concluída","Concluída com atraso"),IF($N244="","Na carteira",IF($N244&lt;TODAY(),"VENCIDA",IF($P244="Em execução","Em execução",IF($N244=TODAY(),"Hoje","Programada")))))))</f>
        <v/>
      </c>
      <c r="C244" s="38"/>
      <c r="D244" s="38"/>
      <c r="E244" s="38"/>
      <c r="F244" s="38"/>
      <c r="G244" s="39"/>
      <c r="H244" s="39"/>
      <c r="I244" s="40"/>
      <c r="J244" s="40"/>
      <c r="K244" s="40"/>
      <c r="L244" s="41"/>
      <c r="M244" s="42"/>
      <c r="N244" s="43" t="str">
        <f aca="false">IF(OR($L244="",$M244=""),"",$L244+MATCH($M244,Listas!$F$5:$F$11,0)-1)</f>
        <v/>
      </c>
      <c r="O244" s="44"/>
      <c r="P244" s="39"/>
      <c r="Q244" s="44"/>
      <c r="R244" s="38"/>
      <c r="S244" s="38"/>
      <c r="T244" s="36" t="str">
        <f aca="false">IF($F244="","",IF(ISNUMBER(SEARCH("(externo)",$I244&amp;$J244&amp;$K244)),"Terceirizada","Interna"))</f>
        <v/>
      </c>
      <c r="U244" s="43" t="str">
        <f aca="false">IF($N244="","",IF($Q244="",$N244,$Q244))</f>
        <v/>
      </c>
      <c r="V244" s="36" t="str">
        <f aca="false">IF($F244="","",IF(OR($O244="",$N244=""),0,IF($O244&lt;=$N244,1,0)))</f>
        <v/>
      </c>
      <c r="W244" s="36" t="str">
        <f aca="false">IF($F244="","",IF(OR($O244="",$U244=""),0,IF($O244&lt;=$U244,1,0)))</f>
        <v/>
      </c>
      <c r="X244" s="37" t="str">
        <f aca="false">IF(OR($O244="",$N244=""),"",MAX(0,$O244-$N244))</f>
        <v/>
      </c>
      <c r="Y244" s="36" t="str">
        <f aca="false">IF($F244="","",IF(AND($Q244&lt;&gt;"",$N244&lt;&gt;"",$Q244&lt;&gt;$N244),1,0))</f>
        <v/>
      </c>
      <c r="Z244" s="36" t="str">
        <f aca="false">IF($F244="","",IF($P244="Cancelada",0,IF(OR($O244&lt;&gt;"",$P244="Concluída"),1,0)))</f>
        <v/>
      </c>
    </row>
    <row r="245" customFormat="false" ht="16.5" hidden="false" customHeight="true" outlineLevel="0" collapsed="false">
      <c r="A245" s="36" t="str">
        <f aca="false">IF($F245="","",COUNTA($F$5:$F245))</f>
        <v/>
      </c>
      <c r="B245" s="37" t="str">
        <f aca="true">IF($F245="","",IF($P245="Cancelada","Cancelada",IF(OR($O245&lt;&gt;"",$P245="Concluída"),IF(OR($N245="",$O245="",$O245&lt;=$N245),"Concluída","Concluída com atraso"),IF($N245="","Na carteira",IF($N245&lt;TODAY(),"VENCIDA",IF($P245="Em execução","Em execução",IF($N245=TODAY(),"Hoje","Programada")))))))</f>
        <v/>
      </c>
      <c r="C245" s="38"/>
      <c r="D245" s="38"/>
      <c r="E245" s="38"/>
      <c r="F245" s="38"/>
      <c r="G245" s="39"/>
      <c r="H245" s="39"/>
      <c r="I245" s="40"/>
      <c r="J245" s="40"/>
      <c r="K245" s="40"/>
      <c r="L245" s="41"/>
      <c r="M245" s="42"/>
      <c r="N245" s="43" t="str">
        <f aca="false">IF(OR($L245="",$M245=""),"",$L245+MATCH($M245,Listas!$F$5:$F$11,0)-1)</f>
        <v/>
      </c>
      <c r="O245" s="44"/>
      <c r="P245" s="39"/>
      <c r="Q245" s="44"/>
      <c r="R245" s="38"/>
      <c r="S245" s="38"/>
      <c r="T245" s="36" t="str">
        <f aca="false">IF($F245="","",IF(ISNUMBER(SEARCH("(externo)",$I245&amp;$J245&amp;$K245)),"Terceirizada","Interna"))</f>
        <v/>
      </c>
      <c r="U245" s="43" t="str">
        <f aca="false">IF($N245="","",IF($Q245="",$N245,$Q245))</f>
        <v/>
      </c>
      <c r="V245" s="36" t="str">
        <f aca="false">IF($F245="","",IF(OR($O245="",$N245=""),0,IF($O245&lt;=$N245,1,0)))</f>
        <v/>
      </c>
      <c r="W245" s="36" t="str">
        <f aca="false">IF($F245="","",IF(OR($O245="",$U245=""),0,IF($O245&lt;=$U245,1,0)))</f>
        <v/>
      </c>
      <c r="X245" s="37" t="str">
        <f aca="false">IF(OR($O245="",$N245=""),"",MAX(0,$O245-$N245))</f>
        <v/>
      </c>
      <c r="Y245" s="36" t="str">
        <f aca="false">IF($F245="","",IF(AND($Q245&lt;&gt;"",$N245&lt;&gt;"",$Q245&lt;&gt;$N245),1,0))</f>
        <v/>
      </c>
      <c r="Z245" s="36" t="str">
        <f aca="false">IF($F245="","",IF($P245="Cancelada",0,IF(OR($O245&lt;&gt;"",$P245="Concluída"),1,0)))</f>
        <v/>
      </c>
    </row>
    <row r="246" customFormat="false" ht="16.5" hidden="false" customHeight="true" outlineLevel="0" collapsed="false">
      <c r="A246" s="36" t="str">
        <f aca="false">IF($F246="","",COUNTA($F$5:$F246))</f>
        <v/>
      </c>
      <c r="B246" s="37" t="str">
        <f aca="true">IF($F246="","",IF($P246="Cancelada","Cancelada",IF(OR($O246&lt;&gt;"",$P246="Concluída"),IF(OR($N246="",$O246="",$O246&lt;=$N246),"Concluída","Concluída com atraso"),IF($N246="","Na carteira",IF($N246&lt;TODAY(),"VENCIDA",IF($P246="Em execução","Em execução",IF($N246=TODAY(),"Hoje","Programada")))))))</f>
        <v/>
      </c>
      <c r="C246" s="38"/>
      <c r="D246" s="38"/>
      <c r="E246" s="38"/>
      <c r="F246" s="38"/>
      <c r="G246" s="39"/>
      <c r="H246" s="39"/>
      <c r="I246" s="40"/>
      <c r="J246" s="40"/>
      <c r="K246" s="40"/>
      <c r="L246" s="41"/>
      <c r="M246" s="42"/>
      <c r="N246" s="43" t="str">
        <f aca="false">IF(OR($L246="",$M246=""),"",$L246+MATCH($M246,Listas!$F$5:$F$11,0)-1)</f>
        <v/>
      </c>
      <c r="O246" s="44"/>
      <c r="P246" s="39"/>
      <c r="Q246" s="44"/>
      <c r="R246" s="38"/>
      <c r="S246" s="38"/>
      <c r="T246" s="36" t="str">
        <f aca="false">IF($F246="","",IF(ISNUMBER(SEARCH("(externo)",$I246&amp;$J246&amp;$K246)),"Terceirizada","Interna"))</f>
        <v/>
      </c>
      <c r="U246" s="43" t="str">
        <f aca="false">IF($N246="","",IF($Q246="",$N246,$Q246))</f>
        <v/>
      </c>
      <c r="V246" s="36" t="str">
        <f aca="false">IF($F246="","",IF(OR($O246="",$N246=""),0,IF($O246&lt;=$N246,1,0)))</f>
        <v/>
      </c>
      <c r="W246" s="36" t="str">
        <f aca="false">IF($F246="","",IF(OR($O246="",$U246=""),0,IF($O246&lt;=$U246,1,0)))</f>
        <v/>
      </c>
      <c r="X246" s="37" t="str">
        <f aca="false">IF(OR($O246="",$N246=""),"",MAX(0,$O246-$N246))</f>
        <v/>
      </c>
      <c r="Y246" s="36" t="str">
        <f aca="false">IF($F246="","",IF(AND($Q246&lt;&gt;"",$N246&lt;&gt;"",$Q246&lt;&gt;$N246),1,0))</f>
        <v/>
      </c>
      <c r="Z246" s="36" t="str">
        <f aca="false">IF($F246="","",IF($P246="Cancelada",0,IF(OR($O246&lt;&gt;"",$P246="Concluída"),1,0)))</f>
        <v/>
      </c>
    </row>
    <row r="247" customFormat="false" ht="16.5" hidden="false" customHeight="true" outlineLevel="0" collapsed="false">
      <c r="A247" s="36" t="str">
        <f aca="false">IF($F247="","",COUNTA($F$5:$F247))</f>
        <v/>
      </c>
      <c r="B247" s="37" t="str">
        <f aca="true">IF($F247="","",IF($P247="Cancelada","Cancelada",IF(OR($O247&lt;&gt;"",$P247="Concluída"),IF(OR($N247="",$O247="",$O247&lt;=$N247),"Concluída","Concluída com atraso"),IF($N247="","Na carteira",IF($N247&lt;TODAY(),"VENCIDA",IF($P247="Em execução","Em execução",IF($N247=TODAY(),"Hoje","Programada")))))))</f>
        <v/>
      </c>
      <c r="C247" s="38"/>
      <c r="D247" s="38"/>
      <c r="E247" s="38"/>
      <c r="F247" s="38"/>
      <c r="G247" s="39"/>
      <c r="H247" s="39"/>
      <c r="I247" s="40"/>
      <c r="J247" s="40"/>
      <c r="K247" s="40"/>
      <c r="L247" s="41"/>
      <c r="M247" s="42"/>
      <c r="N247" s="43" t="str">
        <f aca="false">IF(OR($L247="",$M247=""),"",$L247+MATCH($M247,Listas!$F$5:$F$11,0)-1)</f>
        <v/>
      </c>
      <c r="O247" s="44"/>
      <c r="P247" s="39"/>
      <c r="Q247" s="44"/>
      <c r="R247" s="38"/>
      <c r="S247" s="38"/>
      <c r="T247" s="36" t="str">
        <f aca="false">IF($F247="","",IF(ISNUMBER(SEARCH("(externo)",$I247&amp;$J247&amp;$K247)),"Terceirizada","Interna"))</f>
        <v/>
      </c>
      <c r="U247" s="43" t="str">
        <f aca="false">IF($N247="","",IF($Q247="",$N247,$Q247))</f>
        <v/>
      </c>
      <c r="V247" s="36" t="str">
        <f aca="false">IF($F247="","",IF(OR($O247="",$N247=""),0,IF($O247&lt;=$N247,1,0)))</f>
        <v/>
      </c>
      <c r="W247" s="36" t="str">
        <f aca="false">IF($F247="","",IF(OR($O247="",$U247=""),0,IF($O247&lt;=$U247,1,0)))</f>
        <v/>
      </c>
      <c r="X247" s="37" t="str">
        <f aca="false">IF(OR($O247="",$N247=""),"",MAX(0,$O247-$N247))</f>
        <v/>
      </c>
      <c r="Y247" s="36" t="str">
        <f aca="false">IF($F247="","",IF(AND($Q247&lt;&gt;"",$N247&lt;&gt;"",$Q247&lt;&gt;$N247),1,0))</f>
        <v/>
      </c>
      <c r="Z247" s="36" t="str">
        <f aca="false">IF($F247="","",IF($P247="Cancelada",0,IF(OR($O247&lt;&gt;"",$P247="Concluída"),1,0)))</f>
        <v/>
      </c>
    </row>
    <row r="248" customFormat="false" ht="16.5" hidden="false" customHeight="true" outlineLevel="0" collapsed="false">
      <c r="A248" s="36" t="str">
        <f aca="false">IF($F248="","",COUNTA($F$5:$F248))</f>
        <v/>
      </c>
      <c r="B248" s="37" t="str">
        <f aca="true">IF($F248="","",IF($P248="Cancelada","Cancelada",IF(OR($O248&lt;&gt;"",$P248="Concluída"),IF(OR($N248="",$O248="",$O248&lt;=$N248),"Concluída","Concluída com atraso"),IF($N248="","Na carteira",IF($N248&lt;TODAY(),"VENCIDA",IF($P248="Em execução","Em execução",IF($N248=TODAY(),"Hoje","Programada")))))))</f>
        <v/>
      </c>
      <c r="C248" s="38"/>
      <c r="D248" s="38"/>
      <c r="E248" s="38"/>
      <c r="F248" s="38"/>
      <c r="G248" s="39"/>
      <c r="H248" s="39"/>
      <c r="I248" s="40"/>
      <c r="J248" s="40"/>
      <c r="K248" s="40"/>
      <c r="L248" s="41"/>
      <c r="M248" s="42"/>
      <c r="N248" s="43" t="str">
        <f aca="false">IF(OR($L248="",$M248=""),"",$L248+MATCH($M248,Listas!$F$5:$F$11,0)-1)</f>
        <v/>
      </c>
      <c r="O248" s="44"/>
      <c r="P248" s="39"/>
      <c r="Q248" s="44"/>
      <c r="R248" s="38"/>
      <c r="S248" s="38"/>
      <c r="T248" s="36" t="str">
        <f aca="false">IF($F248="","",IF(ISNUMBER(SEARCH("(externo)",$I248&amp;$J248&amp;$K248)),"Terceirizada","Interna"))</f>
        <v/>
      </c>
      <c r="U248" s="43" t="str">
        <f aca="false">IF($N248="","",IF($Q248="",$N248,$Q248))</f>
        <v/>
      </c>
      <c r="V248" s="36" t="str">
        <f aca="false">IF($F248="","",IF(OR($O248="",$N248=""),0,IF($O248&lt;=$N248,1,0)))</f>
        <v/>
      </c>
      <c r="W248" s="36" t="str">
        <f aca="false">IF($F248="","",IF(OR($O248="",$U248=""),0,IF($O248&lt;=$U248,1,0)))</f>
        <v/>
      </c>
      <c r="X248" s="37" t="str">
        <f aca="false">IF(OR($O248="",$N248=""),"",MAX(0,$O248-$N248))</f>
        <v/>
      </c>
      <c r="Y248" s="36" t="str">
        <f aca="false">IF($F248="","",IF(AND($Q248&lt;&gt;"",$N248&lt;&gt;"",$Q248&lt;&gt;$N248),1,0))</f>
        <v/>
      </c>
      <c r="Z248" s="36" t="str">
        <f aca="false">IF($F248="","",IF($P248="Cancelada",0,IF(OR($O248&lt;&gt;"",$P248="Concluída"),1,0)))</f>
        <v/>
      </c>
    </row>
    <row r="249" customFormat="false" ht="16.5" hidden="false" customHeight="true" outlineLevel="0" collapsed="false">
      <c r="A249" s="36" t="str">
        <f aca="false">IF($F249="","",COUNTA($F$5:$F249))</f>
        <v/>
      </c>
      <c r="B249" s="37" t="str">
        <f aca="true">IF($F249="","",IF($P249="Cancelada","Cancelada",IF(OR($O249&lt;&gt;"",$P249="Concluída"),IF(OR($N249="",$O249="",$O249&lt;=$N249),"Concluída","Concluída com atraso"),IF($N249="","Na carteira",IF($N249&lt;TODAY(),"VENCIDA",IF($P249="Em execução","Em execução",IF($N249=TODAY(),"Hoje","Programada")))))))</f>
        <v/>
      </c>
      <c r="C249" s="38"/>
      <c r="D249" s="38"/>
      <c r="E249" s="38"/>
      <c r="F249" s="38"/>
      <c r="G249" s="39"/>
      <c r="H249" s="39"/>
      <c r="I249" s="40"/>
      <c r="J249" s="40"/>
      <c r="K249" s="40"/>
      <c r="L249" s="41"/>
      <c r="M249" s="42"/>
      <c r="N249" s="43" t="str">
        <f aca="false">IF(OR($L249="",$M249=""),"",$L249+MATCH($M249,Listas!$F$5:$F$11,0)-1)</f>
        <v/>
      </c>
      <c r="O249" s="44"/>
      <c r="P249" s="39"/>
      <c r="Q249" s="44"/>
      <c r="R249" s="38"/>
      <c r="S249" s="38"/>
      <c r="T249" s="36" t="str">
        <f aca="false">IF($F249="","",IF(ISNUMBER(SEARCH("(externo)",$I249&amp;$J249&amp;$K249)),"Terceirizada","Interna"))</f>
        <v/>
      </c>
      <c r="U249" s="43" t="str">
        <f aca="false">IF($N249="","",IF($Q249="",$N249,$Q249))</f>
        <v/>
      </c>
      <c r="V249" s="36" t="str">
        <f aca="false">IF($F249="","",IF(OR($O249="",$N249=""),0,IF($O249&lt;=$N249,1,0)))</f>
        <v/>
      </c>
      <c r="W249" s="36" t="str">
        <f aca="false">IF($F249="","",IF(OR($O249="",$U249=""),0,IF($O249&lt;=$U249,1,0)))</f>
        <v/>
      </c>
      <c r="X249" s="37" t="str">
        <f aca="false">IF(OR($O249="",$N249=""),"",MAX(0,$O249-$N249))</f>
        <v/>
      </c>
      <c r="Y249" s="36" t="str">
        <f aca="false">IF($F249="","",IF(AND($Q249&lt;&gt;"",$N249&lt;&gt;"",$Q249&lt;&gt;$N249),1,0))</f>
        <v/>
      </c>
      <c r="Z249" s="36" t="str">
        <f aca="false">IF($F249="","",IF($P249="Cancelada",0,IF(OR($O249&lt;&gt;"",$P249="Concluída"),1,0)))</f>
        <v/>
      </c>
    </row>
    <row r="250" customFormat="false" ht="16.5" hidden="false" customHeight="true" outlineLevel="0" collapsed="false">
      <c r="A250" s="36" t="str">
        <f aca="false">IF($F250="","",COUNTA($F$5:$F250))</f>
        <v/>
      </c>
      <c r="B250" s="37" t="str">
        <f aca="true">IF($F250="","",IF($P250="Cancelada","Cancelada",IF(OR($O250&lt;&gt;"",$P250="Concluída"),IF(OR($N250="",$O250="",$O250&lt;=$N250),"Concluída","Concluída com atraso"),IF($N250="","Na carteira",IF($N250&lt;TODAY(),"VENCIDA",IF($P250="Em execução","Em execução",IF($N250=TODAY(),"Hoje","Programada")))))))</f>
        <v/>
      </c>
      <c r="C250" s="38"/>
      <c r="D250" s="38"/>
      <c r="E250" s="38"/>
      <c r="F250" s="38"/>
      <c r="G250" s="39"/>
      <c r="H250" s="39"/>
      <c r="I250" s="40"/>
      <c r="J250" s="40"/>
      <c r="K250" s="40"/>
      <c r="L250" s="41"/>
      <c r="M250" s="42"/>
      <c r="N250" s="43" t="str">
        <f aca="false">IF(OR($L250="",$M250=""),"",$L250+MATCH($M250,Listas!$F$5:$F$11,0)-1)</f>
        <v/>
      </c>
      <c r="O250" s="44"/>
      <c r="P250" s="39"/>
      <c r="Q250" s="44"/>
      <c r="R250" s="38"/>
      <c r="S250" s="38"/>
      <c r="T250" s="36" t="str">
        <f aca="false">IF($F250="","",IF(ISNUMBER(SEARCH("(externo)",$I250&amp;$J250&amp;$K250)),"Terceirizada","Interna"))</f>
        <v/>
      </c>
      <c r="U250" s="43" t="str">
        <f aca="false">IF($N250="","",IF($Q250="",$N250,$Q250))</f>
        <v/>
      </c>
      <c r="V250" s="36" t="str">
        <f aca="false">IF($F250="","",IF(OR($O250="",$N250=""),0,IF($O250&lt;=$N250,1,0)))</f>
        <v/>
      </c>
      <c r="W250" s="36" t="str">
        <f aca="false">IF($F250="","",IF(OR($O250="",$U250=""),0,IF($O250&lt;=$U250,1,0)))</f>
        <v/>
      </c>
      <c r="X250" s="37" t="str">
        <f aca="false">IF(OR($O250="",$N250=""),"",MAX(0,$O250-$N250))</f>
        <v/>
      </c>
      <c r="Y250" s="36" t="str">
        <f aca="false">IF($F250="","",IF(AND($Q250&lt;&gt;"",$N250&lt;&gt;"",$Q250&lt;&gt;$N250),1,0))</f>
        <v/>
      </c>
      <c r="Z250" s="36" t="str">
        <f aca="false">IF($F250="","",IF($P250="Cancelada",0,IF(OR($O250&lt;&gt;"",$P250="Concluída"),1,0)))</f>
        <v/>
      </c>
    </row>
    <row r="251" customFormat="false" ht="16.5" hidden="false" customHeight="true" outlineLevel="0" collapsed="false">
      <c r="A251" s="36" t="str">
        <f aca="false">IF($F251="","",COUNTA($F$5:$F251))</f>
        <v/>
      </c>
      <c r="B251" s="37" t="str">
        <f aca="true">IF($F251="","",IF($P251="Cancelada","Cancelada",IF(OR($O251&lt;&gt;"",$P251="Concluída"),IF(OR($N251="",$O251="",$O251&lt;=$N251),"Concluída","Concluída com atraso"),IF($N251="","Na carteira",IF($N251&lt;TODAY(),"VENCIDA",IF($P251="Em execução","Em execução",IF($N251=TODAY(),"Hoje","Programada")))))))</f>
        <v/>
      </c>
      <c r="C251" s="38"/>
      <c r="D251" s="38"/>
      <c r="E251" s="38"/>
      <c r="F251" s="38"/>
      <c r="G251" s="39"/>
      <c r="H251" s="39"/>
      <c r="I251" s="40"/>
      <c r="J251" s="40"/>
      <c r="K251" s="40"/>
      <c r="L251" s="41"/>
      <c r="M251" s="42"/>
      <c r="N251" s="43" t="str">
        <f aca="false">IF(OR($L251="",$M251=""),"",$L251+MATCH($M251,Listas!$F$5:$F$11,0)-1)</f>
        <v/>
      </c>
      <c r="O251" s="44"/>
      <c r="P251" s="39"/>
      <c r="Q251" s="44"/>
      <c r="R251" s="38"/>
      <c r="S251" s="38"/>
      <c r="T251" s="36" t="str">
        <f aca="false">IF($F251="","",IF(ISNUMBER(SEARCH("(externo)",$I251&amp;$J251&amp;$K251)),"Terceirizada","Interna"))</f>
        <v/>
      </c>
      <c r="U251" s="43" t="str">
        <f aca="false">IF($N251="","",IF($Q251="",$N251,$Q251))</f>
        <v/>
      </c>
      <c r="V251" s="36" t="str">
        <f aca="false">IF($F251="","",IF(OR($O251="",$N251=""),0,IF($O251&lt;=$N251,1,0)))</f>
        <v/>
      </c>
      <c r="W251" s="36" t="str">
        <f aca="false">IF($F251="","",IF(OR($O251="",$U251=""),0,IF($O251&lt;=$U251,1,0)))</f>
        <v/>
      </c>
      <c r="X251" s="37" t="str">
        <f aca="false">IF(OR($O251="",$N251=""),"",MAX(0,$O251-$N251))</f>
        <v/>
      </c>
      <c r="Y251" s="36" t="str">
        <f aca="false">IF($F251="","",IF(AND($Q251&lt;&gt;"",$N251&lt;&gt;"",$Q251&lt;&gt;$N251),1,0))</f>
        <v/>
      </c>
      <c r="Z251" s="36" t="str">
        <f aca="false">IF($F251="","",IF($P251="Cancelada",0,IF(OR($O251&lt;&gt;"",$P251="Concluída"),1,0)))</f>
        <v/>
      </c>
    </row>
    <row r="252" customFormat="false" ht="16.5" hidden="false" customHeight="true" outlineLevel="0" collapsed="false">
      <c r="A252" s="36" t="str">
        <f aca="false">IF($F252="","",COUNTA($F$5:$F252))</f>
        <v/>
      </c>
      <c r="B252" s="37" t="str">
        <f aca="true">IF($F252="","",IF($P252="Cancelada","Cancelada",IF(OR($O252&lt;&gt;"",$P252="Concluída"),IF(OR($N252="",$O252="",$O252&lt;=$N252),"Concluída","Concluída com atraso"),IF($N252="","Na carteira",IF($N252&lt;TODAY(),"VENCIDA",IF($P252="Em execução","Em execução",IF($N252=TODAY(),"Hoje","Programada")))))))</f>
        <v/>
      </c>
      <c r="C252" s="38"/>
      <c r="D252" s="38"/>
      <c r="E252" s="38"/>
      <c r="F252" s="38"/>
      <c r="G252" s="39"/>
      <c r="H252" s="39"/>
      <c r="I252" s="40"/>
      <c r="J252" s="40"/>
      <c r="K252" s="40"/>
      <c r="L252" s="41"/>
      <c r="M252" s="42"/>
      <c r="N252" s="43" t="str">
        <f aca="false">IF(OR($L252="",$M252=""),"",$L252+MATCH($M252,Listas!$F$5:$F$11,0)-1)</f>
        <v/>
      </c>
      <c r="O252" s="44"/>
      <c r="P252" s="39"/>
      <c r="Q252" s="44"/>
      <c r="R252" s="38"/>
      <c r="S252" s="38"/>
      <c r="T252" s="36" t="str">
        <f aca="false">IF($F252="","",IF(ISNUMBER(SEARCH("(externo)",$I252&amp;$J252&amp;$K252)),"Terceirizada","Interna"))</f>
        <v/>
      </c>
      <c r="U252" s="43" t="str">
        <f aca="false">IF($N252="","",IF($Q252="",$N252,$Q252))</f>
        <v/>
      </c>
      <c r="V252" s="36" t="str">
        <f aca="false">IF($F252="","",IF(OR($O252="",$N252=""),0,IF($O252&lt;=$N252,1,0)))</f>
        <v/>
      </c>
      <c r="W252" s="36" t="str">
        <f aca="false">IF($F252="","",IF(OR($O252="",$U252=""),0,IF($O252&lt;=$U252,1,0)))</f>
        <v/>
      </c>
      <c r="X252" s="37" t="str">
        <f aca="false">IF(OR($O252="",$N252=""),"",MAX(0,$O252-$N252))</f>
        <v/>
      </c>
      <c r="Y252" s="36" t="str">
        <f aca="false">IF($F252="","",IF(AND($Q252&lt;&gt;"",$N252&lt;&gt;"",$Q252&lt;&gt;$N252),1,0))</f>
        <v/>
      </c>
      <c r="Z252" s="36" t="str">
        <f aca="false">IF($F252="","",IF($P252="Cancelada",0,IF(OR($O252&lt;&gt;"",$P252="Concluída"),1,0)))</f>
        <v/>
      </c>
    </row>
    <row r="253" customFormat="false" ht="16.5" hidden="false" customHeight="true" outlineLevel="0" collapsed="false">
      <c r="A253" s="36" t="str">
        <f aca="false">IF($F253="","",COUNTA($F$5:$F253))</f>
        <v/>
      </c>
      <c r="B253" s="37" t="str">
        <f aca="true">IF($F253="","",IF($P253="Cancelada","Cancelada",IF(OR($O253&lt;&gt;"",$P253="Concluída"),IF(OR($N253="",$O253="",$O253&lt;=$N253),"Concluída","Concluída com atraso"),IF($N253="","Na carteira",IF($N253&lt;TODAY(),"VENCIDA",IF($P253="Em execução","Em execução",IF($N253=TODAY(),"Hoje","Programada")))))))</f>
        <v/>
      </c>
      <c r="C253" s="38"/>
      <c r="D253" s="38"/>
      <c r="E253" s="38"/>
      <c r="F253" s="38"/>
      <c r="G253" s="39"/>
      <c r="H253" s="39"/>
      <c r="I253" s="40"/>
      <c r="J253" s="40"/>
      <c r="K253" s="40"/>
      <c r="L253" s="41"/>
      <c r="M253" s="42"/>
      <c r="N253" s="43" t="str">
        <f aca="false">IF(OR($L253="",$M253=""),"",$L253+MATCH($M253,Listas!$F$5:$F$11,0)-1)</f>
        <v/>
      </c>
      <c r="O253" s="44"/>
      <c r="P253" s="39"/>
      <c r="Q253" s="44"/>
      <c r="R253" s="38"/>
      <c r="S253" s="38"/>
      <c r="T253" s="36" t="str">
        <f aca="false">IF($F253="","",IF(ISNUMBER(SEARCH("(externo)",$I253&amp;$J253&amp;$K253)),"Terceirizada","Interna"))</f>
        <v/>
      </c>
      <c r="U253" s="43" t="str">
        <f aca="false">IF($N253="","",IF($Q253="",$N253,$Q253))</f>
        <v/>
      </c>
      <c r="V253" s="36" t="str">
        <f aca="false">IF($F253="","",IF(OR($O253="",$N253=""),0,IF($O253&lt;=$N253,1,0)))</f>
        <v/>
      </c>
      <c r="W253" s="36" t="str">
        <f aca="false">IF($F253="","",IF(OR($O253="",$U253=""),0,IF($O253&lt;=$U253,1,0)))</f>
        <v/>
      </c>
      <c r="X253" s="37" t="str">
        <f aca="false">IF(OR($O253="",$N253=""),"",MAX(0,$O253-$N253))</f>
        <v/>
      </c>
      <c r="Y253" s="36" t="str">
        <f aca="false">IF($F253="","",IF(AND($Q253&lt;&gt;"",$N253&lt;&gt;"",$Q253&lt;&gt;$N253),1,0))</f>
        <v/>
      </c>
      <c r="Z253" s="36" t="str">
        <f aca="false">IF($F253="","",IF($P253="Cancelada",0,IF(OR($O253&lt;&gt;"",$P253="Concluída"),1,0)))</f>
        <v/>
      </c>
    </row>
    <row r="254" customFormat="false" ht="16.5" hidden="false" customHeight="true" outlineLevel="0" collapsed="false">
      <c r="A254" s="36" t="str">
        <f aca="false">IF($F254="","",COUNTA($F$5:$F254))</f>
        <v/>
      </c>
      <c r="B254" s="37" t="str">
        <f aca="true">IF($F254="","",IF($P254="Cancelada","Cancelada",IF(OR($O254&lt;&gt;"",$P254="Concluída"),IF(OR($N254="",$O254="",$O254&lt;=$N254),"Concluída","Concluída com atraso"),IF($N254="","Na carteira",IF($N254&lt;TODAY(),"VENCIDA",IF($P254="Em execução","Em execução",IF($N254=TODAY(),"Hoje","Programada")))))))</f>
        <v/>
      </c>
      <c r="C254" s="38"/>
      <c r="D254" s="38"/>
      <c r="E254" s="38"/>
      <c r="F254" s="38"/>
      <c r="G254" s="39"/>
      <c r="H254" s="39"/>
      <c r="I254" s="40"/>
      <c r="J254" s="40"/>
      <c r="K254" s="40"/>
      <c r="L254" s="41"/>
      <c r="M254" s="42"/>
      <c r="N254" s="43" t="str">
        <f aca="false">IF(OR($L254="",$M254=""),"",$L254+MATCH($M254,Listas!$F$5:$F$11,0)-1)</f>
        <v/>
      </c>
      <c r="O254" s="44"/>
      <c r="P254" s="39"/>
      <c r="Q254" s="44"/>
      <c r="R254" s="38"/>
      <c r="S254" s="38"/>
      <c r="T254" s="36" t="str">
        <f aca="false">IF($F254="","",IF(ISNUMBER(SEARCH("(externo)",$I254&amp;$J254&amp;$K254)),"Terceirizada","Interna"))</f>
        <v/>
      </c>
      <c r="U254" s="43" t="str">
        <f aca="false">IF($N254="","",IF($Q254="",$N254,$Q254))</f>
        <v/>
      </c>
      <c r="V254" s="36" t="str">
        <f aca="false">IF($F254="","",IF(OR($O254="",$N254=""),0,IF($O254&lt;=$N254,1,0)))</f>
        <v/>
      </c>
      <c r="W254" s="36" t="str">
        <f aca="false">IF($F254="","",IF(OR($O254="",$U254=""),0,IF($O254&lt;=$U254,1,0)))</f>
        <v/>
      </c>
      <c r="X254" s="37" t="str">
        <f aca="false">IF(OR($O254="",$N254=""),"",MAX(0,$O254-$N254))</f>
        <v/>
      </c>
      <c r="Y254" s="36" t="str">
        <f aca="false">IF($F254="","",IF(AND($Q254&lt;&gt;"",$N254&lt;&gt;"",$Q254&lt;&gt;$N254),1,0))</f>
        <v/>
      </c>
      <c r="Z254" s="36" t="str">
        <f aca="false">IF($F254="","",IF($P254="Cancelada",0,IF(OR($O254&lt;&gt;"",$P254="Concluída"),1,0)))</f>
        <v/>
      </c>
    </row>
    <row r="255" customFormat="false" ht="16.5" hidden="false" customHeight="true" outlineLevel="0" collapsed="false">
      <c r="A255" s="36" t="str">
        <f aca="false">IF($F255="","",COUNTA($F$5:$F255))</f>
        <v/>
      </c>
      <c r="B255" s="37" t="str">
        <f aca="true">IF($F255="","",IF($P255="Cancelada","Cancelada",IF(OR($O255&lt;&gt;"",$P255="Concluída"),IF(OR($N255="",$O255="",$O255&lt;=$N255),"Concluída","Concluída com atraso"),IF($N255="","Na carteira",IF($N255&lt;TODAY(),"VENCIDA",IF($P255="Em execução","Em execução",IF($N255=TODAY(),"Hoje","Programada")))))))</f>
        <v/>
      </c>
      <c r="C255" s="38"/>
      <c r="D255" s="38"/>
      <c r="E255" s="38"/>
      <c r="F255" s="38"/>
      <c r="G255" s="39"/>
      <c r="H255" s="39"/>
      <c r="I255" s="40"/>
      <c r="J255" s="40"/>
      <c r="K255" s="40"/>
      <c r="L255" s="41"/>
      <c r="M255" s="42"/>
      <c r="N255" s="43" t="str">
        <f aca="false">IF(OR($L255="",$M255=""),"",$L255+MATCH($M255,Listas!$F$5:$F$11,0)-1)</f>
        <v/>
      </c>
      <c r="O255" s="44"/>
      <c r="P255" s="39"/>
      <c r="Q255" s="44"/>
      <c r="R255" s="38"/>
      <c r="S255" s="38"/>
      <c r="T255" s="36" t="str">
        <f aca="false">IF($F255="","",IF(ISNUMBER(SEARCH("(externo)",$I255&amp;$J255&amp;$K255)),"Terceirizada","Interna"))</f>
        <v/>
      </c>
      <c r="U255" s="43" t="str">
        <f aca="false">IF($N255="","",IF($Q255="",$N255,$Q255))</f>
        <v/>
      </c>
      <c r="V255" s="36" t="str">
        <f aca="false">IF($F255="","",IF(OR($O255="",$N255=""),0,IF($O255&lt;=$N255,1,0)))</f>
        <v/>
      </c>
      <c r="W255" s="36" t="str">
        <f aca="false">IF($F255="","",IF(OR($O255="",$U255=""),0,IF($O255&lt;=$U255,1,0)))</f>
        <v/>
      </c>
      <c r="X255" s="37" t="str">
        <f aca="false">IF(OR($O255="",$N255=""),"",MAX(0,$O255-$N255))</f>
        <v/>
      </c>
      <c r="Y255" s="36" t="str">
        <f aca="false">IF($F255="","",IF(AND($Q255&lt;&gt;"",$N255&lt;&gt;"",$Q255&lt;&gt;$N255),1,0))</f>
        <v/>
      </c>
      <c r="Z255" s="36" t="str">
        <f aca="false">IF($F255="","",IF($P255="Cancelada",0,IF(OR($O255&lt;&gt;"",$P255="Concluída"),1,0)))</f>
        <v/>
      </c>
    </row>
    <row r="256" customFormat="false" ht="16.5" hidden="false" customHeight="true" outlineLevel="0" collapsed="false">
      <c r="A256" s="36" t="str">
        <f aca="false">IF($F256="","",COUNTA($F$5:$F256))</f>
        <v/>
      </c>
      <c r="B256" s="37" t="str">
        <f aca="true">IF($F256="","",IF($P256="Cancelada","Cancelada",IF(OR($O256&lt;&gt;"",$P256="Concluída"),IF(OR($N256="",$O256="",$O256&lt;=$N256),"Concluída","Concluída com atraso"),IF($N256="","Na carteira",IF($N256&lt;TODAY(),"VENCIDA",IF($P256="Em execução","Em execução",IF($N256=TODAY(),"Hoje","Programada")))))))</f>
        <v/>
      </c>
      <c r="C256" s="38"/>
      <c r="D256" s="38"/>
      <c r="E256" s="38"/>
      <c r="F256" s="38"/>
      <c r="G256" s="39"/>
      <c r="H256" s="39"/>
      <c r="I256" s="40"/>
      <c r="J256" s="40"/>
      <c r="K256" s="40"/>
      <c r="L256" s="41"/>
      <c r="M256" s="42"/>
      <c r="N256" s="43" t="str">
        <f aca="false">IF(OR($L256="",$M256=""),"",$L256+MATCH($M256,Listas!$F$5:$F$11,0)-1)</f>
        <v/>
      </c>
      <c r="O256" s="44"/>
      <c r="P256" s="39"/>
      <c r="Q256" s="44"/>
      <c r="R256" s="38"/>
      <c r="S256" s="38"/>
      <c r="T256" s="36" t="str">
        <f aca="false">IF($F256="","",IF(ISNUMBER(SEARCH("(externo)",$I256&amp;$J256&amp;$K256)),"Terceirizada","Interna"))</f>
        <v/>
      </c>
      <c r="U256" s="43" t="str">
        <f aca="false">IF($N256="","",IF($Q256="",$N256,$Q256))</f>
        <v/>
      </c>
      <c r="V256" s="36" t="str">
        <f aca="false">IF($F256="","",IF(OR($O256="",$N256=""),0,IF($O256&lt;=$N256,1,0)))</f>
        <v/>
      </c>
      <c r="W256" s="36" t="str">
        <f aca="false">IF($F256="","",IF(OR($O256="",$U256=""),0,IF($O256&lt;=$U256,1,0)))</f>
        <v/>
      </c>
      <c r="X256" s="37" t="str">
        <f aca="false">IF(OR($O256="",$N256=""),"",MAX(0,$O256-$N256))</f>
        <v/>
      </c>
      <c r="Y256" s="36" t="str">
        <f aca="false">IF($F256="","",IF(AND($Q256&lt;&gt;"",$N256&lt;&gt;"",$Q256&lt;&gt;$N256),1,0))</f>
        <v/>
      </c>
      <c r="Z256" s="36" t="str">
        <f aca="false">IF($F256="","",IF($P256="Cancelada",0,IF(OR($O256&lt;&gt;"",$P256="Concluída"),1,0)))</f>
        <v/>
      </c>
    </row>
    <row r="257" customFormat="false" ht="16.5" hidden="false" customHeight="true" outlineLevel="0" collapsed="false">
      <c r="A257" s="36" t="str">
        <f aca="false">IF($F257="","",COUNTA($F$5:$F257))</f>
        <v/>
      </c>
      <c r="B257" s="37" t="str">
        <f aca="true">IF($F257="","",IF($P257="Cancelada","Cancelada",IF(OR($O257&lt;&gt;"",$P257="Concluída"),IF(OR($N257="",$O257="",$O257&lt;=$N257),"Concluída","Concluída com atraso"),IF($N257="","Na carteira",IF($N257&lt;TODAY(),"VENCIDA",IF($P257="Em execução","Em execução",IF($N257=TODAY(),"Hoje","Programada")))))))</f>
        <v/>
      </c>
      <c r="C257" s="38"/>
      <c r="D257" s="38"/>
      <c r="E257" s="38"/>
      <c r="F257" s="38"/>
      <c r="G257" s="39"/>
      <c r="H257" s="39"/>
      <c r="I257" s="40"/>
      <c r="J257" s="40"/>
      <c r="K257" s="40"/>
      <c r="L257" s="41"/>
      <c r="M257" s="42"/>
      <c r="N257" s="43" t="str">
        <f aca="false">IF(OR($L257="",$M257=""),"",$L257+MATCH($M257,Listas!$F$5:$F$11,0)-1)</f>
        <v/>
      </c>
      <c r="O257" s="44"/>
      <c r="P257" s="39"/>
      <c r="Q257" s="44"/>
      <c r="R257" s="38"/>
      <c r="S257" s="38"/>
      <c r="T257" s="36" t="str">
        <f aca="false">IF($F257="","",IF(ISNUMBER(SEARCH("(externo)",$I257&amp;$J257&amp;$K257)),"Terceirizada","Interna"))</f>
        <v/>
      </c>
      <c r="U257" s="43" t="str">
        <f aca="false">IF($N257="","",IF($Q257="",$N257,$Q257))</f>
        <v/>
      </c>
      <c r="V257" s="36" t="str">
        <f aca="false">IF($F257="","",IF(OR($O257="",$N257=""),0,IF($O257&lt;=$N257,1,0)))</f>
        <v/>
      </c>
      <c r="W257" s="36" t="str">
        <f aca="false">IF($F257="","",IF(OR($O257="",$U257=""),0,IF($O257&lt;=$U257,1,0)))</f>
        <v/>
      </c>
      <c r="X257" s="37" t="str">
        <f aca="false">IF(OR($O257="",$N257=""),"",MAX(0,$O257-$N257))</f>
        <v/>
      </c>
      <c r="Y257" s="36" t="str">
        <f aca="false">IF($F257="","",IF(AND($Q257&lt;&gt;"",$N257&lt;&gt;"",$Q257&lt;&gt;$N257),1,0))</f>
        <v/>
      </c>
      <c r="Z257" s="36" t="str">
        <f aca="false">IF($F257="","",IF($P257="Cancelada",0,IF(OR($O257&lt;&gt;"",$P257="Concluída"),1,0)))</f>
        <v/>
      </c>
    </row>
    <row r="258" customFormat="false" ht="16.5" hidden="false" customHeight="true" outlineLevel="0" collapsed="false">
      <c r="A258" s="36" t="str">
        <f aca="false">IF($F258="","",COUNTA($F$5:$F258))</f>
        <v/>
      </c>
      <c r="B258" s="37" t="str">
        <f aca="true">IF($F258="","",IF($P258="Cancelada","Cancelada",IF(OR($O258&lt;&gt;"",$P258="Concluída"),IF(OR($N258="",$O258="",$O258&lt;=$N258),"Concluída","Concluída com atraso"),IF($N258="","Na carteira",IF($N258&lt;TODAY(),"VENCIDA",IF($P258="Em execução","Em execução",IF($N258=TODAY(),"Hoje","Programada")))))))</f>
        <v/>
      </c>
      <c r="C258" s="38"/>
      <c r="D258" s="38"/>
      <c r="E258" s="38"/>
      <c r="F258" s="38"/>
      <c r="G258" s="39"/>
      <c r="H258" s="39"/>
      <c r="I258" s="40"/>
      <c r="J258" s="40"/>
      <c r="K258" s="40"/>
      <c r="L258" s="41"/>
      <c r="M258" s="42"/>
      <c r="N258" s="43" t="str">
        <f aca="false">IF(OR($L258="",$M258=""),"",$L258+MATCH($M258,Listas!$F$5:$F$11,0)-1)</f>
        <v/>
      </c>
      <c r="O258" s="44"/>
      <c r="P258" s="39"/>
      <c r="Q258" s="44"/>
      <c r="R258" s="38"/>
      <c r="S258" s="38"/>
      <c r="T258" s="36" t="str">
        <f aca="false">IF($F258="","",IF(ISNUMBER(SEARCH("(externo)",$I258&amp;$J258&amp;$K258)),"Terceirizada","Interna"))</f>
        <v/>
      </c>
      <c r="U258" s="43" t="str">
        <f aca="false">IF($N258="","",IF($Q258="",$N258,$Q258))</f>
        <v/>
      </c>
      <c r="V258" s="36" t="str">
        <f aca="false">IF($F258="","",IF(OR($O258="",$N258=""),0,IF($O258&lt;=$N258,1,0)))</f>
        <v/>
      </c>
      <c r="W258" s="36" t="str">
        <f aca="false">IF($F258="","",IF(OR($O258="",$U258=""),0,IF($O258&lt;=$U258,1,0)))</f>
        <v/>
      </c>
      <c r="X258" s="37" t="str">
        <f aca="false">IF(OR($O258="",$N258=""),"",MAX(0,$O258-$N258))</f>
        <v/>
      </c>
      <c r="Y258" s="36" t="str">
        <f aca="false">IF($F258="","",IF(AND($Q258&lt;&gt;"",$N258&lt;&gt;"",$Q258&lt;&gt;$N258),1,0))</f>
        <v/>
      </c>
      <c r="Z258" s="36" t="str">
        <f aca="false">IF($F258="","",IF($P258="Cancelada",0,IF(OR($O258&lt;&gt;"",$P258="Concluída"),1,0)))</f>
        <v/>
      </c>
    </row>
    <row r="259" customFormat="false" ht="16.5" hidden="false" customHeight="true" outlineLevel="0" collapsed="false">
      <c r="A259" s="36" t="str">
        <f aca="false">IF($F259="","",COUNTA($F$5:$F259))</f>
        <v/>
      </c>
      <c r="B259" s="37" t="str">
        <f aca="true">IF($F259="","",IF($P259="Cancelada","Cancelada",IF(OR($O259&lt;&gt;"",$P259="Concluída"),IF(OR($N259="",$O259="",$O259&lt;=$N259),"Concluída","Concluída com atraso"),IF($N259="","Na carteira",IF($N259&lt;TODAY(),"VENCIDA",IF($P259="Em execução","Em execução",IF($N259=TODAY(),"Hoje","Programada")))))))</f>
        <v/>
      </c>
      <c r="C259" s="38"/>
      <c r="D259" s="38"/>
      <c r="E259" s="38"/>
      <c r="F259" s="38"/>
      <c r="G259" s="39"/>
      <c r="H259" s="39"/>
      <c r="I259" s="40"/>
      <c r="J259" s="40"/>
      <c r="K259" s="40"/>
      <c r="L259" s="41"/>
      <c r="M259" s="42"/>
      <c r="N259" s="43" t="str">
        <f aca="false">IF(OR($L259="",$M259=""),"",$L259+MATCH($M259,Listas!$F$5:$F$11,0)-1)</f>
        <v/>
      </c>
      <c r="O259" s="44"/>
      <c r="P259" s="39"/>
      <c r="Q259" s="44"/>
      <c r="R259" s="38"/>
      <c r="S259" s="38"/>
      <c r="T259" s="36" t="str">
        <f aca="false">IF($F259="","",IF(ISNUMBER(SEARCH("(externo)",$I259&amp;$J259&amp;$K259)),"Terceirizada","Interna"))</f>
        <v/>
      </c>
      <c r="U259" s="43" t="str">
        <f aca="false">IF($N259="","",IF($Q259="",$N259,$Q259))</f>
        <v/>
      </c>
      <c r="V259" s="36" t="str">
        <f aca="false">IF($F259="","",IF(OR($O259="",$N259=""),0,IF($O259&lt;=$N259,1,0)))</f>
        <v/>
      </c>
      <c r="W259" s="36" t="str">
        <f aca="false">IF($F259="","",IF(OR($O259="",$U259=""),0,IF($O259&lt;=$U259,1,0)))</f>
        <v/>
      </c>
      <c r="X259" s="37" t="str">
        <f aca="false">IF(OR($O259="",$N259=""),"",MAX(0,$O259-$N259))</f>
        <v/>
      </c>
      <c r="Y259" s="36" t="str">
        <f aca="false">IF($F259="","",IF(AND($Q259&lt;&gt;"",$N259&lt;&gt;"",$Q259&lt;&gt;$N259),1,0))</f>
        <v/>
      </c>
      <c r="Z259" s="36" t="str">
        <f aca="false">IF($F259="","",IF($P259="Cancelada",0,IF(OR($O259&lt;&gt;"",$P259="Concluída"),1,0)))</f>
        <v/>
      </c>
    </row>
    <row r="260" customFormat="false" ht="16.5" hidden="false" customHeight="true" outlineLevel="0" collapsed="false">
      <c r="A260" s="36" t="str">
        <f aca="false">IF($F260="","",COUNTA($F$5:$F260))</f>
        <v/>
      </c>
      <c r="B260" s="37" t="str">
        <f aca="true">IF($F260="","",IF($P260="Cancelada","Cancelada",IF(OR($O260&lt;&gt;"",$P260="Concluída"),IF(OR($N260="",$O260="",$O260&lt;=$N260),"Concluída","Concluída com atraso"),IF($N260="","Na carteira",IF($N260&lt;TODAY(),"VENCIDA",IF($P260="Em execução","Em execução",IF($N260=TODAY(),"Hoje","Programada")))))))</f>
        <v/>
      </c>
      <c r="C260" s="38"/>
      <c r="D260" s="38"/>
      <c r="E260" s="38"/>
      <c r="F260" s="38"/>
      <c r="G260" s="39"/>
      <c r="H260" s="39"/>
      <c r="I260" s="40"/>
      <c r="J260" s="40"/>
      <c r="K260" s="40"/>
      <c r="L260" s="41"/>
      <c r="M260" s="42"/>
      <c r="N260" s="43" t="str">
        <f aca="false">IF(OR($L260="",$M260=""),"",$L260+MATCH($M260,Listas!$F$5:$F$11,0)-1)</f>
        <v/>
      </c>
      <c r="O260" s="44"/>
      <c r="P260" s="39"/>
      <c r="Q260" s="44"/>
      <c r="R260" s="38"/>
      <c r="S260" s="38"/>
      <c r="T260" s="36" t="str">
        <f aca="false">IF($F260="","",IF(ISNUMBER(SEARCH("(externo)",$I260&amp;$J260&amp;$K260)),"Terceirizada","Interna"))</f>
        <v/>
      </c>
      <c r="U260" s="43" t="str">
        <f aca="false">IF($N260="","",IF($Q260="",$N260,$Q260))</f>
        <v/>
      </c>
      <c r="V260" s="36" t="str">
        <f aca="false">IF($F260="","",IF(OR($O260="",$N260=""),0,IF($O260&lt;=$N260,1,0)))</f>
        <v/>
      </c>
      <c r="W260" s="36" t="str">
        <f aca="false">IF($F260="","",IF(OR($O260="",$U260=""),0,IF($O260&lt;=$U260,1,0)))</f>
        <v/>
      </c>
      <c r="X260" s="37" t="str">
        <f aca="false">IF(OR($O260="",$N260=""),"",MAX(0,$O260-$N260))</f>
        <v/>
      </c>
      <c r="Y260" s="36" t="str">
        <f aca="false">IF($F260="","",IF(AND($Q260&lt;&gt;"",$N260&lt;&gt;"",$Q260&lt;&gt;$N260),1,0))</f>
        <v/>
      </c>
      <c r="Z260" s="36" t="str">
        <f aca="false">IF($F260="","",IF($P260="Cancelada",0,IF(OR($O260&lt;&gt;"",$P260="Concluída"),1,0)))</f>
        <v/>
      </c>
    </row>
    <row r="261" customFormat="false" ht="16.5" hidden="false" customHeight="true" outlineLevel="0" collapsed="false">
      <c r="A261" s="36" t="str">
        <f aca="false">IF($F261="","",COUNTA($F$5:$F261))</f>
        <v/>
      </c>
      <c r="B261" s="37" t="str">
        <f aca="true">IF($F261="","",IF($P261="Cancelada","Cancelada",IF(OR($O261&lt;&gt;"",$P261="Concluída"),IF(OR($N261="",$O261="",$O261&lt;=$N261),"Concluída","Concluída com atraso"),IF($N261="","Na carteira",IF($N261&lt;TODAY(),"VENCIDA",IF($P261="Em execução","Em execução",IF($N261=TODAY(),"Hoje","Programada")))))))</f>
        <v/>
      </c>
      <c r="C261" s="38"/>
      <c r="D261" s="38"/>
      <c r="E261" s="38"/>
      <c r="F261" s="38"/>
      <c r="G261" s="39"/>
      <c r="H261" s="39"/>
      <c r="I261" s="40"/>
      <c r="J261" s="40"/>
      <c r="K261" s="40"/>
      <c r="L261" s="41"/>
      <c r="M261" s="42"/>
      <c r="N261" s="43" t="str">
        <f aca="false">IF(OR($L261="",$M261=""),"",$L261+MATCH($M261,Listas!$F$5:$F$11,0)-1)</f>
        <v/>
      </c>
      <c r="O261" s="44"/>
      <c r="P261" s="39"/>
      <c r="Q261" s="44"/>
      <c r="R261" s="38"/>
      <c r="S261" s="38"/>
      <c r="T261" s="36" t="str">
        <f aca="false">IF($F261="","",IF(ISNUMBER(SEARCH("(externo)",$I261&amp;$J261&amp;$K261)),"Terceirizada","Interna"))</f>
        <v/>
      </c>
      <c r="U261" s="43" t="str">
        <f aca="false">IF($N261="","",IF($Q261="",$N261,$Q261))</f>
        <v/>
      </c>
      <c r="V261" s="36" t="str">
        <f aca="false">IF($F261="","",IF(OR($O261="",$N261=""),0,IF($O261&lt;=$N261,1,0)))</f>
        <v/>
      </c>
      <c r="W261" s="36" t="str">
        <f aca="false">IF($F261="","",IF(OR($O261="",$U261=""),0,IF($O261&lt;=$U261,1,0)))</f>
        <v/>
      </c>
      <c r="X261" s="37" t="str">
        <f aca="false">IF(OR($O261="",$N261=""),"",MAX(0,$O261-$N261))</f>
        <v/>
      </c>
      <c r="Y261" s="36" t="str">
        <f aca="false">IF($F261="","",IF(AND($Q261&lt;&gt;"",$N261&lt;&gt;"",$Q261&lt;&gt;$N261),1,0))</f>
        <v/>
      </c>
      <c r="Z261" s="36" t="str">
        <f aca="false">IF($F261="","",IF($P261="Cancelada",0,IF(OR($O261&lt;&gt;"",$P261="Concluída"),1,0)))</f>
        <v/>
      </c>
    </row>
    <row r="262" customFormat="false" ht="16.5" hidden="false" customHeight="true" outlineLevel="0" collapsed="false">
      <c r="A262" s="36" t="str">
        <f aca="false">IF($F262="","",COUNTA($F$5:$F262))</f>
        <v/>
      </c>
      <c r="B262" s="37" t="str">
        <f aca="true">IF($F262="","",IF($P262="Cancelada","Cancelada",IF(OR($O262&lt;&gt;"",$P262="Concluída"),IF(OR($N262="",$O262="",$O262&lt;=$N262),"Concluída","Concluída com atraso"),IF($N262="","Na carteira",IF($N262&lt;TODAY(),"VENCIDA",IF($P262="Em execução","Em execução",IF($N262=TODAY(),"Hoje","Programada")))))))</f>
        <v/>
      </c>
      <c r="C262" s="38"/>
      <c r="D262" s="38"/>
      <c r="E262" s="38"/>
      <c r="F262" s="38"/>
      <c r="G262" s="39"/>
      <c r="H262" s="39"/>
      <c r="I262" s="40"/>
      <c r="J262" s="40"/>
      <c r="K262" s="40"/>
      <c r="L262" s="41"/>
      <c r="M262" s="42"/>
      <c r="N262" s="43" t="str">
        <f aca="false">IF(OR($L262="",$M262=""),"",$L262+MATCH($M262,Listas!$F$5:$F$11,0)-1)</f>
        <v/>
      </c>
      <c r="O262" s="44"/>
      <c r="P262" s="39"/>
      <c r="Q262" s="44"/>
      <c r="R262" s="38"/>
      <c r="S262" s="38"/>
      <c r="T262" s="36" t="str">
        <f aca="false">IF($F262="","",IF(ISNUMBER(SEARCH("(externo)",$I262&amp;$J262&amp;$K262)),"Terceirizada","Interna"))</f>
        <v/>
      </c>
      <c r="U262" s="43" t="str">
        <f aca="false">IF($N262="","",IF($Q262="",$N262,$Q262))</f>
        <v/>
      </c>
      <c r="V262" s="36" t="str">
        <f aca="false">IF($F262="","",IF(OR($O262="",$N262=""),0,IF($O262&lt;=$N262,1,0)))</f>
        <v/>
      </c>
      <c r="W262" s="36" t="str">
        <f aca="false">IF($F262="","",IF(OR($O262="",$U262=""),0,IF($O262&lt;=$U262,1,0)))</f>
        <v/>
      </c>
      <c r="X262" s="37" t="str">
        <f aca="false">IF(OR($O262="",$N262=""),"",MAX(0,$O262-$N262))</f>
        <v/>
      </c>
      <c r="Y262" s="36" t="str">
        <f aca="false">IF($F262="","",IF(AND($Q262&lt;&gt;"",$N262&lt;&gt;"",$Q262&lt;&gt;$N262),1,0))</f>
        <v/>
      </c>
      <c r="Z262" s="36" t="str">
        <f aca="false">IF($F262="","",IF($P262="Cancelada",0,IF(OR($O262&lt;&gt;"",$P262="Concluída"),1,0)))</f>
        <v/>
      </c>
    </row>
    <row r="263" customFormat="false" ht="16.5" hidden="false" customHeight="true" outlineLevel="0" collapsed="false">
      <c r="A263" s="36" t="str">
        <f aca="false">IF($F263="","",COUNTA($F$5:$F263))</f>
        <v/>
      </c>
      <c r="B263" s="37" t="str">
        <f aca="true">IF($F263="","",IF($P263="Cancelada","Cancelada",IF(OR($O263&lt;&gt;"",$P263="Concluída"),IF(OR($N263="",$O263="",$O263&lt;=$N263),"Concluída","Concluída com atraso"),IF($N263="","Na carteira",IF($N263&lt;TODAY(),"VENCIDA",IF($P263="Em execução","Em execução",IF($N263=TODAY(),"Hoje","Programada")))))))</f>
        <v/>
      </c>
      <c r="C263" s="38"/>
      <c r="D263" s="38"/>
      <c r="E263" s="38"/>
      <c r="F263" s="38"/>
      <c r="G263" s="39"/>
      <c r="H263" s="39"/>
      <c r="I263" s="40"/>
      <c r="J263" s="40"/>
      <c r="K263" s="40"/>
      <c r="L263" s="41"/>
      <c r="M263" s="42"/>
      <c r="N263" s="43" t="str">
        <f aca="false">IF(OR($L263="",$M263=""),"",$L263+MATCH($M263,Listas!$F$5:$F$11,0)-1)</f>
        <v/>
      </c>
      <c r="O263" s="44"/>
      <c r="P263" s="39"/>
      <c r="Q263" s="44"/>
      <c r="R263" s="38"/>
      <c r="S263" s="38"/>
      <c r="T263" s="36" t="str">
        <f aca="false">IF($F263="","",IF(ISNUMBER(SEARCH("(externo)",$I263&amp;$J263&amp;$K263)),"Terceirizada","Interna"))</f>
        <v/>
      </c>
      <c r="U263" s="43" t="str">
        <f aca="false">IF($N263="","",IF($Q263="",$N263,$Q263))</f>
        <v/>
      </c>
      <c r="V263" s="36" t="str">
        <f aca="false">IF($F263="","",IF(OR($O263="",$N263=""),0,IF($O263&lt;=$N263,1,0)))</f>
        <v/>
      </c>
      <c r="W263" s="36" t="str">
        <f aca="false">IF($F263="","",IF(OR($O263="",$U263=""),0,IF($O263&lt;=$U263,1,0)))</f>
        <v/>
      </c>
      <c r="X263" s="37" t="str">
        <f aca="false">IF(OR($O263="",$N263=""),"",MAX(0,$O263-$N263))</f>
        <v/>
      </c>
      <c r="Y263" s="36" t="str">
        <f aca="false">IF($F263="","",IF(AND($Q263&lt;&gt;"",$N263&lt;&gt;"",$Q263&lt;&gt;$N263),1,0))</f>
        <v/>
      </c>
      <c r="Z263" s="36" t="str">
        <f aca="false">IF($F263="","",IF($P263="Cancelada",0,IF(OR($O263&lt;&gt;"",$P263="Concluída"),1,0)))</f>
        <v/>
      </c>
    </row>
    <row r="264" customFormat="false" ht="16.5" hidden="false" customHeight="true" outlineLevel="0" collapsed="false">
      <c r="A264" s="36" t="str">
        <f aca="false">IF($F264="","",COUNTA($F$5:$F264))</f>
        <v/>
      </c>
      <c r="B264" s="37" t="str">
        <f aca="true">IF($F264="","",IF($P264="Cancelada","Cancelada",IF(OR($O264&lt;&gt;"",$P264="Concluída"),IF(OR($N264="",$O264="",$O264&lt;=$N264),"Concluída","Concluída com atraso"),IF($N264="","Na carteira",IF($N264&lt;TODAY(),"VENCIDA",IF($P264="Em execução","Em execução",IF($N264=TODAY(),"Hoje","Programada")))))))</f>
        <v/>
      </c>
      <c r="C264" s="38"/>
      <c r="D264" s="38"/>
      <c r="E264" s="38"/>
      <c r="F264" s="38"/>
      <c r="G264" s="39"/>
      <c r="H264" s="39"/>
      <c r="I264" s="40"/>
      <c r="J264" s="40"/>
      <c r="K264" s="40"/>
      <c r="L264" s="41"/>
      <c r="M264" s="42"/>
      <c r="N264" s="43" t="str">
        <f aca="false">IF(OR($L264="",$M264=""),"",$L264+MATCH($M264,Listas!$F$5:$F$11,0)-1)</f>
        <v/>
      </c>
      <c r="O264" s="44"/>
      <c r="P264" s="39"/>
      <c r="Q264" s="44"/>
      <c r="R264" s="38"/>
      <c r="S264" s="38"/>
      <c r="T264" s="36" t="str">
        <f aca="false">IF($F264="","",IF(ISNUMBER(SEARCH("(externo)",$I264&amp;$J264&amp;$K264)),"Terceirizada","Interna"))</f>
        <v/>
      </c>
      <c r="U264" s="43" t="str">
        <f aca="false">IF($N264="","",IF($Q264="",$N264,$Q264))</f>
        <v/>
      </c>
      <c r="V264" s="36" t="str">
        <f aca="false">IF($F264="","",IF(OR($O264="",$N264=""),0,IF($O264&lt;=$N264,1,0)))</f>
        <v/>
      </c>
      <c r="W264" s="36" t="str">
        <f aca="false">IF($F264="","",IF(OR($O264="",$U264=""),0,IF($O264&lt;=$U264,1,0)))</f>
        <v/>
      </c>
      <c r="X264" s="37" t="str">
        <f aca="false">IF(OR($O264="",$N264=""),"",MAX(0,$O264-$N264))</f>
        <v/>
      </c>
      <c r="Y264" s="36" t="str">
        <f aca="false">IF($F264="","",IF(AND($Q264&lt;&gt;"",$N264&lt;&gt;"",$Q264&lt;&gt;$N264),1,0))</f>
        <v/>
      </c>
      <c r="Z264" s="36" t="str">
        <f aca="false">IF($F264="","",IF($P264="Cancelada",0,IF(OR($O264&lt;&gt;"",$P264="Concluída"),1,0)))</f>
        <v/>
      </c>
    </row>
    <row r="265" customFormat="false" ht="16.5" hidden="false" customHeight="true" outlineLevel="0" collapsed="false">
      <c r="A265" s="36" t="str">
        <f aca="false">IF($F265="","",COUNTA($F$5:$F265))</f>
        <v/>
      </c>
      <c r="B265" s="37" t="str">
        <f aca="true">IF($F265="","",IF($P265="Cancelada","Cancelada",IF(OR($O265&lt;&gt;"",$P265="Concluída"),IF(OR($N265="",$O265="",$O265&lt;=$N265),"Concluída","Concluída com atraso"),IF($N265="","Na carteira",IF($N265&lt;TODAY(),"VENCIDA",IF($P265="Em execução","Em execução",IF($N265=TODAY(),"Hoje","Programada")))))))</f>
        <v/>
      </c>
      <c r="C265" s="38"/>
      <c r="D265" s="38"/>
      <c r="E265" s="38"/>
      <c r="F265" s="38"/>
      <c r="G265" s="39"/>
      <c r="H265" s="39"/>
      <c r="I265" s="40"/>
      <c r="J265" s="40"/>
      <c r="K265" s="40"/>
      <c r="L265" s="41"/>
      <c r="M265" s="42"/>
      <c r="N265" s="43" t="str">
        <f aca="false">IF(OR($L265="",$M265=""),"",$L265+MATCH($M265,Listas!$F$5:$F$11,0)-1)</f>
        <v/>
      </c>
      <c r="O265" s="44"/>
      <c r="P265" s="39"/>
      <c r="Q265" s="44"/>
      <c r="R265" s="38"/>
      <c r="S265" s="38"/>
      <c r="T265" s="36" t="str">
        <f aca="false">IF($F265="","",IF(ISNUMBER(SEARCH("(externo)",$I265&amp;$J265&amp;$K265)),"Terceirizada","Interna"))</f>
        <v/>
      </c>
      <c r="U265" s="43" t="str">
        <f aca="false">IF($N265="","",IF($Q265="",$N265,$Q265))</f>
        <v/>
      </c>
      <c r="V265" s="36" t="str">
        <f aca="false">IF($F265="","",IF(OR($O265="",$N265=""),0,IF($O265&lt;=$N265,1,0)))</f>
        <v/>
      </c>
      <c r="W265" s="36" t="str">
        <f aca="false">IF($F265="","",IF(OR($O265="",$U265=""),0,IF($O265&lt;=$U265,1,0)))</f>
        <v/>
      </c>
      <c r="X265" s="37" t="str">
        <f aca="false">IF(OR($O265="",$N265=""),"",MAX(0,$O265-$N265))</f>
        <v/>
      </c>
      <c r="Y265" s="36" t="str">
        <f aca="false">IF($F265="","",IF(AND($Q265&lt;&gt;"",$N265&lt;&gt;"",$Q265&lt;&gt;$N265),1,0))</f>
        <v/>
      </c>
      <c r="Z265" s="36" t="str">
        <f aca="false">IF($F265="","",IF($P265="Cancelada",0,IF(OR($O265&lt;&gt;"",$P265="Concluída"),1,0)))</f>
        <v/>
      </c>
    </row>
    <row r="266" customFormat="false" ht="16.5" hidden="false" customHeight="true" outlineLevel="0" collapsed="false">
      <c r="A266" s="36" t="str">
        <f aca="false">IF($F266="","",COUNTA($F$5:$F266))</f>
        <v/>
      </c>
      <c r="B266" s="37" t="str">
        <f aca="true">IF($F266="","",IF($P266="Cancelada","Cancelada",IF(OR($O266&lt;&gt;"",$P266="Concluída"),IF(OR($N266="",$O266="",$O266&lt;=$N266),"Concluída","Concluída com atraso"),IF($N266="","Na carteira",IF($N266&lt;TODAY(),"VENCIDA",IF($P266="Em execução","Em execução",IF($N266=TODAY(),"Hoje","Programada")))))))</f>
        <v/>
      </c>
      <c r="C266" s="38"/>
      <c r="D266" s="38"/>
      <c r="E266" s="38"/>
      <c r="F266" s="38"/>
      <c r="G266" s="39"/>
      <c r="H266" s="39"/>
      <c r="I266" s="40"/>
      <c r="J266" s="40"/>
      <c r="K266" s="40"/>
      <c r="L266" s="41"/>
      <c r="M266" s="42"/>
      <c r="N266" s="43" t="str">
        <f aca="false">IF(OR($L266="",$M266=""),"",$L266+MATCH($M266,Listas!$F$5:$F$11,0)-1)</f>
        <v/>
      </c>
      <c r="O266" s="44"/>
      <c r="P266" s="39"/>
      <c r="Q266" s="44"/>
      <c r="R266" s="38"/>
      <c r="S266" s="38"/>
      <c r="T266" s="36" t="str">
        <f aca="false">IF($F266="","",IF(ISNUMBER(SEARCH("(externo)",$I266&amp;$J266&amp;$K266)),"Terceirizada","Interna"))</f>
        <v/>
      </c>
      <c r="U266" s="43" t="str">
        <f aca="false">IF($N266="","",IF($Q266="",$N266,$Q266))</f>
        <v/>
      </c>
      <c r="V266" s="36" t="str">
        <f aca="false">IF($F266="","",IF(OR($O266="",$N266=""),0,IF($O266&lt;=$N266,1,0)))</f>
        <v/>
      </c>
      <c r="W266" s="36" t="str">
        <f aca="false">IF($F266="","",IF(OR($O266="",$U266=""),0,IF($O266&lt;=$U266,1,0)))</f>
        <v/>
      </c>
      <c r="X266" s="37" t="str">
        <f aca="false">IF(OR($O266="",$N266=""),"",MAX(0,$O266-$N266))</f>
        <v/>
      </c>
      <c r="Y266" s="36" t="str">
        <f aca="false">IF($F266="","",IF(AND($Q266&lt;&gt;"",$N266&lt;&gt;"",$Q266&lt;&gt;$N266),1,0))</f>
        <v/>
      </c>
      <c r="Z266" s="36" t="str">
        <f aca="false">IF($F266="","",IF($P266="Cancelada",0,IF(OR($O266&lt;&gt;"",$P266="Concluída"),1,0)))</f>
        <v/>
      </c>
    </row>
    <row r="267" customFormat="false" ht="16.5" hidden="false" customHeight="true" outlineLevel="0" collapsed="false">
      <c r="A267" s="36" t="str">
        <f aca="false">IF($F267="","",COUNTA($F$5:$F267))</f>
        <v/>
      </c>
      <c r="B267" s="37" t="str">
        <f aca="true">IF($F267="","",IF($P267="Cancelada","Cancelada",IF(OR($O267&lt;&gt;"",$P267="Concluída"),IF(OR($N267="",$O267="",$O267&lt;=$N267),"Concluída","Concluída com atraso"),IF($N267="","Na carteira",IF($N267&lt;TODAY(),"VENCIDA",IF($P267="Em execução","Em execução",IF($N267=TODAY(),"Hoje","Programada")))))))</f>
        <v/>
      </c>
      <c r="C267" s="38"/>
      <c r="D267" s="38"/>
      <c r="E267" s="38"/>
      <c r="F267" s="38"/>
      <c r="G267" s="39"/>
      <c r="H267" s="39"/>
      <c r="I267" s="40"/>
      <c r="J267" s="40"/>
      <c r="K267" s="40"/>
      <c r="L267" s="41"/>
      <c r="M267" s="42"/>
      <c r="N267" s="43" t="str">
        <f aca="false">IF(OR($L267="",$M267=""),"",$L267+MATCH($M267,Listas!$F$5:$F$11,0)-1)</f>
        <v/>
      </c>
      <c r="O267" s="44"/>
      <c r="P267" s="39"/>
      <c r="Q267" s="44"/>
      <c r="R267" s="38"/>
      <c r="S267" s="38"/>
      <c r="T267" s="36" t="str">
        <f aca="false">IF($F267="","",IF(ISNUMBER(SEARCH("(externo)",$I267&amp;$J267&amp;$K267)),"Terceirizada","Interna"))</f>
        <v/>
      </c>
      <c r="U267" s="43" t="str">
        <f aca="false">IF($N267="","",IF($Q267="",$N267,$Q267))</f>
        <v/>
      </c>
      <c r="V267" s="36" t="str">
        <f aca="false">IF($F267="","",IF(OR($O267="",$N267=""),0,IF($O267&lt;=$N267,1,0)))</f>
        <v/>
      </c>
      <c r="W267" s="36" t="str">
        <f aca="false">IF($F267="","",IF(OR($O267="",$U267=""),0,IF($O267&lt;=$U267,1,0)))</f>
        <v/>
      </c>
      <c r="X267" s="37" t="str">
        <f aca="false">IF(OR($O267="",$N267=""),"",MAX(0,$O267-$N267))</f>
        <v/>
      </c>
      <c r="Y267" s="36" t="str">
        <f aca="false">IF($F267="","",IF(AND($Q267&lt;&gt;"",$N267&lt;&gt;"",$Q267&lt;&gt;$N267),1,0))</f>
        <v/>
      </c>
      <c r="Z267" s="36" t="str">
        <f aca="false">IF($F267="","",IF($P267="Cancelada",0,IF(OR($O267&lt;&gt;"",$P267="Concluída"),1,0)))</f>
        <v/>
      </c>
    </row>
    <row r="268" customFormat="false" ht="16.5" hidden="false" customHeight="true" outlineLevel="0" collapsed="false">
      <c r="A268" s="36" t="str">
        <f aca="false">IF($F268="","",COUNTA($F$5:$F268))</f>
        <v/>
      </c>
      <c r="B268" s="37" t="str">
        <f aca="true">IF($F268="","",IF($P268="Cancelada","Cancelada",IF(OR($O268&lt;&gt;"",$P268="Concluída"),IF(OR($N268="",$O268="",$O268&lt;=$N268),"Concluída","Concluída com atraso"),IF($N268="","Na carteira",IF($N268&lt;TODAY(),"VENCIDA",IF($P268="Em execução","Em execução",IF($N268=TODAY(),"Hoje","Programada")))))))</f>
        <v/>
      </c>
      <c r="C268" s="38"/>
      <c r="D268" s="38"/>
      <c r="E268" s="38"/>
      <c r="F268" s="38"/>
      <c r="G268" s="39"/>
      <c r="H268" s="39"/>
      <c r="I268" s="40"/>
      <c r="J268" s="40"/>
      <c r="K268" s="40"/>
      <c r="L268" s="41"/>
      <c r="M268" s="42"/>
      <c r="N268" s="43" t="str">
        <f aca="false">IF(OR($L268="",$M268=""),"",$L268+MATCH($M268,Listas!$F$5:$F$11,0)-1)</f>
        <v/>
      </c>
      <c r="O268" s="44"/>
      <c r="P268" s="39"/>
      <c r="Q268" s="44"/>
      <c r="R268" s="38"/>
      <c r="S268" s="38"/>
      <c r="T268" s="36" t="str">
        <f aca="false">IF($F268="","",IF(ISNUMBER(SEARCH("(externo)",$I268&amp;$J268&amp;$K268)),"Terceirizada","Interna"))</f>
        <v/>
      </c>
      <c r="U268" s="43" t="str">
        <f aca="false">IF($N268="","",IF($Q268="",$N268,$Q268))</f>
        <v/>
      </c>
      <c r="V268" s="36" t="str">
        <f aca="false">IF($F268="","",IF(OR($O268="",$N268=""),0,IF($O268&lt;=$N268,1,0)))</f>
        <v/>
      </c>
      <c r="W268" s="36" t="str">
        <f aca="false">IF($F268="","",IF(OR($O268="",$U268=""),0,IF($O268&lt;=$U268,1,0)))</f>
        <v/>
      </c>
      <c r="X268" s="37" t="str">
        <f aca="false">IF(OR($O268="",$N268=""),"",MAX(0,$O268-$N268))</f>
        <v/>
      </c>
      <c r="Y268" s="36" t="str">
        <f aca="false">IF($F268="","",IF(AND($Q268&lt;&gt;"",$N268&lt;&gt;"",$Q268&lt;&gt;$N268),1,0))</f>
        <v/>
      </c>
      <c r="Z268" s="36" t="str">
        <f aca="false">IF($F268="","",IF($P268="Cancelada",0,IF(OR($O268&lt;&gt;"",$P268="Concluída"),1,0)))</f>
        <v/>
      </c>
    </row>
    <row r="269" customFormat="false" ht="16.5" hidden="false" customHeight="true" outlineLevel="0" collapsed="false">
      <c r="A269" s="36" t="str">
        <f aca="false">IF($F269="","",COUNTA($F$5:$F269))</f>
        <v/>
      </c>
      <c r="B269" s="37" t="str">
        <f aca="true">IF($F269="","",IF($P269="Cancelada","Cancelada",IF(OR($O269&lt;&gt;"",$P269="Concluída"),IF(OR($N269="",$O269="",$O269&lt;=$N269),"Concluída","Concluída com atraso"),IF($N269="","Na carteira",IF($N269&lt;TODAY(),"VENCIDA",IF($P269="Em execução","Em execução",IF($N269=TODAY(),"Hoje","Programada")))))))</f>
        <v/>
      </c>
      <c r="C269" s="38"/>
      <c r="D269" s="38"/>
      <c r="E269" s="38"/>
      <c r="F269" s="38"/>
      <c r="G269" s="39"/>
      <c r="H269" s="39"/>
      <c r="I269" s="40"/>
      <c r="J269" s="40"/>
      <c r="K269" s="40"/>
      <c r="L269" s="41"/>
      <c r="M269" s="42"/>
      <c r="N269" s="43" t="str">
        <f aca="false">IF(OR($L269="",$M269=""),"",$L269+MATCH($M269,Listas!$F$5:$F$11,0)-1)</f>
        <v/>
      </c>
      <c r="O269" s="44"/>
      <c r="P269" s="39"/>
      <c r="Q269" s="44"/>
      <c r="R269" s="38"/>
      <c r="S269" s="38"/>
      <c r="T269" s="36" t="str">
        <f aca="false">IF($F269="","",IF(ISNUMBER(SEARCH("(externo)",$I269&amp;$J269&amp;$K269)),"Terceirizada","Interna"))</f>
        <v/>
      </c>
      <c r="U269" s="43" t="str">
        <f aca="false">IF($N269="","",IF($Q269="",$N269,$Q269))</f>
        <v/>
      </c>
      <c r="V269" s="36" t="str">
        <f aca="false">IF($F269="","",IF(OR($O269="",$N269=""),0,IF($O269&lt;=$N269,1,0)))</f>
        <v/>
      </c>
      <c r="W269" s="36" t="str">
        <f aca="false">IF($F269="","",IF(OR($O269="",$U269=""),0,IF($O269&lt;=$U269,1,0)))</f>
        <v/>
      </c>
      <c r="X269" s="37" t="str">
        <f aca="false">IF(OR($O269="",$N269=""),"",MAX(0,$O269-$N269))</f>
        <v/>
      </c>
      <c r="Y269" s="36" t="str">
        <f aca="false">IF($F269="","",IF(AND($Q269&lt;&gt;"",$N269&lt;&gt;"",$Q269&lt;&gt;$N269),1,0))</f>
        <v/>
      </c>
      <c r="Z269" s="36" t="str">
        <f aca="false">IF($F269="","",IF($P269="Cancelada",0,IF(OR($O269&lt;&gt;"",$P269="Concluída"),1,0)))</f>
        <v/>
      </c>
    </row>
    <row r="270" customFormat="false" ht="16.5" hidden="false" customHeight="true" outlineLevel="0" collapsed="false">
      <c r="A270" s="36" t="str">
        <f aca="false">IF($F270="","",COUNTA($F$5:$F270))</f>
        <v/>
      </c>
      <c r="B270" s="37" t="str">
        <f aca="true">IF($F270="","",IF($P270="Cancelada","Cancelada",IF(OR($O270&lt;&gt;"",$P270="Concluída"),IF(OR($N270="",$O270="",$O270&lt;=$N270),"Concluída","Concluída com atraso"),IF($N270="","Na carteira",IF($N270&lt;TODAY(),"VENCIDA",IF($P270="Em execução","Em execução",IF($N270=TODAY(),"Hoje","Programada")))))))</f>
        <v/>
      </c>
      <c r="C270" s="38"/>
      <c r="D270" s="38"/>
      <c r="E270" s="38"/>
      <c r="F270" s="38"/>
      <c r="G270" s="39"/>
      <c r="H270" s="39"/>
      <c r="I270" s="40"/>
      <c r="J270" s="40"/>
      <c r="K270" s="40"/>
      <c r="L270" s="41"/>
      <c r="M270" s="42"/>
      <c r="N270" s="43" t="str">
        <f aca="false">IF(OR($L270="",$M270=""),"",$L270+MATCH($M270,Listas!$F$5:$F$11,0)-1)</f>
        <v/>
      </c>
      <c r="O270" s="44"/>
      <c r="P270" s="39"/>
      <c r="Q270" s="44"/>
      <c r="R270" s="38"/>
      <c r="S270" s="38"/>
      <c r="T270" s="36" t="str">
        <f aca="false">IF($F270="","",IF(ISNUMBER(SEARCH("(externo)",$I270&amp;$J270&amp;$K270)),"Terceirizada","Interna"))</f>
        <v/>
      </c>
      <c r="U270" s="43" t="str">
        <f aca="false">IF($N270="","",IF($Q270="",$N270,$Q270))</f>
        <v/>
      </c>
      <c r="V270" s="36" t="str">
        <f aca="false">IF($F270="","",IF(OR($O270="",$N270=""),0,IF($O270&lt;=$N270,1,0)))</f>
        <v/>
      </c>
      <c r="W270" s="36" t="str">
        <f aca="false">IF($F270="","",IF(OR($O270="",$U270=""),0,IF($O270&lt;=$U270,1,0)))</f>
        <v/>
      </c>
      <c r="X270" s="37" t="str">
        <f aca="false">IF(OR($O270="",$N270=""),"",MAX(0,$O270-$N270))</f>
        <v/>
      </c>
      <c r="Y270" s="36" t="str">
        <f aca="false">IF($F270="","",IF(AND($Q270&lt;&gt;"",$N270&lt;&gt;"",$Q270&lt;&gt;$N270),1,0))</f>
        <v/>
      </c>
      <c r="Z270" s="36" t="str">
        <f aca="false">IF($F270="","",IF($P270="Cancelada",0,IF(OR($O270&lt;&gt;"",$P270="Concluída"),1,0)))</f>
        <v/>
      </c>
    </row>
    <row r="271" customFormat="false" ht="16.5" hidden="false" customHeight="true" outlineLevel="0" collapsed="false">
      <c r="A271" s="36" t="str">
        <f aca="false">IF($F271="","",COUNTA($F$5:$F271))</f>
        <v/>
      </c>
      <c r="B271" s="37" t="str">
        <f aca="true">IF($F271="","",IF($P271="Cancelada","Cancelada",IF(OR($O271&lt;&gt;"",$P271="Concluída"),IF(OR($N271="",$O271="",$O271&lt;=$N271),"Concluída","Concluída com atraso"),IF($N271="","Na carteira",IF($N271&lt;TODAY(),"VENCIDA",IF($P271="Em execução","Em execução",IF($N271=TODAY(),"Hoje","Programada")))))))</f>
        <v/>
      </c>
      <c r="C271" s="38"/>
      <c r="D271" s="38"/>
      <c r="E271" s="38"/>
      <c r="F271" s="38"/>
      <c r="G271" s="39"/>
      <c r="H271" s="39"/>
      <c r="I271" s="40"/>
      <c r="J271" s="40"/>
      <c r="K271" s="40"/>
      <c r="L271" s="41"/>
      <c r="M271" s="42"/>
      <c r="N271" s="43" t="str">
        <f aca="false">IF(OR($L271="",$M271=""),"",$L271+MATCH($M271,Listas!$F$5:$F$11,0)-1)</f>
        <v/>
      </c>
      <c r="O271" s="44"/>
      <c r="P271" s="39"/>
      <c r="Q271" s="44"/>
      <c r="R271" s="38"/>
      <c r="S271" s="38"/>
      <c r="T271" s="36" t="str">
        <f aca="false">IF($F271="","",IF(ISNUMBER(SEARCH("(externo)",$I271&amp;$J271&amp;$K271)),"Terceirizada","Interna"))</f>
        <v/>
      </c>
      <c r="U271" s="43" t="str">
        <f aca="false">IF($N271="","",IF($Q271="",$N271,$Q271))</f>
        <v/>
      </c>
      <c r="V271" s="36" t="str">
        <f aca="false">IF($F271="","",IF(OR($O271="",$N271=""),0,IF($O271&lt;=$N271,1,0)))</f>
        <v/>
      </c>
      <c r="W271" s="36" t="str">
        <f aca="false">IF($F271="","",IF(OR($O271="",$U271=""),0,IF($O271&lt;=$U271,1,0)))</f>
        <v/>
      </c>
      <c r="X271" s="37" t="str">
        <f aca="false">IF(OR($O271="",$N271=""),"",MAX(0,$O271-$N271))</f>
        <v/>
      </c>
      <c r="Y271" s="36" t="str">
        <f aca="false">IF($F271="","",IF(AND($Q271&lt;&gt;"",$N271&lt;&gt;"",$Q271&lt;&gt;$N271),1,0))</f>
        <v/>
      </c>
      <c r="Z271" s="36" t="str">
        <f aca="false">IF($F271="","",IF($P271="Cancelada",0,IF(OR($O271&lt;&gt;"",$P271="Concluída"),1,0)))</f>
        <v/>
      </c>
    </row>
    <row r="272" customFormat="false" ht="16.5" hidden="false" customHeight="true" outlineLevel="0" collapsed="false">
      <c r="A272" s="36" t="str">
        <f aca="false">IF($F272="","",COUNTA($F$5:$F272))</f>
        <v/>
      </c>
      <c r="B272" s="37" t="str">
        <f aca="true">IF($F272="","",IF($P272="Cancelada","Cancelada",IF(OR($O272&lt;&gt;"",$P272="Concluída"),IF(OR($N272="",$O272="",$O272&lt;=$N272),"Concluída","Concluída com atraso"),IF($N272="","Na carteira",IF($N272&lt;TODAY(),"VENCIDA",IF($P272="Em execução","Em execução",IF($N272=TODAY(),"Hoje","Programada")))))))</f>
        <v/>
      </c>
      <c r="C272" s="38"/>
      <c r="D272" s="38"/>
      <c r="E272" s="38"/>
      <c r="F272" s="38"/>
      <c r="G272" s="39"/>
      <c r="H272" s="39"/>
      <c r="I272" s="40"/>
      <c r="J272" s="40"/>
      <c r="K272" s="40"/>
      <c r="L272" s="41"/>
      <c r="M272" s="42"/>
      <c r="N272" s="43" t="str">
        <f aca="false">IF(OR($L272="",$M272=""),"",$L272+MATCH($M272,Listas!$F$5:$F$11,0)-1)</f>
        <v/>
      </c>
      <c r="O272" s="44"/>
      <c r="P272" s="39"/>
      <c r="Q272" s="44"/>
      <c r="R272" s="38"/>
      <c r="S272" s="38"/>
      <c r="T272" s="36" t="str">
        <f aca="false">IF($F272="","",IF(ISNUMBER(SEARCH("(externo)",$I272&amp;$J272&amp;$K272)),"Terceirizada","Interna"))</f>
        <v/>
      </c>
      <c r="U272" s="43" t="str">
        <f aca="false">IF($N272="","",IF($Q272="",$N272,$Q272))</f>
        <v/>
      </c>
      <c r="V272" s="36" t="str">
        <f aca="false">IF($F272="","",IF(OR($O272="",$N272=""),0,IF($O272&lt;=$N272,1,0)))</f>
        <v/>
      </c>
      <c r="W272" s="36" t="str">
        <f aca="false">IF($F272="","",IF(OR($O272="",$U272=""),0,IF($O272&lt;=$U272,1,0)))</f>
        <v/>
      </c>
      <c r="X272" s="37" t="str">
        <f aca="false">IF(OR($O272="",$N272=""),"",MAX(0,$O272-$N272))</f>
        <v/>
      </c>
      <c r="Y272" s="36" t="str">
        <f aca="false">IF($F272="","",IF(AND($Q272&lt;&gt;"",$N272&lt;&gt;"",$Q272&lt;&gt;$N272),1,0))</f>
        <v/>
      </c>
      <c r="Z272" s="36" t="str">
        <f aca="false">IF($F272="","",IF($P272="Cancelada",0,IF(OR($O272&lt;&gt;"",$P272="Concluída"),1,0)))</f>
        <v/>
      </c>
    </row>
    <row r="273" customFormat="false" ht="16.5" hidden="false" customHeight="true" outlineLevel="0" collapsed="false">
      <c r="A273" s="36" t="str">
        <f aca="false">IF($F273="","",COUNTA($F$5:$F273))</f>
        <v/>
      </c>
      <c r="B273" s="37" t="str">
        <f aca="true">IF($F273="","",IF($P273="Cancelada","Cancelada",IF(OR($O273&lt;&gt;"",$P273="Concluída"),IF(OR($N273="",$O273="",$O273&lt;=$N273),"Concluída","Concluída com atraso"),IF($N273="","Na carteira",IF($N273&lt;TODAY(),"VENCIDA",IF($P273="Em execução","Em execução",IF($N273=TODAY(),"Hoje","Programada")))))))</f>
        <v/>
      </c>
      <c r="C273" s="38"/>
      <c r="D273" s="38"/>
      <c r="E273" s="38"/>
      <c r="F273" s="38"/>
      <c r="G273" s="39"/>
      <c r="H273" s="39"/>
      <c r="I273" s="40"/>
      <c r="J273" s="40"/>
      <c r="K273" s="40"/>
      <c r="L273" s="41"/>
      <c r="M273" s="42"/>
      <c r="N273" s="43" t="str">
        <f aca="false">IF(OR($L273="",$M273=""),"",$L273+MATCH($M273,Listas!$F$5:$F$11,0)-1)</f>
        <v/>
      </c>
      <c r="O273" s="44"/>
      <c r="P273" s="39"/>
      <c r="Q273" s="44"/>
      <c r="R273" s="38"/>
      <c r="S273" s="38"/>
      <c r="T273" s="36" t="str">
        <f aca="false">IF($F273="","",IF(ISNUMBER(SEARCH("(externo)",$I273&amp;$J273&amp;$K273)),"Terceirizada","Interna"))</f>
        <v/>
      </c>
      <c r="U273" s="43" t="str">
        <f aca="false">IF($N273="","",IF($Q273="",$N273,$Q273))</f>
        <v/>
      </c>
      <c r="V273" s="36" t="str">
        <f aca="false">IF($F273="","",IF(OR($O273="",$N273=""),0,IF($O273&lt;=$N273,1,0)))</f>
        <v/>
      </c>
      <c r="W273" s="36" t="str">
        <f aca="false">IF($F273="","",IF(OR($O273="",$U273=""),0,IF($O273&lt;=$U273,1,0)))</f>
        <v/>
      </c>
      <c r="X273" s="37" t="str">
        <f aca="false">IF(OR($O273="",$N273=""),"",MAX(0,$O273-$N273))</f>
        <v/>
      </c>
      <c r="Y273" s="36" t="str">
        <f aca="false">IF($F273="","",IF(AND($Q273&lt;&gt;"",$N273&lt;&gt;"",$Q273&lt;&gt;$N273),1,0))</f>
        <v/>
      </c>
      <c r="Z273" s="36" t="str">
        <f aca="false">IF($F273="","",IF($P273="Cancelada",0,IF(OR($O273&lt;&gt;"",$P273="Concluída"),1,0)))</f>
        <v/>
      </c>
    </row>
    <row r="274" customFormat="false" ht="16.5" hidden="false" customHeight="true" outlineLevel="0" collapsed="false">
      <c r="A274" s="36" t="str">
        <f aca="false">IF($F274="","",COUNTA($F$5:$F274))</f>
        <v/>
      </c>
      <c r="B274" s="37" t="str">
        <f aca="true">IF($F274="","",IF($P274="Cancelada","Cancelada",IF(OR($O274&lt;&gt;"",$P274="Concluída"),IF(OR($N274="",$O274="",$O274&lt;=$N274),"Concluída","Concluída com atraso"),IF($N274="","Na carteira",IF($N274&lt;TODAY(),"VENCIDA",IF($P274="Em execução","Em execução",IF($N274=TODAY(),"Hoje","Programada")))))))</f>
        <v/>
      </c>
      <c r="C274" s="38"/>
      <c r="D274" s="38"/>
      <c r="E274" s="38"/>
      <c r="F274" s="38"/>
      <c r="G274" s="39"/>
      <c r="H274" s="39"/>
      <c r="I274" s="40"/>
      <c r="J274" s="40"/>
      <c r="K274" s="40"/>
      <c r="L274" s="41"/>
      <c r="M274" s="42"/>
      <c r="N274" s="43" t="str">
        <f aca="false">IF(OR($L274="",$M274=""),"",$L274+MATCH($M274,Listas!$F$5:$F$11,0)-1)</f>
        <v/>
      </c>
      <c r="O274" s="44"/>
      <c r="P274" s="39"/>
      <c r="Q274" s="44"/>
      <c r="R274" s="38"/>
      <c r="S274" s="38"/>
      <c r="T274" s="36" t="str">
        <f aca="false">IF($F274="","",IF(ISNUMBER(SEARCH("(externo)",$I274&amp;$J274&amp;$K274)),"Terceirizada","Interna"))</f>
        <v/>
      </c>
      <c r="U274" s="43" t="str">
        <f aca="false">IF($N274="","",IF($Q274="",$N274,$Q274))</f>
        <v/>
      </c>
      <c r="V274" s="36" t="str">
        <f aca="false">IF($F274="","",IF(OR($O274="",$N274=""),0,IF($O274&lt;=$N274,1,0)))</f>
        <v/>
      </c>
      <c r="W274" s="36" t="str">
        <f aca="false">IF($F274="","",IF(OR($O274="",$U274=""),0,IF($O274&lt;=$U274,1,0)))</f>
        <v/>
      </c>
      <c r="X274" s="37" t="str">
        <f aca="false">IF(OR($O274="",$N274=""),"",MAX(0,$O274-$N274))</f>
        <v/>
      </c>
      <c r="Y274" s="36" t="str">
        <f aca="false">IF($F274="","",IF(AND($Q274&lt;&gt;"",$N274&lt;&gt;"",$Q274&lt;&gt;$N274),1,0))</f>
        <v/>
      </c>
      <c r="Z274" s="36" t="str">
        <f aca="false">IF($F274="","",IF($P274="Cancelada",0,IF(OR($O274&lt;&gt;"",$P274="Concluída"),1,0)))</f>
        <v/>
      </c>
    </row>
    <row r="275" customFormat="false" ht="16.5" hidden="false" customHeight="true" outlineLevel="0" collapsed="false">
      <c r="A275" s="36" t="str">
        <f aca="false">IF($F275="","",COUNTA($F$5:$F275))</f>
        <v/>
      </c>
      <c r="B275" s="37" t="str">
        <f aca="true">IF($F275="","",IF($P275="Cancelada","Cancelada",IF(OR($O275&lt;&gt;"",$P275="Concluída"),IF(OR($N275="",$O275="",$O275&lt;=$N275),"Concluída","Concluída com atraso"),IF($N275="","Na carteira",IF($N275&lt;TODAY(),"VENCIDA",IF($P275="Em execução","Em execução",IF($N275=TODAY(),"Hoje","Programada")))))))</f>
        <v/>
      </c>
      <c r="C275" s="38"/>
      <c r="D275" s="38"/>
      <c r="E275" s="38"/>
      <c r="F275" s="38"/>
      <c r="G275" s="39"/>
      <c r="H275" s="39"/>
      <c r="I275" s="40"/>
      <c r="J275" s="40"/>
      <c r="K275" s="40"/>
      <c r="L275" s="41"/>
      <c r="M275" s="42"/>
      <c r="N275" s="43" t="str">
        <f aca="false">IF(OR($L275="",$M275=""),"",$L275+MATCH($M275,Listas!$F$5:$F$11,0)-1)</f>
        <v/>
      </c>
      <c r="O275" s="44"/>
      <c r="P275" s="39"/>
      <c r="Q275" s="44"/>
      <c r="R275" s="38"/>
      <c r="S275" s="38"/>
      <c r="T275" s="36" t="str">
        <f aca="false">IF($F275="","",IF(ISNUMBER(SEARCH("(externo)",$I275&amp;$J275&amp;$K275)),"Terceirizada","Interna"))</f>
        <v/>
      </c>
      <c r="U275" s="43" t="str">
        <f aca="false">IF($N275="","",IF($Q275="",$N275,$Q275))</f>
        <v/>
      </c>
      <c r="V275" s="36" t="str">
        <f aca="false">IF($F275="","",IF(OR($O275="",$N275=""),0,IF($O275&lt;=$N275,1,0)))</f>
        <v/>
      </c>
      <c r="W275" s="36" t="str">
        <f aca="false">IF($F275="","",IF(OR($O275="",$U275=""),0,IF($O275&lt;=$U275,1,0)))</f>
        <v/>
      </c>
      <c r="X275" s="37" t="str">
        <f aca="false">IF(OR($O275="",$N275=""),"",MAX(0,$O275-$N275))</f>
        <v/>
      </c>
      <c r="Y275" s="36" t="str">
        <f aca="false">IF($F275="","",IF(AND($Q275&lt;&gt;"",$N275&lt;&gt;"",$Q275&lt;&gt;$N275),1,0))</f>
        <v/>
      </c>
      <c r="Z275" s="36" t="str">
        <f aca="false">IF($F275="","",IF($P275="Cancelada",0,IF(OR($O275&lt;&gt;"",$P275="Concluída"),1,0)))</f>
        <v/>
      </c>
    </row>
    <row r="276" customFormat="false" ht="16.5" hidden="false" customHeight="true" outlineLevel="0" collapsed="false">
      <c r="A276" s="36" t="str">
        <f aca="false">IF($F276="","",COUNTA($F$5:$F276))</f>
        <v/>
      </c>
      <c r="B276" s="37" t="str">
        <f aca="true">IF($F276="","",IF($P276="Cancelada","Cancelada",IF(OR($O276&lt;&gt;"",$P276="Concluída"),IF(OR($N276="",$O276="",$O276&lt;=$N276),"Concluída","Concluída com atraso"),IF($N276="","Na carteira",IF($N276&lt;TODAY(),"VENCIDA",IF($P276="Em execução","Em execução",IF($N276=TODAY(),"Hoje","Programada")))))))</f>
        <v/>
      </c>
      <c r="C276" s="38"/>
      <c r="D276" s="38"/>
      <c r="E276" s="38"/>
      <c r="F276" s="38"/>
      <c r="G276" s="39"/>
      <c r="H276" s="39"/>
      <c r="I276" s="40"/>
      <c r="J276" s="40"/>
      <c r="K276" s="40"/>
      <c r="L276" s="41"/>
      <c r="M276" s="42"/>
      <c r="N276" s="43" t="str">
        <f aca="false">IF(OR($L276="",$M276=""),"",$L276+MATCH($M276,Listas!$F$5:$F$11,0)-1)</f>
        <v/>
      </c>
      <c r="O276" s="44"/>
      <c r="P276" s="39"/>
      <c r="Q276" s="44"/>
      <c r="R276" s="38"/>
      <c r="S276" s="38"/>
      <c r="T276" s="36" t="str">
        <f aca="false">IF($F276="","",IF(ISNUMBER(SEARCH("(externo)",$I276&amp;$J276&amp;$K276)),"Terceirizada","Interna"))</f>
        <v/>
      </c>
      <c r="U276" s="43" t="str">
        <f aca="false">IF($N276="","",IF($Q276="",$N276,$Q276))</f>
        <v/>
      </c>
      <c r="V276" s="36" t="str">
        <f aca="false">IF($F276="","",IF(OR($O276="",$N276=""),0,IF($O276&lt;=$N276,1,0)))</f>
        <v/>
      </c>
      <c r="W276" s="36" t="str">
        <f aca="false">IF($F276="","",IF(OR($O276="",$U276=""),0,IF($O276&lt;=$U276,1,0)))</f>
        <v/>
      </c>
      <c r="X276" s="37" t="str">
        <f aca="false">IF(OR($O276="",$N276=""),"",MAX(0,$O276-$N276))</f>
        <v/>
      </c>
      <c r="Y276" s="36" t="str">
        <f aca="false">IF($F276="","",IF(AND($Q276&lt;&gt;"",$N276&lt;&gt;"",$Q276&lt;&gt;$N276),1,0))</f>
        <v/>
      </c>
      <c r="Z276" s="36" t="str">
        <f aca="false">IF($F276="","",IF($P276="Cancelada",0,IF(OR($O276&lt;&gt;"",$P276="Concluída"),1,0)))</f>
        <v/>
      </c>
    </row>
    <row r="277" customFormat="false" ht="16.5" hidden="false" customHeight="true" outlineLevel="0" collapsed="false">
      <c r="A277" s="36" t="str">
        <f aca="false">IF($F277="","",COUNTA($F$5:$F277))</f>
        <v/>
      </c>
      <c r="B277" s="37" t="str">
        <f aca="true">IF($F277="","",IF($P277="Cancelada","Cancelada",IF(OR($O277&lt;&gt;"",$P277="Concluída"),IF(OR($N277="",$O277="",$O277&lt;=$N277),"Concluída","Concluída com atraso"),IF($N277="","Na carteira",IF($N277&lt;TODAY(),"VENCIDA",IF($P277="Em execução","Em execução",IF($N277=TODAY(),"Hoje","Programada")))))))</f>
        <v/>
      </c>
      <c r="C277" s="38"/>
      <c r="D277" s="38"/>
      <c r="E277" s="38"/>
      <c r="F277" s="38"/>
      <c r="G277" s="39"/>
      <c r="H277" s="39"/>
      <c r="I277" s="40"/>
      <c r="J277" s="40"/>
      <c r="K277" s="40"/>
      <c r="L277" s="41"/>
      <c r="M277" s="42"/>
      <c r="N277" s="43" t="str">
        <f aca="false">IF(OR($L277="",$M277=""),"",$L277+MATCH($M277,Listas!$F$5:$F$11,0)-1)</f>
        <v/>
      </c>
      <c r="O277" s="44"/>
      <c r="P277" s="39"/>
      <c r="Q277" s="44"/>
      <c r="R277" s="38"/>
      <c r="S277" s="38"/>
      <c r="T277" s="36" t="str">
        <f aca="false">IF($F277="","",IF(ISNUMBER(SEARCH("(externo)",$I277&amp;$J277&amp;$K277)),"Terceirizada","Interna"))</f>
        <v/>
      </c>
      <c r="U277" s="43" t="str">
        <f aca="false">IF($N277="","",IF($Q277="",$N277,$Q277))</f>
        <v/>
      </c>
      <c r="V277" s="36" t="str">
        <f aca="false">IF($F277="","",IF(OR($O277="",$N277=""),0,IF($O277&lt;=$N277,1,0)))</f>
        <v/>
      </c>
      <c r="W277" s="36" t="str">
        <f aca="false">IF($F277="","",IF(OR($O277="",$U277=""),0,IF($O277&lt;=$U277,1,0)))</f>
        <v/>
      </c>
      <c r="X277" s="37" t="str">
        <f aca="false">IF(OR($O277="",$N277=""),"",MAX(0,$O277-$N277))</f>
        <v/>
      </c>
      <c r="Y277" s="36" t="str">
        <f aca="false">IF($F277="","",IF(AND($Q277&lt;&gt;"",$N277&lt;&gt;"",$Q277&lt;&gt;$N277),1,0))</f>
        <v/>
      </c>
      <c r="Z277" s="36" t="str">
        <f aca="false">IF($F277="","",IF($P277="Cancelada",0,IF(OR($O277&lt;&gt;"",$P277="Concluída"),1,0)))</f>
        <v/>
      </c>
    </row>
    <row r="278" customFormat="false" ht="16.5" hidden="false" customHeight="true" outlineLevel="0" collapsed="false">
      <c r="A278" s="36" t="str">
        <f aca="false">IF($F278="","",COUNTA($F$5:$F278))</f>
        <v/>
      </c>
      <c r="B278" s="37" t="str">
        <f aca="true">IF($F278="","",IF($P278="Cancelada","Cancelada",IF(OR($O278&lt;&gt;"",$P278="Concluída"),IF(OR($N278="",$O278="",$O278&lt;=$N278),"Concluída","Concluída com atraso"),IF($N278="","Na carteira",IF($N278&lt;TODAY(),"VENCIDA",IF($P278="Em execução","Em execução",IF($N278=TODAY(),"Hoje","Programada")))))))</f>
        <v/>
      </c>
      <c r="C278" s="38"/>
      <c r="D278" s="38"/>
      <c r="E278" s="38"/>
      <c r="F278" s="38"/>
      <c r="G278" s="39"/>
      <c r="H278" s="39"/>
      <c r="I278" s="40"/>
      <c r="J278" s="40"/>
      <c r="K278" s="40"/>
      <c r="L278" s="41"/>
      <c r="M278" s="42"/>
      <c r="N278" s="43" t="str">
        <f aca="false">IF(OR($L278="",$M278=""),"",$L278+MATCH($M278,Listas!$F$5:$F$11,0)-1)</f>
        <v/>
      </c>
      <c r="O278" s="44"/>
      <c r="P278" s="39"/>
      <c r="Q278" s="44"/>
      <c r="R278" s="38"/>
      <c r="S278" s="38"/>
      <c r="T278" s="36" t="str">
        <f aca="false">IF($F278="","",IF(ISNUMBER(SEARCH("(externo)",$I278&amp;$J278&amp;$K278)),"Terceirizada","Interna"))</f>
        <v/>
      </c>
      <c r="U278" s="43" t="str">
        <f aca="false">IF($N278="","",IF($Q278="",$N278,$Q278))</f>
        <v/>
      </c>
      <c r="V278" s="36" t="str">
        <f aca="false">IF($F278="","",IF(OR($O278="",$N278=""),0,IF($O278&lt;=$N278,1,0)))</f>
        <v/>
      </c>
      <c r="W278" s="36" t="str">
        <f aca="false">IF($F278="","",IF(OR($O278="",$U278=""),0,IF($O278&lt;=$U278,1,0)))</f>
        <v/>
      </c>
      <c r="X278" s="37" t="str">
        <f aca="false">IF(OR($O278="",$N278=""),"",MAX(0,$O278-$N278))</f>
        <v/>
      </c>
      <c r="Y278" s="36" t="str">
        <f aca="false">IF($F278="","",IF(AND($Q278&lt;&gt;"",$N278&lt;&gt;"",$Q278&lt;&gt;$N278),1,0))</f>
        <v/>
      </c>
      <c r="Z278" s="36" t="str">
        <f aca="false">IF($F278="","",IF($P278="Cancelada",0,IF(OR($O278&lt;&gt;"",$P278="Concluída"),1,0)))</f>
        <v/>
      </c>
    </row>
    <row r="279" customFormat="false" ht="16.5" hidden="false" customHeight="true" outlineLevel="0" collapsed="false">
      <c r="A279" s="36" t="str">
        <f aca="false">IF($F279="","",COUNTA($F$5:$F279))</f>
        <v/>
      </c>
      <c r="B279" s="37" t="str">
        <f aca="true">IF($F279="","",IF($P279="Cancelada","Cancelada",IF(OR($O279&lt;&gt;"",$P279="Concluída"),IF(OR($N279="",$O279="",$O279&lt;=$N279),"Concluída","Concluída com atraso"),IF($N279="","Na carteira",IF($N279&lt;TODAY(),"VENCIDA",IF($P279="Em execução","Em execução",IF($N279=TODAY(),"Hoje","Programada")))))))</f>
        <v/>
      </c>
      <c r="C279" s="38"/>
      <c r="D279" s="38"/>
      <c r="E279" s="38"/>
      <c r="F279" s="38"/>
      <c r="G279" s="39"/>
      <c r="H279" s="39"/>
      <c r="I279" s="40"/>
      <c r="J279" s="40"/>
      <c r="K279" s="40"/>
      <c r="L279" s="41"/>
      <c r="M279" s="42"/>
      <c r="N279" s="43" t="str">
        <f aca="false">IF(OR($L279="",$M279=""),"",$L279+MATCH($M279,Listas!$F$5:$F$11,0)-1)</f>
        <v/>
      </c>
      <c r="O279" s="44"/>
      <c r="P279" s="39"/>
      <c r="Q279" s="44"/>
      <c r="R279" s="38"/>
      <c r="S279" s="38"/>
      <c r="T279" s="36" t="str">
        <f aca="false">IF($F279="","",IF(ISNUMBER(SEARCH("(externo)",$I279&amp;$J279&amp;$K279)),"Terceirizada","Interna"))</f>
        <v/>
      </c>
      <c r="U279" s="43" t="str">
        <f aca="false">IF($N279="","",IF($Q279="",$N279,$Q279))</f>
        <v/>
      </c>
      <c r="V279" s="36" t="str">
        <f aca="false">IF($F279="","",IF(OR($O279="",$N279=""),0,IF($O279&lt;=$N279,1,0)))</f>
        <v/>
      </c>
      <c r="W279" s="36" t="str">
        <f aca="false">IF($F279="","",IF(OR($O279="",$U279=""),0,IF($O279&lt;=$U279,1,0)))</f>
        <v/>
      </c>
      <c r="X279" s="37" t="str">
        <f aca="false">IF(OR($O279="",$N279=""),"",MAX(0,$O279-$N279))</f>
        <v/>
      </c>
      <c r="Y279" s="36" t="str">
        <f aca="false">IF($F279="","",IF(AND($Q279&lt;&gt;"",$N279&lt;&gt;"",$Q279&lt;&gt;$N279),1,0))</f>
        <v/>
      </c>
      <c r="Z279" s="36" t="str">
        <f aca="false">IF($F279="","",IF($P279="Cancelada",0,IF(OR($O279&lt;&gt;"",$P279="Concluída"),1,0)))</f>
        <v/>
      </c>
    </row>
    <row r="280" customFormat="false" ht="16.5" hidden="false" customHeight="true" outlineLevel="0" collapsed="false">
      <c r="A280" s="36" t="str">
        <f aca="false">IF($F280="","",COUNTA($F$5:$F280))</f>
        <v/>
      </c>
      <c r="B280" s="37" t="str">
        <f aca="true">IF($F280="","",IF($P280="Cancelada","Cancelada",IF(OR($O280&lt;&gt;"",$P280="Concluída"),IF(OR($N280="",$O280="",$O280&lt;=$N280),"Concluída","Concluída com atraso"),IF($N280="","Na carteira",IF($N280&lt;TODAY(),"VENCIDA",IF($P280="Em execução","Em execução",IF($N280=TODAY(),"Hoje","Programada")))))))</f>
        <v/>
      </c>
      <c r="C280" s="38"/>
      <c r="D280" s="38"/>
      <c r="E280" s="38"/>
      <c r="F280" s="38"/>
      <c r="G280" s="39"/>
      <c r="H280" s="39"/>
      <c r="I280" s="40"/>
      <c r="J280" s="40"/>
      <c r="K280" s="40"/>
      <c r="L280" s="41"/>
      <c r="M280" s="42"/>
      <c r="N280" s="43" t="str">
        <f aca="false">IF(OR($L280="",$M280=""),"",$L280+MATCH($M280,Listas!$F$5:$F$11,0)-1)</f>
        <v/>
      </c>
      <c r="O280" s="44"/>
      <c r="P280" s="39"/>
      <c r="Q280" s="44"/>
      <c r="R280" s="38"/>
      <c r="S280" s="38"/>
      <c r="T280" s="36" t="str">
        <f aca="false">IF($F280="","",IF(ISNUMBER(SEARCH("(externo)",$I280&amp;$J280&amp;$K280)),"Terceirizada","Interna"))</f>
        <v/>
      </c>
      <c r="U280" s="43" t="str">
        <f aca="false">IF($N280="","",IF($Q280="",$N280,$Q280))</f>
        <v/>
      </c>
      <c r="V280" s="36" t="str">
        <f aca="false">IF($F280="","",IF(OR($O280="",$N280=""),0,IF($O280&lt;=$N280,1,0)))</f>
        <v/>
      </c>
      <c r="W280" s="36" t="str">
        <f aca="false">IF($F280="","",IF(OR($O280="",$U280=""),0,IF($O280&lt;=$U280,1,0)))</f>
        <v/>
      </c>
      <c r="X280" s="37" t="str">
        <f aca="false">IF(OR($O280="",$N280=""),"",MAX(0,$O280-$N280))</f>
        <v/>
      </c>
      <c r="Y280" s="36" t="str">
        <f aca="false">IF($F280="","",IF(AND($Q280&lt;&gt;"",$N280&lt;&gt;"",$Q280&lt;&gt;$N280),1,0))</f>
        <v/>
      </c>
      <c r="Z280" s="36" t="str">
        <f aca="false">IF($F280="","",IF($P280="Cancelada",0,IF(OR($O280&lt;&gt;"",$P280="Concluída"),1,0)))</f>
        <v/>
      </c>
    </row>
    <row r="281" customFormat="false" ht="16.5" hidden="false" customHeight="true" outlineLevel="0" collapsed="false">
      <c r="A281" s="36" t="str">
        <f aca="false">IF($F281="","",COUNTA($F$5:$F281))</f>
        <v/>
      </c>
      <c r="B281" s="37" t="str">
        <f aca="true">IF($F281="","",IF($P281="Cancelada","Cancelada",IF(OR($O281&lt;&gt;"",$P281="Concluída"),IF(OR($N281="",$O281="",$O281&lt;=$N281),"Concluída","Concluída com atraso"),IF($N281="","Na carteira",IF($N281&lt;TODAY(),"VENCIDA",IF($P281="Em execução","Em execução",IF($N281=TODAY(),"Hoje","Programada")))))))</f>
        <v/>
      </c>
      <c r="C281" s="38"/>
      <c r="D281" s="38"/>
      <c r="E281" s="38"/>
      <c r="F281" s="38"/>
      <c r="G281" s="39"/>
      <c r="H281" s="39"/>
      <c r="I281" s="40"/>
      <c r="J281" s="40"/>
      <c r="K281" s="40"/>
      <c r="L281" s="41"/>
      <c r="M281" s="42"/>
      <c r="N281" s="43" t="str">
        <f aca="false">IF(OR($L281="",$M281=""),"",$L281+MATCH($M281,Listas!$F$5:$F$11,0)-1)</f>
        <v/>
      </c>
      <c r="O281" s="44"/>
      <c r="P281" s="39"/>
      <c r="Q281" s="44"/>
      <c r="R281" s="38"/>
      <c r="S281" s="38"/>
      <c r="T281" s="36" t="str">
        <f aca="false">IF($F281="","",IF(ISNUMBER(SEARCH("(externo)",$I281&amp;$J281&amp;$K281)),"Terceirizada","Interna"))</f>
        <v/>
      </c>
      <c r="U281" s="43" t="str">
        <f aca="false">IF($N281="","",IF($Q281="",$N281,$Q281))</f>
        <v/>
      </c>
      <c r="V281" s="36" t="str">
        <f aca="false">IF($F281="","",IF(OR($O281="",$N281=""),0,IF($O281&lt;=$N281,1,0)))</f>
        <v/>
      </c>
      <c r="W281" s="36" t="str">
        <f aca="false">IF($F281="","",IF(OR($O281="",$U281=""),0,IF($O281&lt;=$U281,1,0)))</f>
        <v/>
      </c>
      <c r="X281" s="37" t="str">
        <f aca="false">IF(OR($O281="",$N281=""),"",MAX(0,$O281-$N281))</f>
        <v/>
      </c>
      <c r="Y281" s="36" t="str">
        <f aca="false">IF($F281="","",IF(AND($Q281&lt;&gt;"",$N281&lt;&gt;"",$Q281&lt;&gt;$N281),1,0))</f>
        <v/>
      </c>
      <c r="Z281" s="36" t="str">
        <f aca="false">IF($F281="","",IF($P281="Cancelada",0,IF(OR($O281&lt;&gt;"",$P281="Concluída"),1,0)))</f>
        <v/>
      </c>
    </row>
    <row r="282" customFormat="false" ht="16.5" hidden="false" customHeight="true" outlineLevel="0" collapsed="false">
      <c r="A282" s="36" t="str">
        <f aca="false">IF($F282="","",COUNTA($F$5:$F282))</f>
        <v/>
      </c>
      <c r="B282" s="37" t="str">
        <f aca="true">IF($F282="","",IF($P282="Cancelada","Cancelada",IF(OR($O282&lt;&gt;"",$P282="Concluída"),IF(OR($N282="",$O282="",$O282&lt;=$N282),"Concluída","Concluída com atraso"),IF($N282="","Na carteira",IF($N282&lt;TODAY(),"VENCIDA",IF($P282="Em execução","Em execução",IF($N282=TODAY(),"Hoje","Programada")))))))</f>
        <v/>
      </c>
      <c r="C282" s="38"/>
      <c r="D282" s="38"/>
      <c r="E282" s="38"/>
      <c r="F282" s="38"/>
      <c r="G282" s="39"/>
      <c r="H282" s="39"/>
      <c r="I282" s="40"/>
      <c r="J282" s="40"/>
      <c r="K282" s="40"/>
      <c r="L282" s="41"/>
      <c r="M282" s="42"/>
      <c r="N282" s="43" t="str">
        <f aca="false">IF(OR($L282="",$M282=""),"",$L282+MATCH($M282,Listas!$F$5:$F$11,0)-1)</f>
        <v/>
      </c>
      <c r="O282" s="44"/>
      <c r="P282" s="39"/>
      <c r="Q282" s="44"/>
      <c r="R282" s="38"/>
      <c r="S282" s="38"/>
      <c r="T282" s="36" t="str">
        <f aca="false">IF($F282="","",IF(ISNUMBER(SEARCH("(externo)",$I282&amp;$J282&amp;$K282)),"Terceirizada","Interna"))</f>
        <v/>
      </c>
      <c r="U282" s="43" t="str">
        <f aca="false">IF($N282="","",IF($Q282="",$N282,$Q282))</f>
        <v/>
      </c>
      <c r="V282" s="36" t="str">
        <f aca="false">IF($F282="","",IF(OR($O282="",$N282=""),0,IF($O282&lt;=$N282,1,0)))</f>
        <v/>
      </c>
      <c r="W282" s="36" t="str">
        <f aca="false">IF($F282="","",IF(OR($O282="",$U282=""),0,IF($O282&lt;=$U282,1,0)))</f>
        <v/>
      </c>
      <c r="X282" s="37" t="str">
        <f aca="false">IF(OR($O282="",$N282=""),"",MAX(0,$O282-$N282))</f>
        <v/>
      </c>
      <c r="Y282" s="36" t="str">
        <f aca="false">IF($F282="","",IF(AND($Q282&lt;&gt;"",$N282&lt;&gt;"",$Q282&lt;&gt;$N282),1,0))</f>
        <v/>
      </c>
      <c r="Z282" s="36" t="str">
        <f aca="false">IF($F282="","",IF($P282="Cancelada",0,IF(OR($O282&lt;&gt;"",$P282="Concluída"),1,0)))</f>
        <v/>
      </c>
    </row>
    <row r="283" customFormat="false" ht="16.5" hidden="false" customHeight="true" outlineLevel="0" collapsed="false">
      <c r="A283" s="36" t="str">
        <f aca="false">IF($F283="","",COUNTA($F$5:$F283))</f>
        <v/>
      </c>
      <c r="B283" s="37" t="str">
        <f aca="true">IF($F283="","",IF($P283="Cancelada","Cancelada",IF(OR($O283&lt;&gt;"",$P283="Concluída"),IF(OR($N283="",$O283="",$O283&lt;=$N283),"Concluída","Concluída com atraso"),IF($N283="","Na carteira",IF($N283&lt;TODAY(),"VENCIDA",IF($P283="Em execução","Em execução",IF($N283=TODAY(),"Hoje","Programada")))))))</f>
        <v/>
      </c>
      <c r="C283" s="38"/>
      <c r="D283" s="38"/>
      <c r="E283" s="38"/>
      <c r="F283" s="38"/>
      <c r="G283" s="39"/>
      <c r="H283" s="39"/>
      <c r="I283" s="40"/>
      <c r="J283" s="40"/>
      <c r="K283" s="40"/>
      <c r="L283" s="41"/>
      <c r="M283" s="42"/>
      <c r="N283" s="43" t="str">
        <f aca="false">IF(OR($L283="",$M283=""),"",$L283+MATCH($M283,Listas!$F$5:$F$11,0)-1)</f>
        <v/>
      </c>
      <c r="O283" s="44"/>
      <c r="P283" s="39"/>
      <c r="Q283" s="44"/>
      <c r="R283" s="38"/>
      <c r="S283" s="38"/>
      <c r="T283" s="36" t="str">
        <f aca="false">IF($F283="","",IF(ISNUMBER(SEARCH("(externo)",$I283&amp;$J283&amp;$K283)),"Terceirizada","Interna"))</f>
        <v/>
      </c>
      <c r="U283" s="43" t="str">
        <f aca="false">IF($N283="","",IF($Q283="",$N283,$Q283))</f>
        <v/>
      </c>
      <c r="V283" s="36" t="str">
        <f aca="false">IF($F283="","",IF(OR($O283="",$N283=""),0,IF($O283&lt;=$N283,1,0)))</f>
        <v/>
      </c>
      <c r="W283" s="36" t="str">
        <f aca="false">IF($F283="","",IF(OR($O283="",$U283=""),0,IF($O283&lt;=$U283,1,0)))</f>
        <v/>
      </c>
      <c r="X283" s="37" t="str">
        <f aca="false">IF(OR($O283="",$N283=""),"",MAX(0,$O283-$N283))</f>
        <v/>
      </c>
      <c r="Y283" s="36" t="str">
        <f aca="false">IF($F283="","",IF(AND($Q283&lt;&gt;"",$N283&lt;&gt;"",$Q283&lt;&gt;$N283),1,0))</f>
        <v/>
      </c>
      <c r="Z283" s="36" t="str">
        <f aca="false">IF($F283="","",IF($P283="Cancelada",0,IF(OR($O283&lt;&gt;"",$P283="Concluída"),1,0)))</f>
        <v/>
      </c>
    </row>
    <row r="284" customFormat="false" ht="16.5" hidden="false" customHeight="true" outlineLevel="0" collapsed="false">
      <c r="A284" s="36" t="str">
        <f aca="false">IF($F284="","",COUNTA($F$5:$F284))</f>
        <v/>
      </c>
      <c r="B284" s="37" t="str">
        <f aca="true">IF($F284="","",IF($P284="Cancelada","Cancelada",IF(OR($O284&lt;&gt;"",$P284="Concluída"),IF(OR($N284="",$O284="",$O284&lt;=$N284),"Concluída","Concluída com atraso"),IF($N284="","Na carteira",IF($N284&lt;TODAY(),"VENCIDA",IF($P284="Em execução","Em execução",IF($N284=TODAY(),"Hoje","Programada")))))))</f>
        <v/>
      </c>
      <c r="C284" s="38"/>
      <c r="D284" s="38"/>
      <c r="E284" s="38"/>
      <c r="F284" s="38"/>
      <c r="G284" s="39"/>
      <c r="H284" s="39"/>
      <c r="I284" s="40"/>
      <c r="J284" s="40"/>
      <c r="K284" s="40"/>
      <c r="L284" s="41"/>
      <c r="M284" s="42"/>
      <c r="N284" s="43" t="str">
        <f aca="false">IF(OR($L284="",$M284=""),"",$L284+MATCH($M284,Listas!$F$5:$F$11,0)-1)</f>
        <v/>
      </c>
      <c r="O284" s="44"/>
      <c r="P284" s="39"/>
      <c r="Q284" s="44"/>
      <c r="R284" s="38"/>
      <c r="S284" s="38"/>
      <c r="T284" s="36" t="str">
        <f aca="false">IF($F284="","",IF(ISNUMBER(SEARCH("(externo)",$I284&amp;$J284&amp;$K284)),"Terceirizada","Interna"))</f>
        <v/>
      </c>
      <c r="U284" s="43" t="str">
        <f aca="false">IF($N284="","",IF($Q284="",$N284,$Q284))</f>
        <v/>
      </c>
      <c r="V284" s="36" t="str">
        <f aca="false">IF($F284="","",IF(OR($O284="",$N284=""),0,IF($O284&lt;=$N284,1,0)))</f>
        <v/>
      </c>
      <c r="W284" s="36" t="str">
        <f aca="false">IF($F284="","",IF(OR($O284="",$U284=""),0,IF($O284&lt;=$U284,1,0)))</f>
        <v/>
      </c>
      <c r="X284" s="37" t="str">
        <f aca="false">IF(OR($O284="",$N284=""),"",MAX(0,$O284-$N284))</f>
        <v/>
      </c>
      <c r="Y284" s="36" t="str">
        <f aca="false">IF($F284="","",IF(AND($Q284&lt;&gt;"",$N284&lt;&gt;"",$Q284&lt;&gt;$N284),1,0))</f>
        <v/>
      </c>
      <c r="Z284" s="36" t="str">
        <f aca="false">IF($F284="","",IF($P284="Cancelada",0,IF(OR($O284&lt;&gt;"",$P284="Concluída"),1,0)))</f>
        <v/>
      </c>
    </row>
    <row r="285" customFormat="false" ht="16.5" hidden="false" customHeight="true" outlineLevel="0" collapsed="false">
      <c r="A285" s="36" t="str">
        <f aca="false">IF($F285="","",COUNTA($F$5:$F285))</f>
        <v/>
      </c>
      <c r="B285" s="37" t="str">
        <f aca="true">IF($F285="","",IF($P285="Cancelada","Cancelada",IF(OR($O285&lt;&gt;"",$P285="Concluída"),IF(OR($N285="",$O285="",$O285&lt;=$N285),"Concluída","Concluída com atraso"),IF($N285="","Na carteira",IF($N285&lt;TODAY(),"VENCIDA",IF($P285="Em execução","Em execução",IF($N285=TODAY(),"Hoje","Programada")))))))</f>
        <v/>
      </c>
      <c r="C285" s="38"/>
      <c r="D285" s="38"/>
      <c r="E285" s="38"/>
      <c r="F285" s="38"/>
      <c r="G285" s="39"/>
      <c r="H285" s="39"/>
      <c r="I285" s="40"/>
      <c r="J285" s="40"/>
      <c r="K285" s="40"/>
      <c r="L285" s="41"/>
      <c r="M285" s="42"/>
      <c r="N285" s="43" t="str">
        <f aca="false">IF(OR($L285="",$M285=""),"",$L285+MATCH($M285,Listas!$F$5:$F$11,0)-1)</f>
        <v/>
      </c>
      <c r="O285" s="44"/>
      <c r="P285" s="39"/>
      <c r="Q285" s="44"/>
      <c r="R285" s="38"/>
      <c r="S285" s="38"/>
      <c r="T285" s="36" t="str">
        <f aca="false">IF($F285="","",IF(ISNUMBER(SEARCH("(externo)",$I285&amp;$J285&amp;$K285)),"Terceirizada","Interna"))</f>
        <v/>
      </c>
      <c r="U285" s="43" t="str">
        <f aca="false">IF($N285="","",IF($Q285="",$N285,$Q285))</f>
        <v/>
      </c>
      <c r="V285" s="36" t="str">
        <f aca="false">IF($F285="","",IF(OR($O285="",$N285=""),0,IF($O285&lt;=$N285,1,0)))</f>
        <v/>
      </c>
      <c r="W285" s="36" t="str">
        <f aca="false">IF($F285="","",IF(OR($O285="",$U285=""),0,IF($O285&lt;=$U285,1,0)))</f>
        <v/>
      </c>
      <c r="X285" s="37" t="str">
        <f aca="false">IF(OR($O285="",$N285=""),"",MAX(0,$O285-$N285))</f>
        <v/>
      </c>
      <c r="Y285" s="36" t="str">
        <f aca="false">IF($F285="","",IF(AND($Q285&lt;&gt;"",$N285&lt;&gt;"",$Q285&lt;&gt;$N285),1,0))</f>
        <v/>
      </c>
      <c r="Z285" s="36" t="str">
        <f aca="false">IF($F285="","",IF($P285="Cancelada",0,IF(OR($O285&lt;&gt;"",$P285="Concluída"),1,0)))</f>
        <v/>
      </c>
    </row>
    <row r="286" customFormat="false" ht="16.5" hidden="false" customHeight="true" outlineLevel="0" collapsed="false">
      <c r="A286" s="36" t="str">
        <f aca="false">IF($F286="","",COUNTA($F$5:$F286))</f>
        <v/>
      </c>
      <c r="B286" s="37" t="str">
        <f aca="true">IF($F286="","",IF($P286="Cancelada","Cancelada",IF(OR($O286&lt;&gt;"",$P286="Concluída"),IF(OR($N286="",$O286="",$O286&lt;=$N286),"Concluída","Concluída com atraso"),IF($N286="","Na carteira",IF($N286&lt;TODAY(),"VENCIDA",IF($P286="Em execução","Em execução",IF($N286=TODAY(),"Hoje","Programada")))))))</f>
        <v/>
      </c>
      <c r="C286" s="38"/>
      <c r="D286" s="38"/>
      <c r="E286" s="38"/>
      <c r="F286" s="38"/>
      <c r="G286" s="39"/>
      <c r="H286" s="39"/>
      <c r="I286" s="40"/>
      <c r="J286" s="40"/>
      <c r="K286" s="40"/>
      <c r="L286" s="41"/>
      <c r="M286" s="42"/>
      <c r="N286" s="43" t="str">
        <f aca="false">IF(OR($L286="",$M286=""),"",$L286+MATCH($M286,Listas!$F$5:$F$11,0)-1)</f>
        <v/>
      </c>
      <c r="O286" s="44"/>
      <c r="P286" s="39"/>
      <c r="Q286" s="44"/>
      <c r="R286" s="38"/>
      <c r="S286" s="38"/>
      <c r="T286" s="36" t="str">
        <f aca="false">IF($F286="","",IF(ISNUMBER(SEARCH("(externo)",$I286&amp;$J286&amp;$K286)),"Terceirizada","Interna"))</f>
        <v/>
      </c>
      <c r="U286" s="43" t="str">
        <f aca="false">IF($N286="","",IF($Q286="",$N286,$Q286))</f>
        <v/>
      </c>
      <c r="V286" s="36" t="str">
        <f aca="false">IF($F286="","",IF(OR($O286="",$N286=""),0,IF($O286&lt;=$N286,1,0)))</f>
        <v/>
      </c>
      <c r="W286" s="36" t="str">
        <f aca="false">IF($F286="","",IF(OR($O286="",$U286=""),0,IF($O286&lt;=$U286,1,0)))</f>
        <v/>
      </c>
      <c r="X286" s="37" t="str">
        <f aca="false">IF(OR($O286="",$N286=""),"",MAX(0,$O286-$N286))</f>
        <v/>
      </c>
      <c r="Y286" s="36" t="str">
        <f aca="false">IF($F286="","",IF(AND($Q286&lt;&gt;"",$N286&lt;&gt;"",$Q286&lt;&gt;$N286),1,0))</f>
        <v/>
      </c>
      <c r="Z286" s="36" t="str">
        <f aca="false">IF($F286="","",IF($P286="Cancelada",0,IF(OR($O286&lt;&gt;"",$P286="Concluída"),1,0)))</f>
        <v/>
      </c>
    </row>
    <row r="287" customFormat="false" ht="16.5" hidden="false" customHeight="true" outlineLevel="0" collapsed="false">
      <c r="A287" s="36" t="str">
        <f aca="false">IF($F287="","",COUNTA($F$5:$F287))</f>
        <v/>
      </c>
      <c r="B287" s="37" t="str">
        <f aca="true">IF($F287="","",IF($P287="Cancelada","Cancelada",IF(OR($O287&lt;&gt;"",$P287="Concluída"),IF(OR($N287="",$O287="",$O287&lt;=$N287),"Concluída","Concluída com atraso"),IF($N287="","Na carteira",IF($N287&lt;TODAY(),"VENCIDA",IF($P287="Em execução","Em execução",IF($N287=TODAY(),"Hoje","Programada")))))))</f>
        <v/>
      </c>
      <c r="C287" s="38"/>
      <c r="D287" s="38"/>
      <c r="E287" s="38"/>
      <c r="F287" s="38"/>
      <c r="G287" s="39"/>
      <c r="H287" s="39"/>
      <c r="I287" s="40"/>
      <c r="J287" s="40"/>
      <c r="K287" s="40"/>
      <c r="L287" s="41"/>
      <c r="M287" s="42"/>
      <c r="N287" s="43" t="str">
        <f aca="false">IF(OR($L287="",$M287=""),"",$L287+MATCH($M287,Listas!$F$5:$F$11,0)-1)</f>
        <v/>
      </c>
      <c r="O287" s="44"/>
      <c r="P287" s="39"/>
      <c r="Q287" s="44"/>
      <c r="R287" s="38"/>
      <c r="S287" s="38"/>
      <c r="T287" s="36" t="str">
        <f aca="false">IF($F287="","",IF(ISNUMBER(SEARCH("(externo)",$I287&amp;$J287&amp;$K287)),"Terceirizada","Interna"))</f>
        <v/>
      </c>
      <c r="U287" s="43" t="str">
        <f aca="false">IF($N287="","",IF($Q287="",$N287,$Q287))</f>
        <v/>
      </c>
      <c r="V287" s="36" t="str">
        <f aca="false">IF($F287="","",IF(OR($O287="",$N287=""),0,IF($O287&lt;=$N287,1,0)))</f>
        <v/>
      </c>
      <c r="W287" s="36" t="str">
        <f aca="false">IF($F287="","",IF(OR($O287="",$U287=""),0,IF($O287&lt;=$U287,1,0)))</f>
        <v/>
      </c>
      <c r="X287" s="37" t="str">
        <f aca="false">IF(OR($O287="",$N287=""),"",MAX(0,$O287-$N287))</f>
        <v/>
      </c>
      <c r="Y287" s="36" t="str">
        <f aca="false">IF($F287="","",IF(AND($Q287&lt;&gt;"",$N287&lt;&gt;"",$Q287&lt;&gt;$N287),1,0))</f>
        <v/>
      </c>
      <c r="Z287" s="36" t="str">
        <f aca="false">IF($F287="","",IF($P287="Cancelada",0,IF(OR($O287&lt;&gt;"",$P287="Concluída"),1,0)))</f>
        <v/>
      </c>
    </row>
    <row r="288" customFormat="false" ht="16.5" hidden="false" customHeight="true" outlineLevel="0" collapsed="false">
      <c r="A288" s="36" t="str">
        <f aca="false">IF($F288="","",COUNTA($F$5:$F288))</f>
        <v/>
      </c>
      <c r="B288" s="37" t="str">
        <f aca="true">IF($F288="","",IF($P288="Cancelada","Cancelada",IF(OR($O288&lt;&gt;"",$P288="Concluída"),IF(OR($N288="",$O288="",$O288&lt;=$N288),"Concluída","Concluída com atraso"),IF($N288="","Na carteira",IF($N288&lt;TODAY(),"VENCIDA",IF($P288="Em execução","Em execução",IF($N288=TODAY(),"Hoje","Programada")))))))</f>
        <v/>
      </c>
      <c r="C288" s="38"/>
      <c r="D288" s="38"/>
      <c r="E288" s="38"/>
      <c r="F288" s="38"/>
      <c r="G288" s="39"/>
      <c r="H288" s="39"/>
      <c r="I288" s="40"/>
      <c r="J288" s="40"/>
      <c r="K288" s="40"/>
      <c r="L288" s="41"/>
      <c r="M288" s="42"/>
      <c r="N288" s="43" t="str">
        <f aca="false">IF(OR($L288="",$M288=""),"",$L288+MATCH($M288,Listas!$F$5:$F$11,0)-1)</f>
        <v/>
      </c>
      <c r="O288" s="44"/>
      <c r="P288" s="39"/>
      <c r="Q288" s="44"/>
      <c r="R288" s="38"/>
      <c r="S288" s="38"/>
      <c r="T288" s="36" t="str">
        <f aca="false">IF($F288="","",IF(ISNUMBER(SEARCH("(externo)",$I288&amp;$J288&amp;$K288)),"Terceirizada","Interna"))</f>
        <v/>
      </c>
      <c r="U288" s="43" t="str">
        <f aca="false">IF($N288="","",IF($Q288="",$N288,$Q288))</f>
        <v/>
      </c>
      <c r="V288" s="36" t="str">
        <f aca="false">IF($F288="","",IF(OR($O288="",$N288=""),0,IF($O288&lt;=$N288,1,0)))</f>
        <v/>
      </c>
      <c r="W288" s="36" t="str">
        <f aca="false">IF($F288="","",IF(OR($O288="",$U288=""),0,IF($O288&lt;=$U288,1,0)))</f>
        <v/>
      </c>
      <c r="X288" s="37" t="str">
        <f aca="false">IF(OR($O288="",$N288=""),"",MAX(0,$O288-$N288))</f>
        <v/>
      </c>
      <c r="Y288" s="36" t="str">
        <f aca="false">IF($F288="","",IF(AND($Q288&lt;&gt;"",$N288&lt;&gt;"",$Q288&lt;&gt;$N288),1,0))</f>
        <v/>
      </c>
      <c r="Z288" s="36" t="str">
        <f aca="false">IF($F288="","",IF($P288="Cancelada",0,IF(OR($O288&lt;&gt;"",$P288="Concluída"),1,0)))</f>
        <v/>
      </c>
    </row>
    <row r="289" customFormat="false" ht="16.5" hidden="false" customHeight="true" outlineLevel="0" collapsed="false">
      <c r="A289" s="36" t="str">
        <f aca="false">IF($F289="","",COUNTA($F$5:$F289))</f>
        <v/>
      </c>
      <c r="B289" s="37" t="str">
        <f aca="true">IF($F289="","",IF($P289="Cancelada","Cancelada",IF(OR($O289&lt;&gt;"",$P289="Concluída"),IF(OR($N289="",$O289="",$O289&lt;=$N289),"Concluída","Concluída com atraso"),IF($N289="","Na carteira",IF($N289&lt;TODAY(),"VENCIDA",IF($P289="Em execução","Em execução",IF($N289=TODAY(),"Hoje","Programada")))))))</f>
        <v/>
      </c>
      <c r="C289" s="38"/>
      <c r="D289" s="38"/>
      <c r="E289" s="38"/>
      <c r="F289" s="38"/>
      <c r="G289" s="39"/>
      <c r="H289" s="39"/>
      <c r="I289" s="40"/>
      <c r="J289" s="40"/>
      <c r="K289" s="40"/>
      <c r="L289" s="41"/>
      <c r="M289" s="42"/>
      <c r="N289" s="43" t="str">
        <f aca="false">IF(OR($L289="",$M289=""),"",$L289+MATCH($M289,Listas!$F$5:$F$11,0)-1)</f>
        <v/>
      </c>
      <c r="O289" s="44"/>
      <c r="P289" s="39"/>
      <c r="Q289" s="44"/>
      <c r="R289" s="38"/>
      <c r="S289" s="38"/>
      <c r="T289" s="36" t="str">
        <f aca="false">IF($F289="","",IF(ISNUMBER(SEARCH("(externo)",$I289&amp;$J289&amp;$K289)),"Terceirizada","Interna"))</f>
        <v/>
      </c>
      <c r="U289" s="43" t="str">
        <f aca="false">IF($N289="","",IF($Q289="",$N289,$Q289))</f>
        <v/>
      </c>
      <c r="V289" s="36" t="str">
        <f aca="false">IF($F289="","",IF(OR($O289="",$N289=""),0,IF($O289&lt;=$N289,1,0)))</f>
        <v/>
      </c>
      <c r="W289" s="36" t="str">
        <f aca="false">IF($F289="","",IF(OR($O289="",$U289=""),0,IF($O289&lt;=$U289,1,0)))</f>
        <v/>
      </c>
      <c r="X289" s="37" t="str">
        <f aca="false">IF(OR($O289="",$N289=""),"",MAX(0,$O289-$N289))</f>
        <v/>
      </c>
      <c r="Y289" s="36" t="str">
        <f aca="false">IF($F289="","",IF(AND($Q289&lt;&gt;"",$N289&lt;&gt;"",$Q289&lt;&gt;$N289),1,0))</f>
        <v/>
      </c>
      <c r="Z289" s="36" t="str">
        <f aca="false">IF($F289="","",IF($P289="Cancelada",0,IF(OR($O289&lt;&gt;"",$P289="Concluída"),1,0)))</f>
        <v/>
      </c>
    </row>
    <row r="290" customFormat="false" ht="16.5" hidden="false" customHeight="true" outlineLevel="0" collapsed="false">
      <c r="A290" s="36" t="str">
        <f aca="false">IF($F290="","",COUNTA($F$5:$F290))</f>
        <v/>
      </c>
      <c r="B290" s="37" t="str">
        <f aca="true">IF($F290="","",IF($P290="Cancelada","Cancelada",IF(OR($O290&lt;&gt;"",$P290="Concluída"),IF(OR($N290="",$O290="",$O290&lt;=$N290),"Concluída","Concluída com atraso"),IF($N290="","Na carteira",IF($N290&lt;TODAY(),"VENCIDA",IF($P290="Em execução","Em execução",IF($N290=TODAY(),"Hoje","Programada")))))))</f>
        <v/>
      </c>
      <c r="C290" s="38"/>
      <c r="D290" s="38"/>
      <c r="E290" s="38"/>
      <c r="F290" s="38"/>
      <c r="G290" s="39"/>
      <c r="H290" s="39"/>
      <c r="I290" s="40"/>
      <c r="J290" s="40"/>
      <c r="K290" s="40"/>
      <c r="L290" s="41"/>
      <c r="M290" s="42"/>
      <c r="N290" s="43" t="str">
        <f aca="false">IF(OR($L290="",$M290=""),"",$L290+MATCH($M290,Listas!$F$5:$F$11,0)-1)</f>
        <v/>
      </c>
      <c r="O290" s="44"/>
      <c r="P290" s="39"/>
      <c r="Q290" s="44"/>
      <c r="R290" s="38"/>
      <c r="S290" s="38"/>
      <c r="T290" s="36" t="str">
        <f aca="false">IF($F290="","",IF(ISNUMBER(SEARCH("(externo)",$I290&amp;$J290&amp;$K290)),"Terceirizada","Interna"))</f>
        <v/>
      </c>
      <c r="U290" s="43" t="str">
        <f aca="false">IF($N290="","",IF($Q290="",$N290,$Q290))</f>
        <v/>
      </c>
      <c r="V290" s="36" t="str">
        <f aca="false">IF($F290="","",IF(OR($O290="",$N290=""),0,IF($O290&lt;=$N290,1,0)))</f>
        <v/>
      </c>
      <c r="W290" s="36" t="str">
        <f aca="false">IF($F290="","",IF(OR($O290="",$U290=""),0,IF($O290&lt;=$U290,1,0)))</f>
        <v/>
      </c>
      <c r="X290" s="37" t="str">
        <f aca="false">IF(OR($O290="",$N290=""),"",MAX(0,$O290-$N290))</f>
        <v/>
      </c>
      <c r="Y290" s="36" t="str">
        <f aca="false">IF($F290="","",IF(AND($Q290&lt;&gt;"",$N290&lt;&gt;"",$Q290&lt;&gt;$N290),1,0))</f>
        <v/>
      </c>
      <c r="Z290" s="36" t="str">
        <f aca="false">IF($F290="","",IF($P290="Cancelada",0,IF(OR($O290&lt;&gt;"",$P290="Concluída"),1,0)))</f>
        <v/>
      </c>
    </row>
    <row r="291" customFormat="false" ht="16.5" hidden="false" customHeight="true" outlineLevel="0" collapsed="false">
      <c r="A291" s="36" t="str">
        <f aca="false">IF($F291="","",COUNTA($F$5:$F291))</f>
        <v/>
      </c>
      <c r="B291" s="37" t="str">
        <f aca="true">IF($F291="","",IF($P291="Cancelada","Cancelada",IF(OR($O291&lt;&gt;"",$P291="Concluída"),IF(OR($N291="",$O291="",$O291&lt;=$N291),"Concluída","Concluída com atraso"),IF($N291="","Na carteira",IF($N291&lt;TODAY(),"VENCIDA",IF($P291="Em execução","Em execução",IF($N291=TODAY(),"Hoje","Programada")))))))</f>
        <v/>
      </c>
      <c r="C291" s="38"/>
      <c r="D291" s="38"/>
      <c r="E291" s="38"/>
      <c r="F291" s="38"/>
      <c r="G291" s="39"/>
      <c r="H291" s="39"/>
      <c r="I291" s="40"/>
      <c r="J291" s="40"/>
      <c r="K291" s="40"/>
      <c r="L291" s="41"/>
      <c r="M291" s="42"/>
      <c r="N291" s="43" t="str">
        <f aca="false">IF(OR($L291="",$M291=""),"",$L291+MATCH($M291,Listas!$F$5:$F$11,0)-1)</f>
        <v/>
      </c>
      <c r="O291" s="44"/>
      <c r="P291" s="39"/>
      <c r="Q291" s="44"/>
      <c r="R291" s="38"/>
      <c r="S291" s="38"/>
      <c r="T291" s="36" t="str">
        <f aca="false">IF($F291="","",IF(ISNUMBER(SEARCH("(externo)",$I291&amp;$J291&amp;$K291)),"Terceirizada","Interna"))</f>
        <v/>
      </c>
      <c r="U291" s="43" t="str">
        <f aca="false">IF($N291="","",IF($Q291="",$N291,$Q291))</f>
        <v/>
      </c>
      <c r="V291" s="36" t="str">
        <f aca="false">IF($F291="","",IF(OR($O291="",$N291=""),0,IF($O291&lt;=$N291,1,0)))</f>
        <v/>
      </c>
      <c r="W291" s="36" t="str">
        <f aca="false">IF($F291="","",IF(OR($O291="",$U291=""),0,IF($O291&lt;=$U291,1,0)))</f>
        <v/>
      </c>
      <c r="X291" s="37" t="str">
        <f aca="false">IF(OR($O291="",$N291=""),"",MAX(0,$O291-$N291))</f>
        <v/>
      </c>
      <c r="Y291" s="36" t="str">
        <f aca="false">IF($F291="","",IF(AND($Q291&lt;&gt;"",$N291&lt;&gt;"",$Q291&lt;&gt;$N291),1,0))</f>
        <v/>
      </c>
      <c r="Z291" s="36" t="str">
        <f aca="false">IF($F291="","",IF($P291="Cancelada",0,IF(OR($O291&lt;&gt;"",$P291="Concluída"),1,0)))</f>
        <v/>
      </c>
    </row>
    <row r="292" customFormat="false" ht="16.5" hidden="false" customHeight="true" outlineLevel="0" collapsed="false">
      <c r="A292" s="36" t="str">
        <f aca="false">IF($F292="","",COUNTA($F$5:$F292))</f>
        <v/>
      </c>
      <c r="B292" s="37" t="str">
        <f aca="true">IF($F292="","",IF($P292="Cancelada","Cancelada",IF(OR($O292&lt;&gt;"",$P292="Concluída"),IF(OR($N292="",$O292="",$O292&lt;=$N292),"Concluída","Concluída com atraso"),IF($N292="","Na carteira",IF($N292&lt;TODAY(),"VENCIDA",IF($P292="Em execução","Em execução",IF($N292=TODAY(),"Hoje","Programada")))))))</f>
        <v/>
      </c>
      <c r="C292" s="38"/>
      <c r="D292" s="38"/>
      <c r="E292" s="38"/>
      <c r="F292" s="38"/>
      <c r="G292" s="39"/>
      <c r="H292" s="39"/>
      <c r="I292" s="40"/>
      <c r="J292" s="40"/>
      <c r="K292" s="40"/>
      <c r="L292" s="41"/>
      <c r="M292" s="42"/>
      <c r="N292" s="43" t="str">
        <f aca="false">IF(OR($L292="",$M292=""),"",$L292+MATCH($M292,Listas!$F$5:$F$11,0)-1)</f>
        <v/>
      </c>
      <c r="O292" s="44"/>
      <c r="P292" s="39"/>
      <c r="Q292" s="44"/>
      <c r="R292" s="38"/>
      <c r="S292" s="38"/>
      <c r="T292" s="36" t="str">
        <f aca="false">IF($F292="","",IF(ISNUMBER(SEARCH("(externo)",$I292&amp;$J292&amp;$K292)),"Terceirizada","Interna"))</f>
        <v/>
      </c>
      <c r="U292" s="43" t="str">
        <f aca="false">IF($N292="","",IF($Q292="",$N292,$Q292))</f>
        <v/>
      </c>
      <c r="V292" s="36" t="str">
        <f aca="false">IF($F292="","",IF(OR($O292="",$N292=""),0,IF($O292&lt;=$N292,1,0)))</f>
        <v/>
      </c>
      <c r="W292" s="36" t="str">
        <f aca="false">IF($F292="","",IF(OR($O292="",$U292=""),0,IF($O292&lt;=$U292,1,0)))</f>
        <v/>
      </c>
      <c r="X292" s="37" t="str">
        <f aca="false">IF(OR($O292="",$N292=""),"",MAX(0,$O292-$N292))</f>
        <v/>
      </c>
      <c r="Y292" s="36" t="str">
        <f aca="false">IF($F292="","",IF(AND($Q292&lt;&gt;"",$N292&lt;&gt;"",$Q292&lt;&gt;$N292),1,0))</f>
        <v/>
      </c>
      <c r="Z292" s="36" t="str">
        <f aca="false">IF($F292="","",IF($P292="Cancelada",0,IF(OR($O292&lt;&gt;"",$P292="Concluída"),1,0)))</f>
        <v/>
      </c>
    </row>
    <row r="293" customFormat="false" ht="16.5" hidden="false" customHeight="true" outlineLevel="0" collapsed="false">
      <c r="A293" s="36" t="str">
        <f aca="false">IF($F293="","",COUNTA($F$5:$F293))</f>
        <v/>
      </c>
      <c r="B293" s="37" t="str">
        <f aca="true">IF($F293="","",IF($P293="Cancelada","Cancelada",IF(OR($O293&lt;&gt;"",$P293="Concluída"),IF(OR($N293="",$O293="",$O293&lt;=$N293),"Concluída","Concluída com atraso"),IF($N293="","Na carteira",IF($N293&lt;TODAY(),"VENCIDA",IF($P293="Em execução","Em execução",IF($N293=TODAY(),"Hoje","Programada")))))))</f>
        <v/>
      </c>
      <c r="C293" s="38"/>
      <c r="D293" s="38"/>
      <c r="E293" s="38"/>
      <c r="F293" s="38"/>
      <c r="G293" s="39"/>
      <c r="H293" s="39"/>
      <c r="I293" s="40"/>
      <c r="J293" s="40"/>
      <c r="K293" s="40"/>
      <c r="L293" s="41"/>
      <c r="M293" s="42"/>
      <c r="N293" s="43" t="str">
        <f aca="false">IF(OR($L293="",$M293=""),"",$L293+MATCH($M293,Listas!$F$5:$F$11,0)-1)</f>
        <v/>
      </c>
      <c r="O293" s="44"/>
      <c r="P293" s="39"/>
      <c r="Q293" s="44"/>
      <c r="R293" s="38"/>
      <c r="S293" s="38"/>
      <c r="T293" s="36" t="str">
        <f aca="false">IF($F293="","",IF(ISNUMBER(SEARCH("(externo)",$I293&amp;$J293&amp;$K293)),"Terceirizada","Interna"))</f>
        <v/>
      </c>
      <c r="U293" s="43" t="str">
        <f aca="false">IF($N293="","",IF($Q293="",$N293,$Q293))</f>
        <v/>
      </c>
      <c r="V293" s="36" t="str">
        <f aca="false">IF($F293="","",IF(OR($O293="",$N293=""),0,IF($O293&lt;=$N293,1,0)))</f>
        <v/>
      </c>
      <c r="W293" s="36" t="str">
        <f aca="false">IF($F293="","",IF(OR($O293="",$U293=""),0,IF($O293&lt;=$U293,1,0)))</f>
        <v/>
      </c>
      <c r="X293" s="37" t="str">
        <f aca="false">IF(OR($O293="",$N293=""),"",MAX(0,$O293-$N293))</f>
        <v/>
      </c>
      <c r="Y293" s="36" t="str">
        <f aca="false">IF($F293="","",IF(AND($Q293&lt;&gt;"",$N293&lt;&gt;"",$Q293&lt;&gt;$N293),1,0))</f>
        <v/>
      </c>
      <c r="Z293" s="36" t="str">
        <f aca="false">IF($F293="","",IF($P293="Cancelada",0,IF(OR($O293&lt;&gt;"",$P293="Concluída"),1,0)))</f>
        <v/>
      </c>
    </row>
    <row r="294" customFormat="false" ht="16.5" hidden="false" customHeight="true" outlineLevel="0" collapsed="false">
      <c r="A294" s="36" t="str">
        <f aca="false">IF($F294="","",COUNTA($F$5:$F294))</f>
        <v/>
      </c>
      <c r="B294" s="37" t="str">
        <f aca="true">IF($F294="","",IF($P294="Cancelada","Cancelada",IF(OR($O294&lt;&gt;"",$P294="Concluída"),IF(OR($N294="",$O294="",$O294&lt;=$N294),"Concluída","Concluída com atraso"),IF($N294="","Na carteira",IF($N294&lt;TODAY(),"VENCIDA",IF($P294="Em execução","Em execução",IF($N294=TODAY(),"Hoje","Programada")))))))</f>
        <v/>
      </c>
      <c r="C294" s="38"/>
      <c r="D294" s="38"/>
      <c r="E294" s="38"/>
      <c r="F294" s="38"/>
      <c r="G294" s="39"/>
      <c r="H294" s="39"/>
      <c r="I294" s="40"/>
      <c r="J294" s="40"/>
      <c r="K294" s="40"/>
      <c r="L294" s="41"/>
      <c r="M294" s="42"/>
      <c r="N294" s="43" t="str">
        <f aca="false">IF(OR($L294="",$M294=""),"",$L294+MATCH($M294,Listas!$F$5:$F$11,0)-1)</f>
        <v/>
      </c>
      <c r="O294" s="44"/>
      <c r="P294" s="39"/>
      <c r="Q294" s="44"/>
      <c r="R294" s="38"/>
      <c r="S294" s="38"/>
      <c r="T294" s="36" t="str">
        <f aca="false">IF($F294="","",IF(ISNUMBER(SEARCH("(externo)",$I294&amp;$J294&amp;$K294)),"Terceirizada","Interna"))</f>
        <v/>
      </c>
      <c r="U294" s="43" t="str">
        <f aca="false">IF($N294="","",IF($Q294="",$N294,$Q294))</f>
        <v/>
      </c>
      <c r="V294" s="36" t="str">
        <f aca="false">IF($F294="","",IF(OR($O294="",$N294=""),0,IF($O294&lt;=$N294,1,0)))</f>
        <v/>
      </c>
      <c r="W294" s="36" t="str">
        <f aca="false">IF($F294="","",IF(OR($O294="",$U294=""),0,IF($O294&lt;=$U294,1,0)))</f>
        <v/>
      </c>
      <c r="X294" s="37" t="str">
        <f aca="false">IF(OR($O294="",$N294=""),"",MAX(0,$O294-$N294))</f>
        <v/>
      </c>
      <c r="Y294" s="36" t="str">
        <f aca="false">IF($F294="","",IF(AND($Q294&lt;&gt;"",$N294&lt;&gt;"",$Q294&lt;&gt;$N294),1,0))</f>
        <v/>
      </c>
      <c r="Z294" s="36" t="str">
        <f aca="false">IF($F294="","",IF($P294="Cancelada",0,IF(OR($O294&lt;&gt;"",$P294="Concluída"),1,0)))</f>
        <v/>
      </c>
    </row>
    <row r="295" customFormat="false" ht="16.5" hidden="false" customHeight="true" outlineLevel="0" collapsed="false">
      <c r="A295" s="36" t="str">
        <f aca="false">IF($F295="","",COUNTA($F$5:$F295))</f>
        <v/>
      </c>
      <c r="B295" s="37" t="str">
        <f aca="true">IF($F295="","",IF($P295="Cancelada","Cancelada",IF(OR($O295&lt;&gt;"",$P295="Concluída"),IF(OR($N295="",$O295="",$O295&lt;=$N295),"Concluída","Concluída com atraso"),IF($N295="","Na carteira",IF($N295&lt;TODAY(),"VENCIDA",IF($P295="Em execução","Em execução",IF($N295=TODAY(),"Hoje","Programada")))))))</f>
        <v/>
      </c>
      <c r="C295" s="38"/>
      <c r="D295" s="38"/>
      <c r="E295" s="38"/>
      <c r="F295" s="38"/>
      <c r="G295" s="39"/>
      <c r="H295" s="39"/>
      <c r="I295" s="40"/>
      <c r="J295" s="40"/>
      <c r="K295" s="40"/>
      <c r="L295" s="41"/>
      <c r="M295" s="42"/>
      <c r="N295" s="43" t="str">
        <f aca="false">IF(OR($L295="",$M295=""),"",$L295+MATCH($M295,Listas!$F$5:$F$11,0)-1)</f>
        <v/>
      </c>
      <c r="O295" s="44"/>
      <c r="P295" s="39"/>
      <c r="Q295" s="44"/>
      <c r="R295" s="38"/>
      <c r="S295" s="38"/>
      <c r="T295" s="36" t="str">
        <f aca="false">IF($F295="","",IF(ISNUMBER(SEARCH("(externo)",$I295&amp;$J295&amp;$K295)),"Terceirizada","Interna"))</f>
        <v/>
      </c>
      <c r="U295" s="43" t="str">
        <f aca="false">IF($N295="","",IF($Q295="",$N295,$Q295))</f>
        <v/>
      </c>
      <c r="V295" s="36" t="str">
        <f aca="false">IF($F295="","",IF(OR($O295="",$N295=""),0,IF($O295&lt;=$N295,1,0)))</f>
        <v/>
      </c>
      <c r="W295" s="36" t="str">
        <f aca="false">IF($F295="","",IF(OR($O295="",$U295=""),0,IF($O295&lt;=$U295,1,0)))</f>
        <v/>
      </c>
      <c r="X295" s="37" t="str">
        <f aca="false">IF(OR($O295="",$N295=""),"",MAX(0,$O295-$N295))</f>
        <v/>
      </c>
      <c r="Y295" s="36" t="str">
        <f aca="false">IF($F295="","",IF(AND($Q295&lt;&gt;"",$N295&lt;&gt;"",$Q295&lt;&gt;$N295),1,0))</f>
        <v/>
      </c>
      <c r="Z295" s="36" t="str">
        <f aca="false">IF($F295="","",IF($P295="Cancelada",0,IF(OR($O295&lt;&gt;"",$P295="Concluída"),1,0)))</f>
        <v/>
      </c>
    </row>
    <row r="296" customFormat="false" ht="16.5" hidden="false" customHeight="true" outlineLevel="0" collapsed="false">
      <c r="A296" s="36" t="str">
        <f aca="false">IF($F296="","",COUNTA($F$5:$F296))</f>
        <v/>
      </c>
      <c r="B296" s="37" t="str">
        <f aca="true">IF($F296="","",IF($P296="Cancelada","Cancelada",IF(OR($O296&lt;&gt;"",$P296="Concluída"),IF(OR($N296="",$O296="",$O296&lt;=$N296),"Concluída","Concluída com atraso"),IF($N296="","Na carteira",IF($N296&lt;TODAY(),"VENCIDA",IF($P296="Em execução","Em execução",IF($N296=TODAY(),"Hoje","Programada")))))))</f>
        <v/>
      </c>
      <c r="C296" s="38"/>
      <c r="D296" s="38"/>
      <c r="E296" s="38"/>
      <c r="F296" s="38"/>
      <c r="G296" s="39"/>
      <c r="H296" s="39"/>
      <c r="I296" s="40"/>
      <c r="J296" s="40"/>
      <c r="K296" s="40"/>
      <c r="L296" s="41"/>
      <c r="M296" s="42"/>
      <c r="N296" s="43" t="str">
        <f aca="false">IF(OR($L296="",$M296=""),"",$L296+MATCH($M296,Listas!$F$5:$F$11,0)-1)</f>
        <v/>
      </c>
      <c r="O296" s="44"/>
      <c r="P296" s="39"/>
      <c r="Q296" s="44"/>
      <c r="R296" s="38"/>
      <c r="S296" s="38"/>
      <c r="T296" s="36" t="str">
        <f aca="false">IF($F296="","",IF(ISNUMBER(SEARCH("(externo)",$I296&amp;$J296&amp;$K296)),"Terceirizada","Interna"))</f>
        <v/>
      </c>
      <c r="U296" s="43" t="str">
        <f aca="false">IF($N296="","",IF($Q296="",$N296,$Q296))</f>
        <v/>
      </c>
      <c r="V296" s="36" t="str">
        <f aca="false">IF($F296="","",IF(OR($O296="",$N296=""),0,IF($O296&lt;=$N296,1,0)))</f>
        <v/>
      </c>
      <c r="W296" s="36" t="str">
        <f aca="false">IF($F296="","",IF(OR($O296="",$U296=""),0,IF($O296&lt;=$U296,1,0)))</f>
        <v/>
      </c>
      <c r="X296" s="37" t="str">
        <f aca="false">IF(OR($O296="",$N296=""),"",MAX(0,$O296-$N296))</f>
        <v/>
      </c>
      <c r="Y296" s="36" t="str">
        <f aca="false">IF($F296="","",IF(AND($Q296&lt;&gt;"",$N296&lt;&gt;"",$Q296&lt;&gt;$N296),1,0))</f>
        <v/>
      </c>
      <c r="Z296" s="36" t="str">
        <f aca="false">IF($F296="","",IF($P296="Cancelada",0,IF(OR($O296&lt;&gt;"",$P296="Concluída"),1,0)))</f>
        <v/>
      </c>
    </row>
    <row r="297" customFormat="false" ht="16.5" hidden="false" customHeight="true" outlineLevel="0" collapsed="false">
      <c r="A297" s="36" t="str">
        <f aca="false">IF($F297="","",COUNTA($F$5:$F297))</f>
        <v/>
      </c>
      <c r="B297" s="37" t="str">
        <f aca="true">IF($F297="","",IF($P297="Cancelada","Cancelada",IF(OR($O297&lt;&gt;"",$P297="Concluída"),IF(OR($N297="",$O297="",$O297&lt;=$N297),"Concluída","Concluída com atraso"),IF($N297="","Na carteira",IF($N297&lt;TODAY(),"VENCIDA",IF($P297="Em execução","Em execução",IF($N297=TODAY(),"Hoje","Programada")))))))</f>
        <v/>
      </c>
      <c r="C297" s="38"/>
      <c r="D297" s="38"/>
      <c r="E297" s="38"/>
      <c r="F297" s="38"/>
      <c r="G297" s="39"/>
      <c r="H297" s="39"/>
      <c r="I297" s="40"/>
      <c r="J297" s="40"/>
      <c r="K297" s="40"/>
      <c r="L297" s="41"/>
      <c r="M297" s="42"/>
      <c r="N297" s="43" t="str">
        <f aca="false">IF(OR($L297="",$M297=""),"",$L297+MATCH($M297,Listas!$F$5:$F$11,0)-1)</f>
        <v/>
      </c>
      <c r="O297" s="44"/>
      <c r="P297" s="39"/>
      <c r="Q297" s="44"/>
      <c r="R297" s="38"/>
      <c r="S297" s="38"/>
      <c r="T297" s="36" t="str">
        <f aca="false">IF($F297="","",IF(ISNUMBER(SEARCH("(externo)",$I297&amp;$J297&amp;$K297)),"Terceirizada","Interna"))</f>
        <v/>
      </c>
      <c r="U297" s="43" t="str">
        <f aca="false">IF($N297="","",IF($Q297="",$N297,$Q297))</f>
        <v/>
      </c>
      <c r="V297" s="36" t="str">
        <f aca="false">IF($F297="","",IF(OR($O297="",$N297=""),0,IF($O297&lt;=$N297,1,0)))</f>
        <v/>
      </c>
      <c r="W297" s="36" t="str">
        <f aca="false">IF($F297="","",IF(OR($O297="",$U297=""),0,IF($O297&lt;=$U297,1,0)))</f>
        <v/>
      </c>
      <c r="X297" s="37" t="str">
        <f aca="false">IF(OR($O297="",$N297=""),"",MAX(0,$O297-$N297))</f>
        <v/>
      </c>
      <c r="Y297" s="36" t="str">
        <f aca="false">IF($F297="","",IF(AND($Q297&lt;&gt;"",$N297&lt;&gt;"",$Q297&lt;&gt;$N297),1,0))</f>
        <v/>
      </c>
      <c r="Z297" s="36" t="str">
        <f aca="false">IF($F297="","",IF($P297="Cancelada",0,IF(OR($O297&lt;&gt;"",$P297="Concluída"),1,0)))</f>
        <v/>
      </c>
    </row>
    <row r="298" customFormat="false" ht="16.5" hidden="false" customHeight="true" outlineLevel="0" collapsed="false">
      <c r="A298" s="36" t="str">
        <f aca="false">IF($F298="","",COUNTA($F$5:$F298))</f>
        <v/>
      </c>
      <c r="B298" s="37" t="str">
        <f aca="true">IF($F298="","",IF($P298="Cancelada","Cancelada",IF(OR($O298&lt;&gt;"",$P298="Concluída"),IF(OR($N298="",$O298="",$O298&lt;=$N298),"Concluída","Concluída com atraso"),IF($N298="","Na carteira",IF($N298&lt;TODAY(),"VENCIDA",IF($P298="Em execução","Em execução",IF($N298=TODAY(),"Hoje","Programada")))))))</f>
        <v/>
      </c>
      <c r="C298" s="38"/>
      <c r="D298" s="38"/>
      <c r="E298" s="38"/>
      <c r="F298" s="38"/>
      <c r="G298" s="39"/>
      <c r="H298" s="39"/>
      <c r="I298" s="40"/>
      <c r="J298" s="40"/>
      <c r="K298" s="40"/>
      <c r="L298" s="41"/>
      <c r="M298" s="42"/>
      <c r="N298" s="43" t="str">
        <f aca="false">IF(OR($L298="",$M298=""),"",$L298+MATCH($M298,Listas!$F$5:$F$11,0)-1)</f>
        <v/>
      </c>
      <c r="O298" s="44"/>
      <c r="P298" s="39"/>
      <c r="Q298" s="44"/>
      <c r="R298" s="38"/>
      <c r="S298" s="38"/>
      <c r="T298" s="36" t="str">
        <f aca="false">IF($F298="","",IF(ISNUMBER(SEARCH("(externo)",$I298&amp;$J298&amp;$K298)),"Terceirizada","Interna"))</f>
        <v/>
      </c>
      <c r="U298" s="43" t="str">
        <f aca="false">IF($N298="","",IF($Q298="",$N298,$Q298))</f>
        <v/>
      </c>
      <c r="V298" s="36" t="str">
        <f aca="false">IF($F298="","",IF(OR($O298="",$N298=""),0,IF($O298&lt;=$N298,1,0)))</f>
        <v/>
      </c>
      <c r="W298" s="36" t="str">
        <f aca="false">IF($F298="","",IF(OR($O298="",$U298=""),0,IF($O298&lt;=$U298,1,0)))</f>
        <v/>
      </c>
      <c r="X298" s="37" t="str">
        <f aca="false">IF(OR($O298="",$N298=""),"",MAX(0,$O298-$N298))</f>
        <v/>
      </c>
      <c r="Y298" s="36" t="str">
        <f aca="false">IF($F298="","",IF(AND($Q298&lt;&gt;"",$N298&lt;&gt;"",$Q298&lt;&gt;$N298),1,0))</f>
        <v/>
      </c>
      <c r="Z298" s="36" t="str">
        <f aca="false">IF($F298="","",IF($P298="Cancelada",0,IF(OR($O298&lt;&gt;"",$P298="Concluída"),1,0)))</f>
        <v/>
      </c>
    </row>
    <row r="299" customFormat="false" ht="16.5" hidden="false" customHeight="true" outlineLevel="0" collapsed="false">
      <c r="A299" s="36" t="str">
        <f aca="false">IF($F299="","",COUNTA($F$5:$F299))</f>
        <v/>
      </c>
      <c r="B299" s="37" t="str">
        <f aca="true">IF($F299="","",IF($P299="Cancelada","Cancelada",IF(OR($O299&lt;&gt;"",$P299="Concluída"),IF(OR($N299="",$O299="",$O299&lt;=$N299),"Concluída","Concluída com atraso"),IF($N299="","Na carteira",IF($N299&lt;TODAY(),"VENCIDA",IF($P299="Em execução","Em execução",IF($N299=TODAY(),"Hoje","Programada")))))))</f>
        <v/>
      </c>
      <c r="C299" s="38"/>
      <c r="D299" s="38"/>
      <c r="E299" s="38"/>
      <c r="F299" s="38"/>
      <c r="G299" s="39"/>
      <c r="H299" s="39"/>
      <c r="I299" s="40"/>
      <c r="J299" s="40"/>
      <c r="K299" s="40"/>
      <c r="L299" s="41"/>
      <c r="M299" s="42"/>
      <c r="N299" s="43" t="str">
        <f aca="false">IF(OR($L299="",$M299=""),"",$L299+MATCH($M299,Listas!$F$5:$F$11,0)-1)</f>
        <v/>
      </c>
      <c r="O299" s="44"/>
      <c r="P299" s="39"/>
      <c r="Q299" s="44"/>
      <c r="R299" s="38"/>
      <c r="S299" s="38"/>
      <c r="T299" s="36" t="str">
        <f aca="false">IF($F299="","",IF(ISNUMBER(SEARCH("(externo)",$I299&amp;$J299&amp;$K299)),"Terceirizada","Interna"))</f>
        <v/>
      </c>
      <c r="U299" s="43" t="str">
        <f aca="false">IF($N299="","",IF($Q299="",$N299,$Q299))</f>
        <v/>
      </c>
      <c r="V299" s="36" t="str">
        <f aca="false">IF($F299="","",IF(OR($O299="",$N299=""),0,IF($O299&lt;=$N299,1,0)))</f>
        <v/>
      </c>
      <c r="W299" s="36" t="str">
        <f aca="false">IF($F299="","",IF(OR($O299="",$U299=""),0,IF($O299&lt;=$U299,1,0)))</f>
        <v/>
      </c>
      <c r="X299" s="37" t="str">
        <f aca="false">IF(OR($O299="",$N299=""),"",MAX(0,$O299-$N299))</f>
        <v/>
      </c>
      <c r="Y299" s="36" t="str">
        <f aca="false">IF($F299="","",IF(AND($Q299&lt;&gt;"",$N299&lt;&gt;"",$Q299&lt;&gt;$N299),1,0))</f>
        <v/>
      </c>
      <c r="Z299" s="36" t="str">
        <f aca="false">IF($F299="","",IF($P299="Cancelada",0,IF(OR($O299&lt;&gt;"",$P299="Concluída"),1,0)))</f>
        <v/>
      </c>
    </row>
    <row r="300" customFormat="false" ht="16.5" hidden="false" customHeight="true" outlineLevel="0" collapsed="false">
      <c r="A300" s="36" t="str">
        <f aca="false">IF($F300="","",COUNTA($F$5:$F300))</f>
        <v/>
      </c>
      <c r="B300" s="37" t="str">
        <f aca="true">IF($F300="","",IF($P300="Cancelada","Cancelada",IF(OR($O300&lt;&gt;"",$P300="Concluída"),IF(OR($N300="",$O300="",$O300&lt;=$N300),"Concluída","Concluída com atraso"),IF($N300="","Na carteira",IF($N300&lt;TODAY(),"VENCIDA",IF($P300="Em execução","Em execução",IF($N300=TODAY(),"Hoje","Programada")))))))</f>
        <v/>
      </c>
      <c r="C300" s="38"/>
      <c r="D300" s="38"/>
      <c r="E300" s="38"/>
      <c r="F300" s="38"/>
      <c r="G300" s="39"/>
      <c r="H300" s="39"/>
      <c r="I300" s="40"/>
      <c r="J300" s="40"/>
      <c r="K300" s="40"/>
      <c r="L300" s="41"/>
      <c r="M300" s="42"/>
      <c r="N300" s="43" t="str">
        <f aca="false">IF(OR($L300="",$M300=""),"",$L300+MATCH($M300,Listas!$F$5:$F$11,0)-1)</f>
        <v/>
      </c>
      <c r="O300" s="44"/>
      <c r="P300" s="39"/>
      <c r="Q300" s="44"/>
      <c r="R300" s="38"/>
      <c r="S300" s="38"/>
      <c r="T300" s="36" t="str">
        <f aca="false">IF($F300="","",IF(ISNUMBER(SEARCH("(externo)",$I300&amp;$J300&amp;$K300)),"Terceirizada","Interna"))</f>
        <v/>
      </c>
      <c r="U300" s="43" t="str">
        <f aca="false">IF($N300="","",IF($Q300="",$N300,$Q300))</f>
        <v/>
      </c>
      <c r="V300" s="36" t="str">
        <f aca="false">IF($F300="","",IF(OR($O300="",$N300=""),0,IF($O300&lt;=$N300,1,0)))</f>
        <v/>
      </c>
      <c r="W300" s="36" t="str">
        <f aca="false">IF($F300="","",IF(OR($O300="",$U300=""),0,IF($O300&lt;=$U300,1,0)))</f>
        <v/>
      </c>
      <c r="X300" s="37" t="str">
        <f aca="false">IF(OR($O300="",$N300=""),"",MAX(0,$O300-$N300))</f>
        <v/>
      </c>
      <c r="Y300" s="36" t="str">
        <f aca="false">IF($F300="","",IF(AND($Q300&lt;&gt;"",$N300&lt;&gt;"",$Q300&lt;&gt;$N300),1,0))</f>
        <v/>
      </c>
      <c r="Z300" s="36" t="str">
        <f aca="false">IF($F300="","",IF($P300="Cancelada",0,IF(OR($O300&lt;&gt;"",$P300="Concluída"),1,0)))</f>
        <v/>
      </c>
    </row>
    <row r="301" customFormat="false" ht="16.5" hidden="false" customHeight="true" outlineLevel="0" collapsed="false">
      <c r="A301" s="36" t="str">
        <f aca="false">IF($F301="","",COUNTA($F$5:$F301))</f>
        <v/>
      </c>
      <c r="B301" s="37" t="str">
        <f aca="true">IF($F301="","",IF($P301="Cancelada","Cancelada",IF(OR($O301&lt;&gt;"",$P301="Concluída"),IF(OR($N301="",$O301="",$O301&lt;=$N301),"Concluída","Concluída com atraso"),IF($N301="","Na carteira",IF($N301&lt;TODAY(),"VENCIDA",IF($P301="Em execução","Em execução",IF($N301=TODAY(),"Hoje","Programada")))))))</f>
        <v/>
      </c>
      <c r="C301" s="38"/>
      <c r="D301" s="38"/>
      <c r="E301" s="38"/>
      <c r="F301" s="38"/>
      <c r="G301" s="39"/>
      <c r="H301" s="39"/>
      <c r="I301" s="40"/>
      <c r="J301" s="40"/>
      <c r="K301" s="40"/>
      <c r="L301" s="41"/>
      <c r="M301" s="42"/>
      <c r="N301" s="43" t="str">
        <f aca="false">IF(OR($L301="",$M301=""),"",$L301+MATCH($M301,Listas!$F$5:$F$11,0)-1)</f>
        <v/>
      </c>
      <c r="O301" s="44"/>
      <c r="P301" s="39"/>
      <c r="Q301" s="44"/>
      <c r="R301" s="38"/>
      <c r="S301" s="38"/>
      <c r="T301" s="36" t="str">
        <f aca="false">IF($F301="","",IF(ISNUMBER(SEARCH("(externo)",$I301&amp;$J301&amp;$K301)),"Terceirizada","Interna"))</f>
        <v/>
      </c>
      <c r="U301" s="43" t="str">
        <f aca="false">IF($N301="","",IF($Q301="",$N301,$Q301))</f>
        <v/>
      </c>
      <c r="V301" s="36" t="str">
        <f aca="false">IF($F301="","",IF(OR($O301="",$N301=""),0,IF($O301&lt;=$N301,1,0)))</f>
        <v/>
      </c>
      <c r="W301" s="36" t="str">
        <f aca="false">IF($F301="","",IF(OR($O301="",$U301=""),0,IF($O301&lt;=$U301,1,0)))</f>
        <v/>
      </c>
      <c r="X301" s="37" t="str">
        <f aca="false">IF(OR($O301="",$N301=""),"",MAX(0,$O301-$N301))</f>
        <v/>
      </c>
      <c r="Y301" s="36" t="str">
        <f aca="false">IF($F301="","",IF(AND($Q301&lt;&gt;"",$N301&lt;&gt;"",$Q301&lt;&gt;$N301),1,0))</f>
        <v/>
      </c>
      <c r="Z301" s="36" t="str">
        <f aca="false">IF($F301="","",IF($P301="Cancelada",0,IF(OR($O301&lt;&gt;"",$P301="Concluída"),1,0)))</f>
        <v/>
      </c>
    </row>
    <row r="302" customFormat="false" ht="16.5" hidden="false" customHeight="true" outlineLevel="0" collapsed="false">
      <c r="A302" s="36" t="str">
        <f aca="false">IF($F302="","",COUNTA($F$5:$F302))</f>
        <v/>
      </c>
      <c r="B302" s="37" t="str">
        <f aca="true">IF($F302="","",IF($P302="Cancelada","Cancelada",IF(OR($O302&lt;&gt;"",$P302="Concluída"),IF(OR($N302="",$O302="",$O302&lt;=$N302),"Concluída","Concluída com atraso"),IF($N302="","Na carteira",IF($N302&lt;TODAY(),"VENCIDA",IF($P302="Em execução","Em execução",IF($N302=TODAY(),"Hoje","Programada")))))))</f>
        <v/>
      </c>
      <c r="C302" s="38"/>
      <c r="D302" s="38"/>
      <c r="E302" s="38"/>
      <c r="F302" s="38"/>
      <c r="G302" s="39"/>
      <c r="H302" s="39"/>
      <c r="I302" s="40"/>
      <c r="J302" s="40"/>
      <c r="K302" s="40"/>
      <c r="L302" s="41"/>
      <c r="M302" s="42"/>
      <c r="N302" s="43" t="str">
        <f aca="false">IF(OR($L302="",$M302=""),"",$L302+MATCH($M302,Listas!$F$5:$F$11,0)-1)</f>
        <v/>
      </c>
      <c r="O302" s="44"/>
      <c r="P302" s="39"/>
      <c r="Q302" s="44"/>
      <c r="R302" s="38"/>
      <c r="S302" s="38"/>
      <c r="T302" s="36" t="str">
        <f aca="false">IF($F302="","",IF(ISNUMBER(SEARCH("(externo)",$I302&amp;$J302&amp;$K302)),"Terceirizada","Interna"))</f>
        <v/>
      </c>
      <c r="U302" s="43" t="str">
        <f aca="false">IF($N302="","",IF($Q302="",$N302,$Q302))</f>
        <v/>
      </c>
      <c r="V302" s="36" t="str">
        <f aca="false">IF($F302="","",IF(OR($O302="",$N302=""),0,IF($O302&lt;=$N302,1,0)))</f>
        <v/>
      </c>
      <c r="W302" s="36" t="str">
        <f aca="false">IF($F302="","",IF(OR($O302="",$U302=""),0,IF($O302&lt;=$U302,1,0)))</f>
        <v/>
      </c>
      <c r="X302" s="37" t="str">
        <f aca="false">IF(OR($O302="",$N302=""),"",MAX(0,$O302-$N302))</f>
        <v/>
      </c>
      <c r="Y302" s="36" t="str">
        <f aca="false">IF($F302="","",IF(AND($Q302&lt;&gt;"",$N302&lt;&gt;"",$Q302&lt;&gt;$N302),1,0))</f>
        <v/>
      </c>
      <c r="Z302" s="36" t="str">
        <f aca="false">IF($F302="","",IF($P302="Cancelada",0,IF(OR($O302&lt;&gt;"",$P302="Concluída"),1,0)))</f>
        <v/>
      </c>
    </row>
    <row r="303" customFormat="false" ht="16.5" hidden="false" customHeight="true" outlineLevel="0" collapsed="false">
      <c r="A303" s="36" t="str">
        <f aca="false">IF($F303="","",COUNTA($F$5:$F303))</f>
        <v/>
      </c>
      <c r="B303" s="37" t="str">
        <f aca="true">IF($F303="","",IF($P303="Cancelada","Cancelada",IF(OR($O303&lt;&gt;"",$P303="Concluída"),IF(OR($N303="",$O303="",$O303&lt;=$N303),"Concluída","Concluída com atraso"),IF($N303="","Na carteira",IF($N303&lt;TODAY(),"VENCIDA",IF($P303="Em execução","Em execução",IF($N303=TODAY(),"Hoje","Programada")))))))</f>
        <v/>
      </c>
      <c r="C303" s="38"/>
      <c r="D303" s="38"/>
      <c r="E303" s="38"/>
      <c r="F303" s="38"/>
      <c r="G303" s="39"/>
      <c r="H303" s="39"/>
      <c r="I303" s="40"/>
      <c r="J303" s="40"/>
      <c r="K303" s="40"/>
      <c r="L303" s="41"/>
      <c r="M303" s="42"/>
      <c r="N303" s="43" t="str">
        <f aca="false">IF(OR($L303="",$M303=""),"",$L303+MATCH($M303,Listas!$F$5:$F$11,0)-1)</f>
        <v/>
      </c>
      <c r="O303" s="44"/>
      <c r="P303" s="39"/>
      <c r="Q303" s="44"/>
      <c r="R303" s="38"/>
      <c r="S303" s="38"/>
      <c r="T303" s="36" t="str">
        <f aca="false">IF($F303="","",IF(ISNUMBER(SEARCH("(externo)",$I303&amp;$J303&amp;$K303)),"Terceirizada","Interna"))</f>
        <v/>
      </c>
      <c r="U303" s="43" t="str">
        <f aca="false">IF($N303="","",IF($Q303="",$N303,$Q303))</f>
        <v/>
      </c>
      <c r="V303" s="36" t="str">
        <f aca="false">IF($F303="","",IF(OR($O303="",$N303=""),0,IF($O303&lt;=$N303,1,0)))</f>
        <v/>
      </c>
      <c r="W303" s="36" t="str">
        <f aca="false">IF($F303="","",IF(OR($O303="",$U303=""),0,IF($O303&lt;=$U303,1,0)))</f>
        <v/>
      </c>
      <c r="X303" s="37" t="str">
        <f aca="false">IF(OR($O303="",$N303=""),"",MAX(0,$O303-$N303))</f>
        <v/>
      </c>
      <c r="Y303" s="36" t="str">
        <f aca="false">IF($F303="","",IF(AND($Q303&lt;&gt;"",$N303&lt;&gt;"",$Q303&lt;&gt;$N303),1,0))</f>
        <v/>
      </c>
      <c r="Z303" s="36" t="str">
        <f aca="false">IF($F303="","",IF($P303="Cancelada",0,IF(OR($O303&lt;&gt;"",$P303="Concluída"),1,0)))</f>
        <v/>
      </c>
    </row>
    <row r="304" customFormat="false" ht="16.5" hidden="false" customHeight="true" outlineLevel="0" collapsed="false">
      <c r="A304" s="36" t="str">
        <f aca="false">IF($F304="","",COUNTA($F$5:$F304))</f>
        <v/>
      </c>
      <c r="B304" s="37" t="str">
        <f aca="true">IF($F304="","",IF($P304="Cancelada","Cancelada",IF(OR($O304&lt;&gt;"",$P304="Concluída"),IF(OR($N304="",$O304="",$O304&lt;=$N304),"Concluída","Concluída com atraso"),IF($N304="","Na carteira",IF($N304&lt;TODAY(),"VENCIDA",IF($P304="Em execução","Em execução",IF($N304=TODAY(),"Hoje","Programada")))))))</f>
        <v/>
      </c>
      <c r="C304" s="38"/>
      <c r="D304" s="38"/>
      <c r="E304" s="38"/>
      <c r="F304" s="38"/>
      <c r="G304" s="39"/>
      <c r="H304" s="39"/>
      <c r="I304" s="40"/>
      <c r="J304" s="40"/>
      <c r="K304" s="40"/>
      <c r="L304" s="41"/>
      <c r="M304" s="42"/>
      <c r="N304" s="43" t="str">
        <f aca="false">IF(OR($L304="",$M304=""),"",$L304+MATCH($M304,Listas!$F$5:$F$11,0)-1)</f>
        <v/>
      </c>
      <c r="O304" s="44"/>
      <c r="P304" s="39"/>
      <c r="Q304" s="44"/>
      <c r="R304" s="38"/>
      <c r="S304" s="38"/>
      <c r="T304" s="36" t="str">
        <f aca="false">IF($F304="","",IF(ISNUMBER(SEARCH("(externo)",$I304&amp;$J304&amp;$K304)),"Terceirizada","Interna"))</f>
        <v/>
      </c>
      <c r="U304" s="43" t="str">
        <f aca="false">IF($N304="","",IF($Q304="",$N304,$Q304))</f>
        <v/>
      </c>
      <c r="V304" s="36" t="str">
        <f aca="false">IF($F304="","",IF(OR($O304="",$N304=""),0,IF($O304&lt;=$N304,1,0)))</f>
        <v/>
      </c>
      <c r="W304" s="36" t="str">
        <f aca="false">IF($F304="","",IF(OR($O304="",$U304=""),0,IF($O304&lt;=$U304,1,0)))</f>
        <v/>
      </c>
      <c r="X304" s="37" t="str">
        <f aca="false">IF(OR($O304="",$N304=""),"",MAX(0,$O304-$N304))</f>
        <v/>
      </c>
      <c r="Y304" s="36" t="str">
        <f aca="false">IF($F304="","",IF(AND($Q304&lt;&gt;"",$N304&lt;&gt;"",$Q304&lt;&gt;$N304),1,0))</f>
        <v/>
      </c>
      <c r="Z304" s="36" t="str">
        <f aca="false">IF($F304="","",IF($P304="Cancelada",0,IF(OR($O304&lt;&gt;"",$P304="Concluída"),1,0)))</f>
        <v/>
      </c>
    </row>
    <row r="305" customFormat="false" ht="16.5" hidden="false" customHeight="true" outlineLevel="0" collapsed="false">
      <c r="A305" s="36" t="str">
        <f aca="false">IF($F305="","",COUNTA($F$5:$F305))</f>
        <v/>
      </c>
      <c r="B305" s="37" t="str">
        <f aca="true">IF($F305="","",IF($P305="Cancelada","Cancelada",IF(OR($O305&lt;&gt;"",$P305="Concluída"),IF(OR($N305="",$O305="",$O305&lt;=$N305),"Concluída","Concluída com atraso"),IF($N305="","Na carteira",IF($N305&lt;TODAY(),"VENCIDA",IF($P305="Em execução","Em execução",IF($N305=TODAY(),"Hoje","Programada")))))))</f>
        <v/>
      </c>
      <c r="C305" s="38"/>
      <c r="D305" s="38"/>
      <c r="E305" s="38"/>
      <c r="F305" s="38"/>
      <c r="G305" s="39"/>
      <c r="H305" s="39"/>
      <c r="I305" s="40"/>
      <c r="J305" s="40"/>
      <c r="K305" s="40"/>
      <c r="L305" s="41"/>
      <c r="M305" s="42"/>
      <c r="N305" s="43" t="str">
        <f aca="false">IF(OR($L305="",$M305=""),"",$L305+MATCH($M305,Listas!$F$5:$F$11,0)-1)</f>
        <v/>
      </c>
      <c r="O305" s="44"/>
      <c r="P305" s="39"/>
      <c r="Q305" s="44"/>
      <c r="R305" s="38"/>
      <c r="S305" s="38"/>
      <c r="T305" s="36" t="str">
        <f aca="false">IF($F305="","",IF(ISNUMBER(SEARCH("(externo)",$I305&amp;$J305&amp;$K305)),"Terceirizada","Interna"))</f>
        <v/>
      </c>
      <c r="U305" s="43" t="str">
        <f aca="false">IF($N305="","",IF($Q305="",$N305,$Q305))</f>
        <v/>
      </c>
      <c r="V305" s="36" t="str">
        <f aca="false">IF($F305="","",IF(OR($O305="",$N305=""),0,IF($O305&lt;=$N305,1,0)))</f>
        <v/>
      </c>
      <c r="W305" s="36" t="str">
        <f aca="false">IF($F305="","",IF(OR($O305="",$U305=""),0,IF($O305&lt;=$U305,1,0)))</f>
        <v/>
      </c>
      <c r="X305" s="37" t="str">
        <f aca="false">IF(OR($O305="",$N305=""),"",MAX(0,$O305-$N305))</f>
        <v/>
      </c>
      <c r="Y305" s="36" t="str">
        <f aca="false">IF($F305="","",IF(AND($Q305&lt;&gt;"",$N305&lt;&gt;"",$Q305&lt;&gt;$N305),1,0))</f>
        <v/>
      </c>
      <c r="Z305" s="36" t="str">
        <f aca="false">IF($F305="","",IF($P305="Cancelada",0,IF(OR($O305&lt;&gt;"",$P305="Concluída"),1,0)))</f>
        <v/>
      </c>
    </row>
    <row r="306" customFormat="false" ht="16.5" hidden="false" customHeight="true" outlineLevel="0" collapsed="false">
      <c r="A306" s="36" t="str">
        <f aca="false">IF($F306="","",COUNTA($F$5:$F306))</f>
        <v/>
      </c>
      <c r="B306" s="37" t="str">
        <f aca="true">IF($F306="","",IF($P306="Cancelada","Cancelada",IF(OR($O306&lt;&gt;"",$P306="Concluída"),IF(OR($N306="",$O306="",$O306&lt;=$N306),"Concluída","Concluída com atraso"),IF($N306="","Na carteira",IF($N306&lt;TODAY(),"VENCIDA",IF($P306="Em execução","Em execução",IF($N306=TODAY(),"Hoje","Programada")))))))</f>
        <v/>
      </c>
      <c r="C306" s="38"/>
      <c r="D306" s="38"/>
      <c r="E306" s="38"/>
      <c r="F306" s="38"/>
      <c r="G306" s="39"/>
      <c r="H306" s="39"/>
      <c r="I306" s="40"/>
      <c r="J306" s="40"/>
      <c r="K306" s="40"/>
      <c r="L306" s="41"/>
      <c r="M306" s="42"/>
      <c r="N306" s="43" t="str">
        <f aca="false">IF(OR($L306="",$M306=""),"",$L306+MATCH($M306,Listas!$F$5:$F$11,0)-1)</f>
        <v/>
      </c>
      <c r="O306" s="44"/>
      <c r="P306" s="39"/>
      <c r="Q306" s="44"/>
      <c r="R306" s="38"/>
      <c r="S306" s="38"/>
      <c r="T306" s="36" t="str">
        <f aca="false">IF($F306="","",IF(ISNUMBER(SEARCH("(externo)",$I306&amp;$J306&amp;$K306)),"Terceirizada","Interna"))</f>
        <v/>
      </c>
      <c r="U306" s="43" t="str">
        <f aca="false">IF($N306="","",IF($Q306="",$N306,$Q306))</f>
        <v/>
      </c>
      <c r="V306" s="36" t="str">
        <f aca="false">IF($F306="","",IF(OR($O306="",$N306=""),0,IF($O306&lt;=$N306,1,0)))</f>
        <v/>
      </c>
      <c r="W306" s="36" t="str">
        <f aca="false">IF($F306="","",IF(OR($O306="",$U306=""),0,IF($O306&lt;=$U306,1,0)))</f>
        <v/>
      </c>
      <c r="X306" s="37" t="str">
        <f aca="false">IF(OR($O306="",$N306=""),"",MAX(0,$O306-$N306))</f>
        <v/>
      </c>
      <c r="Y306" s="36" t="str">
        <f aca="false">IF($F306="","",IF(AND($Q306&lt;&gt;"",$N306&lt;&gt;"",$Q306&lt;&gt;$N306),1,0))</f>
        <v/>
      </c>
      <c r="Z306" s="36" t="str">
        <f aca="false">IF($F306="","",IF($P306="Cancelada",0,IF(OR($O306&lt;&gt;"",$P306="Concluída"),1,0)))</f>
        <v/>
      </c>
    </row>
    <row r="307" customFormat="false" ht="16.5" hidden="false" customHeight="true" outlineLevel="0" collapsed="false">
      <c r="A307" s="36" t="str">
        <f aca="false">IF($F307="","",COUNTA($F$5:$F307))</f>
        <v/>
      </c>
      <c r="B307" s="37" t="str">
        <f aca="true">IF($F307="","",IF($P307="Cancelada","Cancelada",IF(OR($O307&lt;&gt;"",$P307="Concluída"),IF(OR($N307="",$O307="",$O307&lt;=$N307),"Concluída","Concluída com atraso"),IF($N307="","Na carteira",IF($N307&lt;TODAY(),"VENCIDA",IF($P307="Em execução","Em execução",IF($N307=TODAY(),"Hoje","Programada")))))))</f>
        <v/>
      </c>
      <c r="C307" s="38"/>
      <c r="D307" s="38"/>
      <c r="E307" s="38"/>
      <c r="F307" s="38"/>
      <c r="G307" s="39"/>
      <c r="H307" s="39"/>
      <c r="I307" s="40"/>
      <c r="J307" s="40"/>
      <c r="K307" s="40"/>
      <c r="L307" s="41"/>
      <c r="M307" s="42"/>
      <c r="N307" s="43" t="str">
        <f aca="false">IF(OR($L307="",$M307=""),"",$L307+MATCH($M307,Listas!$F$5:$F$11,0)-1)</f>
        <v/>
      </c>
      <c r="O307" s="44"/>
      <c r="P307" s="39"/>
      <c r="Q307" s="44"/>
      <c r="R307" s="38"/>
      <c r="S307" s="38"/>
      <c r="T307" s="36" t="str">
        <f aca="false">IF($F307="","",IF(ISNUMBER(SEARCH("(externo)",$I307&amp;$J307&amp;$K307)),"Terceirizada","Interna"))</f>
        <v/>
      </c>
      <c r="U307" s="43" t="str">
        <f aca="false">IF($N307="","",IF($Q307="",$N307,$Q307))</f>
        <v/>
      </c>
      <c r="V307" s="36" t="str">
        <f aca="false">IF($F307="","",IF(OR($O307="",$N307=""),0,IF($O307&lt;=$N307,1,0)))</f>
        <v/>
      </c>
      <c r="W307" s="36" t="str">
        <f aca="false">IF($F307="","",IF(OR($O307="",$U307=""),0,IF($O307&lt;=$U307,1,0)))</f>
        <v/>
      </c>
      <c r="X307" s="37" t="str">
        <f aca="false">IF(OR($O307="",$N307=""),"",MAX(0,$O307-$N307))</f>
        <v/>
      </c>
      <c r="Y307" s="36" t="str">
        <f aca="false">IF($F307="","",IF(AND($Q307&lt;&gt;"",$N307&lt;&gt;"",$Q307&lt;&gt;$N307),1,0))</f>
        <v/>
      </c>
      <c r="Z307" s="36" t="str">
        <f aca="false">IF($F307="","",IF($P307="Cancelada",0,IF(OR($O307&lt;&gt;"",$P307="Concluída"),1,0)))</f>
        <v/>
      </c>
    </row>
    <row r="308" customFormat="false" ht="16.5" hidden="false" customHeight="true" outlineLevel="0" collapsed="false">
      <c r="A308" s="36" t="str">
        <f aca="false">IF($F308="","",COUNTA($F$5:$F308))</f>
        <v/>
      </c>
      <c r="B308" s="37" t="str">
        <f aca="true">IF($F308="","",IF($P308="Cancelada","Cancelada",IF(OR($O308&lt;&gt;"",$P308="Concluída"),IF(OR($N308="",$O308="",$O308&lt;=$N308),"Concluída","Concluída com atraso"),IF($N308="","Na carteira",IF($N308&lt;TODAY(),"VENCIDA",IF($P308="Em execução","Em execução",IF($N308=TODAY(),"Hoje","Programada")))))))</f>
        <v/>
      </c>
      <c r="C308" s="38"/>
      <c r="D308" s="38"/>
      <c r="E308" s="38"/>
      <c r="F308" s="38"/>
      <c r="G308" s="39"/>
      <c r="H308" s="39"/>
      <c r="I308" s="40"/>
      <c r="J308" s="40"/>
      <c r="K308" s="40"/>
      <c r="L308" s="41"/>
      <c r="M308" s="42"/>
      <c r="N308" s="43" t="str">
        <f aca="false">IF(OR($L308="",$M308=""),"",$L308+MATCH($M308,Listas!$F$5:$F$11,0)-1)</f>
        <v/>
      </c>
      <c r="O308" s="44"/>
      <c r="P308" s="39"/>
      <c r="Q308" s="44"/>
      <c r="R308" s="38"/>
      <c r="S308" s="38"/>
      <c r="T308" s="36" t="str">
        <f aca="false">IF($F308="","",IF(ISNUMBER(SEARCH("(externo)",$I308&amp;$J308&amp;$K308)),"Terceirizada","Interna"))</f>
        <v/>
      </c>
      <c r="U308" s="43" t="str">
        <f aca="false">IF($N308="","",IF($Q308="",$N308,$Q308))</f>
        <v/>
      </c>
      <c r="V308" s="36" t="str">
        <f aca="false">IF($F308="","",IF(OR($O308="",$N308=""),0,IF($O308&lt;=$N308,1,0)))</f>
        <v/>
      </c>
      <c r="W308" s="36" t="str">
        <f aca="false">IF($F308="","",IF(OR($O308="",$U308=""),0,IF($O308&lt;=$U308,1,0)))</f>
        <v/>
      </c>
      <c r="X308" s="37" t="str">
        <f aca="false">IF(OR($O308="",$N308=""),"",MAX(0,$O308-$N308))</f>
        <v/>
      </c>
      <c r="Y308" s="36" t="str">
        <f aca="false">IF($F308="","",IF(AND($Q308&lt;&gt;"",$N308&lt;&gt;"",$Q308&lt;&gt;$N308),1,0))</f>
        <v/>
      </c>
      <c r="Z308" s="36" t="str">
        <f aca="false">IF($F308="","",IF($P308="Cancelada",0,IF(OR($O308&lt;&gt;"",$P308="Concluída"),1,0)))</f>
        <v/>
      </c>
    </row>
    <row r="309" customFormat="false" ht="16.5" hidden="false" customHeight="true" outlineLevel="0" collapsed="false">
      <c r="A309" s="36" t="str">
        <f aca="false">IF($F309="","",COUNTA($F$5:$F309))</f>
        <v/>
      </c>
      <c r="B309" s="37" t="str">
        <f aca="true">IF($F309="","",IF($P309="Cancelada","Cancelada",IF(OR($O309&lt;&gt;"",$P309="Concluída"),IF(OR($N309="",$O309="",$O309&lt;=$N309),"Concluída","Concluída com atraso"),IF($N309="","Na carteira",IF($N309&lt;TODAY(),"VENCIDA",IF($P309="Em execução","Em execução",IF($N309=TODAY(),"Hoje","Programada")))))))</f>
        <v/>
      </c>
      <c r="C309" s="38"/>
      <c r="D309" s="38"/>
      <c r="E309" s="38"/>
      <c r="F309" s="38"/>
      <c r="G309" s="39"/>
      <c r="H309" s="39"/>
      <c r="I309" s="40"/>
      <c r="J309" s="40"/>
      <c r="K309" s="40"/>
      <c r="L309" s="41"/>
      <c r="M309" s="42"/>
      <c r="N309" s="43" t="str">
        <f aca="false">IF(OR($L309="",$M309=""),"",$L309+MATCH($M309,Listas!$F$5:$F$11,0)-1)</f>
        <v/>
      </c>
      <c r="O309" s="44"/>
      <c r="P309" s="39"/>
      <c r="Q309" s="44"/>
      <c r="R309" s="38"/>
      <c r="S309" s="38"/>
      <c r="T309" s="36" t="str">
        <f aca="false">IF($F309="","",IF(ISNUMBER(SEARCH("(externo)",$I309&amp;$J309&amp;$K309)),"Terceirizada","Interna"))</f>
        <v/>
      </c>
      <c r="U309" s="43" t="str">
        <f aca="false">IF($N309="","",IF($Q309="",$N309,$Q309))</f>
        <v/>
      </c>
      <c r="V309" s="36" t="str">
        <f aca="false">IF($F309="","",IF(OR($O309="",$N309=""),0,IF($O309&lt;=$N309,1,0)))</f>
        <v/>
      </c>
      <c r="W309" s="36" t="str">
        <f aca="false">IF($F309="","",IF(OR($O309="",$U309=""),0,IF($O309&lt;=$U309,1,0)))</f>
        <v/>
      </c>
      <c r="X309" s="37" t="str">
        <f aca="false">IF(OR($O309="",$N309=""),"",MAX(0,$O309-$N309))</f>
        <v/>
      </c>
      <c r="Y309" s="36" t="str">
        <f aca="false">IF($F309="","",IF(AND($Q309&lt;&gt;"",$N309&lt;&gt;"",$Q309&lt;&gt;$N309),1,0))</f>
        <v/>
      </c>
      <c r="Z309" s="36" t="str">
        <f aca="false">IF($F309="","",IF($P309="Cancelada",0,IF(OR($O309&lt;&gt;"",$P309="Concluída"),1,0)))</f>
        <v/>
      </c>
    </row>
    <row r="310" customFormat="false" ht="16.5" hidden="false" customHeight="true" outlineLevel="0" collapsed="false">
      <c r="A310" s="36" t="str">
        <f aca="false">IF($F310="","",COUNTA($F$5:$F310))</f>
        <v/>
      </c>
      <c r="B310" s="37" t="str">
        <f aca="true">IF($F310="","",IF($P310="Cancelada","Cancelada",IF(OR($O310&lt;&gt;"",$P310="Concluída"),IF(OR($N310="",$O310="",$O310&lt;=$N310),"Concluída","Concluída com atraso"),IF($N310="","Na carteira",IF($N310&lt;TODAY(),"VENCIDA",IF($P310="Em execução","Em execução",IF($N310=TODAY(),"Hoje","Programada")))))))</f>
        <v/>
      </c>
      <c r="C310" s="38"/>
      <c r="D310" s="38"/>
      <c r="E310" s="38"/>
      <c r="F310" s="38"/>
      <c r="G310" s="39"/>
      <c r="H310" s="39"/>
      <c r="I310" s="40"/>
      <c r="J310" s="40"/>
      <c r="K310" s="40"/>
      <c r="L310" s="41"/>
      <c r="M310" s="42"/>
      <c r="N310" s="43" t="str">
        <f aca="false">IF(OR($L310="",$M310=""),"",$L310+MATCH($M310,Listas!$F$5:$F$11,0)-1)</f>
        <v/>
      </c>
      <c r="O310" s="44"/>
      <c r="P310" s="39"/>
      <c r="Q310" s="44"/>
      <c r="R310" s="38"/>
      <c r="S310" s="38"/>
      <c r="T310" s="36" t="str">
        <f aca="false">IF($F310="","",IF(ISNUMBER(SEARCH("(externo)",$I310&amp;$J310&amp;$K310)),"Terceirizada","Interna"))</f>
        <v/>
      </c>
      <c r="U310" s="43" t="str">
        <f aca="false">IF($N310="","",IF($Q310="",$N310,$Q310))</f>
        <v/>
      </c>
      <c r="V310" s="36" t="str">
        <f aca="false">IF($F310="","",IF(OR($O310="",$N310=""),0,IF($O310&lt;=$N310,1,0)))</f>
        <v/>
      </c>
      <c r="W310" s="36" t="str">
        <f aca="false">IF($F310="","",IF(OR($O310="",$U310=""),0,IF($O310&lt;=$U310,1,0)))</f>
        <v/>
      </c>
      <c r="X310" s="37" t="str">
        <f aca="false">IF(OR($O310="",$N310=""),"",MAX(0,$O310-$N310))</f>
        <v/>
      </c>
      <c r="Y310" s="36" t="str">
        <f aca="false">IF($F310="","",IF(AND($Q310&lt;&gt;"",$N310&lt;&gt;"",$Q310&lt;&gt;$N310),1,0))</f>
        <v/>
      </c>
      <c r="Z310" s="36" t="str">
        <f aca="false">IF($F310="","",IF($P310="Cancelada",0,IF(OR($O310&lt;&gt;"",$P310="Concluída"),1,0)))</f>
        <v/>
      </c>
    </row>
    <row r="311" customFormat="false" ht="16.5" hidden="false" customHeight="true" outlineLevel="0" collapsed="false">
      <c r="A311" s="36" t="str">
        <f aca="false">IF($F311="","",COUNTA($F$5:$F311))</f>
        <v/>
      </c>
      <c r="B311" s="37" t="str">
        <f aca="true">IF($F311="","",IF($P311="Cancelada","Cancelada",IF(OR($O311&lt;&gt;"",$P311="Concluída"),IF(OR($N311="",$O311="",$O311&lt;=$N311),"Concluída","Concluída com atraso"),IF($N311="","Na carteira",IF($N311&lt;TODAY(),"VENCIDA",IF($P311="Em execução","Em execução",IF($N311=TODAY(),"Hoje","Programada")))))))</f>
        <v/>
      </c>
      <c r="C311" s="38"/>
      <c r="D311" s="38"/>
      <c r="E311" s="38"/>
      <c r="F311" s="38"/>
      <c r="G311" s="39"/>
      <c r="H311" s="39"/>
      <c r="I311" s="40"/>
      <c r="J311" s="40"/>
      <c r="K311" s="40"/>
      <c r="L311" s="41"/>
      <c r="M311" s="42"/>
      <c r="N311" s="43" t="str">
        <f aca="false">IF(OR($L311="",$M311=""),"",$L311+MATCH($M311,Listas!$F$5:$F$11,0)-1)</f>
        <v/>
      </c>
      <c r="O311" s="44"/>
      <c r="P311" s="39"/>
      <c r="Q311" s="44"/>
      <c r="R311" s="38"/>
      <c r="S311" s="38"/>
      <c r="T311" s="36" t="str">
        <f aca="false">IF($F311="","",IF(ISNUMBER(SEARCH("(externo)",$I311&amp;$J311&amp;$K311)),"Terceirizada","Interna"))</f>
        <v/>
      </c>
      <c r="U311" s="43" t="str">
        <f aca="false">IF($N311="","",IF($Q311="",$N311,$Q311))</f>
        <v/>
      </c>
      <c r="V311" s="36" t="str">
        <f aca="false">IF($F311="","",IF(OR($O311="",$N311=""),0,IF($O311&lt;=$N311,1,0)))</f>
        <v/>
      </c>
      <c r="W311" s="36" t="str">
        <f aca="false">IF($F311="","",IF(OR($O311="",$U311=""),0,IF($O311&lt;=$U311,1,0)))</f>
        <v/>
      </c>
      <c r="X311" s="37" t="str">
        <f aca="false">IF(OR($O311="",$N311=""),"",MAX(0,$O311-$N311))</f>
        <v/>
      </c>
      <c r="Y311" s="36" t="str">
        <f aca="false">IF($F311="","",IF(AND($Q311&lt;&gt;"",$N311&lt;&gt;"",$Q311&lt;&gt;$N311),1,0))</f>
        <v/>
      </c>
      <c r="Z311" s="36" t="str">
        <f aca="false">IF($F311="","",IF($P311="Cancelada",0,IF(OR($O311&lt;&gt;"",$P311="Concluída"),1,0)))</f>
        <v/>
      </c>
    </row>
    <row r="312" customFormat="false" ht="16.5" hidden="false" customHeight="true" outlineLevel="0" collapsed="false">
      <c r="A312" s="36" t="str">
        <f aca="false">IF($F312="","",COUNTA($F$5:$F312))</f>
        <v/>
      </c>
      <c r="B312" s="37" t="str">
        <f aca="true">IF($F312="","",IF($P312="Cancelada","Cancelada",IF(OR($O312&lt;&gt;"",$P312="Concluída"),IF(OR($N312="",$O312="",$O312&lt;=$N312),"Concluída","Concluída com atraso"),IF($N312="","Na carteira",IF($N312&lt;TODAY(),"VENCIDA",IF($P312="Em execução","Em execução",IF($N312=TODAY(),"Hoje","Programada")))))))</f>
        <v/>
      </c>
      <c r="C312" s="38"/>
      <c r="D312" s="38"/>
      <c r="E312" s="38"/>
      <c r="F312" s="38"/>
      <c r="G312" s="39"/>
      <c r="H312" s="39"/>
      <c r="I312" s="40"/>
      <c r="J312" s="40"/>
      <c r="K312" s="40"/>
      <c r="L312" s="41"/>
      <c r="M312" s="42"/>
      <c r="N312" s="43" t="str">
        <f aca="false">IF(OR($L312="",$M312=""),"",$L312+MATCH($M312,Listas!$F$5:$F$11,0)-1)</f>
        <v/>
      </c>
      <c r="O312" s="44"/>
      <c r="P312" s="39"/>
      <c r="Q312" s="44"/>
      <c r="R312" s="38"/>
      <c r="S312" s="38"/>
      <c r="T312" s="36" t="str">
        <f aca="false">IF($F312="","",IF(ISNUMBER(SEARCH("(externo)",$I312&amp;$J312&amp;$K312)),"Terceirizada","Interna"))</f>
        <v/>
      </c>
      <c r="U312" s="43" t="str">
        <f aca="false">IF($N312="","",IF($Q312="",$N312,$Q312))</f>
        <v/>
      </c>
      <c r="V312" s="36" t="str">
        <f aca="false">IF($F312="","",IF(OR($O312="",$N312=""),0,IF($O312&lt;=$N312,1,0)))</f>
        <v/>
      </c>
      <c r="W312" s="36" t="str">
        <f aca="false">IF($F312="","",IF(OR($O312="",$U312=""),0,IF($O312&lt;=$U312,1,0)))</f>
        <v/>
      </c>
      <c r="X312" s="37" t="str">
        <f aca="false">IF(OR($O312="",$N312=""),"",MAX(0,$O312-$N312))</f>
        <v/>
      </c>
      <c r="Y312" s="36" t="str">
        <f aca="false">IF($F312="","",IF(AND($Q312&lt;&gt;"",$N312&lt;&gt;"",$Q312&lt;&gt;$N312),1,0))</f>
        <v/>
      </c>
      <c r="Z312" s="36" t="str">
        <f aca="false">IF($F312="","",IF($P312="Cancelada",0,IF(OR($O312&lt;&gt;"",$P312="Concluída"),1,0)))</f>
        <v/>
      </c>
    </row>
    <row r="313" customFormat="false" ht="16.5" hidden="false" customHeight="true" outlineLevel="0" collapsed="false">
      <c r="A313" s="36" t="str">
        <f aca="false">IF($F313="","",COUNTA($F$5:$F313))</f>
        <v/>
      </c>
      <c r="B313" s="37" t="str">
        <f aca="true">IF($F313="","",IF($P313="Cancelada","Cancelada",IF(OR($O313&lt;&gt;"",$P313="Concluída"),IF(OR($N313="",$O313="",$O313&lt;=$N313),"Concluída","Concluída com atraso"),IF($N313="","Na carteira",IF($N313&lt;TODAY(),"VENCIDA",IF($P313="Em execução","Em execução",IF($N313=TODAY(),"Hoje","Programada")))))))</f>
        <v/>
      </c>
      <c r="C313" s="38"/>
      <c r="D313" s="38"/>
      <c r="E313" s="38"/>
      <c r="F313" s="38"/>
      <c r="G313" s="39"/>
      <c r="H313" s="39"/>
      <c r="I313" s="40"/>
      <c r="J313" s="40"/>
      <c r="K313" s="40"/>
      <c r="L313" s="41"/>
      <c r="M313" s="42"/>
      <c r="N313" s="43" t="str">
        <f aca="false">IF(OR($L313="",$M313=""),"",$L313+MATCH($M313,Listas!$F$5:$F$11,0)-1)</f>
        <v/>
      </c>
      <c r="O313" s="44"/>
      <c r="P313" s="39"/>
      <c r="Q313" s="44"/>
      <c r="R313" s="38"/>
      <c r="S313" s="38"/>
      <c r="T313" s="36" t="str">
        <f aca="false">IF($F313="","",IF(ISNUMBER(SEARCH("(externo)",$I313&amp;$J313&amp;$K313)),"Terceirizada","Interna"))</f>
        <v/>
      </c>
      <c r="U313" s="43" t="str">
        <f aca="false">IF($N313="","",IF($Q313="",$N313,$Q313))</f>
        <v/>
      </c>
      <c r="V313" s="36" t="str">
        <f aca="false">IF($F313="","",IF(OR($O313="",$N313=""),0,IF($O313&lt;=$N313,1,0)))</f>
        <v/>
      </c>
      <c r="W313" s="36" t="str">
        <f aca="false">IF($F313="","",IF(OR($O313="",$U313=""),0,IF($O313&lt;=$U313,1,0)))</f>
        <v/>
      </c>
      <c r="X313" s="37" t="str">
        <f aca="false">IF(OR($O313="",$N313=""),"",MAX(0,$O313-$N313))</f>
        <v/>
      </c>
      <c r="Y313" s="36" t="str">
        <f aca="false">IF($F313="","",IF(AND($Q313&lt;&gt;"",$N313&lt;&gt;"",$Q313&lt;&gt;$N313),1,0))</f>
        <v/>
      </c>
      <c r="Z313" s="36" t="str">
        <f aca="false">IF($F313="","",IF($P313="Cancelada",0,IF(OR($O313&lt;&gt;"",$P313="Concluída"),1,0)))</f>
        <v/>
      </c>
    </row>
    <row r="314" customFormat="false" ht="16.5" hidden="false" customHeight="true" outlineLevel="0" collapsed="false">
      <c r="A314" s="36" t="str">
        <f aca="false">IF($F314="","",COUNTA($F$5:$F314))</f>
        <v/>
      </c>
      <c r="B314" s="37" t="str">
        <f aca="true">IF($F314="","",IF($P314="Cancelada","Cancelada",IF(OR($O314&lt;&gt;"",$P314="Concluída"),IF(OR($N314="",$O314="",$O314&lt;=$N314),"Concluída","Concluída com atraso"),IF($N314="","Na carteira",IF($N314&lt;TODAY(),"VENCIDA",IF($P314="Em execução","Em execução",IF($N314=TODAY(),"Hoje","Programada")))))))</f>
        <v/>
      </c>
      <c r="C314" s="38"/>
      <c r="D314" s="38"/>
      <c r="E314" s="38"/>
      <c r="F314" s="38"/>
      <c r="G314" s="39"/>
      <c r="H314" s="39"/>
      <c r="I314" s="40"/>
      <c r="J314" s="40"/>
      <c r="K314" s="40"/>
      <c r="L314" s="41"/>
      <c r="M314" s="42"/>
      <c r="N314" s="43" t="str">
        <f aca="false">IF(OR($L314="",$M314=""),"",$L314+MATCH($M314,Listas!$F$5:$F$11,0)-1)</f>
        <v/>
      </c>
      <c r="O314" s="44"/>
      <c r="P314" s="39"/>
      <c r="Q314" s="44"/>
      <c r="R314" s="38"/>
      <c r="S314" s="38"/>
      <c r="T314" s="36" t="str">
        <f aca="false">IF($F314="","",IF(ISNUMBER(SEARCH("(externo)",$I314&amp;$J314&amp;$K314)),"Terceirizada","Interna"))</f>
        <v/>
      </c>
      <c r="U314" s="43" t="str">
        <f aca="false">IF($N314="","",IF($Q314="",$N314,$Q314))</f>
        <v/>
      </c>
      <c r="V314" s="36" t="str">
        <f aca="false">IF($F314="","",IF(OR($O314="",$N314=""),0,IF($O314&lt;=$N314,1,0)))</f>
        <v/>
      </c>
      <c r="W314" s="36" t="str">
        <f aca="false">IF($F314="","",IF(OR($O314="",$U314=""),0,IF($O314&lt;=$U314,1,0)))</f>
        <v/>
      </c>
      <c r="X314" s="37" t="str">
        <f aca="false">IF(OR($O314="",$N314=""),"",MAX(0,$O314-$N314))</f>
        <v/>
      </c>
      <c r="Y314" s="36" t="str">
        <f aca="false">IF($F314="","",IF(AND($Q314&lt;&gt;"",$N314&lt;&gt;"",$Q314&lt;&gt;$N314),1,0))</f>
        <v/>
      </c>
      <c r="Z314" s="36" t="str">
        <f aca="false">IF($F314="","",IF($P314="Cancelada",0,IF(OR($O314&lt;&gt;"",$P314="Concluída"),1,0)))</f>
        <v/>
      </c>
    </row>
    <row r="315" customFormat="false" ht="16.5" hidden="false" customHeight="true" outlineLevel="0" collapsed="false">
      <c r="A315" s="36" t="str">
        <f aca="false">IF($F315="","",COUNTA($F$5:$F315))</f>
        <v/>
      </c>
      <c r="B315" s="37" t="str">
        <f aca="true">IF($F315="","",IF($P315="Cancelada","Cancelada",IF(OR($O315&lt;&gt;"",$P315="Concluída"),IF(OR($N315="",$O315="",$O315&lt;=$N315),"Concluída","Concluída com atraso"),IF($N315="","Na carteira",IF($N315&lt;TODAY(),"VENCIDA",IF($P315="Em execução","Em execução",IF($N315=TODAY(),"Hoje","Programada")))))))</f>
        <v/>
      </c>
      <c r="C315" s="38"/>
      <c r="D315" s="38"/>
      <c r="E315" s="38"/>
      <c r="F315" s="38"/>
      <c r="G315" s="39"/>
      <c r="H315" s="39"/>
      <c r="I315" s="40"/>
      <c r="J315" s="40"/>
      <c r="K315" s="40"/>
      <c r="L315" s="41"/>
      <c r="M315" s="42"/>
      <c r="N315" s="43" t="str">
        <f aca="false">IF(OR($L315="",$M315=""),"",$L315+MATCH($M315,Listas!$F$5:$F$11,0)-1)</f>
        <v/>
      </c>
      <c r="O315" s="44"/>
      <c r="P315" s="39"/>
      <c r="Q315" s="44"/>
      <c r="R315" s="38"/>
      <c r="S315" s="38"/>
      <c r="T315" s="36" t="str">
        <f aca="false">IF($F315="","",IF(ISNUMBER(SEARCH("(externo)",$I315&amp;$J315&amp;$K315)),"Terceirizada","Interna"))</f>
        <v/>
      </c>
      <c r="U315" s="43" t="str">
        <f aca="false">IF($N315="","",IF($Q315="",$N315,$Q315))</f>
        <v/>
      </c>
      <c r="V315" s="36" t="str">
        <f aca="false">IF($F315="","",IF(OR($O315="",$N315=""),0,IF($O315&lt;=$N315,1,0)))</f>
        <v/>
      </c>
      <c r="W315" s="36" t="str">
        <f aca="false">IF($F315="","",IF(OR($O315="",$U315=""),0,IF($O315&lt;=$U315,1,0)))</f>
        <v/>
      </c>
      <c r="X315" s="37" t="str">
        <f aca="false">IF(OR($O315="",$N315=""),"",MAX(0,$O315-$N315))</f>
        <v/>
      </c>
      <c r="Y315" s="36" t="str">
        <f aca="false">IF($F315="","",IF(AND($Q315&lt;&gt;"",$N315&lt;&gt;"",$Q315&lt;&gt;$N315),1,0))</f>
        <v/>
      </c>
      <c r="Z315" s="36" t="str">
        <f aca="false">IF($F315="","",IF($P315="Cancelada",0,IF(OR($O315&lt;&gt;"",$P315="Concluída"),1,0)))</f>
        <v/>
      </c>
    </row>
    <row r="316" customFormat="false" ht="16.5" hidden="false" customHeight="true" outlineLevel="0" collapsed="false">
      <c r="A316" s="36" t="str">
        <f aca="false">IF($F316="","",COUNTA($F$5:$F316))</f>
        <v/>
      </c>
      <c r="B316" s="37" t="str">
        <f aca="true">IF($F316="","",IF($P316="Cancelada","Cancelada",IF(OR($O316&lt;&gt;"",$P316="Concluída"),IF(OR($N316="",$O316="",$O316&lt;=$N316),"Concluída","Concluída com atraso"),IF($N316="","Na carteira",IF($N316&lt;TODAY(),"VENCIDA",IF($P316="Em execução","Em execução",IF($N316=TODAY(),"Hoje","Programada")))))))</f>
        <v/>
      </c>
      <c r="C316" s="38"/>
      <c r="D316" s="38"/>
      <c r="E316" s="38"/>
      <c r="F316" s="38"/>
      <c r="G316" s="39"/>
      <c r="H316" s="39"/>
      <c r="I316" s="40"/>
      <c r="J316" s="40"/>
      <c r="K316" s="40"/>
      <c r="L316" s="41"/>
      <c r="M316" s="42"/>
      <c r="N316" s="43" t="str">
        <f aca="false">IF(OR($L316="",$M316=""),"",$L316+MATCH($M316,Listas!$F$5:$F$11,0)-1)</f>
        <v/>
      </c>
      <c r="O316" s="44"/>
      <c r="P316" s="39"/>
      <c r="Q316" s="44"/>
      <c r="R316" s="38"/>
      <c r="S316" s="38"/>
      <c r="T316" s="36" t="str">
        <f aca="false">IF($F316="","",IF(ISNUMBER(SEARCH("(externo)",$I316&amp;$J316&amp;$K316)),"Terceirizada","Interna"))</f>
        <v/>
      </c>
      <c r="U316" s="43" t="str">
        <f aca="false">IF($N316="","",IF($Q316="",$N316,$Q316))</f>
        <v/>
      </c>
      <c r="V316" s="36" t="str">
        <f aca="false">IF($F316="","",IF(OR($O316="",$N316=""),0,IF($O316&lt;=$N316,1,0)))</f>
        <v/>
      </c>
      <c r="W316" s="36" t="str">
        <f aca="false">IF($F316="","",IF(OR($O316="",$U316=""),0,IF($O316&lt;=$U316,1,0)))</f>
        <v/>
      </c>
      <c r="X316" s="37" t="str">
        <f aca="false">IF(OR($O316="",$N316=""),"",MAX(0,$O316-$N316))</f>
        <v/>
      </c>
      <c r="Y316" s="36" t="str">
        <f aca="false">IF($F316="","",IF(AND($Q316&lt;&gt;"",$N316&lt;&gt;"",$Q316&lt;&gt;$N316),1,0))</f>
        <v/>
      </c>
      <c r="Z316" s="36" t="str">
        <f aca="false">IF($F316="","",IF($P316="Cancelada",0,IF(OR($O316&lt;&gt;"",$P316="Concluída"),1,0)))</f>
        <v/>
      </c>
    </row>
    <row r="317" customFormat="false" ht="16.5" hidden="false" customHeight="true" outlineLevel="0" collapsed="false">
      <c r="A317" s="36" t="str">
        <f aca="false">IF($F317="","",COUNTA($F$5:$F317))</f>
        <v/>
      </c>
      <c r="B317" s="37" t="str">
        <f aca="true">IF($F317="","",IF($P317="Cancelada","Cancelada",IF(OR($O317&lt;&gt;"",$P317="Concluída"),IF(OR($N317="",$O317="",$O317&lt;=$N317),"Concluída","Concluída com atraso"),IF($N317="","Na carteira",IF($N317&lt;TODAY(),"VENCIDA",IF($P317="Em execução","Em execução",IF($N317=TODAY(),"Hoje","Programada")))))))</f>
        <v/>
      </c>
      <c r="C317" s="38"/>
      <c r="D317" s="38"/>
      <c r="E317" s="38"/>
      <c r="F317" s="38"/>
      <c r="G317" s="39"/>
      <c r="H317" s="39"/>
      <c r="I317" s="40"/>
      <c r="J317" s="40"/>
      <c r="K317" s="40"/>
      <c r="L317" s="41"/>
      <c r="M317" s="42"/>
      <c r="N317" s="43" t="str">
        <f aca="false">IF(OR($L317="",$M317=""),"",$L317+MATCH($M317,Listas!$F$5:$F$11,0)-1)</f>
        <v/>
      </c>
      <c r="O317" s="44"/>
      <c r="P317" s="39"/>
      <c r="Q317" s="44"/>
      <c r="R317" s="38"/>
      <c r="S317" s="38"/>
      <c r="T317" s="36" t="str">
        <f aca="false">IF($F317="","",IF(ISNUMBER(SEARCH("(externo)",$I317&amp;$J317&amp;$K317)),"Terceirizada","Interna"))</f>
        <v/>
      </c>
      <c r="U317" s="43" t="str">
        <f aca="false">IF($N317="","",IF($Q317="",$N317,$Q317))</f>
        <v/>
      </c>
      <c r="V317" s="36" t="str">
        <f aca="false">IF($F317="","",IF(OR($O317="",$N317=""),0,IF($O317&lt;=$N317,1,0)))</f>
        <v/>
      </c>
      <c r="W317" s="36" t="str">
        <f aca="false">IF($F317="","",IF(OR($O317="",$U317=""),0,IF($O317&lt;=$U317,1,0)))</f>
        <v/>
      </c>
      <c r="X317" s="37" t="str">
        <f aca="false">IF(OR($O317="",$N317=""),"",MAX(0,$O317-$N317))</f>
        <v/>
      </c>
      <c r="Y317" s="36" t="str">
        <f aca="false">IF($F317="","",IF(AND($Q317&lt;&gt;"",$N317&lt;&gt;"",$Q317&lt;&gt;$N317),1,0))</f>
        <v/>
      </c>
      <c r="Z317" s="36" t="str">
        <f aca="false">IF($F317="","",IF($P317="Cancelada",0,IF(OR($O317&lt;&gt;"",$P317="Concluída"),1,0)))</f>
        <v/>
      </c>
    </row>
    <row r="318" customFormat="false" ht="16.5" hidden="false" customHeight="true" outlineLevel="0" collapsed="false">
      <c r="A318" s="36" t="str">
        <f aca="false">IF($F318="","",COUNTA($F$5:$F318))</f>
        <v/>
      </c>
      <c r="B318" s="37" t="str">
        <f aca="true">IF($F318="","",IF($P318="Cancelada","Cancelada",IF(OR($O318&lt;&gt;"",$P318="Concluída"),IF(OR($N318="",$O318="",$O318&lt;=$N318),"Concluída","Concluída com atraso"),IF($N318="","Na carteira",IF($N318&lt;TODAY(),"VENCIDA",IF($P318="Em execução","Em execução",IF($N318=TODAY(),"Hoje","Programada")))))))</f>
        <v/>
      </c>
      <c r="C318" s="38"/>
      <c r="D318" s="38"/>
      <c r="E318" s="38"/>
      <c r="F318" s="38"/>
      <c r="G318" s="39"/>
      <c r="H318" s="39"/>
      <c r="I318" s="40"/>
      <c r="J318" s="40"/>
      <c r="K318" s="40"/>
      <c r="L318" s="41"/>
      <c r="M318" s="42"/>
      <c r="N318" s="43" t="str">
        <f aca="false">IF(OR($L318="",$M318=""),"",$L318+MATCH($M318,Listas!$F$5:$F$11,0)-1)</f>
        <v/>
      </c>
      <c r="O318" s="44"/>
      <c r="P318" s="39"/>
      <c r="Q318" s="44"/>
      <c r="R318" s="38"/>
      <c r="S318" s="38"/>
      <c r="T318" s="36" t="str">
        <f aca="false">IF($F318="","",IF(ISNUMBER(SEARCH("(externo)",$I318&amp;$J318&amp;$K318)),"Terceirizada","Interna"))</f>
        <v/>
      </c>
      <c r="U318" s="43" t="str">
        <f aca="false">IF($N318="","",IF($Q318="",$N318,$Q318))</f>
        <v/>
      </c>
      <c r="V318" s="36" t="str">
        <f aca="false">IF($F318="","",IF(OR($O318="",$N318=""),0,IF($O318&lt;=$N318,1,0)))</f>
        <v/>
      </c>
      <c r="W318" s="36" t="str">
        <f aca="false">IF($F318="","",IF(OR($O318="",$U318=""),0,IF($O318&lt;=$U318,1,0)))</f>
        <v/>
      </c>
      <c r="X318" s="37" t="str">
        <f aca="false">IF(OR($O318="",$N318=""),"",MAX(0,$O318-$N318))</f>
        <v/>
      </c>
      <c r="Y318" s="36" t="str">
        <f aca="false">IF($F318="","",IF(AND($Q318&lt;&gt;"",$N318&lt;&gt;"",$Q318&lt;&gt;$N318),1,0))</f>
        <v/>
      </c>
      <c r="Z318" s="36" t="str">
        <f aca="false">IF($F318="","",IF($P318="Cancelada",0,IF(OR($O318&lt;&gt;"",$P318="Concluída"),1,0)))</f>
        <v/>
      </c>
    </row>
    <row r="319" customFormat="false" ht="16.5" hidden="false" customHeight="true" outlineLevel="0" collapsed="false">
      <c r="A319" s="36" t="str">
        <f aca="false">IF($F319="","",COUNTA($F$5:$F319))</f>
        <v/>
      </c>
      <c r="B319" s="37" t="str">
        <f aca="true">IF($F319="","",IF($P319="Cancelada","Cancelada",IF(OR($O319&lt;&gt;"",$P319="Concluída"),IF(OR($N319="",$O319="",$O319&lt;=$N319),"Concluída","Concluída com atraso"),IF($N319="","Na carteira",IF($N319&lt;TODAY(),"VENCIDA",IF($P319="Em execução","Em execução",IF($N319=TODAY(),"Hoje","Programada")))))))</f>
        <v/>
      </c>
      <c r="C319" s="38"/>
      <c r="D319" s="38"/>
      <c r="E319" s="38"/>
      <c r="F319" s="38"/>
      <c r="G319" s="39"/>
      <c r="H319" s="39"/>
      <c r="I319" s="40"/>
      <c r="J319" s="40"/>
      <c r="K319" s="40"/>
      <c r="L319" s="41"/>
      <c r="M319" s="42"/>
      <c r="N319" s="43" t="str">
        <f aca="false">IF(OR($L319="",$M319=""),"",$L319+MATCH($M319,Listas!$F$5:$F$11,0)-1)</f>
        <v/>
      </c>
      <c r="O319" s="44"/>
      <c r="P319" s="39"/>
      <c r="Q319" s="44"/>
      <c r="R319" s="38"/>
      <c r="S319" s="38"/>
      <c r="T319" s="36" t="str">
        <f aca="false">IF($F319="","",IF(ISNUMBER(SEARCH("(externo)",$I319&amp;$J319&amp;$K319)),"Terceirizada","Interna"))</f>
        <v/>
      </c>
      <c r="U319" s="43" t="str">
        <f aca="false">IF($N319="","",IF($Q319="",$N319,$Q319))</f>
        <v/>
      </c>
      <c r="V319" s="36" t="str">
        <f aca="false">IF($F319="","",IF(OR($O319="",$N319=""),0,IF($O319&lt;=$N319,1,0)))</f>
        <v/>
      </c>
      <c r="W319" s="36" t="str">
        <f aca="false">IF($F319="","",IF(OR($O319="",$U319=""),0,IF($O319&lt;=$U319,1,0)))</f>
        <v/>
      </c>
      <c r="X319" s="37" t="str">
        <f aca="false">IF(OR($O319="",$N319=""),"",MAX(0,$O319-$N319))</f>
        <v/>
      </c>
      <c r="Y319" s="36" t="str">
        <f aca="false">IF($F319="","",IF(AND($Q319&lt;&gt;"",$N319&lt;&gt;"",$Q319&lt;&gt;$N319),1,0))</f>
        <v/>
      </c>
      <c r="Z319" s="36" t="str">
        <f aca="false">IF($F319="","",IF($P319="Cancelada",0,IF(OR($O319&lt;&gt;"",$P319="Concluída"),1,0)))</f>
        <v/>
      </c>
    </row>
    <row r="320" customFormat="false" ht="16.5" hidden="false" customHeight="true" outlineLevel="0" collapsed="false">
      <c r="A320" s="36" t="str">
        <f aca="false">IF($F320="","",COUNTA($F$5:$F320))</f>
        <v/>
      </c>
      <c r="B320" s="37" t="str">
        <f aca="true">IF($F320="","",IF($P320="Cancelada","Cancelada",IF(OR($O320&lt;&gt;"",$P320="Concluída"),IF(OR($N320="",$O320="",$O320&lt;=$N320),"Concluída","Concluída com atraso"),IF($N320="","Na carteira",IF($N320&lt;TODAY(),"VENCIDA",IF($P320="Em execução","Em execução",IF($N320=TODAY(),"Hoje","Programada")))))))</f>
        <v/>
      </c>
      <c r="C320" s="38"/>
      <c r="D320" s="38"/>
      <c r="E320" s="38"/>
      <c r="F320" s="38"/>
      <c r="G320" s="39"/>
      <c r="H320" s="39"/>
      <c r="I320" s="40"/>
      <c r="J320" s="40"/>
      <c r="K320" s="40"/>
      <c r="L320" s="41"/>
      <c r="M320" s="42"/>
      <c r="N320" s="43" t="str">
        <f aca="false">IF(OR($L320="",$M320=""),"",$L320+MATCH($M320,Listas!$F$5:$F$11,0)-1)</f>
        <v/>
      </c>
      <c r="O320" s="44"/>
      <c r="P320" s="39"/>
      <c r="Q320" s="44"/>
      <c r="R320" s="38"/>
      <c r="S320" s="38"/>
      <c r="T320" s="36" t="str">
        <f aca="false">IF($F320="","",IF(ISNUMBER(SEARCH("(externo)",$I320&amp;$J320&amp;$K320)),"Terceirizada","Interna"))</f>
        <v/>
      </c>
      <c r="U320" s="43" t="str">
        <f aca="false">IF($N320="","",IF($Q320="",$N320,$Q320))</f>
        <v/>
      </c>
      <c r="V320" s="36" t="str">
        <f aca="false">IF($F320="","",IF(OR($O320="",$N320=""),0,IF($O320&lt;=$N320,1,0)))</f>
        <v/>
      </c>
      <c r="W320" s="36" t="str">
        <f aca="false">IF($F320="","",IF(OR($O320="",$U320=""),0,IF($O320&lt;=$U320,1,0)))</f>
        <v/>
      </c>
      <c r="X320" s="37" t="str">
        <f aca="false">IF(OR($O320="",$N320=""),"",MAX(0,$O320-$N320))</f>
        <v/>
      </c>
      <c r="Y320" s="36" t="str">
        <f aca="false">IF($F320="","",IF(AND($Q320&lt;&gt;"",$N320&lt;&gt;"",$Q320&lt;&gt;$N320),1,0))</f>
        <v/>
      </c>
      <c r="Z320" s="36" t="str">
        <f aca="false">IF($F320="","",IF($P320="Cancelada",0,IF(OR($O320&lt;&gt;"",$P320="Concluída"),1,0)))</f>
        <v/>
      </c>
    </row>
    <row r="321" customFormat="false" ht="16.5" hidden="false" customHeight="true" outlineLevel="0" collapsed="false">
      <c r="A321" s="36" t="str">
        <f aca="false">IF($F321="","",COUNTA($F$5:$F321))</f>
        <v/>
      </c>
      <c r="B321" s="37" t="str">
        <f aca="true">IF($F321="","",IF($P321="Cancelada","Cancelada",IF(OR($O321&lt;&gt;"",$P321="Concluída"),IF(OR($N321="",$O321="",$O321&lt;=$N321),"Concluída","Concluída com atraso"),IF($N321="","Na carteira",IF($N321&lt;TODAY(),"VENCIDA",IF($P321="Em execução","Em execução",IF($N321=TODAY(),"Hoje","Programada")))))))</f>
        <v/>
      </c>
      <c r="C321" s="38"/>
      <c r="D321" s="38"/>
      <c r="E321" s="38"/>
      <c r="F321" s="38"/>
      <c r="G321" s="39"/>
      <c r="H321" s="39"/>
      <c r="I321" s="40"/>
      <c r="J321" s="40"/>
      <c r="K321" s="40"/>
      <c r="L321" s="41"/>
      <c r="M321" s="42"/>
      <c r="N321" s="43" t="str">
        <f aca="false">IF(OR($L321="",$M321=""),"",$L321+MATCH($M321,Listas!$F$5:$F$11,0)-1)</f>
        <v/>
      </c>
      <c r="O321" s="44"/>
      <c r="P321" s="39"/>
      <c r="Q321" s="44"/>
      <c r="R321" s="38"/>
      <c r="S321" s="38"/>
      <c r="T321" s="36" t="str">
        <f aca="false">IF($F321="","",IF(ISNUMBER(SEARCH("(externo)",$I321&amp;$J321&amp;$K321)),"Terceirizada","Interna"))</f>
        <v/>
      </c>
      <c r="U321" s="43" t="str">
        <f aca="false">IF($N321="","",IF($Q321="",$N321,$Q321))</f>
        <v/>
      </c>
      <c r="V321" s="36" t="str">
        <f aca="false">IF($F321="","",IF(OR($O321="",$N321=""),0,IF($O321&lt;=$N321,1,0)))</f>
        <v/>
      </c>
      <c r="W321" s="36" t="str">
        <f aca="false">IF($F321="","",IF(OR($O321="",$U321=""),0,IF($O321&lt;=$U321,1,0)))</f>
        <v/>
      </c>
      <c r="X321" s="37" t="str">
        <f aca="false">IF(OR($O321="",$N321=""),"",MAX(0,$O321-$N321))</f>
        <v/>
      </c>
      <c r="Y321" s="36" t="str">
        <f aca="false">IF($F321="","",IF(AND($Q321&lt;&gt;"",$N321&lt;&gt;"",$Q321&lt;&gt;$N321),1,0))</f>
        <v/>
      </c>
      <c r="Z321" s="36" t="str">
        <f aca="false">IF($F321="","",IF($P321="Cancelada",0,IF(OR($O321&lt;&gt;"",$P321="Concluída"),1,0)))</f>
        <v/>
      </c>
    </row>
    <row r="322" customFormat="false" ht="16.5" hidden="false" customHeight="true" outlineLevel="0" collapsed="false">
      <c r="A322" s="36" t="str">
        <f aca="false">IF($F322="","",COUNTA($F$5:$F322))</f>
        <v/>
      </c>
      <c r="B322" s="37" t="str">
        <f aca="true">IF($F322="","",IF($P322="Cancelada","Cancelada",IF(OR($O322&lt;&gt;"",$P322="Concluída"),IF(OR($N322="",$O322="",$O322&lt;=$N322),"Concluída","Concluída com atraso"),IF($N322="","Na carteira",IF($N322&lt;TODAY(),"VENCIDA",IF($P322="Em execução","Em execução",IF($N322=TODAY(),"Hoje","Programada")))))))</f>
        <v/>
      </c>
      <c r="C322" s="38"/>
      <c r="D322" s="38"/>
      <c r="E322" s="38"/>
      <c r="F322" s="38"/>
      <c r="G322" s="39"/>
      <c r="H322" s="39"/>
      <c r="I322" s="40"/>
      <c r="J322" s="40"/>
      <c r="K322" s="40"/>
      <c r="L322" s="41"/>
      <c r="M322" s="42"/>
      <c r="N322" s="43" t="str">
        <f aca="false">IF(OR($L322="",$M322=""),"",$L322+MATCH($M322,Listas!$F$5:$F$11,0)-1)</f>
        <v/>
      </c>
      <c r="O322" s="44"/>
      <c r="P322" s="39"/>
      <c r="Q322" s="44"/>
      <c r="R322" s="38"/>
      <c r="S322" s="38"/>
      <c r="T322" s="36" t="str">
        <f aca="false">IF($F322="","",IF(ISNUMBER(SEARCH("(externo)",$I322&amp;$J322&amp;$K322)),"Terceirizada","Interna"))</f>
        <v/>
      </c>
      <c r="U322" s="43" t="str">
        <f aca="false">IF($N322="","",IF($Q322="",$N322,$Q322))</f>
        <v/>
      </c>
      <c r="V322" s="36" t="str">
        <f aca="false">IF($F322="","",IF(OR($O322="",$N322=""),0,IF($O322&lt;=$N322,1,0)))</f>
        <v/>
      </c>
      <c r="W322" s="36" t="str">
        <f aca="false">IF($F322="","",IF(OR($O322="",$U322=""),0,IF($O322&lt;=$U322,1,0)))</f>
        <v/>
      </c>
      <c r="X322" s="37" t="str">
        <f aca="false">IF(OR($O322="",$N322=""),"",MAX(0,$O322-$N322))</f>
        <v/>
      </c>
      <c r="Y322" s="36" t="str">
        <f aca="false">IF($F322="","",IF(AND($Q322&lt;&gt;"",$N322&lt;&gt;"",$Q322&lt;&gt;$N322),1,0))</f>
        <v/>
      </c>
      <c r="Z322" s="36" t="str">
        <f aca="false">IF($F322="","",IF($P322="Cancelada",0,IF(OR($O322&lt;&gt;"",$P322="Concluída"),1,0)))</f>
        <v/>
      </c>
    </row>
    <row r="323" customFormat="false" ht="16.5" hidden="false" customHeight="true" outlineLevel="0" collapsed="false">
      <c r="A323" s="36" t="str">
        <f aca="false">IF($F323="","",COUNTA($F$5:$F323))</f>
        <v/>
      </c>
      <c r="B323" s="37" t="str">
        <f aca="true">IF($F323="","",IF($P323="Cancelada","Cancelada",IF(OR($O323&lt;&gt;"",$P323="Concluída"),IF(OR($N323="",$O323="",$O323&lt;=$N323),"Concluída","Concluída com atraso"),IF($N323="","Na carteira",IF($N323&lt;TODAY(),"VENCIDA",IF($P323="Em execução","Em execução",IF($N323=TODAY(),"Hoje","Programada")))))))</f>
        <v/>
      </c>
      <c r="C323" s="38"/>
      <c r="D323" s="38"/>
      <c r="E323" s="38"/>
      <c r="F323" s="38"/>
      <c r="G323" s="39"/>
      <c r="H323" s="39"/>
      <c r="I323" s="40"/>
      <c r="J323" s="40"/>
      <c r="K323" s="40"/>
      <c r="L323" s="41"/>
      <c r="M323" s="42"/>
      <c r="N323" s="43" t="str">
        <f aca="false">IF(OR($L323="",$M323=""),"",$L323+MATCH($M323,Listas!$F$5:$F$11,0)-1)</f>
        <v/>
      </c>
      <c r="O323" s="44"/>
      <c r="P323" s="39"/>
      <c r="Q323" s="44"/>
      <c r="R323" s="38"/>
      <c r="S323" s="38"/>
      <c r="T323" s="36" t="str">
        <f aca="false">IF($F323="","",IF(ISNUMBER(SEARCH("(externo)",$I323&amp;$J323&amp;$K323)),"Terceirizada","Interna"))</f>
        <v/>
      </c>
      <c r="U323" s="43" t="str">
        <f aca="false">IF($N323="","",IF($Q323="",$N323,$Q323))</f>
        <v/>
      </c>
      <c r="V323" s="36" t="str">
        <f aca="false">IF($F323="","",IF(OR($O323="",$N323=""),0,IF($O323&lt;=$N323,1,0)))</f>
        <v/>
      </c>
      <c r="W323" s="36" t="str">
        <f aca="false">IF($F323="","",IF(OR($O323="",$U323=""),0,IF($O323&lt;=$U323,1,0)))</f>
        <v/>
      </c>
      <c r="X323" s="37" t="str">
        <f aca="false">IF(OR($O323="",$N323=""),"",MAX(0,$O323-$N323))</f>
        <v/>
      </c>
      <c r="Y323" s="36" t="str">
        <f aca="false">IF($F323="","",IF(AND($Q323&lt;&gt;"",$N323&lt;&gt;"",$Q323&lt;&gt;$N323),1,0))</f>
        <v/>
      </c>
      <c r="Z323" s="36" t="str">
        <f aca="false">IF($F323="","",IF($P323="Cancelada",0,IF(OR($O323&lt;&gt;"",$P323="Concluída"),1,0)))</f>
        <v/>
      </c>
    </row>
    <row r="324" customFormat="false" ht="16.5" hidden="false" customHeight="true" outlineLevel="0" collapsed="false">
      <c r="A324" s="36" t="str">
        <f aca="false">IF($F324="","",COUNTA($F$5:$F324))</f>
        <v/>
      </c>
      <c r="B324" s="37" t="str">
        <f aca="true">IF($F324="","",IF($P324="Cancelada","Cancelada",IF(OR($O324&lt;&gt;"",$P324="Concluída"),IF(OR($N324="",$O324="",$O324&lt;=$N324),"Concluída","Concluída com atraso"),IF($N324="","Na carteira",IF($N324&lt;TODAY(),"VENCIDA",IF($P324="Em execução","Em execução",IF($N324=TODAY(),"Hoje","Programada")))))))</f>
        <v/>
      </c>
      <c r="C324" s="38"/>
      <c r="D324" s="38"/>
      <c r="E324" s="38"/>
      <c r="F324" s="38"/>
      <c r="G324" s="39"/>
      <c r="H324" s="39"/>
      <c r="I324" s="40"/>
      <c r="J324" s="40"/>
      <c r="K324" s="40"/>
      <c r="L324" s="41"/>
      <c r="M324" s="42"/>
      <c r="N324" s="43" t="str">
        <f aca="false">IF(OR($L324="",$M324=""),"",$L324+MATCH($M324,Listas!$F$5:$F$11,0)-1)</f>
        <v/>
      </c>
      <c r="O324" s="44"/>
      <c r="P324" s="39"/>
      <c r="Q324" s="44"/>
      <c r="R324" s="38"/>
      <c r="S324" s="38"/>
      <c r="T324" s="36" t="str">
        <f aca="false">IF($F324="","",IF(ISNUMBER(SEARCH("(externo)",$I324&amp;$J324&amp;$K324)),"Terceirizada","Interna"))</f>
        <v/>
      </c>
      <c r="U324" s="43" t="str">
        <f aca="false">IF($N324="","",IF($Q324="",$N324,$Q324))</f>
        <v/>
      </c>
      <c r="V324" s="36" t="str">
        <f aca="false">IF($F324="","",IF(OR($O324="",$N324=""),0,IF($O324&lt;=$N324,1,0)))</f>
        <v/>
      </c>
      <c r="W324" s="36" t="str">
        <f aca="false">IF($F324="","",IF(OR($O324="",$U324=""),0,IF($O324&lt;=$U324,1,0)))</f>
        <v/>
      </c>
      <c r="X324" s="37" t="str">
        <f aca="false">IF(OR($O324="",$N324=""),"",MAX(0,$O324-$N324))</f>
        <v/>
      </c>
      <c r="Y324" s="36" t="str">
        <f aca="false">IF($F324="","",IF(AND($Q324&lt;&gt;"",$N324&lt;&gt;"",$Q324&lt;&gt;$N324),1,0))</f>
        <v/>
      </c>
      <c r="Z324" s="36" t="str">
        <f aca="false">IF($F324="","",IF($P324="Cancelada",0,IF(OR($O324&lt;&gt;"",$P324="Concluída"),1,0)))</f>
        <v/>
      </c>
    </row>
    <row r="325" customFormat="false" ht="16.5" hidden="false" customHeight="true" outlineLevel="0" collapsed="false">
      <c r="A325" s="36" t="str">
        <f aca="false">IF($F325="","",COUNTA($F$5:$F325))</f>
        <v/>
      </c>
      <c r="B325" s="37" t="str">
        <f aca="true">IF($F325="","",IF($P325="Cancelada","Cancelada",IF(OR($O325&lt;&gt;"",$P325="Concluída"),IF(OR($N325="",$O325="",$O325&lt;=$N325),"Concluída","Concluída com atraso"),IF($N325="","Na carteira",IF($N325&lt;TODAY(),"VENCIDA",IF($P325="Em execução","Em execução",IF($N325=TODAY(),"Hoje","Programada")))))))</f>
        <v/>
      </c>
      <c r="C325" s="38"/>
      <c r="D325" s="38"/>
      <c r="E325" s="38"/>
      <c r="F325" s="38"/>
      <c r="G325" s="39"/>
      <c r="H325" s="39"/>
      <c r="I325" s="40"/>
      <c r="J325" s="40"/>
      <c r="K325" s="40"/>
      <c r="L325" s="41"/>
      <c r="M325" s="42"/>
      <c r="N325" s="43" t="str">
        <f aca="false">IF(OR($L325="",$M325=""),"",$L325+MATCH($M325,Listas!$F$5:$F$11,0)-1)</f>
        <v/>
      </c>
      <c r="O325" s="44"/>
      <c r="P325" s="39"/>
      <c r="Q325" s="44"/>
      <c r="R325" s="38"/>
      <c r="S325" s="38"/>
      <c r="T325" s="36" t="str">
        <f aca="false">IF($F325="","",IF(ISNUMBER(SEARCH("(externo)",$I325&amp;$J325&amp;$K325)),"Terceirizada","Interna"))</f>
        <v/>
      </c>
      <c r="U325" s="43" t="str">
        <f aca="false">IF($N325="","",IF($Q325="",$N325,$Q325))</f>
        <v/>
      </c>
      <c r="V325" s="36" t="str">
        <f aca="false">IF($F325="","",IF(OR($O325="",$N325=""),0,IF($O325&lt;=$N325,1,0)))</f>
        <v/>
      </c>
      <c r="W325" s="36" t="str">
        <f aca="false">IF($F325="","",IF(OR($O325="",$U325=""),0,IF($O325&lt;=$U325,1,0)))</f>
        <v/>
      </c>
      <c r="X325" s="37" t="str">
        <f aca="false">IF(OR($O325="",$N325=""),"",MAX(0,$O325-$N325))</f>
        <v/>
      </c>
      <c r="Y325" s="36" t="str">
        <f aca="false">IF($F325="","",IF(AND($Q325&lt;&gt;"",$N325&lt;&gt;"",$Q325&lt;&gt;$N325),1,0))</f>
        <v/>
      </c>
      <c r="Z325" s="36" t="str">
        <f aca="false">IF($F325="","",IF($P325="Cancelada",0,IF(OR($O325&lt;&gt;"",$P325="Concluída"),1,0)))</f>
        <v/>
      </c>
    </row>
    <row r="326" customFormat="false" ht="16.5" hidden="false" customHeight="true" outlineLevel="0" collapsed="false">
      <c r="A326" s="36" t="str">
        <f aca="false">IF($F326="","",COUNTA($F$5:$F326))</f>
        <v/>
      </c>
      <c r="B326" s="37" t="str">
        <f aca="true">IF($F326="","",IF($P326="Cancelada","Cancelada",IF(OR($O326&lt;&gt;"",$P326="Concluída"),IF(OR($N326="",$O326="",$O326&lt;=$N326),"Concluída","Concluída com atraso"),IF($N326="","Na carteira",IF($N326&lt;TODAY(),"VENCIDA",IF($P326="Em execução","Em execução",IF($N326=TODAY(),"Hoje","Programada")))))))</f>
        <v/>
      </c>
      <c r="C326" s="38"/>
      <c r="D326" s="38"/>
      <c r="E326" s="38"/>
      <c r="F326" s="38"/>
      <c r="G326" s="39"/>
      <c r="H326" s="39"/>
      <c r="I326" s="40"/>
      <c r="J326" s="40"/>
      <c r="K326" s="40"/>
      <c r="L326" s="41"/>
      <c r="M326" s="42"/>
      <c r="N326" s="43" t="str">
        <f aca="false">IF(OR($L326="",$M326=""),"",$L326+MATCH($M326,Listas!$F$5:$F$11,0)-1)</f>
        <v/>
      </c>
      <c r="O326" s="44"/>
      <c r="P326" s="39"/>
      <c r="Q326" s="44"/>
      <c r="R326" s="38"/>
      <c r="S326" s="38"/>
      <c r="T326" s="36" t="str">
        <f aca="false">IF($F326="","",IF(ISNUMBER(SEARCH("(externo)",$I326&amp;$J326&amp;$K326)),"Terceirizada","Interna"))</f>
        <v/>
      </c>
      <c r="U326" s="43" t="str">
        <f aca="false">IF($N326="","",IF($Q326="",$N326,$Q326))</f>
        <v/>
      </c>
      <c r="V326" s="36" t="str">
        <f aca="false">IF($F326="","",IF(OR($O326="",$N326=""),0,IF($O326&lt;=$N326,1,0)))</f>
        <v/>
      </c>
      <c r="W326" s="36" t="str">
        <f aca="false">IF($F326="","",IF(OR($O326="",$U326=""),0,IF($O326&lt;=$U326,1,0)))</f>
        <v/>
      </c>
      <c r="X326" s="37" t="str">
        <f aca="false">IF(OR($O326="",$N326=""),"",MAX(0,$O326-$N326))</f>
        <v/>
      </c>
      <c r="Y326" s="36" t="str">
        <f aca="false">IF($F326="","",IF(AND($Q326&lt;&gt;"",$N326&lt;&gt;"",$Q326&lt;&gt;$N326),1,0))</f>
        <v/>
      </c>
      <c r="Z326" s="36" t="str">
        <f aca="false">IF($F326="","",IF($P326="Cancelada",0,IF(OR($O326&lt;&gt;"",$P326="Concluída"),1,0)))</f>
        <v/>
      </c>
    </row>
    <row r="327" customFormat="false" ht="16.5" hidden="false" customHeight="true" outlineLevel="0" collapsed="false">
      <c r="A327" s="36" t="str">
        <f aca="false">IF($F327="","",COUNTA($F$5:$F327))</f>
        <v/>
      </c>
      <c r="B327" s="37" t="str">
        <f aca="true">IF($F327="","",IF($P327="Cancelada","Cancelada",IF(OR($O327&lt;&gt;"",$P327="Concluída"),IF(OR($N327="",$O327="",$O327&lt;=$N327),"Concluída","Concluída com atraso"),IF($N327="","Na carteira",IF($N327&lt;TODAY(),"VENCIDA",IF($P327="Em execução","Em execução",IF($N327=TODAY(),"Hoje","Programada")))))))</f>
        <v/>
      </c>
      <c r="C327" s="38"/>
      <c r="D327" s="38"/>
      <c r="E327" s="38"/>
      <c r="F327" s="38"/>
      <c r="G327" s="39"/>
      <c r="H327" s="39"/>
      <c r="I327" s="40"/>
      <c r="J327" s="40"/>
      <c r="K327" s="40"/>
      <c r="L327" s="41"/>
      <c r="M327" s="42"/>
      <c r="N327" s="43" t="str">
        <f aca="false">IF(OR($L327="",$M327=""),"",$L327+MATCH($M327,Listas!$F$5:$F$11,0)-1)</f>
        <v/>
      </c>
      <c r="O327" s="44"/>
      <c r="P327" s="39"/>
      <c r="Q327" s="44"/>
      <c r="R327" s="38"/>
      <c r="S327" s="38"/>
      <c r="T327" s="36" t="str">
        <f aca="false">IF($F327="","",IF(ISNUMBER(SEARCH("(externo)",$I327&amp;$J327&amp;$K327)),"Terceirizada","Interna"))</f>
        <v/>
      </c>
      <c r="U327" s="43" t="str">
        <f aca="false">IF($N327="","",IF($Q327="",$N327,$Q327))</f>
        <v/>
      </c>
      <c r="V327" s="36" t="str">
        <f aca="false">IF($F327="","",IF(OR($O327="",$N327=""),0,IF($O327&lt;=$N327,1,0)))</f>
        <v/>
      </c>
      <c r="W327" s="36" t="str">
        <f aca="false">IF($F327="","",IF(OR($O327="",$U327=""),0,IF($O327&lt;=$U327,1,0)))</f>
        <v/>
      </c>
      <c r="X327" s="37" t="str">
        <f aca="false">IF(OR($O327="",$N327=""),"",MAX(0,$O327-$N327))</f>
        <v/>
      </c>
      <c r="Y327" s="36" t="str">
        <f aca="false">IF($F327="","",IF(AND($Q327&lt;&gt;"",$N327&lt;&gt;"",$Q327&lt;&gt;$N327),1,0))</f>
        <v/>
      </c>
      <c r="Z327" s="36" t="str">
        <f aca="false">IF($F327="","",IF($P327="Cancelada",0,IF(OR($O327&lt;&gt;"",$P327="Concluída"),1,0)))</f>
        <v/>
      </c>
    </row>
    <row r="328" customFormat="false" ht="16.5" hidden="false" customHeight="true" outlineLevel="0" collapsed="false">
      <c r="A328" s="36" t="str">
        <f aca="false">IF($F328="","",COUNTA($F$5:$F328))</f>
        <v/>
      </c>
      <c r="B328" s="37" t="str">
        <f aca="true">IF($F328="","",IF($P328="Cancelada","Cancelada",IF(OR($O328&lt;&gt;"",$P328="Concluída"),IF(OR($N328="",$O328="",$O328&lt;=$N328),"Concluída","Concluída com atraso"),IF($N328="","Na carteira",IF($N328&lt;TODAY(),"VENCIDA",IF($P328="Em execução","Em execução",IF($N328=TODAY(),"Hoje","Programada")))))))</f>
        <v/>
      </c>
      <c r="C328" s="38"/>
      <c r="D328" s="38"/>
      <c r="E328" s="38"/>
      <c r="F328" s="38"/>
      <c r="G328" s="39"/>
      <c r="H328" s="39"/>
      <c r="I328" s="40"/>
      <c r="J328" s="40"/>
      <c r="K328" s="40"/>
      <c r="L328" s="41"/>
      <c r="M328" s="42"/>
      <c r="N328" s="43" t="str">
        <f aca="false">IF(OR($L328="",$M328=""),"",$L328+MATCH($M328,Listas!$F$5:$F$11,0)-1)</f>
        <v/>
      </c>
      <c r="O328" s="44"/>
      <c r="P328" s="39"/>
      <c r="Q328" s="44"/>
      <c r="R328" s="38"/>
      <c r="S328" s="38"/>
      <c r="T328" s="36" t="str">
        <f aca="false">IF($F328="","",IF(ISNUMBER(SEARCH("(externo)",$I328&amp;$J328&amp;$K328)),"Terceirizada","Interna"))</f>
        <v/>
      </c>
      <c r="U328" s="43" t="str">
        <f aca="false">IF($N328="","",IF($Q328="",$N328,$Q328))</f>
        <v/>
      </c>
      <c r="V328" s="36" t="str">
        <f aca="false">IF($F328="","",IF(OR($O328="",$N328=""),0,IF($O328&lt;=$N328,1,0)))</f>
        <v/>
      </c>
      <c r="W328" s="36" t="str">
        <f aca="false">IF($F328="","",IF(OR($O328="",$U328=""),0,IF($O328&lt;=$U328,1,0)))</f>
        <v/>
      </c>
      <c r="X328" s="37" t="str">
        <f aca="false">IF(OR($O328="",$N328=""),"",MAX(0,$O328-$N328))</f>
        <v/>
      </c>
      <c r="Y328" s="36" t="str">
        <f aca="false">IF($F328="","",IF(AND($Q328&lt;&gt;"",$N328&lt;&gt;"",$Q328&lt;&gt;$N328),1,0))</f>
        <v/>
      </c>
      <c r="Z328" s="36" t="str">
        <f aca="false">IF($F328="","",IF($P328="Cancelada",0,IF(OR($O328&lt;&gt;"",$P328="Concluída"),1,0)))</f>
        <v/>
      </c>
    </row>
    <row r="329" customFormat="false" ht="16.5" hidden="false" customHeight="true" outlineLevel="0" collapsed="false">
      <c r="A329" s="36" t="str">
        <f aca="false">IF($F329="","",COUNTA($F$5:$F329))</f>
        <v/>
      </c>
      <c r="B329" s="37" t="str">
        <f aca="true">IF($F329="","",IF($P329="Cancelada","Cancelada",IF(OR($O329&lt;&gt;"",$P329="Concluída"),IF(OR($N329="",$O329="",$O329&lt;=$N329),"Concluída","Concluída com atraso"),IF($N329="","Na carteira",IF($N329&lt;TODAY(),"VENCIDA",IF($P329="Em execução","Em execução",IF($N329=TODAY(),"Hoje","Programada")))))))</f>
        <v/>
      </c>
      <c r="C329" s="38"/>
      <c r="D329" s="38"/>
      <c r="E329" s="38"/>
      <c r="F329" s="38"/>
      <c r="G329" s="39"/>
      <c r="H329" s="39"/>
      <c r="I329" s="40"/>
      <c r="J329" s="40"/>
      <c r="K329" s="40"/>
      <c r="L329" s="41"/>
      <c r="M329" s="42"/>
      <c r="N329" s="43" t="str">
        <f aca="false">IF(OR($L329="",$M329=""),"",$L329+MATCH($M329,Listas!$F$5:$F$11,0)-1)</f>
        <v/>
      </c>
      <c r="O329" s="44"/>
      <c r="P329" s="39"/>
      <c r="Q329" s="44"/>
      <c r="R329" s="38"/>
      <c r="S329" s="38"/>
      <c r="T329" s="36" t="str">
        <f aca="false">IF($F329="","",IF(ISNUMBER(SEARCH("(externo)",$I329&amp;$J329&amp;$K329)),"Terceirizada","Interna"))</f>
        <v/>
      </c>
      <c r="U329" s="43" t="str">
        <f aca="false">IF($N329="","",IF($Q329="",$N329,$Q329))</f>
        <v/>
      </c>
      <c r="V329" s="36" t="str">
        <f aca="false">IF($F329="","",IF(OR($O329="",$N329=""),0,IF($O329&lt;=$N329,1,0)))</f>
        <v/>
      </c>
      <c r="W329" s="36" t="str">
        <f aca="false">IF($F329="","",IF(OR($O329="",$U329=""),0,IF($O329&lt;=$U329,1,0)))</f>
        <v/>
      </c>
      <c r="X329" s="37" t="str">
        <f aca="false">IF(OR($O329="",$N329=""),"",MAX(0,$O329-$N329))</f>
        <v/>
      </c>
      <c r="Y329" s="36" t="str">
        <f aca="false">IF($F329="","",IF(AND($Q329&lt;&gt;"",$N329&lt;&gt;"",$Q329&lt;&gt;$N329),1,0))</f>
        <v/>
      </c>
      <c r="Z329" s="36" t="str">
        <f aca="false">IF($F329="","",IF($P329="Cancelada",0,IF(OR($O329&lt;&gt;"",$P329="Concluída"),1,0)))</f>
        <v/>
      </c>
    </row>
    <row r="330" customFormat="false" ht="16.5" hidden="false" customHeight="true" outlineLevel="0" collapsed="false">
      <c r="A330" s="36" t="str">
        <f aca="false">IF($F330="","",COUNTA($F$5:$F330))</f>
        <v/>
      </c>
      <c r="B330" s="37" t="str">
        <f aca="true">IF($F330="","",IF($P330="Cancelada","Cancelada",IF(OR($O330&lt;&gt;"",$P330="Concluída"),IF(OR($N330="",$O330="",$O330&lt;=$N330),"Concluída","Concluída com atraso"),IF($N330="","Na carteira",IF($N330&lt;TODAY(),"VENCIDA",IF($P330="Em execução","Em execução",IF($N330=TODAY(),"Hoje","Programada")))))))</f>
        <v/>
      </c>
      <c r="C330" s="38"/>
      <c r="D330" s="38"/>
      <c r="E330" s="38"/>
      <c r="F330" s="38"/>
      <c r="G330" s="39"/>
      <c r="H330" s="39"/>
      <c r="I330" s="40"/>
      <c r="J330" s="40"/>
      <c r="K330" s="40"/>
      <c r="L330" s="41"/>
      <c r="M330" s="42"/>
      <c r="N330" s="43" t="str">
        <f aca="false">IF(OR($L330="",$M330=""),"",$L330+MATCH($M330,Listas!$F$5:$F$11,0)-1)</f>
        <v/>
      </c>
      <c r="O330" s="44"/>
      <c r="P330" s="39"/>
      <c r="Q330" s="44"/>
      <c r="R330" s="38"/>
      <c r="S330" s="38"/>
      <c r="T330" s="36" t="str">
        <f aca="false">IF($F330="","",IF(ISNUMBER(SEARCH("(externo)",$I330&amp;$J330&amp;$K330)),"Terceirizada","Interna"))</f>
        <v/>
      </c>
      <c r="U330" s="43" t="str">
        <f aca="false">IF($N330="","",IF($Q330="",$N330,$Q330))</f>
        <v/>
      </c>
      <c r="V330" s="36" t="str">
        <f aca="false">IF($F330="","",IF(OR($O330="",$N330=""),0,IF($O330&lt;=$N330,1,0)))</f>
        <v/>
      </c>
      <c r="W330" s="36" t="str">
        <f aca="false">IF($F330="","",IF(OR($O330="",$U330=""),0,IF($O330&lt;=$U330,1,0)))</f>
        <v/>
      </c>
      <c r="X330" s="37" t="str">
        <f aca="false">IF(OR($O330="",$N330=""),"",MAX(0,$O330-$N330))</f>
        <v/>
      </c>
      <c r="Y330" s="36" t="str">
        <f aca="false">IF($F330="","",IF(AND($Q330&lt;&gt;"",$N330&lt;&gt;"",$Q330&lt;&gt;$N330),1,0))</f>
        <v/>
      </c>
      <c r="Z330" s="36" t="str">
        <f aca="false">IF($F330="","",IF($P330="Cancelada",0,IF(OR($O330&lt;&gt;"",$P330="Concluída"),1,0)))</f>
        <v/>
      </c>
    </row>
    <row r="331" customFormat="false" ht="16.5" hidden="false" customHeight="true" outlineLevel="0" collapsed="false">
      <c r="A331" s="36" t="str">
        <f aca="false">IF($F331="","",COUNTA($F$5:$F331))</f>
        <v/>
      </c>
      <c r="B331" s="37" t="str">
        <f aca="true">IF($F331="","",IF($P331="Cancelada","Cancelada",IF(OR($O331&lt;&gt;"",$P331="Concluída"),IF(OR($N331="",$O331="",$O331&lt;=$N331),"Concluída","Concluída com atraso"),IF($N331="","Na carteira",IF($N331&lt;TODAY(),"VENCIDA",IF($P331="Em execução","Em execução",IF($N331=TODAY(),"Hoje","Programada")))))))</f>
        <v/>
      </c>
      <c r="C331" s="38"/>
      <c r="D331" s="38"/>
      <c r="E331" s="38"/>
      <c r="F331" s="38"/>
      <c r="G331" s="39"/>
      <c r="H331" s="39"/>
      <c r="I331" s="40"/>
      <c r="J331" s="40"/>
      <c r="K331" s="40"/>
      <c r="L331" s="41"/>
      <c r="M331" s="42"/>
      <c r="N331" s="43" t="str">
        <f aca="false">IF(OR($L331="",$M331=""),"",$L331+MATCH($M331,Listas!$F$5:$F$11,0)-1)</f>
        <v/>
      </c>
      <c r="O331" s="44"/>
      <c r="P331" s="39"/>
      <c r="Q331" s="44"/>
      <c r="R331" s="38"/>
      <c r="S331" s="38"/>
      <c r="T331" s="36" t="str">
        <f aca="false">IF($F331="","",IF(ISNUMBER(SEARCH("(externo)",$I331&amp;$J331&amp;$K331)),"Terceirizada","Interna"))</f>
        <v/>
      </c>
      <c r="U331" s="43" t="str">
        <f aca="false">IF($N331="","",IF($Q331="",$N331,$Q331))</f>
        <v/>
      </c>
      <c r="V331" s="36" t="str">
        <f aca="false">IF($F331="","",IF(OR($O331="",$N331=""),0,IF($O331&lt;=$N331,1,0)))</f>
        <v/>
      </c>
      <c r="W331" s="36" t="str">
        <f aca="false">IF($F331="","",IF(OR($O331="",$U331=""),0,IF($O331&lt;=$U331,1,0)))</f>
        <v/>
      </c>
      <c r="X331" s="37" t="str">
        <f aca="false">IF(OR($O331="",$N331=""),"",MAX(0,$O331-$N331))</f>
        <v/>
      </c>
      <c r="Y331" s="36" t="str">
        <f aca="false">IF($F331="","",IF(AND($Q331&lt;&gt;"",$N331&lt;&gt;"",$Q331&lt;&gt;$N331),1,0))</f>
        <v/>
      </c>
      <c r="Z331" s="36" t="str">
        <f aca="false">IF($F331="","",IF($P331="Cancelada",0,IF(OR($O331&lt;&gt;"",$P331="Concluída"),1,0)))</f>
        <v/>
      </c>
    </row>
    <row r="332" customFormat="false" ht="16.5" hidden="false" customHeight="true" outlineLevel="0" collapsed="false">
      <c r="A332" s="36" t="str">
        <f aca="false">IF($F332="","",COUNTA($F$5:$F332))</f>
        <v/>
      </c>
      <c r="B332" s="37" t="str">
        <f aca="true">IF($F332="","",IF($P332="Cancelada","Cancelada",IF(OR($O332&lt;&gt;"",$P332="Concluída"),IF(OR($N332="",$O332="",$O332&lt;=$N332),"Concluída","Concluída com atraso"),IF($N332="","Na carteira",IF($N332&lt;TODAY(),"VENCIDA",IF($P332="Em execução","Em execução",IF($N332=TODAY(),"Hoje","Programada")))))))</f>
        <v/>
      </c>
      <c r="C332" s="38"/>
      <c r="D332" s="38"/>
      <c r="E332" s="38"/>
      <c r="F332" s="38"/>
      <c r="G332" s="39"/>
      <c r="H332" s="39"/>
      <c r="I332" s="40"/>
      <c r="J332" s="40"/>
      <c r="K332" s="40"/>
      <c r="L332" s="41"/>
      <c r="M332" s="42"/>
      <c r="N332" s="43" t="str">
        <f aca="false">IF(OR($L332="",$M332=""),"",$L332+MATCH($M332,Listas!$F$5:$F$11,0)-1)</f>
        <v/>
      </c>
      <c r="O332" s="44"/>
      <c r="P332" s="39"/>
      <c r="Q332" s="44"/>
      <c r="R332" s="38"/>
      <c r="S332" s="38"/>
      <c r="T332" s="36" t="str">
        <f aca="false">IF($F332="","",IF(ISNUMBER(SEARCH("(externo)",$I332&amp;$J332&amp;$K332)),"Terceirizada","Interna"))</f>
        <v/>
      </c>
      <c r="U332" s="43" t="str">
        <f aca="false">IF($N332="","",IF($Q332="",$N332,$Q332))</f>
        <v/>
      </c>
      <c r="V332" s="36" t="str">
        <f aca="false">IF($F332="","",IF(OR($O332="",$N332=""),0,IF($O332&lt;=$N332,1,0)))</f>
        <v/>
      </c>
      <c r="W332" s="36" t="str">
        <f aca="false">IF($F332="","",IF(OR($O332="",$U332=""),0,IF($O332&lt;=$U332,1,0)))</f>
        <v/>
      </c>
      <c r="X332" s="37" t="str">
        <f aca="false">IF(OR($O332="",$N332=""),"",MAX(0,$O332-$N332))</f>
        <v/>
      </c>
      <c r="Y332" s="36" t="str">
        <f aca="false">IF($F332="","",IF(AND($Q332&lt;&gt;"",$N332&lt;&gt;"",$Q332&lt;&gt;$N332),1,0))</f>
        <v/>
      </c>
      <c r="Z332" s="36" t="str">
        <f aca="false">IF($F332="","",IF($P332="Cancelada",0,IF(OR($O332&lt;&gt;"",$P332="Concluída"),1,0)))</f>
        <v/>
      </c>
    </row>
    <row r="333" customFormat="false" ht="16.5" hidden="false" customHeight="true" outlineLevel="0" collapsed="false">
      <c r="A333" s="36" t="str">
        <f aca="false">IF($F333="","",COUNTA($F$5:$F333))</f>
        <v/>
      </c>
      <c r="B333" s="37" t="str">
        <f aca="true">IF($F333="","",IF($P333="Cancelada","Cancelada",IF(OR($O333&lt;&gt;"",$P333="Concluída"),IF(OR($N333="",$O333="",$O333&lt;=$N333),"Concluída","Concluída com atraso"),IF($N333="","Na carteira",IF($N333&lt;TODAY(),"VENCIDA",IF($P333="Em execução","Em execução",IF($N333=TODAY(),"Hoje","Programada")))))))</f>
        <v/>
      </c>
      <c r="C333" s="38"/>
      <c r="D333" s="38"/>
      <c r="E333" s="38"/>
      <c r="F333" s="38"/>
      <c r="G333" s="39"/>
      <c r="H333" s="39"/>
      <c r="I333" s="40"/>
      <c r="J333" s="40"/>
      <c r="K333" s="40"/>
      <c r="L333" s="41"/>
      <c r="M333" s="42"/>
      <c r="N333" s="43" t="str">
        <f aca="false">IF(OR($L333="",$M333=""),"",$L333+MATCH($M333,Listas!$F$5:$F$11,0)-1)</f>
        <v/>
      </c>
      <c r="O333" s="44"/>
      <c r="P333" s="39"/>
      <c r="Q333" s="44"/>
      <c r="R333" s="38"/>
      <c r="S333" s="38"/>
      <c r="T333" s="36" t="str">
        <f aca="false">IF($F333="","",IF(ISNUMBER(SEARCH("(externo)",$I333&amp;$J333&amp;$K333)),"Terceirizada","Interna"))</f>
        <v/>
      </c>
      <c r="U333" s="43" t="str">
        <f aca="false">IF($N333="","",IF($Q333="",$N333,$Q333))</f>
        <v/>
      </c>
      <c r="V333" s="36" t="str">
        <f aca="false">IF($F333="","",IF(OR($O333="",$N333=""),0,IF($O333&lt;=$N333,1,0)))</f>
        <v/>
      </c>
      <c r="W333" s="36" t="str">
        <f aca="false">IF($F333="","",IF(OR($O333="",$U333=""),0,IF($O333&lt;=$U333,1,0)))</f>
        <v/>
      </c>
      <c r="X333" s="37" t="str">
        <f aca="false">IF(OR($O333="",$N333=""),"",MAX(0,$O333-$N333))</f>
        <v/>
      </c>
      <c r="Y333" s="36" t="str">
        <f aca="false">IF($F333="","",IF(AND($Q333&lt;&gt;"",$N333&lt;&gt;"",$Q333&lt;&gt;$N333),1,0))</f>
        <v/>
      </c>
      <c r="Z333" s="36" t="str">
        <f aca="false">IF($F333="","",IF($P333="Cancelada",0,IF(OR($O333&lt;&gt;"",$P333="Concluída"),1,0)))</f>
        <v/>
      </c>
    </row>
    <row r="334" customFormat="false" ht="16.5" hidden="false" customHeight="true" outlineLevel="0" collapsed="false">
      <c r="A334" s="36" t="str">
        <f aca="false">IF($F334="","",COUNTA($F$5:$F334))</f>
        <v/>
      </c>
      <c r="B334" s="37" t="str">
        <f aca="true">IF($F334="","",IF($P334="Cancelada","Cancelada",IF(OR($O334&lt;&gt;"",$P334="Concluída"),IF(OR($N334="",$O334="",$O334&lt;=$N334),"Concluída","Concluída com atraso"),IF($N334="","Na carteira",IF($N334&lt;TODAY(),"VENCIDA",IF($P334="Em execução","Em execução",IF($N334=TODAY(),"Hoje","Programada")))))))</f>
        <v/>
      </c>
      <c r="C334" s="38"/>
      <c r="D334" s="38"/>
      <c r="E334" s="38"/>
      <c r="F334" s="38"/>
      <c r="G334" s="39"/>
      <c r="H334" s="39"/>
      <c r="I334" s="40"/>
      <c r="J334" s="40"/>
      <c r="K334" s="40"/>
      <c r="L334" s="41"/>
      <c r="M334" s="42"/>
      <c r="N334" s="43" t="str">
        <f aca="false">IF(OR($L334="",$M334=""),"",$L334+MATCH($M334,Listas!$F$5:$F$11,0)-1)</f>
        <v/>
      </c>
      <c r="O334" s="44"/>
      <c r="P334" s="39"/>
      <c r="Q334" s="44"/>
      <c r="R334" s="38"/>
      <c r="S334" s="38"/>
      <c r="T334" s="36" t="str">
        <f aca="false">IF($F334="","",IF(ISNUMBER(SEARCH("(externo)",$I334&amp;$J334&amp;$K334)),"Terceirizada","Interna"))</f>
        <v/>
      </c>
      <c r="U334" s="43" t="str">
        <f aca="false">IF($N334="","",IF($Q334="",$N334,$Q334))</f>
        <v/>
      </c>
      <c r="V334" s="36" t="str">
        <f aca="false">IF($F334="","",IF(OR($O334="",$N334=""),0,IF($O334&lt;=$N334,1,0)))</f>
        <v/>
      </c>
      <c r="W334" s="36" t="str">
        <f aca="false">IF($F334="","",IF(OR($O334="",$U334=""),0,IF($O334&lt;=$U334,1,0)))</f>
        <v/>
      </c>
      <c r="X334" s="37" t="str">
        <f aca="false">IF(OR($O334="",$N334=""),"",MAX(0,$O334-$N334))</f>
        <v/>
      </c>
      <c r="Y334" s="36" t="str">
        <f aca="false">IF($F334="","",IF(AND($Q334&lt;&gt;"",$N334&lt;&gt;"",$Q334&lt;&gt;$N334),1,0))</f>
        <v/>
      </c>
      <c r="Z334" s="36" t="str">
        <f aca="false">IF($F334="","",IF($P334="Cancelada",0,IF(OR($O334&lt;&gt;"",$P334="Concluída"),1,0)))</f>
        <v/>
      </c>
    </row>
    <row r="335" customFormat="false" ht="16.5" hidden="false" customHeight="true" outlineLevel="0" collapsed="false">
      <c r="A335" s="36" t="str">
        <f aca="false">IF($F335="","",COUNTA($F$5:$F335))</f>
        <v/>
      </c>
      <c r="B335" s="37" t="str">
        <f aca="true">IF($F335="","",IF($P335="Cancelada","Cancelada",IF(OR($O335&lt;&gt;"",$P335="Concluída"),IF(OR($N335="",$O335="",$O335&lt;=$N335),"Concluída","Concluída com atraso"),IF($N335="","Na carteira",IF($N335&lt;TODAY(),"VENCIDA",IF($P335="Em execução","Em execução",IF($N335=TODAY(),"Hoje","Programada")))))))</f>
        <v/>
      </c>
      <c r="C335" s="38"/>
      <c r="D335" s="38"/>
      <c r="E335" s="38"/>
      <c r="F335" s="38"/>
      <c r="G335" s="39"/>
      <c r="H335" s="39"/>
      <c r="I335" s="40"/>
      <c r="J335" s="40"/>
      <c r="K335" s="40"/>
      <c r="L335" s="41"/>
      <c r="M335" s="42"/>
      <c r="N335" s="43" t="str">
        <f aca="false">IF(OR($L335="",$M335=""),"",$L335+MATCH($M335,Listas!$F$5:$F$11,0)-1)</f>
        <v/>
      </c>
      <c r="O335" s="44"/>
      <c r="P335" s="39"/>
      <c r="Q335" s="44"/>
      <c r="R335" s="38"/>
      <c r="S335" s="38"/>
      <c r="T335" s="36" t="str">
        <f aca="false">IF($F335="","",IF(ISNUMBER(SEARCH("(externo)",$I335&amp;$J335&amp;$K335)),"Terceirizada","Interna"))</f>
        <v/>
      </c>
      <c r="U335" s="43" t="str">
        <f aca="false">IF($N335="","",IF($Q335="",$N335,$Q335))</f>
        <v/>
      </c>
      <c r="V335" s="36" t="str">
        <f aca="false">IF($F335="","",IF(OR($O335="",$N335=""),0,IF($O335&lt;=$N335,1,0)))</f>
        <v/>
      </c>
      <c r="W335" s="36" t="str">
        <f aca="false">IF($F335="","",IF(OR($O335="",$U335=""),0,IF($O335&lt;=$U335,1,0)))</f>
        <v/>
      </c>
      <c r="X335" s="37" t="str">
        <f aca="false">IF(OR($O335="",$N335=""),"",MAX(0,$O335-$N335))</f>
        <v/>
      </c>
      <c r="Y335" s="36" t="str">
        <f aca="false">IF($F335="","",IF(AND($Q335&lt;&gt;"",$N335&lt;&gt;"",$Q335&lt;&gt;$N335),1,0))</f>
        <v/>
      </c>
      <c r="Z335" s="36" t="str">
        <f aca="false">IF($F335="","",IF($P335="Cancelada",0,IF(OR($O335&lt;&gt;"",$P335="Concluída"),1,0)))</f>
        <v/>
      </c>
    </row>
    <row r="336" customFormat="false" ht="16.5" hidden="false" customHeight="true" outlineLevel="0" collapsed="false">
      <c r="A336" s="36" t="str">
        <f aca="false">IF($F336="","",COUNTA($F$5:$F336))</f>
        <v/>
      </c>
      <c r="B336" s="37" t="str">
        <f aca="true">IF($F336="","",IF($P336="Cancelada","Cancelada",IF(OR($O336&lt;&gt;"",$P336="Concluída"),IF(OR($N336="",$O336="",$O336&lt;=$N336),"Concluída","Concluída com atraso"),IF($N336="","Na carteira",IF($N336&lt;TODAY(),"VENCIDA",IF($P336="Em execução","Em execução",IF($N336=TODAY(),"Hoje","Programada")))))))</f>
        <v/>
      </c>
      <c r="C336" s="38"/>
      <c r="D336" s="38"/>
      <c r="E336" s="38"/>
      <c r="F336" s="38"/>
      <c r="G336" s="39"/>
      <c r="H336" s="39"/>
      <c r="I336" s="40"/>
      <c r="J336" s="40"/>
      <c r="K336" s="40"/>
      <c r="L336" s="41"/>
      <c r="M336" s="42"/>
      <c r="N336" s="43" t="str">
        <f aca="false">IF(OR($L336="",$M336=""),"",$L336+MATCH($M336,Listas!$F$5:$F$11,0)-1)</f>
        <v/>
      </c>
      <c r="O336" s="44"/>
      <c r="P336" s="39"/>
      <c r="Q336" s="44"/>
      <c r="R336" s="38"/>
      <c r="S336" s="38"/>
      <c r="T336" s="36" t="str">
        <f aca="false">IF($F336="","",IF(ISNUMBER(SEARCH("(externo)",$I336&amp;$J336&amp;$K336)),"Terceirizada","Interna"))</f>
        <v/>
      </c>
      <c r="U336" s="43" t="str">
        <f aca="false">IF($N336="","",IF($Q336="",$N336,$Q336))</f>
        <v/>
      </c>
      <c r="V336" s="36" t="str">
        <f aca="false">IF($F336="","",IF(OR($O336="",$N336=""),0,IF($O336&lt;=$N336,1,0)))</f>
        <v/>
      </c>
      <c r="W336" s="36" t="str">
        <f aca="false">IF($F336="","",IF(OR($O336="",$U336=""),0,IF($O336&lt;=$U336,1,0)))</f>
        <v/>
      </c>
      <c r="X336" s="37" t="str">
        <f aca="false">IF(OR($O336="",$N336=""),"",MAX(0,$O336-$N336))</f>
        <v/>
      </c>
      <c r="Y336" s="36" t="str">
        <f aca="false">IF($F336="","",IF(AND($Q336&lt;&gt;"",$N336&lt;&gt;"",$Q336&lt;&gt;$N336),1,0))</f>
        <v/>
      </c>
      <c r="Z336" s="36" t="str">
        <f aca="false">IF($F336="","",IF($P336="Cancelada",0,IF(OR($O336&lt;&gt;"",$P336="Concluída"),1,0)))</f>
        <v/>
      </c>
    </row>
    <row r="337" customFormat="false" ht="16.5" hidden="false" customHeight="true" outlineLevel="0" collapsed="false">
      <c r="A337" s="36" t="str">
        <f aca="false">IF($F337="","",COUNTA($F$5:$F337))</f>
        <v/>
      </c>
      <c r="B337" s="37" t="str">
        <f aca="true">IF($F337="","",IF($P337="Cancelada","Cancelada",IF(OR($O337&lt;&gt;"",$P337="Concluída"),IF(OR($N337="",$O337="",$O337&lt;=$N337),"Concluída","Concluída com atraso"),IF($N337="","Na carteira",IF($N337&lt;TODAY(),"VENCIDA",IF($P337="Em execução","Em execução",IF($N337=TODAY(),"Hoje","Programada")))))))</f>
        <v/>
      </c>
      <c r="C337" s="38"/>
      <c r="D337" s="38"/>
      <c r="E337" s="38"/>
      <c r="F337" s="38"/>
      <c r="G337" s="39"/>
      <c r="H337" s="39"/>
      <c r="I337" s="40"/>
      <c r="J337" s="40"/>
      <c r="K337" s="40"/>
      <c r="L337" s="41"/>
      <c r="M337" s="42"/>
      <c r="N337" s="43" t="str">
        <f aca="false">IF(OR($L337="",$M337=""),"",$L337+MATCH($M337,Listas!$F$5:$F$11,0)-1)</f>
        <v/>
      </c>
      <c r="O337" s="44"/>
      <c r="P337" s="39"/>
      <c r="Q337" s="44"/>
      <c r="R337" s="38"/>
      <c r="S337" s="38"/>
      <c r="T337" s="36" t="str">
        <f aca="false">IF($F337="","",IF(ISNUMBER(SEARCH("(externo)",$I337&amp;$J337&amp;$K337)),"Terceirizada","Interna"))</f>
        <v/>
      </c>
      <c r="U337" s="43" t="str">
        <f aca="false">IF($N337="","",IF($Q337="",$N337,$Q337))</f>
        <v/>
      </c>
      <c r="V337" s="36" t="str">
        <f aca="false">IF($F337="","",IF(OR($O337="",$N337=""),0,IF($O337&lt;=$N337,1,0)))</f>
        <v/>
      </c>
      <c r="W337" s="36" t="str">
        <f aca="false">IF($F337="","",IF(OR($O337="",$U337=""),0,IF($O337&lt;=$U337,1,0)))</f>
        <v/>
      </c>
      <c r="X337" s="37" t="str">
        <f aca="false">IF(OR($O337="",$N337=""),"",MAX(0,$O337-$N337))</f>
        <v/>
      </c>
      <c r="Y337" s="36" t="str">
        <f aca="false">IF($F337="","",IF(AND($Q337&lt;&gt;"",$N337&lt;&gt;"",$Q337&lt;&gt;$N337),1,0))</f>
        <v/>
      </c>
      <c r="Z337" s="36" t="str">
        <f aca="false">IF($F337="","",IF($P337="Cancelada",0,IF(OR($O337&lt;&gt;"",$P337="Concluída"),1,0)))</f>
        <v/>
      </c>
    </row>
    <row r="338" customFormat="false" ht="16.5" hidden="false" customHeight="true" outlineLevel="0" collapsed="false">
      <c r="A338" s="36" t="str">
        <f aca="false">IF($F338="","",COUNTA($F$5:$F338))</f>
        <v/>
      </c>
      <c r="B338" s="37" t="str">
        <f aca="true">IF($F338="","",IF($P338="Cancelada","Cancelada",IF(OR($O338&lt;&gt;"",$P338="Concluída"),IF(OR($N338="",$O338="",$O338&lt;=$N338),"Concluída","Concluída com atraso"),IF($N338="","Na carteira",IF($N338&lt;TODAY(),"VENCIDA",IF($P338="Em execução","Em execução",IF($N338=TODAY(),"Hoje","Programada")))))))</f>
        <v/>
      </c>
      <c r="C338" s="38"/>
      <c r="D338" s="38"/>
      <c r="E338" s="38"/>
      <c r="F338" s="38"/>
      <c r="G338" s="39"/>
      <c r="H338" s="39"/>
      <c r="I338" s="40"/>
      <c r="J338" s="40"/>
      <c r="K338" s="40"/>
      <c r="L338" s="41"/>
      <c r="M338" s="42"/>
      <c r="N338" s="43" t="str">
        <f aca="false">IF(OR($L338="",$M338=""),"",$L338+MATCH($M338,Listas!$F$5:$F$11,0)-1)</f>
        <v/>
      </c>
      <c r="O338" s="44"/>
      <c r="P338" s="39"/>
      <c r="Q338" s="44"/>
      <c r="R338" s="38"/>
      <c r="S338" s="38"/>
      <c r="T338" s="36" t="str">
        <f aca="false">IF($F338="","",IF(ISNUMBER(SEARCH("(externo)",$I338&amp;$J338&amp;$K338)),"Terceirizada","Interna"))</f>
        <v/>
      </c>
      <c r="U338" s="43" t="str">
        <f aca="false">IF($N338="","",IF($Q338="",$N338,$Q338))</f>
        <v/>
      </c>
      <c r="V338" s="36" t="str">
        <f aca="false">IF($F338="","",IF(OR($O338="",$N338=""),0,IF($O338&lt;=$N338,1,0)))</f>
        <v/>
      </c>
      <c r="W338" s="36" t="str">
        <f aca="false">IF($F338="","",IF(OR($O338="",$U338=""),0,IF($O338&lt;=$U338,1,0)))</f>
        <v/>
      </c>
      <c r="X338" s="37" t="str">
        <f aca="false">IF(OR($O338="",$N338=""),"",MAX(0,$O338-$N338))</f>
        <v/>
      </c>
      <c r="Y338" s="36" t="str">
        <f aca="false">IF($F338="","",IF(AND($Q338&lt;&gt;"",$N338&lt;&gt;"",$Q338&lt;&gt;$N338),1,0))</f>
        <v/>
      </c>
      <c r="Z338" s="36" t="str">
        <f aca="false">IF($F338="","",IF($P338="Cancelada",0,IF(OR($O338&lt;&gt;"",$P338="Concluída"),1,0)))</f>
        <v/>
      </c>
    </row>
    <row r="339" customFormat="false" ht="16.5" hidden="false" customHeight="true" outlineLevel="0" collapsed="false">
      <c r="A339" s="36" t="str">
        <f aca="false">IF($F339="","",COUNTA($F$5:$F339))</f>
        <v/>
      </c>
      <c r="B339" s="37" t="str">
        <f aca="true">IF($F339="","",IF($P339="Cancelada","Cancelada",IF(OR($O339&lt;&gt;"",$P339="Concluída"),IF(OR($N339="",$O339="",$O339&lt;=$N339),"Concluída","Concluída com atraso"),IF($N339="","Na carteira",IF($N339&lt;TODAY(),"VENCIDA",IF($P339="Em execução","Em execução",IF($N339=TODAY(),"Hoje","Programada")))))))</f>
        <v/>
      </c>
      <c r="C339" s="38"/>
      <c r="D339" s="38"/>
      <c r="E339" s="38"/>
      <c r="F339" s="38"/>
      <c r="G339" s="39"/>
      <c r="H339" s="39"/>
      <c r="I339" s="40"/>
      <c r="J339" s="40"/>
      <c r="K339" s="40"/>
      <c r="L339" s="41"/>
      <c r="M339" s="42"/>
      <c r="N339" s="43" t="str">
        <f aca="false">IF(OR($L339="",$M339=""),"",$L339+MATCH($M339,Listas!$F$5:$F$11,0)-1)</f>
        <v/>
      </c>
      <c r="O339" s="44"/>
      <c r="P339" s="39"/>
      <c r="Q339" s="44"/>
      <c r="R339" s="38"/>
      <c r="S339" s="38"/>
      <c r="T339" s="36" t="str">
        <f aca="false">IF($F339="","",IF(ISNUMBER(SEARCH("(externo)",$I339&amp;$J339&amp;$K339)),"Terceirizada","Interna"))</f>
        <v/>
      </c>
      <c r="U339" s="43" t="str">
        <f aca="false">IF($N339="","",IF($Q339="",$N339,$Q339))</f>
        <v/>
      </c>
      <c r="V339" s="36" t="str">
        <f aca="false">IF($F339="","",IF(OR($O339="",$N339=""),0,IF($O339&lt;=$N339,1,0)))</f>
        <v/>
      </c>
      <c r="W339" s="36" t="str">
        <f aca="false">IF($F339="","",IF(OR($O339="",$U339=""),0,IF($O339&lt;=$U339,1,0)))</f>
        <v/>
      </c>
      <c r="X339" s="37" t="str">
        <f aca="false">IF(OR($O339="",$N339=""),"",MAX(0,$O339-$N339))</f>
        <v/>
      </c>
      <c r="Y339" s="36" t="str">
        <f aca="false">IF($F339="","",IF(AND($Q339&lt;&gt;"",$N339&lt;&gt;"",$Q339&lt;&gt;$N339),1,0))</f>
        <v/>
      </c>
      <c r="Z339" s="36" t="str">
        <f aca="false">IF($F339="","",IF($P339="Cancelada",0,IF(OR($O339&lt;&gt;"",$P339="Concluída"),1,0)))</f>
        <v/>
      </c>
    </row>
    <row r="340" customFormat="false" ht="16.5" hidden="false" customHeight="true" outlineLevel="0" collapsed="false">
      <c r="A340" s="36" t="str">
        <f aca="false">IF($F340="","",COUNTA($F$5:$F340))</f>
        <v/>
      </c>
      <c r="B340" s="37" t="str">
        <f aca="true">IF($F340="","",IF($P340="Cancelada","Cancelada",IF(OR($O340&lt;&gt;"",$P340="Concluída"),IF(OR($N340="",$O340="",$O340&lt;=$N340),"Concluída","Concluída com atraso"),IF($N340="","Na carteira",IF($N340&lt;TODAY(),"VENCIDA",IF($P340="Em execução","Em execução",IF($N340=TODAY(),"Hoje","Programada")))))))</f>
        <v/>
      </c>
      <c r="C340" s="38"/>
      <c r="D340" s="38"/>
      <c r="E340" s="38"/>
      <c r="F340" s="38"/>
      <c r="G340" s="39"/>
      <c r="H340" s="39"/>
      <c r="I340" s="40"/>
      <c r="J340" s="40"/>
      <c r="K340" s="40"/>
      <c r="L340" s="41"/>
      <c r="M340" s="42"/>
      <c r="N340" s="43" t="str">
        <f aca="false">IF(OR($L340="",$M340=""),"",$L340+MATCH($M340,Listas!$F$5:$F$11,0)-1)</f>
        <v/>
      </c>
      <c r="O340" s="44"/>
      <c r="P340" s="39"/>
      <c r="Q340" s="44"/>
      <c r="R340" s="38"/>
      <c r="S340" s="38"/>
      <c r="T340" s="36" t="str">
        <f aca="false">IF($F340="","",IF(ISNUMBER(SEARCH("(externo)",$I340&amp;$J340&amp;$K340)),"Terceirizada","Interna"))</f>
        <v/>
      </c>
      <c r="U340" s="43" t="str">
        <f aca="false">IF($N340="","",IF($Q340="",$N340,$Q340))</f>
        <v/>
      </c>
      <c r="V340" s="36" t="str">
        <f aca="false">IF($F340="","",IF(OR($O340="",$N340=""),0,IF($O340&lt;=$N340,1,0)))</f>
        <v/>
      </c>
      <c r="W340" s="36" t="str">
        <f aca="false">IF($F340="","",IF(OR($O340="",$U340=""),0,IF($O340&lt;=$U340,1,0)))</f>
        <v/>
      </c>
      <c r="X340" s="37" t="str">
        <f aca="false">IF(OR($O340="",$N340=""),"",MAX(0,$O340-$N340))</f>
        <v/>
      </c>
      <c r="Y340" s="36" t="str">
        <f aca="false">IF($F340="","",IF(AND($Q340&lt;&gt;"",$N340&lt;&gt;"",$Q340&lt;&gt;$N340),1,0))</f>
        <v/>
      </c>
      <c r="Z340" s="36" t="str">
        <f aca="false">IF($F340="","",IF($P340="Cancelada",0,IF(OR($O340&lt;&gt;"",$P340="Concluída"),1,0)))</f>
        <v/>
      </c>
    </row>
    <row r="341" customFormat="false" ht="16.5" hidden="false" customHeight="true" outlineLevel="0" collapsed="false">
      <c r="A341" s="36" t="str">
        <f aca="false">IF($F341="","",COUNTA($F$5:$F341))</f>
        <v/>
      </c>
      <c r="B341" s="37" t="str">
        <f aca="true">IF($F341="","",IF($P341="Cancelada","Cancelada",IF(OR($O341&lt;&gt;"",$P341="Concluída"),IF(OR($N341="",$O341="",$O341&lt;=$N341),"Concluída","Concluída com atraso"),IF($N341="","Na carteira",IF($N341&lt;TODAY(),"VENCIDA",IF($P341="Em execução","Em execução",IF($N341=TODAY(),"Hoje","Programada")))))))</f>
        <v/>
      </c>
      <c r="C341" s="38"/>
      <c r="D341" s="38"/>
      <c r="E341" s="38"/>
      <c r="F341" s="38"/>
      <c r="G341" s="39"/>
      <c r="H341" s="39"/>
      <c r="I341" s="40"/>
      <c r="J341" s="40"/>
      <c r="K341" s="40"/>
      <c r="L341" s="41"/>
      <c r="M341" s="42"/>
      <c r="N341" s="43" t="str">
        <f aca="false">IF(OR($L341="",$M341=""),"",$L341+MATCH($M341,Listas!$F$5:$F$11,0)-1)</f>
        <v/>
      </c>
      <c r="O341" s="44"/>
      <c r="P341" s="39"/>
      <c r="Q341" s="44"/>
      <c r="R341" s="38"/>
      <c r="S341" s="38"/>
      <c r="T341" s="36" t="str">
        <f aca="false">IF($F341="","",IF(ISNUMBER(SEARCH("(externo)",$I341&amp;$J341&amp;$K341)),"Terceirizada","Interna"))</f>
        <v/>
      </c>
      <c r="U341" s="43" t="str">
        <f aca="false">IF($N341="","",IF($Q341="",$N341,$Q341))</f>
        <v/>
      </c>
      <c r="V341" s="36" t="str">
        <f aca="false">IF($F341="","",IF(OR($O341="",$N341=""),0,IF($O341&lt;=$N341,1,0)))</f>
        <v/>
      </c>
      <c r="W341" s="36" t="str">
        <f aca="false">IF($F341="","",IF(OR($O341="",$U341=""),0,IF($O341&lt;=$U341,1,0)))</f>
        <v/>
      </c>
      <c r="X341" s="37" t="str">
        <f aca="false">IF(OR($O341="",$N341=""),"",MAX(0,$O341-$N341))</f>
        <v/>
      </c>
      <c r="Y341" s="36" t="str">
        <f aca="false">IF($F341="","",IF(AND($Q341&lt;&gt;"",$N341&lt;&gt;"",$Q341&lt;&gt;$N341),1,0))</f>
        <v/>
      </c>
      <c r="Z341" s="36" t="str">
        <f aca="false">IF($F341="","",IF($P341="Cancelada",0,IF(OR($O341&lt;&gt;"",$P341="Concluída"),1,0)))</f>
        <v/>
      </c>
    </row>
    <row r="342" customFormat="false" ht="16.5" hidden="false" customHeight="true" outlineLevel="0" collapsed="false">
      <c r="A342" s="36" t="str">
        <f aca="false">IF($F342="","",COUNTA($F$5:$F342))</f>
        <v/>
      </c>
      <c r="B342" s="37" t="str">
        <f aca="true">IF($F342="","",IF($P342="Cancelada","Cancelada",IF(OR($O342&lt;&gt;"",$P342="Concluída"),IF(OR($N342="",$O342="",$O342&lt;=$N342),"Concluída","Concluída com atraso"),IF($N342="","Na carteira",IF($N342&lt;TODAY(),"VENCIDA",IF($P342="Em execução","Em execução",IF($N342=TODAY(),"Hoje","Programada")))))))</f>
        <v/>
      </c>
      <c r="C342" s="38"/>
      <c r="D342" s="38"/>
      <c r="E342" s="38"/>
      <c r="F342" s="38"/>
      <c r="G342" s="39"/>
      <c r="H342" s="39"/>
      <c r="I342" s="40"/>
      <c r="J342" s="40"/>
      <c r="K342" s="40"/>
      <c r="L342" s="41"/>
      <c r="M342" s="42"/>
      <c r="N342" s="43" t="str">
        <f aca="false">IF(OR($L342="",$M342=""),"",$L342+MATCH($M342,Listas!$F$5:$F$11,0)-1)</f>
        <v/>
      </c>
      <c r="O342" s="44"/>
      <c r="P342" s="39"/>
      <c r="Q342" s="44"/>
      <c r="R342" s="38"/>
      <c r="S342" s="38"/>
      <c r="T342" s="36" t="str">
        <f aca="false">IF($F342="","",IF(ISNUMBER(SEARCH("(externo)",$I342&amp;$J342&amp;$K342)),"Terceirizada","Interna"))</f>
        <v/>
      </c>
      <c r="U342" s="43" t="str">
        <f aca="false">IF($N342="","",IF($Q342="",$N342,$Q342))</f>
        <v/>
      </c>
      <c r="V342" s="36" t="str">
        <f aca="false">IF($F342="","",IF(OR($O342="",$N342=""),0,IF($O342&lt;=$N342,1,0)))</f>
        <v/>
      </c>
      <c r="W342" s="36" t="str">
        <f aca="false">IF($F342="","",IF(OR($O342="",$U342=""),0,IF($O342&lt;=$U342,1,0)))</f>
        <v/>
      </c>
      <c r="X342" s="37" t="str">
        <f aca="false">IF(OR($O342="",$N342=""),"",MAX(0,$O342-$N342))</f>
        <v/>
      </c>
      <c r="Y342" s="36" t="str">
        <f aca="false">IF($F342="","",IF(AND($Q342&lt;&gt;"",$N342&lt;&gt;"",$Q342&lt;&gt;$N342),1,0))</f>
        <v/>
      </c>
      <c r="Z342" s="36" t="str">
        <f aca="false">IF($F342="","",IF($P342="Cancelada",0,IF(OR($O342&lt;&gt;"",$P342="Concluída"),1,0)))</f>
        <v/>
      </c>
    </row>
    <row r="343" customFormat="false" ht="16.5" hidden="false" customHeight="true" outlineLevel="0" collapsed="false">
      <c r="A343" s="36" t="str">
        <f aca="false">IF($F343="","",COUNTA($F$5:$F343))</f>
        <v/>
      </c>
      <c r="B343" s="37" t="str">
        <f aca="true">IF($F343="","",IF($P343="Cancelada","Cancelada",IF(OR($O343&lt;&gt;"",$P343="Concluída"),IF(OR($N343="",$O343="",$O343&lt;=$N343),"Concluída","Concluída com atraso"),IF($N343="","Na carteira",IF($N343&lt;TODAY(),"VENCIDA",IF($P343="Em execução","Em execução",IF($N343=TODAY(),"Hoje","Programada")))))))</f>
        <v/>
      </c>
      <c r="C343" s="38"/>
      <c r="D343" s="38"/>
      <c r="E343" s="38"/>
      <c r="F343" s="38"/>
      <c r="G343" s="39"/>
      <c r="H343" s="39"/>
      <c r="I343" s="40"/>
      <c r="J343" s="40"/>
      <c r="K343" s="40"/>
      <c r="L343" s="41"/>
      <c r="M343" s="42"/>
      <c r="N343" s="43" t="str">
        <f aca="false">IF(OR($L343="",$M343=""),"",$L343+MATCH($M343,Listas!$F$5:$F$11,0)-1)</f>
        <v/>
      </c>
      <c r="O343" s="44"/>
      <c r="P343" s="39"/>
      <c r="Q343" s="44"/>
      <c r="R343" s="38"/>
      <c r="S343" s="38"/>
      <c r="T343" s="36" t="str">
        <f aca="false">IF($F343="","",IF(ISNUMBER(SEARCH("(externo)",$I343&amp;$J343&amp;$K343)),"Terceirizada","Interna"))</f>
        <v/>
      </c>
      <c r="U343" s="43" t="str">
        <f aca="false">IF($N343="","",IF($Q343="",$N343,$Q343))</f>
        <v/>
      </c>
      <c r="V343" s="36" t="str">
        <f aca="false">IF($F343="","",IF(OR($O343="",$N343=""),0,IF($O343&lt;=$N343,1,0)))</f>
        <v/>
      </c>
      <c r="W343" s="36" t="str">
        <f aca="false">IF($F343="","",IF(OR($O343="",$U343=""),0,IF($O343&lt;=$U343,1,0)))</f>
        <v/>
      </c>
      <c r="X343" s="37" t="str">
        <f aca="false">IF(OR($O343="",$N343=""),"",MAX(0,$O343-$N343))</f>
        <v/>
      </c>
      <c r="Y343" s="36" t="str">
        <f aca="false">IF($F343="","",IF(AND($Q343&lt;&gt;"",$N343&lt;&gt;"",$Q343&lt;&gt;$N343),1,0))</f>
        <v/>
      </c>
      <c r="Z343" s="36" t="str">
        <f aca="false">IF($F343="","",IF($P343="Cancelada",0,IF(OR($O343&lt;&gt;"",$P343="Concluída"),1,0)))</f>
        <v/>
      </c>
    </row>
    <row r="344" customFormat="false" ht="16.5" hidden="false" customHeight="true" outlineLevel="0" collapsed="false">
      <c r="A344" s="36" t="str">
        <f aca="false">IF($F344="","",COUNTA($F$5:$F344))</f>
        <v/>
      </c>
      <c r="B344" s="37" t="str">
        <f aca="true">IF($F344="","",IF($P344="Cancelada","Cancelada",IF(OR($O344&lt;&gt;"",$P344="Concluída"),IF(OR($N344="",$O344="",$O344&lt;=$N344),"Concluída","Concluída com atraso"),IF($N344="","Na carteira",IF($N344&lt;TODAY(),"VENCIDA",IF($P344="Em execução","Em execução",IF($N344=TODAY(),"Hoje","Programada")))))))</f>
        <v/>
      </c>
      <c r="C344" s="38"/>
      <c r="D344" s="38"/>
      <c r="E344" s="38"/>
      <c r="F344" s="38"/>
      <c r="G344" s="39"/>
      <c r="H344" s="39"/>
      <c r="I344" s="40"/>
      <c r="J344" s="40"/>
      <c r="K344" s="40"/>
      <c r="L344" s="41"/>
      <c r="M344" s="42"/>
      <c r="N344" s="43" t="str">
        <f aca="false">IF(OR($L344="",$M344=""),"",$L344+MATCH($M344,Listas!$F$5:$F$11,0)-1)</f>
        <v/>
      </c>
      <c r="O344" s="44"/>
      <c r="P344" s="39"/>
      <c r="Q344" s="44"/>
      <c r="R344" s="38"/>
      <c r="S344" s="38"/>
      <c r="T344" s="36" t="str">
        <f aca="false">IF($F344="","",IF(ISNUMBER(SEARCH("(externo)",$I344&amp;$J344&amp;$K344)),"Terceirizada","Interna"))</f>
        <v/>
      </c>
      <c r="U344" s="43" t="str">
        <f aca="false">IF($N344="","",IF($Q344="",$N344,$Q344))</f>
        <v/>
      </c>
      <c r="V344" s="36" t="str">
        <f aca="false">IF($F344="","",IF(OR($O344="",$N344=""),0,IF($O344&lt;=$N344,1,0)))</f>
        <v/>
      </c>
      <c r="W344" s="36" t="str">
        <f aca="false">IF($F344="","",IF(OR($O344="",$U344=""),0,IF($O344&lt;=$U344,1,0)))</f>
        <v/>
      </c>
      <c r="X344" s="37" t="str">
        <f aca="false">IF(OR($O344="",$N344=""),"",MAX(0,$O344-$N344))</f>
        <v/>
      </c>
      <c r="Y344" s="36" t="str">
        <f aca="false">IF($F344="","",IF(AND($Q344&lt;&gt;"",$N344&lt;&gt;"",$Q344&lt;&gt;$N344),1,0))</f>
        <v/>
      </c>
      <c r="Z344" s="36" t="str">
        <f aca="false">IF($F344="","",IF($P344="Cancelada",0,IF(OR($O344&lt;&gt;"",$P344="Concluída"),1,0)))</f>
        <v/>
      </c>
    </row>
    <row r="345" customFormat="false" ht="16.5" hidden="false" customHeight="true" outlineLevel="0" collapsed="false">
      <c r="A345" s="36" t="str">
        <f aca="false">IF($F345="","",COUNTA($F$5:$F345))</f>
        <v/>
      </c>
      <c r="B345" s="37" t="str">
        <f aca="true">IF($F345="","",IF($P345="Cancelada","Cancelada",IF(OR($O345&lt;&gt;"",$P345="Concluída"),IF(OR($N345="",$O345="",$O345&lt;=$N345),"Concluída","Concluída com atraso"),IF($N345="","Na carteira",IF($N345&lt;TODAY(),"VENCIDA",IF($P345="Em execução","Em execução",IF($N345=TODAY(),"Hoje","Programada")))))))</f>
        <v/>
      </c>
      <c r="C345" s="38"/>
      <c r="D345" s="38"/>
      <c r="E345" s="38"/>
      <c r="F345" s="38"/>
      <c r="G345" s="39"/>
      <c r="H345" s="39"/>
      <c r="I345" s="40"/>
      <c r="J345" s="40"/>
      <c r="K345" s="40"/>
      <c r="L345" s="41"/>
      <c r="M345" s="42"/>
      <c r="N345" s="43" t="str">
        <f aca="false">IF(OR($L345="",$M345=""),"",$L345+MATCH($M345,Listas!$F$5:$F$11,0)-1)</f>
        <v/>
      </c>
      <c r="O345" s="44"/>
      <c r="P345" s="39"/>
      <c r="Q345" s="44"/>
      <c r="R345" s="38"/>
      <c r="S345" s="38"/>
      <c r="T345" s="36" t="str">
        <f aca="false">IF($F345="","",IF(ISNUMBER(SEARCH("(externo)",$I345&amp;$J345&amp;$K345)),"Terceirizada","Interna"))</f>
        <v/>
      </c>
      <c r="U345" s="43" t="str">
        <f aca="false">IF($N345="","",IF($Q345="",$N345,$Q345))</f>
        <v/>
      </c>
      <c r="V345" s="36" t="str">
        <f aca="false">IF($F345="","",IF(OR($O345="",$N345=""),0,IF($O345&lt;=$N345,1,0)))</f>
        <v/>
      </c>
      <c r="W345" s="36" t="str">
        <f aca="false">IF($F345="","",IF(OR($O345="",$U345=""),0,IF($O345&lt;=$U345,1,0)))</f>
        <v/>
      </c>
      <c r="X345" s="37" t="str">
        <f aca="false">IF(OR($O345="",$N345=""),"",MAX(0,$O345-$N345))</f>
        <v/>
      </c>
      <c r="Y345" s="36" t="str">
        <f aca="false">IF($F345="","",IF(AND($Q345&lt;&gt;"",$N345&lt;&gt;"",$Q345&lt;&gt;$N345),1,0))</f>
        <v/>
      </c>
      <c r="Z345" s="36" t="str">
        <f aca="false">IF($F345="","",IF($P345="Cancelada",0,IF(OR($O345&lt;&gt;"",$P345="Concluída"),1,0)))</f>
        <v/>
      </c>
    </row>
    <row r="346" customFormat="false" ht="16.5" hidden="false" customHeight="true" outlineLevel="0" collapsed="false">
      <c r="A346" s="36" t="str">
        <f aca="false">IF($F346="","",COUNTA($F$5:$F346))</f>
        <v/>
      </c>
      <c r="B346" s="37" t="str">
        <f aca="true">IF($F346="","",IF($P346="Cancelada","Cancelada",IF(OR($O346&lt;&gt;"",$P346="Concluída"),IF(OR($N346="",$O346="",$O346&lt;=$N346),"Concluída","Concluída com atraso"),IF($N346="","Na carteira",IF($N346&lt;TODAY(),"VENCIDA",IF($P346="Em execução","Em execução",IF($N346=TODAY(),"Hoje","Programada")))))))</f>
        <v/>
      </c>
      <c r="C346" s="38"/>
      <c r="D346" s="38"/>
      <c r="E346" s="38"/>
      <c r="F346" s="38"/>
      <c r="G346" s="39"/>
      <c r="H346" s="39"/>
      <c r="I346" s="40"/>
      <c r="J346" s="40"/>
      <c r="K346" s="40"/>
      <c r="L346" s="41"/>
      <c r="M346" s="42"/>
      <c r="N346" s="43" t="str">
        <f aca="false">IF(OR($L346="",$M346=""),"",$L346+MATCH($M346,Listas!$F$5:$F$11,0)-1)</f>
        <v/>
      </c>
      <c r="O346" s="44"/>
      <c r="P346" s="39"/>
      <c r="Q346" s="44"/>
      <c r="R346" s="38"/>
      <c r="S346" s="38"/>
      <c r="T346" s="36" t="str">
        <f aca="false">IF($F346="","",IF(ISNUMBER(SEARCH("(externo)",$I346&amp;$J346&amp;$K346)),"Terceirizada","Interna"))</f>
        <v/>
      </c>
      <c r="U346" s="43" t="str">
        <f aca="false">IF($N346="","",IF($Q346="",$N346,$Q346))</f>
        <v/>
      </c>
      <c r="V346" s="36" t="str">
        <f aca="false">IF($F346="","",IF(OR($O346="",$N346=""),0,IF($O346&lt;=$N346,1,0)))</f>
        <v/>
      </c>
      <c r="W346" s="36" t="str">
        <f aca="false">IF($F346="","",IF(OR($O346="",$U346=""),0,IF($O346&lt;=$U346,1,0)))</f>
        <v/>
      </c>
      <c r="X346" s="37" t="str">
        <f aca="false">IF(OR($O346="",$N346=""),"",MAX(0,$O346-$N346))</f>
        <v/>
      </c>
      <c r="Y346" s="36" t="str">
        <f aca="false">IF($F346="","",IF(AND($Q346&lt;&gt;"",$N346&lt;&gt;"",$Q346&lt;&gt;$N346),1,0))</f>
        <v/>
      </c>
      <c r="Z346" s="36" t="str">
        <f aca="false">IF($F346="","",IF($P346="Cancelada",0,IF(OR($O346&lt;&gt;"",$P346="Concluída"),1,0)))</f>
        <v/>
      </c>
    </row>
    <row r="347" customFormat="false" ht="16.5" hidden="false" customHeight="true" outlineLevel="0" collapsed="false">
      <c r="A347" s="36" t="str">
        <f aca="false">IF($F347="","",COUNTA($F$5:$F347))</f>
        <v/>
      </c>
      <c r="B347" s="37" t="str">
        <f aca="true">IF($F347="","",IF($P347="Cancelada","Cancelada",IF(OR($O347&lt;&gt;"",$P347="Concluída"),IF(OR($N347="",$O347="",$O347&lt;=$N347),"Concluída","Concluída com atraso"),IF($N347="","Na carteira",IF($N347&lt;TODAY(),"VENCIDA",IF($P347="Em execução","Em execução",IF($N347=TODAY(),"Hoje","Programada")))))))</f>
        <v/>
      </c>
      <c r="C347" s="38"/>
      <c r="D347" s="38"/>
      <c r="E347" s="38"/>
      <c r="F347" s="38"/>
      <c r="G347" s="39"/>
      <c r="H347" s="39"/>
      <c r="I347" s="40"/>
      <c r="J347" s="40"/>
      <c r="K347" s="40"/>
      <c r="L347" s="41"/>
      <c r="M347" s="42"/>
      <c r="N347" s="43" t="str">
        <f aca="false">IF(OR($L347="",$M347=""),"",$L347+MATCH($M347,Listas!$F$5:$F$11,0)-1)</f>
        <v/>
      </c>
      <c r="O347" s="44"/>
      <c r="P347" s="39"/>
      <c r="Q347" s="44"/>
      <c r="R347" s="38"/>
      <c r="S347" s="38"/>
      <c r="T347" s="36" t="str">
        <f aca="false">IF($F347="","",IF(ISNUMBER(SEARCH("(externo)",$I347&amp;$J347&amp;$K347)),"Terceirizada","Interna"))</f>
        <v/>
      </c>
      <c r="U347" s="43" t="str">
        <f aca="false">IF($N347="","",IF($Q347="",$N347,$Q347))</f>
        <v/>
      </c>
      <c r="V347" s="36" t="str">
        <f aca="false">IF($F347="","",IF(OR($O347="",$N347=""),0,IF($O347&lt;=$N347,1,0)))</f>
        <v/>
      </c>
      <c r="W347" s="36" t="str">
        <f aca="false">IF($F347="","",IF(OR($O347="",$U347=""),0,IF($O347&lt;=$U347,1,0)))</f>
        <v/>
      </c>
      <c r="X347" s="37" t="str">
        <f aca="false">IF(OR($O347="",$N347=""),"",MAX(0,$O347-$N347))</f>
        <v/>
      </c>
      <c r="Y347" s="36" t="str">
        <f aca="false">IF($F347="","",IF(AND($Q347&lt;&gt;"",$N347&lt;&gt;"",$Q347&lt;&gt;$N347),1,0))</f>
        <v/>
      </c>
      <c r="Z347" s="36" t="str">
        <f aca="false">IF($F347="","",IF($P347="Cancelada",0,IF(OR($O347&lt;&gt;"",$P347="Concluída"),1,0)))</f>
        <v/>
      </c>
    </row>
    <row r="348" customFormat="false" ht="16.5" hidden="false" customHeight="true" outlineLevel="0" collapsed="false">
      <c r="A348" s="36" t="str">
        <f aca="false">IF($F348="","",COUNTA($F$5:$F348))</f>
        <v/>
      </c>
      <c r="B348" s="37" t="str">
        <f aca="true">IF($F348="","",IF($P348="Cancelada","Cancelada",IF(OR($O348&lt;&gt;"",$P348="Concluída"),IF(OR($N348="",$O348="",$O348&lt;=$N348),"Concluída","Concluída com atraso"),IF($N348="","Na carteira",IF($N348&lt;TODAY(),"VENCIDA",IF($P348="Em execução","Em execução",IF($N348=TODAY(),"Hoje","Programada")))))))</f>
        <v/>
      </c>
      <c r="C348" s="38"/>
      <c r="D348" s="38"/>
      <c r="E348" s="38"/>
      <c r="F348" s="38"/>
      <c r="G348" s="39"/>
      <c r="H348" s="39"/>
      <c r="I348" s="40"/>
      <c r="J348" s="40"/>
      <c r="K348" s="40"/>
      <c r="L348" s="41"/>
      <c r="M348" s="42"/>
      <c r="N348" s="43" t="str">
        <f aca="false">IF(OR($L348="",$M348=""),"",$L348+MATCH($M348,Listas!$F$5:$F$11,0)-1)</f>
        <v/>
      </c>
      <c r="O348" s="44"/>
      <c r="P348" s="39"/>
      <c r="Q348" s="44"/>
      <c r="R348" s="38"/>
      <c r="S348" s="38"/>
      <c r="T348" s="36" t="str">
        <f aca="false">IF($F348="","",IF(ISNUMBER(SEARCH("(externo)",$I348&amp;$J348&amp;$K348)),"Terceirizada","Interna"))</f>
        <v/>
      </c>
      <c r="U348" s="43" t="str">
        <f aca="false">IF($N348="","",IF($Q348="",$N348,$Q348))</f>
        <v/>
      </c>
      <c r="V348" s="36" t="str">
        <f aca="false">IF($F348="","",IF(OR($O348="",$N348=""),0,IF($O348&lt;=$N348,1,0)))</f>
        <v/>
      </c>
      <c r="W348" s="36" t="str">
        <f aca="false">IF($F348="","",IF(OR($O348="",$U348=""),0,IF($O348&lt;=$U348,1,0)))</f>
        <v/>
      </c>
      <c r="X348" s="37" t="str">
        <f aca="false">IF(OR($O348="",$N348=""),"",MAX(0,$O348-$N348))</f>
        <v/>
      </c>
      <c r="Y348" s="36" t="str">
        <f aca="false">IF($F348="","",IF(AND($Q348&lt;&gt;"",$N348&lt;&gt;"",$Q348&lt;&gt;$N348),1,0))</f>
        <v/>
      </c>
      <c r="Z348" s="36" t="str">
        <f aca="false">IF($F348="","",IF($P348="Cancelada",0,IF(OR($O348&lt;&gt;"",$P348="Concluída"),1,0)))</f>
        <v/>
      </c>
    </row>
    <row r="349" customFormat="false" ht="16.5" hidden="false" customHeight="true" outlineLevel="0" collapsed="false">
      <c r="A349" s="36" t="str">
        <f aca="false">IF($F349="","",COUNTA($F$5:$F349))</f>
        <v/>
      </c>
      <c r="B349" s="37" t="str">
        <f aca="true">IF($F349="","",IF($P349="Cancelada","Cancelada",IF(OR($O349&lt;&gt;"",$P349="Concluída"),IF(OR($N349="",$O349="",$O349&lt;=$N349),"Concluída","Concluída com atraso"),IF($N349="","Na carteira",IF($N349&lt;TODAY(),"VENCIDA",IF($P349="Em execução","Em execução",IF($N349=TODAY(),"Hoje","Programada")))))))</f>
        <v/>
      </c>
      <c r="C349" s="38"/>
      <c r="D349" s="38"/>
      <c r="E349" s="38"/>
      <c r="F349" s="38"/>
      <c r="G349" s="39"/>
      <c r="H349" s="39"/>
      <c r="I349" s="40"/>
      <c r="J349" s="40"/>
      <c r="K349" s="40"/>
      <c r="L349" s="41"/>
      <c r="M349" s="42"/>
      <c r="N349" s="43" t="str">
        <f aca="false">IF(OR($L349="",$M349=""),"",$L349+MATCH($M349,Listas!$F$5:$F$11,0)-1)</f>
        <v/>
      </c>
      <c r="O349" s="44"/>
      <c r="P349" s="39"/>
      <c r="Q349" s="44"/>
      <c r="R349" s="38"/>
      <c r="S349" s="38"/>
      <c r="T349" s="36" t="str">
        <f aca="false">IF($F349="","",IF(ISNUMBER(SEARCH("(externo)",$I349&amp;$J349&amp;$K349)),"Terceirizada","Interna"))</f>
        <v/>
      </c>
      <c r="U349" s="43" t="str">
        <f aca="false">IF($N349="","",IF($Q349="",$N349,$Q349))</f>
        <v/>
      </c>
      <c r="V349" s="36" t="str">
        <f aca="false">IF($F349="","",IF(OR($O349="",$N349=""),0,IF($O349&lt;=$N349,1,0)))</f>
        <v/>
      </c>
      <c r="W349" s="36" t="str">
        <f aca="false">IF($F349="","",IF(OR($O349="",$U349=""),0,IF($O349&lt;=$U349,1,0)))</f>
        <v/>
      </c>
      <c r="X349" s="37" t="str">
        <f aca="false">IF(OR($O349="",$N349=""),"",MAX(0,$O349-$N349))</f>
        <v/>
      </c>
      <c r="Y349" s="36" t="str">
        <f aca="false">IF($F349="","",IF(AND($Q349&lt;&gt;"",$N349&lt;&gt;"",$Q349&lt;&gt;$N349),1,0))</f>
        <v/>
      </c>
      <c r="Z349" s="36" t="str">
        <f aca="false">IF($F349="","",IF($P349="Cancelada",0,IF(OR($O349&lt;&gt;"",$P349="Concluída"),1,0)))</f>
        <v/>
      </c>
    </row>
    <row r="350" customFormat="false" ht="16.5" hidden="false" customHeight="true" outlineLevel="0" collapsed="false">
      <c r="A350" s="36" t="str">
        <f aca="false">IF($F350="","",COUNTA($F$5:$F350))</f>
        <v/>
      </c>
      <c r="B350" s="37" t="str">
        <f aca="true">IF($F350="","",IF($P350="Cancelada","Cancelada",IF(OR($O350&lt;&gt;"",$P350="Concluída"),IF(OR($N350="",$O350="",$O350&lt;=$N350),"Concluída","Concluída com atraso"),IF($N350="","Na carteira",IF($N350&lt;TODAY(),"VENCIDA",IF($P350="Em execução","Em execução",IF($N350=TODAY(),"Hoje","Programada")))))))</f>
        <v/>
      </c>
      <c r="C350" s="38"/>
      <c r="D350" s="38"/>
      <c r="E350" s="38"/>
      <c r="F350" s="38"/>
      <c r="G350" s="39"/>
      <c r="H350" s="39"/>
      <c r="I350" s="40"/>
      <c r="J350" s="40"/>
      <c r="K350" s="40"/>
      <c r="L350" s="41"/>
      <c r="M350" s="42"/>
      <c r="N350" s="43" t="str">
        <f aca="false">IF(OR($L350="",$M350=""),"",$L350+MATCH($M350,Listas!$F$5:$F$11,0)-1)</f>
        <v/>
      </c>
      <c r="O350" s="44"/>
      <c r="P350" s="39"/>
      <c r="Q350" s="44"/>
      <c r="R350" s="38"/>
      <c r="S350" s="38"/>
      <c r="T350" s="36" t="str">
        <f aca="false">IF($F350="","",IF(ISNUMBER(SEARCH("(externo)",$I350&amp;$J350&amp;$K350)),"Terceirizada","Interna"))</f>
        <v/>
      </c>
      <c r="U350" s="43" t="str">
        <f aca="false">IF($N350="","",IF($Q350="",$N350,$Q350))</f>
        <v/>
      </c>
      <c r="V350" s="36" t="str">
        <f aca="false">IF($F350="","",IF(OR($O350="",$N350=""),0,IF($O350&lt;=$N350,1,0)))</f>
        <v/>
      </c>
      <c r="W350" s="36" t="str">
        <f aca="false">IF($F350="","",IF(OR($O350="",$U350=""),0,IF($O350&lt;=$U350,1,0)))</f>
        <v/>
      </c>
      <c r="X350" s="37" t="str">
        <f aca="false">IF(OR($O350="",$N350=""),"",MAX(0,$O350-$N350))</f>
        <v/>
      </c>
      <c r="Y350" s="36" t="str">
        <f aca="false">IF($F350="","",IF(AND($Q350&lt;&gt;"",$N350&lt;&gt;"",$Q350&lt;&gt;$N350),1,0))</f>
        <v/>
      </c>
      <c r="Z350" s="36" t="str">
        <f aca="false">IF($F350="","",IF($P350="Cancelada",0,IF(OR($O350&lt;&gt;"",$P350="Concluída"),1,0)))</f>
        <v/>
      </c>
    </row>
    <row r="351" customFormat="false" ht="16.5" hidden="false" customHeight="true" outlineLevel="0" collapsed="false">
      <c r="A351" s="36" t="str">
        <f aca="false">IF($F351="","",COUNTA($F$5:$F351))</f>
        <v/>
      </c>
      <c r="B351" s="37" t="str">
        <f aca="true">IF($F351="","",IF($P351="Cancelada","Cancelada",IF(OR($O351&lt;&gt;"",$P351="Concluída"),IF(OR($N351="",$O351="",$O351&lt;=$N351),"Concluída","Concluída com atraso"),IF($N351="","Na carteira",IF($N351&lt;TODAY(),"VENCIDA",IF($P351="Em execução","Em execução",IF($N351=TODAY(),"Hoje","Programada")))))))</f>
        <v/>
      </c>
      <c r="C351" s="38"/>
      <c r="D351" s="38"/>
      <c r="E351" s="38"/>
      <c r="F351" s="38"/>
      <c r="G351" s="39"/>
      <c r="H351" s="39"/>
      <c r="I351" s="40"/>
      <c r="J351" s="40"/>
      <c r="K351" s="40"/>
      <c r="L351" s="41"/>
      <c r="M351" s="42"/>
      <c r="N351" s="43" t="str">
        <f aca="false">IF(OR($L351="",$M351=""),"",$L351+MATCH($M351,Listas!$F$5:$F$11,0)-1)</f>
        <v/>
      </c>
      <c r="O351" s="44"/>
      <c r="P351" s="39"/>
      <c r="Q351" s="44"/>
      <c r="R351" s="38"/>
      <c r="S351" s="38"/>
      <c r="T351" s="36" t="str">
        <f aca="false">IF($F351="","",IF(ISNUMBER(SEARCH("(externo)",$I351&amp;$J351&amp;$K351)),"Terceirizada","Interna"))</f>
        <v/>
      </c>
      <c r="U351" s="43" t="str">
        <f aca="false">IF($N351="","",IF($Q351="",$N351,$Q351))</f>
        <v/>
      </c>
      <c r="V351" s="36" t="str">
        <f aca="false">IF($F351="","",IF(OR($O351="",$N351=""),0,IF($O351&lt;=$N351,1,0)))</f>
        <v/>
      </c>
      <c r="W351" s="36" t="str">
        <f aca="false">IF($F351="","",IF(OR($O351="",$U351=""),0,IF($O351&lt;=$U351,1,0)))</f>
        <v/>
      </c>
      <c r="X351" s="37" t="str">
        <f aca="false">IF(OR($O351="",$N351=""),"",MAX(0,$O351-$N351))</f>
        <v/>
      </c>
      <c r="Y351" s="36" t="str">
        <f aca="false">IF($F351="","",IF(AND($Q351&lt;&gt;"",$N351&lt;&gt;"",$Q351&lt;&gt;$N351),1,0))</f>
        <v/>
      </c>
      <c r="Z351" s="36" t="str">
        <f aca="false">IF($F351="","",IF($P351="Cancelada",0,IF(OR($O351&lt;&gt;"",$P351="Concluída"),1,0)))</f>
        <v/>
      </c>
    </row>
    <row r="352" customFormat="false" ht="16.5" hidden="false" customHeight="true" outlineLevel="0" collapsed="false">
      <c r="A352" s="36" t="str">
        <f aca="false">IF($F352="","",COUNTA($F$5:$F352))</f>
        <v/>
      </c>
      <c r="B352" s="37" t="str">
        <f aca="true">IF($F352="","",IF($P352="Cancelada","Cancelada",IF(OR($O352&lt;&gt;"",$P352="Concluída"),IF(OR($N352="",$O352="",$O352&lt;=$N352),"Concluída","Concluída com atraso"),IF($N352="","Na carteira",IF($N352&lt;TODAY(),"VENCIDA",IF($P352="Em execução","Em execução",IF($N352=TODAY(),"Hoje","Programada")))))))</f>
        <v/>
      </c>
      <c r="C352" s="38"/>
      <c r="D352" s="38"/>
      <c r="E352" s="38"/>
      <c r="F352" s="38"/>
      <c r="G352" s="39"/>
      <c r="H352" s="39"/>
      <c r="I352" s="40"/>
      <c r="J352" s="40"/>
      <c r="K352" s="40"/>
      <c r="L352" s="41"/>
      <c r="M352" s="42"/>
      <c r="N352" s="43" t="str">
        <f aca="false">IF(OR($L352="",$M352=""),"",$L352+MATCH($M352,Listas!$F$5:$F$11,0)-1)</f>
        <v/>
      </c>
      <c r="O352" s="44"/>
      <c r="P352" s="39"/>
      <c r="Q352" s="44"/>
      <c r="R352" s="38"/>
      <c r="S352" s="38"/>
      <c r="T352" s="36" t="str">
        <f aca="false">IF($F352="","",IF(ISNUMBER(SEARCH("(externo)",$I352&amp;$J352&amp;$K352)),"Terceirizada","Interna"))</f>
        <v/>
      </c>
      <c r="U352" s="43" t="str">
        <f aca="false">IF($N352="","",IF($Q352="",$N352,$Q352))</f>
        <v/>
      </c>
      <c r="V352" s="36" t="str">
        <f aca="false">IF($F352="","",IF(OR($O352="",$N352=""),0,IF($O352&lt;=$N352,1,0)))</f>
        <v/>
      </c>
      <c r="W352" s="36" t="str">
        <f aca="false">IF($F352="","",IF(OR($O352="",$U352=""),0,IF($O352&lt;=$U352,1,0)))</f>
        <v/>
      </c>
      <c r="X352" s="37" t="str">
        <f aca="false">IF(OR($O352="",$N352=""),"",MAX(0,$O352-$N352))</f>
        <v/>
      </c>
      <c r="Y352" s="36" t="str">
        <f aca="false">IF($F352="","",IF(AND($Q352&lt;&gt;"",$N352&lt;&gt;"",$Q352&lt;&gt;$N352),1,0))</f>
        <v/>
      </c>
      <c r="Z352" s="36" t="str">
        <f aca="false">IF($F352="","",IF($P352="Cancelada",0,IF(OR($O352&lt;&gt;"",$P352="Concluída"),1,0)))</f>
        <v/>
      </c>
    </row>
    <row r="353" customFormat="false" ht="16.5" hidden="false" customHeight="true" outlineLevel="0" collapsed="false">
      <c r="A353" s="36" t="str">
        <f aca="false">IF($F353="","",COUNTA($F$5:$F353))</f>
        <v/>
      </c>
      <c r="B353" s="37" t="str">
        <f aca="true">IF($F353="","",IF($P353="Cancelada","Cancelada",IF(OR($O353&lt;&gt;"",$P353="Concluída"),IF(OR($N353="",$O353="",$O353&lt;=$N353),"Concluída","Concluída com atraso"),IF($N353="","Na carteira",IF($N353&lt;TODAY(),"VENCIDA",IF($P353="Em execução","Em execução",IF($N353=TODAY(),"Hoje","Programada")))))))</f>
        <v/>
      </c>
      <c r="C353" s="38"/>
      <c r="D353" s="38"/>
      <c r="E353" s="38"/>
      <c r="F353" s="38"/>
      <c r="G353" s="39"/>
      <c r="H353" s="39"/>
      <c r="I353" s="40"/>
      <c r="J353" s="40"/>
      <c r="K353" s="40"/>
      <c r="L353" s="41"/>
      <c r="M353" s="42"/>
      <c r="N353" s="43" t="str">
        <f aca="false">IF(OR($L353="",$M353=""),"",$L353+MATCH($M353,Listas!$F$5:$F$11,0)-1)</f>
        <v/>
      </c>
      <c r="O353" s="44"/>
      <c r="P353" s="39"/>
      <c r="Q353" s="44"/>
      <c r="R353" s="38"/>
      <c r="S353" s="38"/>
      <c r="T353" s="36" t="str">
        <f aca="false">IF($F353="","",IF(ISNUMBER(SEARCH("(externo)",$I353&amp;$J353&amp;$K353)),"Terceirizada","Interna"))</f>
        <v/>
      </c>
      <c r="U353" s="43" t="str">
        <f aca="false">IF($N353="","",IF($Q353="",$N353,$Q353))</f>
        <v/>
      </c>
      <c r="V353" s="36" t="str">
        <f aca="false">IF($F353="","",IF(OR($O353="",$N353=""),0,IF($O353&lt;=$N353,1,0)))</f>
        <v/>
      </c>
      <c r="W353" s="36" t="str">
        <f aca="false">IF($F353="","",IF(OR($O353="",$U353=""),0,IF($O353&lt;=$U353,1,0)))</f>
        <v/>
      </c>
      <c r="X353" s="37" t="str">
        <f aca="false">IF(OR($O353="",$N353=""),"",MAX(0,$O353-$N353))</f>
        <v/>
      </c>
      <c r="Y353" s="36" t="str">
        <f aca="false">IF($F353="","",IF(AND($Q353&lt;&gt;"",$N353&lt;&gt;"",$Q353&lt;&gt;$N353),1,0))</f>
        <v/>
      </c>
      <c r="Z353" s="36" t="str">
        <f aca="false">IF($F353="","",IF($P353="Cancelada",0,IF(OR($O353&lt;&gt;"",$P353="Concluída"),1,0)))</f>
        <v/>
      </c>
    </row>
    <row r="354" customFormat="false" ht="16.5" hidden="false" customHeight="true" outlineLevel="0" collapsed="false">
      <c r="A354" s="36" t="str">
        <f aca="false">IF($F354="","",COUNTA($F$5:$F354))</f>
        <v/>
      </c>
      <c r="B354" s="37" t="str">
        <f aca="true">IF($F354="","",IF($P354="Cancelada","Cancelada",IF(OR($O354&lt;&gt;"",$P354="Concluída"),IF(OR($N354="",$O354="",$O354&lt;=$N354),"Concluída","Concluída com atraso"),IF($N354="","Na carteira",IF($N354&lt;TODAY(),"VENCIDA",IF($P354="Em execução","Em execução",IF($N354=TODAY(),"Hoje","Programada")))))))</f>
        <v/>
      </c>
      <c r="C354" s="38"/>
      <c r="D354" s="38"/>
      <c r="E354" s="38"/>
      <c r="F354" s="38"/>
      <c r="G354" s="39"/>
      <c r="H354" s="39"/>
      <c r="I354" s="40"/>
      <c r="J354" s="40"/>
      <c r="K354" s="40"/>
      <c r="L354" s="41"/>
      <c r="M354" s="42"/>
      <c r="N354" s="43" t="str">
        <f aca="false">IF(OR($L354="",$M354=""),"",$L354+MATCH($M354,Listas!$F$5:$F$11,0)-1)</f>
        <v/>
      </c>
      <c r="O354" s="44"/>
      <c r="P354" s="39"/>
      <c r="Q354" s="44"/>
      <c r="R354" s="38"/>
      <c r="S354" s="38"/>
      <c r="T354" s="36" t="str">
        <f aca="false">IF($F354="","",IF(ISNUMBER(SEARCH("(externo)",$I354&amp;$J354&amp;$K354)),"Terceirizada","Interna"))</f>
        <v/>
      </c>
      <c r="U354" s="43" t="str">
        <f aca="false">IF($N354="","",IF($Q354="",$N354,$Q354))</f>
        <v/>
      </c>
      <c r="V354" s="36" t="str">
        <f aca="false">IF($F354="","",IF(OR($O354="",$N354=""),0,IF($O354&lt;=$N354,1,0)))</f>
        <v/>
      </c>
      <c r="W354" s="36" t="str">
        <f aca="false">IF($F354="","",IF(OR($O354="",$U354=""),0,IF($O354&lt;=$U354,1,0)))</f>
        <v/>
      </c>
      <c r="X354" s="37" t="str">
        <f aca="false">IF(OR($O354="",$N354=""),"",MAX(0,$O354-$N354))</f>
        <v/>
      </c>
      <c r="Y354" s="36" t="str">
        <f aca="false">IF($F354="","",IF(AND($Q354&lt;&gt;"",$N354&lt;&gt;"",$Q354&lt;&gt;$N354),1,0))</f>
        <v/>
      </c>
      <c r="Z354" s="36" t="str">
        <f aca="false">IF($F354="","",IF($P354="Cancelada",0,IF(OR($O354&lt;&gt;"",$P354="Concluída"),1,0)))</f>
        <v/>
      </c>
    </row>
    <row r="355" customFormat="false" ht="16.5" hidden="false" customHeight="true" outlineLevel="0" collapsed="false">
      <c r="A355" s="36" t="str">
        <f aca="false">IF($F355="","",COUNTA($F$5:$F355))</f>
        <v/>
      </c>
      <c r="B355" s="37" t="str">
        <f aca="true">IF($F355="","",IF($P355="Cancelada","Cancelada",IF(OR($O355&lt;&gt;"",$P355="Concluída"),IF(OR($N355="",$O355="",$O355&lt;=$N355),"Concluída","Concluída com atraso"),IF($N355="","Na carteira",IF($N355&lt;TODAY(),"VENCIDA",IF($P355="Em execução","Em execução",IF($N355=TODAY(),"Hoje","Programada")))))))</f>
        <v/>
      </c>
      <c r="C355" s="38"/>
      <c r="D355" s="38"/>
      <c r="E355" s="38"/>
      <c r="F355" s="38"/>
      <c r="G355" s="39"/>
      <c r="H355" s="39"/>
      <c r="I355" s="40"/>
      <c r="J355" s="40"/>
      <c r="K355" s="40"/>
      <c r="L355" s="41"/>
      <c r="M355" s="42"/>
      <c r="N355" s="43" t="str">
        <f aca="false">IF(OR($L355="",$M355=""),"",$L355+MATCH($M355,Listas!$F$5:$F$11,0)-1)</f>
        <v/>
      </c>
      <c r="O355" s="44"/>
      <c r="P355" s="39"/>
      <c r="Q355" s="44"/>
      <c r="R355" s="38"/>
      <c r="S355" s="38"/>
      <c r="T355" s="36" t="str">
        <f aca="false">IF($F355="","",IF(ISNUMBER(SEARCH("(externo)",$I355&amp;$J355&amp;$K355)),"Terceirizada","Interna"))</f>
        <v/>
      </c>
      <c r="U355" s="43" t="str">
        <f aca="false">IF($N355="","",IF($Q355="",$N355,$Q355))</f>
        <v/>
      </c>
      <c r="V355" s="36" t="str">
        <f aca="false">IF($F355="","",IF(OR($O355="",$N355=""),0,IF($O355&lt;=$N355,1,0)))</f>
        <v/>
      </c>
      <c r="W355" s="36" t="str">
        <f aca="false">IF($F355="","",IF(OR($O355="",$U355=""),0,IF($O355&lt;=$U355,1,0)))</f>
        <v/>
      </c>
      <c r="X355" s="37" t="str">
        <f aca="false">IF(OR($O355="",$N355=""),"",MAX(0,$O355-$N355))</f>
        <v/>
      </c>
      <c r="Y355" s="36" t="str">
        <f aca="false">IF($F355="","",IF(AND($Q355&lt;&gt;"",$N355&lt;&gt;"",$Q355&lt;&gt;$N355),1,0))</f>
        <v/>
      </c>
      <c r="Z355" s="36" t="str">
        <f aca="false">IF($F355="","",IF($P355="Cancelada",0,IF(OR($O355&lt;&gt;"",$P355="Concluída"),1,0)))</f>
        <v/>
      </c>
    </row>
    <row r="356" customFormat="false" ht="16.5" hidden="false" customHeight="true" outlineLevel="0" collapsed="false">
      <c r="A356" s="36" t="str">
        <f aca="false">IF($F356="","",COUNTA($F$5:$F356))</f>
        <v/>
      </c>
      <c r="B356" s="37" t="str">
        <f aca="true">IF($F356="","",IF($P356="Cancelada","Cancelada",IF(OR($O356&lt;&gt;"",$P356="Concluída"),IF(OR($N356="",$O356="",$O356&lt;=$N356),"Concluída","Concluída com atraso"),IF($N356="","Na carteira",IF($N356&lt;TODAY(),"VENCIDA",IF($P356="Em execução","Em execução",IF($N356=TODAY(),"Hoje","Programada")))))))</f>
        <v/>
      </c>
      <c r="C356" s="38"/>
      <c r="D356" s="38"/>
      <c r="E356" s="38"/>
      <c r="F356" s="38"/>
      <c r="G356" s="39"/>
      <c r="H356" s="39"/>
      <c r="I356" s="40"/>
      <c r="J356" s="40"/>
      <c r="K356" s="40"/>
      <c r="L356" s="41"/>
      <c r="M356" s="42"/>
      <c r="N356" s="43" t="str">
        <f aca="false">IF(OR($L356="",$M356=""),"",$L356+MATCH($M356,Listas!$F$5:$F$11,0)-1)</f>
        <v/>
      </c>
      <c r="O356" s="44"/>
      <c r="P356" s="39"/>
      <c r="Q356" s="44"/>
      <c r="R356" s="38"/>
      <c r="S356" s="38"/>
      <c r="T356" s="36" t="str">
        <f aca="false">IF($F356="","",IF(ISNUMBER(SEARCH("(externo)",$I356&amp;$J356&amp;$K356)),"Terceirizada","Interna"))</f>
        <v/>
      </c>
      <c r="U356" s="43" t="str">
        <f aca="false">IF($N356="","",IF($Q356="",$N356,$Q356))</f>
        <v/>
      </c>
      <c r="V356" s="36" t="str">
        <f aca="false">IF($F356="","",IF(OR($O356="",$N356=""),0,IF($O356&lt;=$N356,1,0)))</f>
        <v/>
      </c>
      <c r="W356" s="36" t="str">
        <f aca="false">IF($F356="","",IF(OR($O356="",$U356=""),0,IF($O356&lt;=$U356,1,0)))</f>
        <v/>
      </c>
      <c r="X356" s="37" t="str">
        <f aca="false">IF(OR($O356="",$N356=""),"",MAX(0,$O356-$N356))</f>
        <v/>
      </c>
      <c r="Y356" s="36" t="str">
        <f aca="false">IF($F356="","",IF(AND($Q356&lt;&gt;"",$N356&lt;&gt;"",$Q356&lt;&gt;$N356),1,0))</f>
        <v/>
      </c>
      <c r="Z356" s="36" t="str">
        <f aca="false">IF($F356="","",IF($P356="Cancelada",0,IF(OR($O356&lt;&gt;"",$P356="Concluída"),1,0)))</f>
        <v/>
      </c>
    </row>
    <row r="357" customFormat="false" ht="16.5" hidden="false" customHeight="true" outlineLevel="0" collapsed="false">
      <c r="A357" s="36" t="str">
        <f aca="false">IF($F357="","",COUNTA($F$5:$F357))</f>
        <v/>
      </c>
      <c r="B357" s="37" t="str">
        <f aca="true">IF($F357="","",IF($P357="Cancelada","Cancelada",IF(OR($O357&lt;&gt;"",$P357="Concluída"),IF(OR($N357="",$O357="",$O357&lt;=$N357),"Concluída","Concluída com atraso"),IF($N357="","Na carteira",IF($N357&lt;TODAY(),"VENCIDA",IF($P357="Em execução","Em execução",IF($N357=TODAY(),"Hoje","Programada")))))))</f>
        <v/>
      </c>
      <c r="C357" s="38"/>
      <c r="D357" s="38"/>
      <c r="E357" s="38"/>
      <c r="F357" s="38"/>
      <c r="G357" s="39"/>
      <c r="H357" s="39"/>
      <c r="I357" s="40"/>
      <c r="J357" s="40"/>
      <c r="K357" s="40"/>
      <c r="L357" s="41"/>
      <c r="M357" s="42"/>
      <c r="N357" s="43" t="str">
        <f aca="false">IF(OR($L357="",$M357=""),"",$L357+MATCH($M357,Listas!$F$5:$F$11,0)-1)</f>
        <v/>
      </c>
      <c r="O357" s="44"/>
      <c r="P357" s="39"/>
      <c r="Q357" s="44"/>
      <c r="R357" s="38"/>
      <c r="S357" s="38"/>
      <c r="T357" s="36" t="str">
        <f aca="false">IF($F357="","",IF(ISNUMBER(SEARCH("(externo)",$I357&amp;$J357&amp;$K357)),"Terceirizada","Interna"))</f>
        <v/>
      </c>
      <c r="U357" s="43" t="str">
        <f aca="false">IF($N357="","",IF($Q357="",$N357,$Q357))</f>
        <v/>
      </c>
      <c r="V357" s="36" t="str">
        <f aca="false">IF($F357="","",IF(OR($O357="",$N357=""),0,IF($O357&lt;=$N357,1,0)))</f>
        <v/>
      </c>
      <c r="W357" s="36" t="str">
        <f aca="false">IF($F357="","",IF(OR($O357="",$U357=""),0,IF($O357&lt;=$U357,1,0)))</f>
        <v/>
      </c>
      <c r="X357" s="37" t="str">
        <f aca="false">IF(OR($O357="",$N357=""),"",MAX(0,$O357-$N357))</f>
        <v/>
      </c>
      <c r="Y357" s="36" t="str">
        <f aca="false">IF($F357="","",IF(AND($Q357&lt;&gt;"",$N357&lt;&gt;"",$Q357&lt;&gt;$N357),1,0))</f>
        <v/>
      </c>
      <c r="Z357" s="36" t="str">
        <f aca="false">IF($F357="","",IF($P357="Cancelada",0,IF(OR($O357&lt;&gt;"",$P357="Concluída"),1,0)))</f>
        <v/>
      </c>
    </row>
    <row r="358" customFormat="false" ht="16.5" hidden="false" customHeight="true" outlineLevel="0" collapsed="false">
      <c r="A358" s="36" t="str">
        <f aca="false">IF($F358="","",COUNTA($F$5:$F358))</f>
        <v/>
      </c>
      <c r="B358" s="37" t="str">
        <f aca="true">IF($F358="","",IF($P358="Cancelada","Cancelada",IF(OR($O358&lt;&gt;"",$P358="Concluída"),IF(OR($N358="",$O358="",$O358&lt;=$N358),"Concluída","Concluída com atraso"),IF($N358="","Na carteira",IF($N358&lt;TODAY(),"VENCIDA",IF($P358="Em execução","Em execução",IF($N358=TODAY(),"Hoje","Programada")))))))</f>
        <v/>
      </c>
      <c r="C358" s="38"/>
      <c r="D358" s="38"/>
      <c r="E358" s="38"/>
      <c r="F358" s="38"/>
      <c r="G358" s="39"/>
      <c r="H358" s="39"/>
      <c r="I358" s="40"/>
      <c r="J358" s="40"/>
      <c r="K358" s="40"/>
      <c r="L358" s="41"/>
      <c r="M358" s="42"/>
      <c r="N358" s="43" t="str">
        <f aca="false">IF(OR($L358="",$M358=""),"",$L358+MATCH($M358,Listas!$F$5:$F$11,0)-1)</f>
        <v/>
      </c>
      <c r="O358" s="44"/>
      <c r="P358" s="39"/>
      <c r="Q358" s="44"/>
      <c r="R358" s="38"/>
      <c r="S358" s="38"/>
      <c r="T358" s="36" t="str">
        <f aca="false">IF($F358="","",IF(ISNUMBER(SEARCH("(externo)",$I358&amp;$J358&amp;$K358)),"Terceirizada","Interna"))</f>
        <v/>
      </c>
      <c r="U358" s="43" t="str">
        <f aca="false">IF($N358="","",IF($Q358="",$N358,$Q358))</f>
        <v/>
      </c>
      <c r="V358" s="36" t="str">
        <f aca="false">IF($F358="","",IF(OR($O358="",$N358=""),0,IF($O358&lt;=$N358,1,0)))</f>
        <v/>
      </c>
      <c r="W358" s="36" t="str">
        <f aca="false">IF($F358="","",IF(OR($O358="",$U358=""),0,IF($O358&lt;=$U358,1,0)))</f>
        <v/>
      </c>
      <c r="X358" s="37" t="str">
        <f aca="false">IF(OR($O358="",$N358=""),"",MAX(0,$O358-$N358))</f>
        <v/>
      </c>
      <c r="Y358" s="36" t="str">
        <f aca="false">IF($F358="","",IF(AND($Q358&lt;&gt;"",$N358&lt;&gt;"",$Q358&lt;&gt;$N358),1,0))</f>
        <v/>
      </c>
      <c r="Z358" s="36" t="str">
        <f aca="false">IF($F358="","",IF($P358="Cancelada",0,IF(OR($O358&lt;&gt;"",$P358="Concluída"),1,0)))</f>
        <v/>
      </c>
    </row>
    <row r="359" customFormat="false" ht="16.5" hidden="false" customHeight="true" outlineLevel="0" collapsed="false">
      <c r="A359" s="36" t="str">
        <f aca="false">IF($F359="","",COUNTA($F$5:$F359))</f>
        <v/>
      </c>
      <c r="B359" s="37" t="str">
        <f aca="true">IF($F359="","",IF($P359="Cancelada","Cancelada",IF(OR($O359&lt;&gt;"",$P359="Concluída"),IF(OR($N359="",$O359="",$O359&lt;=$N359),"Concluída","Concluída com atraso"),IF($N359="","Na carteira",IF($N359&lt;TODAY(),"VENCIDA",IF($P359="Em execução","Em execução",IF($N359=TODAY(),"Hoje","Programada")))))))</f>
        <v/>
      </c>
      <c r="C359" s="38"/>
      <c r="D359" s="38"/>
      <c r="E359" s="38"/>
      <c r="F359" s="38"/>
      <c r="G359" s="39"/>
      <c r="H359" s="39"/>
      <c r="I359" s="40"/>
      <c r="J359" s="40"/>
      <c r="K359" s="40"/>
      <c r="L359" s="41"/>
      <c r="M359" s="42"/>
      <c r="N359" s="43" t="str">
        <f aca="false">IF(OR($L359="",$M359=""),"",$L359+MATCH($M359,Listas!$F$5:$F$11,0)-1)</f>
        <v/>
      </c>
      <c r="O359" s="44"/>
      <c r="P359" s="39"/>
      <c r="Q359" s="44"/>
      <c r="R359" s="38"/>
      <c r="S359" s="38"/>
      <c r="T359" s="36" t="str">
        <f aca="false">IF($F359="","",IF(ISNUMBER(SEARCH("(externo)",$I359&amp;$J359&amp;$K359)),"Terceirizada","Interna"))</f>
        <v/>
      </c>
      <c r="U359" s="43" t="str">
        <f aca="false">IF($N359="","",IF($Q359="",$N359,$Q359))</f>
        <v/>
      </c>
      <c r="V359" s="36" t="str">
        <f aca="false">IF($F359="","",IF(OR($O359="",$N359=""),0,IF($O359&lt;=$N359,1,0)))</f>
        <v/>
      </c>
      <c r="W359" s="36" t="str">
        <f aca="false">IF($F359="","",IF(OR($O359="",$U359=""),0,IF($O359&lt;=$U359,1,0)))</f>
        <v/>
      </c>
      <c r="X359" s="37" t="str">
        <f aca="false">IF(OR($O359="",$N359=""),"",MAX(0,$O359-$N359))</f>
        <v/>
      </c>
      <c r="Y359" s="36" t="str">
        <f aca="false">IF($F359="","",IF(AND($Q359&lt;&gt;"",$N359&lt;&gt;"",$Q359&lt;&gt;$N359),1,0))</f>
        <v/>
      </c>
      <c r="Z359" s="36" t="str">
        <f aca="false">IF($F359="","",IF($P359="Cancelada",0,IF(OR($O359&lt;&gt;"",$P359="Concluída"),1,0)))</f>
        <v/>
      </c>
    </row>
    <row r="360" customFormat="false" ht="16.5" hidden="false" customHeight="true" outlineLevel="0" collapsed="false">
      <c r="A360" s="36" t="str">
        <f aca="false">IF($F360="","",COUNTA($F$5:$F360))</f>
        <v/>
      </c>
      <c r="B360" s="37" t="str">
        <f aca="true">IF($F360="","",IF($P360="Cancelada","Cancelada",IF(OR($O360&lt;&gt;"",$P360="Concluída"),IF(OR($N360="",$O360="",$O360&lt;=$N360),"Concluída","Concluída com atraso"),IF($N360="","Na carteira",IF($N360&lt;TODAY(),"VENCIDA",IF($P360="Em execução","Em execução",IF($N360=TODAY(),"Hoje","Programada")))))))</f>
        <v/>
      </c>
      <c r="C360" s="38"/>
      <c r="D360" s="38"/>
      <c r="E360" s="38"/>
      <c r="F360" s="38"/>
      <c r="G360" s="39"/>
      <c r="H360" s="39"/>
      <c r="I360" s="40"/>
      <c r="J360" s="40"/>
      <c r="K360" s="40"/>
      <c r="L360" s="41"/>
      <c r="M360" s="42"/>
      <c r="N360" s="43" t="str">
        <f aca="false">IF(OR($L360="",$M360=""),"",$L360+MATCH($M360,Listas!$F$5:$F$11,0)-1)</f>
        <v/>
      </c>
      <c r="O360" s="44"/>
      <c r="P360" s="39"/>
      <c r="Q360" s="44"/>
      <c r="R360" s="38"/>
      <c r="S360" s="38"/>
      <c r="T360" s="36" t="str">
        <f aca="false">IF($F360="","",IF(ISNUMBER(SEARCH("(externo)",$I360&amp;$J360&amp;$K360)),"Terceirizada","Interna"))</f>
        <v/>
      </c>
      <c r="U360" s="43" t="str">
        <f aca="false">IF($N360="","",IF($Q360="",$N360,$Q360))</f>
        <v/>
      </c>
      <c r="V360" s="36" t="str">
        <f aca="false">IF($F360="","",IF(OR($O360="",$N360=""),0,IF($O360&lt;=$N360,1,0)))</f>
        <v/>
      </c>
      <c r="W360" s="36" t="str">
        <f aca="false">IF($F360="","",IF(OR($O360="",$U360=""),0,IF($O360&lt;=$U360,1,0)))</f>
        <v/>
      </c>
      <c r="X360" s="37" t="str">
        <f aca="false">IF(OR($O360="",$N360=""),"",MAX(0,$O360-$N360))</f>
        <v/>
      </c>
      <c r="Y360" s="36" t="str">
        <f aca="false">IF($F360="","",IF(AND($Q360&lt;&gt;"",$N360&lt;&gt;"",$Q360&lt;&gt;$N360),1,0))</f>
        <v/>
      </c>
      <c r="Z360" s="36" t="str">
        <f aca="false">IF($F360="","",IF($P360="Cancelada",0,IF(OR($O360&lt;&gt;"",$P360="Concluída"),1,0)))</f>
        <v/>
      </c>
    </row>
    <row r="361" customFormat="false" ht="16.5" hidden="false" customHeight="true" outlineLevel="0" collapsed="false">
      <c r="A361" s="36" t="str">
        <f aca="false">IF($F361="","",COUNTA($F$5:$F361))</f>
        <v/>
      </c>
      <c r="B361" s="37" t="str">
        <f aca="true">IF($F361="","",IF($P361="Cancelada","Cancelada",IF(OR($O361&lt;&gt;"",$P361="Concluída"),IF(OR($N361="",$O361="",$O361&lt;=$N361),"Concluída","Concluída com atraso"),IF($N361="","Na carteira",IF($N361&lt;TODAY(),"VENCIDA",IF($P361="Em execução","Em execução",IF($N361=TODAY(),"Hoje","Programada")))))))</f>
        <v/>
      </c>
      <c r="C361" s="38"/>
      <c r="D361" s="38"/>
      <c r="E361" s="38"/>
      <c r="F361" s="38"/>
      <c r="G361" s="39"/>
      <c r="H361" s="39"/>
      <c r="I361" s="40"/>
      <c r="J361" s="40"/>
      <c r="K361" s="40"/>
      <c r="L361" s="41"/>
      <c r="M361" s="42"/>
      <c r="N361" s="43" t="str">
        <f aca="false">IF(OR($L361="",$M361=""),"",$L361+MATCH($M361,Listas!$F$5:$F$11,0)-1)</f>
        <v/>
      </c>
      <c r="O361" s="44"/>
      <c r="P361" s="39"/>
      <c r="Q361" s="44"/>
      <c r="R361" s="38"/>
      <c r="S361" s="38"/>
      <c r="T361" s="36" t="str">
        <f aca="false">IF($F361="","",IF(ISNUMBER(SEARCH("(externo)",$I361&amp;$J361&amp;$K361)),"Terceirizada","Interna"))</f>
        <v/>
      </c>
      <c r="U361" s="43" t="str">
        <f aca="false">IF($N361="","",IF($Q361="",$N361,$Q361))</f>
        <v/>
      </c>
      <c r="V361" s="36" t="str">
        <f aca="false">IF($F361="","",IF(OR($O361="",$N361=""),0,IF($O361&lt;=$N361,1,0)))</f>
        <v/>
      </c>
      <c r="W361" s="36" t="str">
        <f aca="false">IF($F361="","",IF(OR($O361="",$U361=""),0,IF($O361&lt;=$U361,1,0)))</f>
        <v/>
      </c>
      <c r="X361" s="37" t="str">
        <f aca="false">IF(OR($O361="",$N361=""),"",MAX(0,$O361-$N361))</f>
        <v/>
      </c>
      <c r="Y361" s="36" t="str">
        <f aca="false">IF($F361="","",IF(AND($Q361&lt;&gt;"",$N361&lt;&gt;"",$Q361&lt;&gt;$N361),1,0))</f>
        <v/>
      </c>
      <c r="Z361" s="36" t="str">
        <f aca="false">IF($F361="","",IF($P361="Cancelada",0,IF(OR($O361&lt;&gt;"",$P361="Concluída"),1,0)))</f>
        <v/>
      </c>
    </row>
    <row r="362" customFormat="false" ht="16.5" hidden="false" customHeight="true" outlineLevel="0" collapsed="false">
      <c r="A362" s="36" t="str">
        <f aca="false">IF($F362="","",COUNTA($F$5:$F362))</f>
        <v/>
      </c>
      <c r="B362" s="37" t="str">
        <f aca="true">IF($F362="","",IF($P362="Cancelada","Cancelada",IF(OR($O362&lt;&gt;"",$P362="Concluída"),IF(OR($N362="",$O362="",$O362&lt;=$N362),"Concluída","Concluída com atraso"),IF($N362="","Na carteira",IF($N362&lt;TODAY(),"VENCIDA",IF($P362="Em execução","Em execução",IF($N362=TODAY(),"Hoje","Programada")))))))</f>
        <v/>
      </c>
      <c r="C362" s="38"/>
      <c r="D362" s="38"/>
      <c r="E362" s="38"/>
      <c r="F362" s="38"/>
      <c r="G362" s="39"/>
      <c r="H362" s="39"/>
      <c r="I362" s="40"/>
      <c r="J362" s="40"/>
      <c r="K362" s="40"/>
      <c r="L362" s="41"/>
      <c r="M362" s="42"/>
      <c r="N362" s="43" t="str">
        <f aca="false">IF(OR($L362="",$M362=""),"",$L362+MATCH($M362,Listas!$F$5:$F$11,0)-1)</f>
        <v/>
      </c>
      <c r="O362" s="44"/>
      <c r="P362" s="39"/>
      <c r="Q362" s="44"/>
      <c r="R362" s="38"/>
      <c r="S362" s="38"/>
      <c r="T362" s="36" t="str">
        <f aca="false">IF($F362="","",IF(ISNUMBER(SEARCH("(externo)",$I362&amp;$J362&amp;$K362)),"Terceirizada","Interna"))</f>
        <v/>
      </c>
      <c r="U362" s="43" t="str">
        <f aca="false">IF($N362="","",IF($Q362="",$N362,$Q362))</f>
        <v/>
      </c>
      <c r="V362" s="36" t="str">
        <f aca="false">IF($F362="","",IF(OR($O362="",$N362=""),0,IF($O362&lt;=$N362,1,0)))</f>
        <v/>
      </c>
      <c r="W362" s="36" t="str">
        <f aca="false">IF($F362="","",IF(OR($O362="",$U362=""),0,IF($O362&lt;=$U362,1,0)))</f>
        <v/>
      </c>
      <c r="X362" s="37" t="str">
        <f aca="false">IF(OR($O362="",$N362=""),"",MAX(0,$O362-$N362))</f>
        <v/>
      </c>
      <c r="Y362" s="36" t="str">
        <f aca="false">IF($F362="","",IF(AND($Q362&lt;&gt;"",$N362&lt;&gt;"",$Q362&lt;&gt;$N362),1,0))</f>
        <v/>
      </c>
      <c r="Z362" s="36" t="str">
        <f aca="false">IF($F362="","",IF($P362="Cancelada",0,IF(OR($O362&lt;&gt;"",$P362="Concluída"),1,0)))</f>
        <v/>
      </c>
    </row>
    <row r="363" customFormat="false" ht="16.5" hidden="false" customHeight="true" outlineLevel="0" collapsed="false">
      <c r="A363" s="36" t="str">
        <f aca="false">IF($F363="","",COUNTA($F$5:$F363))</f>
        <v/>
      </c>
      <c r="B363" s="37" t="str">
        <f aca="true">IF($F363="","",IF($P363="Cancelada","Cancelada",IF(OR($O363&lt;&gt;"",$P363="Concluída"),IF(OR($N363="",$O363="",$O363&lt;=$N363),"Concluída","Concluída com atraso"),IF($N363="","Na carteira",IF($N363&lt;TODAY(),"VENCIDA",IF($P363="Em execução","Em execução",IF($N363=TODAY(),"Hoje","Programada")))))))</f>
        <v/>
      </c>
      <c r="C363" s="38"/>
      <c r="D363" s="38"/>
      <c r="E363" s="38"/>
      <c r="F363" s="38"/>
      <c r="G363" s="39"/>
      <c r="H363" s="39"/>
      <c r="I363" s="40"/>
      <c r="J363" s="40"/>
      <c r="K363" s="40"/>
      <c r="L363" s="41"/>
      <c r="M363" s="42"/>
      <c r="N363" s="43" t="str">
        <f aca="false">IF(OR($L363="",$M363=""),"",$L363+MATCH($M363,Listas!$F$5:$F$11,0)-1)</f>
        <v/>
      </c>
      <c r="O363" s="44"/>
      <c r="P363" s="39"/>
      <c r="Q363" s="44"/>
      <c r="R363" s="38"/>
      <c r="S363" s="38"/>
      <c r="T363" s="36" t="str">
        <f aca="false">IF($F363="","",IF(ISNUMBER(SEARCH("(externo)",$I363&amp;$J363&amp;$K363)),"Terceirizada","Interna"))</f>
        <v/>
      </c>
      <c r="U363" s="43" t="str">
        <f aca="false">IF($N363="","",IF($Q363="",$N363,$Q363))</f>
        <v/>
      </c>
      <c r="V363" s="36" t="str">
        <f aca="false">IF($F363="","",IF(OR($O363="",$N363=""),0,IF($O363&lt;=$N363,1,0)))</f>
        <v/>
      </c>
      <c r="W363" s="36" t="str">
        <f aca="false">IF($F363="","",IF(OR($O363="",$U363=""),0,IF($O363&lt;=$U363,1,0)))</f>
        <v/>
      </c>
      <c r="X363" s="37" t="str">
        <f aca="false">IF(OR($O363="",$N363=""),"",MAX(0,$O363-$N363))</f>
        <v/>
      </c>
      <c r="Y363" s="36" t="str">
        <f aca="false">IF($F363="","",IF(AND($Q363&lt;&gt;"",$N363&lt;&gt;"",$Q363&lt;&gt;$N363),1,0))</f>
        <v/>
      </c>
      <c r="Z363" s="36" t="str">
        <f aca="false">IF($F363="","",IF($P363="Cancelada",0,IF(OR($O363&lt;&gt;"",$P363="Concluída"),1,0)))</f>
        <v/>
      </c>
    </row>
    <row r="364" customFormat="false" ht="16.5" hidden="false" customHeight="true" outlineLevel="0" collapsed="false">
      <c r="A364" s="36" t="str">
        <f aca="false">IF($F364="","",COUNTA($F$5:$F364))</f>
        <v/>
      </c>
      <c r="B364" s="37" t="str">
        <f aca="true">IF($F364="","",IF($P364="Cancelada","Cancelada",IF(OR($O364&lt;&gt;"",$P364="Concluída"),IF(OR($N364="",$O364="",$O364&lt;=$N364),"Concluída","Concluída com atraso"),IF($N364="","Na carteira",IF($N364&lt;TODAY(),"VENCIDA",IF($P364="Em execução","Em execução",IF($N364=TODAY(),"Hoje","Programada")))))))</f>
        <v/>
      </c>
      <c r="C364" s="38"/>
      <c r="D364" s="38"/>
      <c r="E364" s="38"/>
      <c r="F364" s="38"/>
      <c r="G364" s="39"/>
      <c r="H364" s="39"/>
      <c r="I364" s="40"/>
      <c r="J364" s="40"/>
      <c r="K364" s="40"/>
      <c r="L364" s="41"/>
      <c r="M364" s="42"/>
      <c r="N364" s="43" t="str">
        <f aca="false">IF(OR($L364="",$M364=""),"",$L364+MATCH($M364,Listas!$F$5:$F$11,0)-1)</f>
        <v/>
      </c>
      <c r="O364" s="44"/>
      <c r="P364" s="39"/>
      <c r="Q364" s="44"/>
      <c r="R364" s="38"/>
      <c r="S364" s="38"/>
      <c r="T364" s="36" t="str">
        <f aca="false">IF($F364="","",IF(ISNUMBER(SEARCH("(externo)",$I364&amp;$J364&amp;$K364)),"Terceirizada","Interna"))</f>
        <v/>
      </c>
      <c r="U364" s="43" t="str">
        <f aca="false">IF($N364="","",IF($Q364="",$N364,$Q364))</f>
        <v/>
      </c>
      <c r="V364" s="36" t="str">
        <f aca="false">IF($F364="","",IF(OR($O364="",$N364=""),0,IF($O364&lt;=$N364,1,0)))</f>
        <v/>
      </c>
      <c r="W364" s="36" t="str">
        <f aca="false">IF($F364="","",IF(OR($O364="",$U364=""),0,IF($O364&lt;=$U364,1,0)))</f>
        <v/>
      </c>
      <c r="X364" s="37" t="str">
        <f aca="false">IF(OR($O364="",$N364=""),"",MAX(0,$O364-$N364))</f>
        <v/>
      </c>
      <c r="Y364" s="36" t="str">
        <f aca="false">IF($F364="","",IF(AND($Q364&lt;&gt;"",$N364&lt;&gt;"",$Q364&lt;&gt;$N364),1,0))</f>
        <v/>
      </c>
      <c r="Z364" s="36" t="str">
        <f aca="false">IF($F364="","",IF($P364="Cancelada",0,IF(OR($O364&lt;&gt;"",$P364="Concluída"),1,0)))</f>
        <v/>
      </c>
    </row>
    <row r="365" customFormat="false" ht="16.5" hidden="false" customHeight="true" outlineLevel="0" collapsed="false">
      <c r="A365" s="36" t="str">
        <f aca="false">IF($F365="","",COUNTA($F$5:$F365))</f>
        <v/>
      </c>
      <c r="B365" s="37" t="str">
        <f aca="true">IF($F365="","",IF($P365="Cancelada","Cancelada",IF(OR($O365&lt;&gt;"",$P365="Concluída"),IF(OR($N365="",$O365="",$O365&lt;=$N365),"Concluída","Concluída com atraso"),IF($N365="","Na carteira",IF($N365&lt;TODAY(),"VENCIDA",IF($P365="Em execução","Em execução",IF($N365=TODAY(),"Hoje","Programada")))))))</f>
        <v/>
      </c>
      <c r="C365" s="38"/>
      <c r="D365" s="38"/>
      <c r="E365" s="38"/>
      <c r="F365" s="38"/>
      <c r="G365" s="39"/>
      <c r="H365" s="39"/>
      <c r="I365" s="40"/>
      <c r="J365" s="40"/>
      <c r="K365" s="40"/>
      <c r="L365" s="41"/>
      <c r="M365" s="42"/>
      <c r="N365" s="43" t="str">
        <f aca="false">IF(OR($L365="",$M365=""),"",$L365+MATCH($M365,Listas!$F$5:$F$11,0)-1)</f>
        <v/>
      </c>
      <c r="O365" s="44"/>
      <c r="P365" s="39"/>
      <c r="Q365" s="44"/>
      <c r="R365" s="38"/>
      <c r="S365" s="38"/>
      <c r="T365" s="36" t="str">
        <f aca="false">IF($F365="","",IF(ISNUMBER(SEARCH("(externo)",$I365&amp;$J365&amp;$K365)),"Terceirizada","Interna"))</f>
        <v/>
      </c>
      <c r="U365" s="43" t="str">
        <f aca="false">IF($N365="","",IF($Q365="",$N365,$Q365))</f>
        <v/>
      </c>
      <c r="V365" s="36" t="str">
        <f aca="false">IF($F365="","",IF(OR($O365="",$N365=""),0,IF($O365&lt;=$N365,1,0)))</f>
        <v/>
      </c>
      <c r="W365" s="36" t="str">
        <f aca="false">IF($F365="","",IF(OR($O365="",$U365=""),0,IF($O365&lt;=$U365,1,0)))</f>
        <v/>
      </c>
      <c r="X365" s="37" t="str">
        <f aca="false">IF(OR($O365="",$N365=""),"",MAX(0,$O365-$N365))</f>
        <v/>
      </c>
      <c r="Y365" s="36" t="str">
        <f aca="false">IF($F365="","",IF(AND($Q365&lt;&gt;"",$N365&lt;&gt;"",$Q365&lt;&gt;$N365),1,0))</f>
        <v/>
      </c>
      <c r="Z365" s="36" t="str">
        <f aca="false">IF($F365="","",IF($P365="Cancelada",0,IF(OR($O365&lt;&gt;"",$P365="Concluída"),1,0)))</f>
        <v/>
      </c>
    </row>
    <row r="366" customFormat="false" ht="16.5" hidden="false" customHeight="true" outlineLevel="0" collapsed="false">
      <c r="A366" s="36" t="str">
        <f aca="false">IF($F366="","",COUNTA($F$5:$F366))</f>
        <v/>
      </c>
      <c r="B366" s="37" t="str">
        <f aca="true">IF($F366="","",IF($P366="Cancelada","Cancelada",IF(OR($O366&lt;&gt;"",$P366="Concluída"),IF(OR($N366="",$O366="",$O366&lt;=$N366),"Concluída","Concluída com atraso"),IF($N366="","Na carteira",IF($N366&lt;TODAY(),"VENCIDA",IF($P366="Em execução","Em execução",IF($N366=TODAY(),"Hoje","Programada")))))))</f>
        <v/>
      </c>
      <c r="C366" s="38"/>
      <c r="D366" s="38"/>
      <c r="E366" s="38"/>
      <c r="F366" s="38"/>
      <c r="G366" s="39"/>
      <c r="H366" s="39"/>
      <c r="I366" s="40"/>
      <c r="J366" s="40"/>
      <c r="K366" s="40"/>
      <c r="L366" s="41"/>
      <c r="M366" s="42"/>
      <c r="N366" s="43" t="str">
        <f aca="false">IF(OR($L366="",$M366=""),"",$L366+MATCH($M366,Listas!$F$5:$F$11,0)-1)</f>
        <v/>
      </c>
      <c r="O366" s="44"/>
      <c r="P366" s="39"/>
      <c r="Q366" s="44"/>
      <c r="R366" s="38"/>
      <c r="S366" s="38"/>
      <c r="T366" s="36" t="str">
        <f aca="false">IF($F366="","",IF(ISNUMBER(SEARCH("(externo)",$I366&amp;$J366&amp;$K366)),"Terceirizada","Interna"))</f>
        <v/>
      </c>
      <c r="U366" s="43" t="str">
        <f aca="false">IF($N366="","",IF($Q366="",$N366,$Q366))</f>
        <v/>
      </c>
      <c r="V366" s="36" t="str">
        <f aca="false">IF($F366="","",IF(OR($O366="",$N366=""),0,IF($O366&lt;=$N366,1,0)))</f>
        <v/>
      </c>
      <c r="W366" s="36" t="str">
        <f aca="false">IF($F366="","",IF(OR($O366="",$U366=""),0,IF($O366&lt;=$U366,1,0)))</f>
        <v/>
      </c>
      <c r="X366" s="37" t="str">
        <f aca="false">IF(OR($O366="",$N366=""),"",MAX(0,$O366-$N366))</f>
        <v/>
      </c>
      <c r="Y366" s="36" t="str">
        <f aca="false">IF($F366="","",IF(AND($Q366&lt;&gt;"",$N366&lt;&gt;"",$Q366&lt;&gt;$N366),1,0))</f>
        <v/>
      </c>
      <c r="Z366" s="36" t="str">
        <f aca="false">IF($F366="","",IF($P366="Cancelada",0,IF(OR($O366&lt;&gt;"",$P366="Concluída"),1,0)))</f>
        <v/>
      </c>
    </row>
    <row r="367" customFormat="false" ht="16.5" hidden="false" customHeight="true" outlineLevel="0" collapsed="false">
      <c r="A367" s="36" t="str">
        <f aca="false">IF($F367="","",COUNTA($F$5:$F367))</f>
        <v/>
      </c>
      <c r="B367" s="37" t="str">
        <f aca="true">IF($F367="","",IF($P367="Cancelada","Cancelada",IF(OR($O367&lt;&gt;"",$P367="Concluída"),IF(OR($N367="",$O367="",$O367&lt;=$N367),"Concluída","Concluída com atraso"),IF($N367="","Na carteira",IF($N367&lt;TODAY(),"VENCIDA",IF($P367="Em execução","Em execução",IF($N367=TODAY(),"Hoje","Programada")))))))</f>
        <v/>
      </c>
      <c r="C367" s="38"/>
      <c r="D367" s="38"/>
      <c r="E367" s="38"/>
      <c r="F367" s="38"/>
      <c r="G367" s="39"/>
      <c r="H367" s="39"/>
      <c r="I367" s="40"/>
      <c r="J367" s="40"/>
      <c r="K367" s="40"/>
      <c r="L367" s="41"/>
      <c r="M367" s="42"/>
      <c r="N367" s="43" t="str">
        <f aca="false">IF(OR($L367="",$M367=""),"",$L367+MATCH($M367,Listas!$F$5:$F$11,0)-1)</f>
        <v/>
      </c>
      <c r="O367" s="44"/>
      <c r="P367" s="39"/>
      <c r="Q367" s="44"/>
      <c r="R367" s="38"/>
      <c r="S367" s="38"/>
      <c r="T367" s="36" t="str">
        <f aca="false">IF($F367="","",IF(ISNUMBER(SEARCH("(externo)",$I367&amp;$J367&amp;$K367)),"Terceirizada","Interna"))</f>
        <v/>
      </c>
      <c r="U367" s="43" t="str">
        <f aca="false">IF($N367="","",IF($Q367="",$N367,$Q367))</f>
        <v/>
      </c>
      <c r="V367" s="36" t="str">
        <f aca="false">IF($F367="","",IF(OR($O367="",$N367=""),0,IF($O367&lt;=$N367,1,0)))</f>
        <v/>
      </c>
      <c r="W367" s="36" t="str">
        <f aca="false">IF($F367="","",IF(OR($O367="",$U367=""),0,IF($O367&lt;=$U367,1,0)))</f>
        <v/>
      </c>
      <c r="X367" s="37" t="str">
        <f aca="false">IF(OR($O367="",$N367=""),"",MAX(0,$O367-$N367))</f>
        <v/>
      </c>
      <c r="Y367" s="36" t="str">
        <f aca="false">IF($F367="","",IF(AND($Q367&lt;&gt;"",$N367&lt;&gt;"",$Q367&lt;&gt;$N367),1,0))</f>
        <v/>
      </c>
      <c r="Z367" s="36" t="str">
        <f aca="false">IF($F367="","",IF($P367="Cancelada",0,IF(OR($O367&lt;&gt;"",$P367="Concluída"),1,0)))</f>
        <v/>
      </c>
    </row>
    <row r="368" customFormat="false" ht="16.5" hidden="false" customHeight="true" outlineLevel="0" collapsed="false">
      <c r="A368" s="36" t="str">
        <f aca="false">IF($F368="","",COUNTA($F$5:$F368))</f>
        <v/>
      </c>
      <c r="B368" s="37" t="str">
        <f aca="true">IF($F368="","",IF($P368="Cancelada","Cancelada",IF(OR($O368&lt;&gt;"",$P368="Concluída"),IF(OR($N368="",$O368="",$O368&lt;=$N368),"Concluída","Concluída com atraso"),IF($N368="","Na carteira",IF($N368&lt;TODAY(),"VENCIDA",IF($P368="Em execução","Em execução",IF($N368=TODAY(),"Hoje","Programada")))))))</f>
        <v/>
      </c>
      <c r="C368" s="38"/>
      <c r="D368" s="38"/>
      <c r="E368" s="38"/>
      <c r="F368" s="38"/>
      <c r="G368" s="39"/>
      <c r="H368" s="39"/>
      <c r="I368" s="40"/>
      <c r="J368" s="40"/>
      <c r="K368" s="40"/>
      <c r="L368" s="41"/>
      <c r="M368" s="42"/>
      <c r="N368" s="43" t="str">
        <f aca="false">IF(OR($L368="",$M368=""),"",$L368+MATCH($M368,Listas!$F$5:$F$11,0)-1)</f>
        <v/>
      </c>
      <c r="O368" s="44"/>
      <c r="P368" s="39"/>
      <c r="Q368" s="44"/>
      <c r="R368" s="38"/>
      <c r="S368" s="38"/>
      <c r="T368" s="36" t="str">
        <f aca="false">IF($F368="","",IF(ISNUMBER(SEARCH("(externo)",$I368&amp;$J368&amp;$K368)),"Terceirizada","Interna"))</f>
        <v/>
      </c>
      <c r="U368" s="43" t="str">
        <f aca="false">IF($N368="","",IF($Q368="",$N368,$Q368))</f>
        <v/>
      </c>
      <c r="V368" s="36" t="str">
        <f aca="false">IF($F368="","",IF(OR($O368="",$N368=""),0,IF($O368&lt;=$N368,1,0)))</f>
        <v/>
      </c>
      <c r="W368" s="36" t="str">
        <f aca="false">IF($F368="","",IF(OR($O368="",$U368=""),0,IF($O368&lt;=$U368,1,0)))</f>
        <v/>
      </c>
      <c r="X368" s="37" t="str">
        <f aca="false">IF(OR($O368="",$N368=""),"",MAX(0,$O368-$N368))</f>
        <v/>
      </c>
      <c r="Y368" s="36" t="str">
        <f aca="false">IF($F368="","",IF(AND($Q368&lt;&gt;"",$N368&lt;&gt;"",$Q368&lt;&gt;$N368),1,0))</f>
        <v/>
      </c>
      <c r="Z368" s="36" t="str">
        <f aca="false">IF($F368="","",IF($P368="Cancelada",0,IF(OR($O368&lt;&gt;"",$P368="Concluída"),1,0)))</f>
        <v/>
      </c>
    </row>
    <row r="369" customFormat="false" ht="16.5" hidden="false" customHeight="true" outlineLevel="0" collapsed="false">
      <c r="A369" s="36" t="str">
        <f aca="false">IF($F369="","",COUNTA($F$5:$F369))</f>
        <v/>
      </c>
      <c r="B369" s="37" t="str">
        <f aca="true">IF($F369="","",IF($P369="Cancelada","Cancelada",IF(OR($O369&lt;&gt;"",$P369="Concluída"),IF(OR($N369="",$O369="",$O369&lt;=$N369),"Concluída","Concluída com atraso"),IF($N369="","Na carteira",IF($N369&lt;TODAY(),"VENCIDA",IF($P369="Em execução","Em execução",IF($N369=TODAY(),"Hoje","Programada")))))))</f>
        <v/>
      </c>
      <c r="C369" s="38"/>
      <c r="D369" s="38"/>
      <c r="E369" s="38"/>
      <c r="F369" s="38"/>
      <c r="G369" s="39"/>
      <c r="H369" s="39"/>
      <c r="I369" s="40"/>
      <c r="J369" s="40"/>
      <c r="K369" s="40"/>
      <c r="L369" s="41"/>
      <c r="M369" s="42"/>
      <c r="N369" s="43" t="str">
        <f aca="false">IF(OR($L369="",$M369=""),"",$L369+MATCH($M369,Listas!$F$5:$F$11,0)-1)</f>
        <v/>
      </c>
      <c r="O369" s="44"/>
      <c r="P369" s="39"/>
      <c r="Q369" s="44"/>
      <c r="R369" s="38"/>
      <c r="S369" s="38"/>
      <c r="T369" s="36" t="str">
        <f aca="false">IF($F369="","",IF(ISNUMBER(SEARCH("(externo)",$I369&amp;$J369&amp;$K369)),"Terceirizada","Interna"))</f>
        <v/>
      </c>
      <c r="U369" s="43" t="str">
        <f aca="false">IF($N369="","",IF($Q369="",$N369,$Q369))</f>
        <v/>
      </c>
      <c r="V369" s="36" t="str">
        <f aca="false">IF($F369="","",IF(OR($O369="",$N369=""),0,IF($O369&lt;=$N369,1,0)))</f>
        <v/>
      </c>
      <c r="W369" s="36" t="str">
        <f aca="false">IF($F369="","",IF(OR($O369="",$U369=""),0,IF($O369&lt;=$U369,1,0)))</f>
        <v/>
      </c>
      <c r="X369" s="37" t="str">
        <f aca="false">IF(OR($O369="",$N369=""),"",MAX(0,$O369-$N369))</f>
        <v/>
      </c>
      <c r="Y369" s="36" t="str">
        <f aca="false">IF($F369="","",IF(AND($Q369&lt;&gt;"",$N369&lt;&gt;"",$Q369&lt;&gt;$N369),1,0))</f>
        <v/>
      </c>
      <c r="Z369" s="36" t="str">
        <f aca="false">IF($F369="","",IF($P369="Cancelada",0,IF(OR($O369&lt;&gt;"",$P369="Concluída"),1,0)))</f>
        <v/>
      </c>
    </row>
    <row r="370" customFormat="false" ht="16.5" hidden="false" customHeight="true" outlineLevel="0" collapsed="false">
      <c r="A370" s="36" t="str">
        <f aca="false">IF($F370="","",COUNTA($F$5:$F370))</f>
        <v/>
      </c>
      <c r="B370" s="37" t="str">
        <f aca="true">IF($F370="","",IF($P370="Cancelada","Cancelada",IF(OR($O370&lt;&gt;"",$P370="Concluída"),IF(OR($N370="",$O370="",$O370&lt;=$N370),"Concluída","Concluída com atraso"),IF($N370="","Na carteira",IF($N370&lt;TODAY(),"VENCIDA",IF($P370="Em execução","Em execução",IF($N370=TODAY(),"Hoje","Programada")))))))</f>
        <v/>
      </c>
      <c r="C370" s="38"/>
      <c r="D370" s="38"/>
      <c r="E370" s="38"/>
      <c r="F370" s="38"/>
      <c r="G370" s="39"/>
      <c r="H370" s="39"/>
      <c r="I370" s="40"/>
      <c r="J370" s="40"/>
      <c r="K370" s="40"/>
      <c r="L370" s="41"/>
      <c r="M370" s="42"/>
      <c r="N370" s="43" t="str">
        <f aca="false">IF(OR($L370="",$M370=""),"",$L370+MATCH($M370,Listas!$F$5:$F$11,0)-1)</f>
        <v/>
      </c>
      <c r="O370" s="44"/>
      <c r="P370" s="39"/>
      <c r="Q370" s="44"/>
      <c r="R370" s="38"/>
      <c r="S370" s="38"/>
      <c r="T370" s="36" t="str">
        <f aca="false">IF($F370="","",IF(ISNUMBER(SEARCH("(externo)",$I370&amp;$J370&amp;$K370)),"Terceirizada","Interna"))</f>
        <v/>
      </c>
      <c r="U370" s="43" t="str">
        <f aca="false">IF($N370="","",IF($Q370="",$N370,$Q370))</f>
        <v/>
      </c>
      <c r="V370" s="36" t="str">
        <f aca="false">IF($F370="","",IF(OR($O370="",$N370=""),0,IF($O370&lt;=$N370,1,0)))</f>
        <v/>
      </c>
      <c r="W370" s="36" t="str">
        <f aca="false">IF($F370="","",IF(OR($O370="",$U370=""),0,IF($O370&lt;=$U370,1,0)))</f>
        <v/>
      </c>
      <c r="X370" s="37" t="str">
        <f aca="false">IF(OR($O370="",$N370=""),"",MAX(0,$O370-$N370))</f>
        <v/>
      </c>
      <c r="Y370" s="36" t="str">
        <f aca="false">IF($F370="","",IF(AND($Q370&lt;&gt;"",$N370&lt;&gt;"",$Q370&lt;&gt;$N370),1,0))</f>
        <v/>
      </c>
      <c r="Z370" s="36" t="str">
        <f aca="false">IF($F370="","",IF($P370="Cancelada",0,IF(OR($O370&lt;&gt;"",$P370="Concluída"),1,0)))</f>
        <v/>
      </c>
    </row>
    <row r="371" customFormat="false" ht="16.5" hidden="false" customHeight="true" outlineLevel="0" collapsed="false">
      <c r="A371" s="36" t="str">
        <f aca="false">IF($F371="","",COUNTA($F$5:$F371))</f>
        <v/>
      </c>
      <c r="B371" s="37" t="str">
        <f aca="true">IF($F371="","",IF($P371="Cancelada","Cancelada",IF(OR($O371&lt;&gt;"",$P371="Concluída"),IF(OR($N371="",$O371="",$O371&lt;=$N371),"Concluída","Concluída com atraso"),IF($N371="","Na carteira",IF($N371&lt;TODAY(),"VENCIDA",IF($P371="Em execução","Em execução",IF($N371=TODAY(),"Hoje","Programada")))))))</f>
        <v/>
      </c>
      <c r="C371" s="38"/>
      <c r="D371" s="38"/>
      <c r="E371" s="38"/>
      <c r="F371" s="38"/>
      <c r="G371" s="39"/>
      <c r="H371" s="39"/>
      <c r="I371" s="40"/>
      <c r="J371" s="40"/>
      <c r="K371" s="40"/>
      <c r="L371" s="41"/>
      <c r="M371" s="42"/>
      <c r="N371" s="43" t="str">
        <f aca="false">IF(OR($L371="",$M371=""),"",$L371+MATCH($M371,Listas!$F$5:$F$11,0)-1)</f>
        <v/>
      </c>
      <c r="O371" s="44"/>
      <c r="P371" s="39"/>
      <c r="Q371" s="44"/>
      <c r="R371" s="38"/>
      <c r="S371" s="38"/>
      <c r="T371" s="36" t="str">
        <f aca="false">IF($F371="","",IF(ISNUMBER(SEARCH("(externo)",$I371&amp;$J371&amp;$K371)),"Terceirizada","Interna"))</f>
        <v/>
      </c>
      <c r="U371" s="43" t="str">
        <f aca="false">IF($N371="","",IF($Q371="",$N371,$Q371))</f>
        <v/>
      </c>
      <c r="V371" s="36" t="str">
        <f aca="false">IF($F371="","",IF(OR($O371="",$N371=""),0,IF($O371&lt;=$N371,1,0)))</f>
        <v/>
      </c>
      <c r="W371" s="36" t="str">
        <f aca="false">IF($F371="","",IF(OR($O371="",$U371=""),0,IF($O371&lt;=$U371,1,0)))</f>
        <v/>
      </c>
      <c r="X371" s="37" t="str">
        <f aca="false">IF(OR($O371="",$N371=""),"",MAX(0,$O371-$N371))</f>
        <v/>
      </c>
      <c r="Y371" s="36" t="str">
        <f aca="false">IF($F371="","",IF(AND($Q371&lt;&gt;"",$N371&lt;&gt;"",$Q371&lt;&gt;$N371),1,0))</f>
        <v/>
      </c>
      <c r="Z371" s="36" t="str">
        <f aca="false">IF($F371="","",IF($P371="Cancelada",0,IF(OR($O371&lt;&gt;"",$P371="Concluída"),1,0)))</f>
        <v/>
      </c>
    </row>
    <row r="372" customFormat="false" ht="16.5" hidden="false" customHeight="true" outlineLevel="0" collapsed="false">
      <c r="A372" s="36" t="str">
        <f aca="false">IF($F372="","",COUNTA($F$5:$F372))</f>
        <v/>
      </c>
      <c r="B372" s="37" t="str">
        <f aca="true">IF($F372="","",IF($P372="Cancelada","Cancelada",IF(OR($O372&lt;&gt;"",$P372="Concluída"),IF(OR($N372="",$O372="",$O372&lt;=$N372),"Concluída","Concluída com atraso"),IF($N372="","Na carteira",IF($N372&lt;TODAY(),"VENCIDA",IF($P372="Em execução","Em execução",IF($N372=TODAY(),"Hoje","Programada")))))))</f>
        <v/>
      </c>
      <c r="C372" s="38"/>
      <c r="D372" s="38"/>
      <c r="E372" s="38"/>
      <c r="F372" s="38"/>
      <c r="G372" s="39"/>
      <c r="H372" s="39"/>
      <c r="I372" s="40"/>
      <c r="J372" s="40"/>
      <c r="K372" s="40"/>
      <c r="L372" s="41"/>
      <c r="M372" s="42"/>
      <c r="N372" s="43" t="str">
        <f aca="false">IF(OR($L372="",$M372=""),"",$L372+MATCH($M372,Listas!$F$5:$F$11,0)-1)</f>
        <v/>
      </c>
      <c r="O372" s="44"/>
      <c r="P372" s="39"/>
      <c r="Q372" s="44"/>
      <c r="R372" s="38"/>
      <c r="S372" s="38"/>
      <c r="T372" s="36" t="str">
        <f aca="false">IF($F372="","",IF(ISNUMBER(SEARCH("(externo)",$I372&amp;$J372&amp;$K372)),"Terceirizada","Interna"))</f>
        <v/>
      </c>
      <c r="U372" s="43" t="str">
        <f aca="false">IF($N372="","",IF($Q372="",$N372,$Q372))</f>
        <v/>
      </c>
      <c r="V372" s="36" t="str">
        <f aca="false">IF($F372="","",IF(OR($O372="",$N372=""),0,IF($O372&lt;=$N372,1,0)))</f>
        <v/>
      </c>
      <c r="W372" s="36" t="str">
        <f aca="false">IF($F372="","",IF(OR($O372="",$U372=""),0,IF($O372&lt;=$U372,1,0)))</f>
        <v/>
      </c>
      <c r="X372" s="37" t="str">
        <f aca="false">IF(OR($O372="",$N372=""),"",MAX(0,$O372-$N372))</f>
        <v/>
      </c>
      <c r="Y372" s="36" t="str">
        <f aca="false">IF($F372="","",IF(AND($Q372&lt;&gt;"",$N372&lt;&gt;"",$Q372&lt;&gt;$N372),1,0))</f>
        <v/>
      </c>
      <c r="Z372" s="36" t="str">
        <f aca="false">IF($F372="","",IF($P372="Cancelada",0,IF(OR($O372&lt;&gt;"",$P372="Concluída"),1,0)))</f>
        <v/>
      </c>
    </row>
    <row r="373" customFormat="false" ht="16.5" hidden="false" customHeight="true" outlineLevel="0" collapsed="false">
      <c r="A373" s="36" t="str">
        <f aca="false">IF($F373="","",COUNTA($F$5:$F373))</f>
        <v/>
      </c>
      <c r="B373" s="37" t="str">
        <f aca="true">IF($F373="","",IF($P373="Cancelada","Cancelada",IF(OR($O373&lt;&gt;"",$P373="Concluída"),IF(OR($N373="",$O373="",$O373&lt;=$N373),"Concluída","Concluída com atraso"),IF($N373="","Na carteira",IF($N373&lt;TODAY(),"VENCIDA",IF($P373="Em execução","Em execução",IF($N373=TODAY(),"Hoje","Programada")))))))</f>
        <v/>
      </c>
      <c r="C373" s="38"/>
      <c r="D373" s="38"/>
      <c r="E373" s="38"/>
      <c r="F373" s="38"/>
      <c r="G373" s="39"/>
      <c r="H373" s="39"/>
      <c r="I373" s="40"/>
      <c r="J373" s="40"/>
      <c r="K373" s="40"/>
      <c r="L373" s="41"/>
      <c r="M373" s="42"/>
      <c r="N373" s="43" t="str">
        <f aca="false">IF(OR($L373="",$M373=""),"",$L373+MATCH($M373,Listas!$F$5:$F$11,0)-1)</f>
        <v/>
      </c>
      <c r="O373" s="44"/>
      <c r="P373" s="39"/>
      <c r="Q373" s="44"/>
      <c r="R373" s="38"/>
      <c r="S373" s="38"/>
      <c r="T373" s="36" t="str">
        <f aca="false">IF($F373="","",IF(ISNUMBER(SEARCH("(externo)",$I373&amp;$J373&amp;$K373)),"Terceirizada","Interna"))</f>
        <v/>
      </c>
      <c r="U373" s="43" t="str">
        <f aca="false">IF($N373="","",IF($Q373="",$N373,$Q373))</f>
        <v/>
      </c>
      <c r="V373" s="36" t="str">
        <f aca="false">IF($F373="","",IF(OR($O373="",$N373=""),0,IF($O373&lt;=$N373,1,0)))</f>
        <v/>
      </c>
      <c r="W373" s="36" t="str">
        <f aca="false">IF($F373="","",IF(OR($O373="",$U373=""),0,IF($O373&lt;=$U373,1,0)))</f>
        <v/>
      </c>
      <c r="X373" s="37" t="str">
        <f aca="false">IF(OR($O373="",$N373=""),"",MAX(0,$O373-$N373))</f>
        <v/>
      </c>
      <c r="Y373" s="36" t="str">
        <f aca="false">IF($F373="","",IF(AND($Q373&lt;&gt;"",$N373&lt;&gt;"",$Q373&lt;&gt;$N373),1,0))</f>
        <v/>
      </c>
      <c r="Z373" s="36" t="str">
        <f aca="false">IF($F373="","",IF($P373="Cancelada",0,IF(OR($O373&lt;&gt;"",$P373="Concluída"),1,0)))</f>
        <v/>
      </c>
    </row>
    <row r="374" customFormat="false" ht="16.5" hidden="false" customHeight="true" outlineLevel="0" collapsed="false">
      <c r="A374" s="36" t="str">
        <f aca="false">IF($F374="","",COUNTA($F$5:$F374))</f>
        <v/>
      </c>
      <c r="B374" s="37" t="str">
        <f aca="true">IF($F374="","",IF($P374="Cancelada","Cancelada",IF(OR($O374&lt;&gt;"",$P374="Concluída"),IF(OR($N374="",$O374="",$O374&lt;=$N374),"Concluída","Concluída com atraso"),IF($N374="","Na carteira",IF($N374&lt;TODAY(),"VENCIDA",IF($P374="Em execução","Em execução",IF($N374=TODAY(),"Hoje","Programada")))))))</f>
        <v/>
      </c>
      <c r="C374" s="38"/>
      <c r="D374" s="38"/>
      <c r="E374" s="38"/>
      <c r="F374" s="38"/>
      <c r="G374" s="39"/>
      <c r="H374" s="39"/>
      <c r="I374" s="40"/>
      <c r="J374" s="40"/>
      <c r="K374" s="40"/>
      <c r="L374" s="41"/>
      <c r="M374" s="42"/>
      <c r="N374" s="43" t="str">
        <f aca="false">IF(OR($L374="",$M374=""),"",$L374+MATCH($M374,Listas!$F$5:$F$11,0)-1)</f>
        <v/>
      </c>
      <c r="O374" s="44"/>
      <c r="P374" s="39"/>
      <c r="Q374" s="44"/>
      <c r="R374" s="38"/>
      <c r="S374" s="38"/>
      <c r="T374" s="36" t="str">
        <f aca="false">IF($F374="","",IF(ISNUMBER(SEARCH("(externo)",$I374&amp;$J374&amp;$K374)),"Terceirizada","Interna"))</f>
        <v/>
      </c>
      <c r="U374" s="43" t="str">
        <f aca="false">IF($N374="","",IF($Q374="",$N374,$Q374))</f>
        <v/>
      </c>
      <c r="V374" s="36" t="str">
        <f aca="false">IF($F374="","",IF(OR($O374="",$N374=""),0,IF($O374&lt;=$N374,1,0)))</f>
        <v/>
      </c>
      <c r="W374" s="36" t="str">
        <f aca="false">IF($F374="","",IF(OR($O374="",$U374=""),0,IF($O374&lt;=$U374,1,0)))</f>
        <v/>
      </c>
      <c r="X374" s="37" t="str">
        <f aca="false">IF(OR($O374="",$N374=""),"",MAX(0,$O374-$N374))</f>
        <v/>
      </c>
      <c r="Y374" s="36" t="str">
        <f aca="false">IF($F374="","",IF(AND($Q374&lt;&gt;"",$N374&lt;&gt;"",$Q374&lt;&gt;$N374),1,0))</f>
        <v/>
      </c>
      <c r="Z374" s="36" t="str">
        <f aca="false">IF($F374="","",IF($P374="Cancelada",0,IF(OR($O374&lt;&gt;"",$P374="Concluída"),1,0)))</f>
        <v/>
      </c>
    </row>
    <row r="375" customFormat="false" ht="16.5" hidden="false" customHeight="true" outlineLevel="0" collapsed="false">
      <c r="A375" s="36" t="str">
        <f aca="false">IF($F375="","",COUNTA($F$5:$F375))</f>
        <v/>
      </c>
      <c r="B375" s="37" t="str">
        <f aca="true">IF($F375="","",IF($P375="Cancelada","Cancelada",IF(OR($O375&lt;&gt;"",$P375="Concluída"),IF(OR($N375="",$O375="",$O375&lt;=$N375),"Concluída","Concluída com atraso"),IF($N375="","Na carteira",IF($N375&lt;TODAY(),"VENCIDA",IF($P375="Em execução","Em execução",IF($N375=TODAY(),"Hoje","Programada")))))))</f>
        <v/>
      </c>
      <c r="C375" s="38"/>
      <c r="D375" s="38"/>
      <c r="E375" s="38"/>
      <c r="F375" s="38"/>
      <c r="G375" s="39"/>
      <c r="H375" s="39"/>
      <c r="I375" s="40"/>
      <c r="J375" s="40"/>
      <c r="K375" s="40"/>
      <c r="L375" s="41"/>
      <c r="M375" s="42"/>
      <c r="N375" s="43" t="str">
        <f aca="false">IF(OR($L375="",$M375=""),"",$L375+MATCH($M375,Listas!$F$5:$F$11,0)-1)</f>
        <v/>
      </c>
      <c r="O375" s="44"/>
      <c r="P375" s="39"/>
      <c r="Q375" s="44"/>
      <c r="R375" s="38"/>
      <c r="S375" s="38"/>
      <c r="T375" s="36" t="str">
        <f aca="false">IF($F375="","",IF(ISNUMBER(SEARCH("(externo)",$I375&amp;$J375&amp;$K375)),"Terceirizada","Interna"))</f>
        <v/>
      </c>
      <c r="U375" s="43" t="str">
        <f aca="false">IF($N375="","",IF($Q375="",$N375,$Q375))</f>
        <v/>
      </c>
      <c r="V375" s="36" t="str">
        <f aca="false">IF($F375="","",IF(OR($O375="",$N375=""),0,IF($O375&lt;=$N375,1,0)))</f>
        <v/>
      </c>
      <c r="W375" s="36" t="str">
        <f aca="false">IF($F375="","",IF(OR($O375="",$U375=""),0,IF($O375&lt;=$U375,1,0)))</f>
        <v/>
      </c>
      <c r="X375" s="37" t="str">
        <f aca="false">IF(OR($O375="",$N375=""),"",MAX(0,$O375-$N375))</f>
        <v/>
      </c>
      <c r="Y375" s="36" t="str">
        <f aca="false">IF($F375="","",IF(AND($Q375&lt;&gt;"",$N375&lt;&gt;"",$Q375&lt;&gt;$N375),1,0))</f>
        <v/>
      </c>
      <c r="Z375" s="36" t="str">
        <f aca="false">IF($F375="","",IF($P375="Cancelada",0,IF(OR($O375&lt;&gt;"",$P375="Concluída"),1,0)))</f>
        <v/>
      </c>
    </row>
    <row r="376" customFormat="false" ht="16.5" hidden="false" customHeight="true" outlineLevel="0" collapsed="false">
      <c r="A376" s="36" t="str">
        <f aca="false">IF($F376="","",COUNTA($F$5:$F376))</f>
        <v/>
      </c>
      <c r="B376" s="37" t="str">
        <f aca="true">IF($F376="","",IF($P376="Cancelada","Cancelada",IF(OR($O376&lt;&gt;"",$P376="Concluída"),IF(OR($N376="",$O376="",$O376&lt;=$N376),"Concluída","Concluída com atraso"),IF($N376="","Na carteira",IF($N376&lt;TODAY(),"VENCIDA",IF($P376="Em execução","Em execução",IF($N376=TODAY(),"Hoje","Programada")))))))</f>
        <v/>
      </c>
      <c r="C376" s="38"/>
      <c r="D376" s="38"/>
      <c r="E376" s="38"/>
      <c r="F376" s="38"/>
      <c r="G376" s="39"/>
      <c r="H376" s="39"/>
      <c r="I376" s="40"/>
      <c r="J376" s="40"/>
      <c r="K376" s="40"/>
      <c r="L376" s="41"/>
      <c r="M376" s="42"/>
      <c r="N376" s="43" t="str">
        <f aca="false">IF(OR($L376="",$M376=""),"",$L376+MATCH($M376,Listas!$F$5:$F$11,0)-1)</f>
        <v/>
      </c>
      <c r="O376" s="44"/>
      <c r="P376" s="39"/>
      <c r="Q376" s="44"/>
      <c r="R376" s="38"/>
      <c r="S376" s="38"/>
      <c r="T376" s="36" t="str">
        <f aca="false">IF($F376="","",IF(ISNUMBER(SEARCH("(externo)",$I376&amp;$J376&amp;$K376)),"Terceirizada","Interna"))</f>
        <v/>
      </c>
      <c r="U376" s="43" t="str">
        <f aca="false">IF($N376="","",IF($Q376="",$N376,$Q376))</f>
        <v/>
      </c>
      <c r="V376" s="36" t="str">
        <f aca="false">IF($F376="","",IF(OR($O376="",$N376=""),0,IF($O376&lt;=$N376,1,0)))</f>
        <v/>
      </c>
      <c r="W376" s="36" t="str">
        <f aca="false">IF($F376="","",IF(OR($O376="",$U376=""),0,IF($O376&lt;=$U376,1,0)))</f>
        <v/>
      </c>
      <c r="X376" s="37" t="str">
        <f aca="false">IF(OR($O376="",$N376=""),"",MAX(0,$O376-$N376))</f>
        <v/>
      </c>
      <c r="Y376" s="36" t="str">
        <f aca="false">IF($F376="","",IF(AND($Q376&lt;&gt;"",$N376&lt;&gt;"",$Q376&lt;&gt;$N376),1,0))</f>
        <v/>
      </c>
      <c r="Z376" s="36" t="str">
        <f aca="false">IF($F376="","",IF($P376="Cancelada",0,IF(OR($O376&lt;&gt;"",$P376="Concluída"),1,0)))</f>
        <v/>
      </c>
    </row>
    <row r="377" customFormat="false" ht="16.5" hidden="false" customHeight="true" outlineLevel="0" collapsed="false">
      <c r="A377" s="36" t="str">
        <f aca="false">IF($F377="","",COUNTA($F$5:$F377))</f>
        <v/>
      </c>
      <c r="B377" s="37" t="str">
        <f aca="true">IF($F377="","",IF($P377="Cancelada","Cancelada",IF(OR($O377&lt;&gt;"",$P377="Concluída"),IF(OR($N377="",$O377="",$O377&lt;=$N377),"Concluída","Concluída com atraso"),IF($N377="","Na carteira",IF($N377&lt;TODAY(),"VENCIDA",IF($P377="Em execução","Em execução",IF($N377=TODAY(),"Hoje","Programada")))))))</f>
        <v/>
      </c>
      <c r="C377" s="38"/>
      <c r="D377" s="38"/>
      <c r="E377" s="38"/>
      <c r="F377" s="38"/>
      <c r="G377" s="39"/>
      <c r="H377" s="39"/>
      <c r="I377" s="40"/>
      <c r="J377" s="40"/>
      <c r="K377" s="40"/>
      <c r="L377" s="41"/>
      <c r="M377" s="42"/>
      <c r="N377" s="43" t="str">
        <f aca="false">IF(OR($L377="",$M377=""),"",$L377+MATCH($M377,Listas!$F$5:$F$11,0)-1)</f>
        <v/>
      </c>
      <c r="O377" s="44"/>
      <c r="P377" s="39"/>
      <c r="Q377" s="44"/>
      <c r="R377" s="38"/>
      <c r="S377" s="38"/>
      <c r="T377" s="36" t="str">
        <f aca="false">IF($F377="","",IF(ISNUMBER(SEARCH("(externo)",$I377&amp;$J377&amp;$K377)),"Terceirizada","Interna"))</f>
        <v/>
      </c>
      <c r="U377" s="43" t="str">
        <f aca="false">IF($N377="","",IF($Q377="",$N377,$Q377))</f>
        <v/>
      </c>
      <c r="V377" s="36" t="str">
        <f aca="false">IF($F377="","",IF(OR($O377="",$N377=""),0,IF($O377&lt;=$N377,1,0)))</f>
        <v/>
      </c>
      <c r="W377" s="36" t="str">
        <f aca="false">IF($F377="","",IF(OR($O377="",$U377=""),0,IF($O377&lt;=$U377,1,0)))</f>
        <v/>
      </c>
      <c r="X377" s="37" t="str">
        <f aca="false">IF(OR($O377="",$N377=""),"",MAX(0,$O377-$N377))</f>
        <v/>
      </c>
      <c r="Y377" s="36" t="str">
        <f aca="false">IF($F377="","",IF(AND($Q377&lt;&gt;"",$N377&lt;&gt;"",$Q377&lt;&gt;$N377),1,0))</f>
        <v/>
      </c>
      <c r="Z377" s="36" t="str">
        <f aca="false">IF($F377="","",IF($P377="Cancelada",0,IF(OR($O377&lt;&gt;"",$P377="Concluída"),1,0)))</f>
        <v/>
      </c>
    </row>
    <row r="378" customFormat="false" ht="16.5" hidden="false" customHeight="true" outlineLevel="0" collapsed="false">
      <c r="A378" s="36" t="str">
        <f aca="false">IF($F378="","",COUNTA($F$5:$F378))</f>
        <v/>
      </c>
      <c r="B378" s="37" t="str">
        <f aca="true">IF($F378="","",IF($P378="Cancelada","Cancelada",IF(OR($O378&lt;&gt;"",$P378="Concluída"),IF(OR($N378="",$O378="",$O378&lt;=$N378),"Concluída","Concluída com atraso"),IF($N378="","Na carteira",IF($N378&lt;TODAY(),"VENCIDA",IF($P378="Em execução","Em execução",IF($N378=TODAY(),"Hoje","Programada")))))))</f>
        <v/>
      </c>
      <c r="C378" s="38"/>
      <c r="D378" s="38"/>
      <c r="E378" s="38"/>
      <c r="F378" s="38"/>
      <c r="G378" s="39"/>
      <c r="H378" s="39"/>
      <c r="I378" s="40"/>
      <c r="J378" s="40"/>
      <c r="K378" s="40"/>
      <c r="L378" s="41"/>
      <c r="M378" s="42"/>
      <c r="N378" s="43" t="str">
        <f aca="false">IF(OR($L378="",$M378=""),"",$L378+MATCH($M378,Listas!$F$5:$F$11,0)-1)</f>
        <v/>
      </c>
      <c r="O378" s="44"/>
      <c r="P378" s="39"/>
      <c r="Q378" s="44"/>
      <c r="R378" s="38"/>
      <c r="S378" s="38"/>
      <c r="T378" s="36" t="str">
        <f aca="false">IF($F378="","",IF(ISNUMBER(SEARCH("(externo)",$I378&amp;$J378&amp;$K378)),"Terceirizada","Interna"))</f>
        <v/>
      </c>
      <c r="U378" s="43" t="str">
        <f aca="false">IF($N378="","",IF($Q378="",$N378,$Q378))</f>
        <v/>
      </c>
      <c r="V378" s="36" t="str">
        <f aca="false">IF($F378="","",IF(OR($O378="",$N378=""),0,IF($O378&lt;=$N378,1,0)))</f>
        <v/>
      </c>
      <c r="W378" s="36" t="str">
        <f aca="false">IF($F378="","",IF(OR($O378="",$U378=""),0,IF($O378&lt;=$U378,1,0)))</f>
        <v/>
      </c>
      <c r="X378" s="37" t="str">
        <f aca="false">IF(OR($O378="",$N378=""),"",MAX(0,$O378-$N378))</f>
        <v/>
      </c>
      <c r="Y378" s="36" t="str">
        <f aca="false">IF($F378="","",IF(AND($Q378&lt;&gt;"",$N378&lt;&gt;"",$Q378&lt;&gt;$N378),1,0))</f>
        <v/>
      </c>
      <c r="Z378" s="36" t="str">
        <f aca="false">IF($F378="","",IF($P378="Cancelada",0,IF(OR($O378&lt;&gt;"",$P378="Concluída"),1,0)))</f>
        <v/>
      </c>
    </row>
    <row r="379" customFormat="false" ht="16.5" hidden="false" customHeight="true" outlineLevel="0" collapsed="false">
      <c r="A379" s="36" t="str">
        <f aca="false">IF($F379="","",COUNTA($F$5:$F379))</f>
        <v/>
      </c>
      <c r="B379" s="37" t="str">
        <f aca="true">IF($F379="","",IF($P379="Cancelada","Cancelada",IF(OR($O379&lt;&gt;"",$P379="Concluída"),IF(OR($N379="",$O379="",$O379&lt;=$N379),"Concluída","Concluída com atraso"),IF($N379="","Na carteira",IF($N379&lt;TODAY(),"VENCIDA",IF($P379="Em execução","Em execução",IF($N379=TODAY(),"Hoje","Programada")))))))</f>
        <v/>
      </c>
      <c r="C379" s="38"/>
      <c r="D379" s="38"/>
      <c r="E379" s="38"/>
      <c r="F379" s="38"/>
      <c r="G379" s="39"/>
      <c r="H379" s="39"/>
      <c r="I379" s="40"/>
      <c r="J379" s="40"/>
      <c r="K379" s="40"/>
      <c r="L379" s="41"/>
      <c r="M379" s="42"/>
      <c r="N379" s="43" t="str">
        <f aca="false">IF(OR($L379="",$M379=""),"",$L379+MATCH($M379,Listas!$F$5:$F$11,0)-1)</f>
        <v/>
      </c>
      <c r="O379" s="44"/>
      <c r="P379" s="39"/>
      <c r="Q379" s="44"/>
      <c r="R379" s="38"/>
      <c r="S379" s="38"/>
      <c r="T379" s="36" t="str">
        <f aca="false">IF($F379="","",IF(ISNUMBER(SEARCH("(externo)",$I379&amp;$J379&amp;$K379)),"Terceirizada","Interna"))</f>
        <v/>
      </c>
      <c r="U379" s="43" t="str">
        <f aca="false">IF($N379="","",IF($Q379="",$N379,$Q379))</f>
        <v/>
      </c>
      <c r="V379" s="36" t="str">
        <f aca="false">IF($F379="","",IF(OR($O379="",$N379=""),0,IF($O379&lt;=$N379,1,0)))</f>
        <v/>
      </c>
      <c r="W379" s="36" t="str">
        <f aca="false">IF($F379="","",IF(OR($O379="",$U379=""),0,IF($O379&lt;=$U379,1,0)))</f>
        <v/>
      </c>
      <c r="X379" s="37" t="str">
        <f aca="false">IF(OR($O379="",$N379=""),"",MAX(0,$O379-$N379))</f>
        <v/>
      </c>
      <c r="Y379" s="36" t="str">
        <f aca="false">IF($F379="","",IF(AND($Q379&lt;&gt;"",$N379&lt;&gt;"",$Q379&lt;&gt;$N379),1,0))</f>
        <v/>
      </c>
      <c r="Z379" s="36" t="str">
        <f aca="false">IF($F379="","",IF($P379="Cancelada",0,IF(OR($O379&lt;&gt;"",$P379="Concluída"),1,0)))</f>
        <v/>
      </c>
    </row>
    <row r="380" customFormat="false" ht="16.5" hidden="false" customHeight="true" outlineLevel="0" collapsed="false">
      <c r="A380" s="36" t="str">
        <f aca="false">IF($F380="","",COUNTA($F$5:$F380))</f>
        <v/>
      </c>
      <c r="B380" s="37" t="str">
        <f aca="true">IF($F380="","",IF($P380="Cancelada","Cancelada",IF(OR($O380&lt;&gt;"",$P380="Concluída"),IF(OR($N380="",$O380="",$O380&lt;=$N380),"Concluída","Concluída com atraso"),IF($N380="","Na carteira",IF($N380&lt;TODAY(),"VENCIDA",IF($P380="Em execução","Em execução",IF($N380=TODAY(),"Hoje","Programada")))))))</f>
        <v/>
      </c>
      <c r="C380" s="38"/>
      <c r="D380" s="38"/>
      <c r="E380" s="38"/>
      <c r="F380" s="38"/>
      <c r="G380" s="39"/>
      <c r="H380" s="39"/>
      <c r="I380" s="40"/>
      <c r="J380" s="40"/>
      <c r="K380" s="40"/>
      <c r="L380" s="41"/>
      <c r="M380" s="42"/>
      <c r="N380" s="43" t="str">
        <f aca="false">IF(OR($L380="",$M380=""),"",$L380+MATCH($M380,Listas!$F$5:$F$11,0)-1)</f>
        <v/>
      </c>
      <c r="O380" s="44"/>
      <c r="P380" s="39"/>
      <c r="Q380" s="44"/>
      <c r="R380" s="38"/>
      <c r="S380" s="38"/>
      <c r="T380" s="36" t="str">
        <f aca="false">IF($F380="","",IF(ISNUMBER(SEARCH("(externo)",$I380&amp;$J380&amp;$K380)),"Terceirizada","Interna"))</f>
        <v/>
      </c>
      <c r="U380" s="43" t="str">
        <f aca="false">IF($N380="","",IF($Q380="",$N380,$Q380))</f>
        <v/>
      </c>
      <c r="V380" s="36" t="str">
        <f aca="false">IF($F380="","",IF(OR($O380="",$N380=""),0,IF($O380&lt;=$N380,1,0)))</f>
        <v/>
      </c>
      <c r="W380" s="36" t="str">
        <f aca="false">IF($F380="","",IF(OR($O380="",$U380=""),0,IF($O380&lt;=$U380,1,0)))</f>
        <v/>
      </c>
      <c r="X380" s="37" t="str">
        <f aca="false">IF(OR($O380="",$N380=""),"",MAX(0,$O380-$N380))</f>
        <v/>
      </c>
      <c r="Y380" s="36" t="str">
        <f aca="false">IF($F380="","",IF(AND($Q380&lt;&gt;"",$N380&lt;&gt;"",$Q380&lt;&gt;$N380),1,0))</f>
        <v/>
      </c>
      <c r="Z380" s="36" t="str">
        <f aca="false">IF($F380="","",IF($P380="Cancelada",0,IF(OR($O380&lt;&gt;"",$P380="Concluída"),1,0)))</f>
        <v/>
      </c>
    </row>
    <row r="381" customFormat="false" ht="16.5" hidden="false" customHeight="true" outlineLevel="0" collapsed="false">
      <c r="A381" s="36" t="str">
        <f aca="false">IF($F381="","",COUNTA($F$5:$F381))</f>
        <v/>
      </c>
      <c r="B381" s="37" t="str">
        <f aca="true">IF($F381="","",IF($P381="Cancelada","Cancelada",IF(OR($O381&lt;&gt;"",$P381="Concluída"),IF(OR($N381="",$O381="",$O381&lt;=$N381),"Concluída","Concluída com atraso"),IF($N381="","Na carteira",IF($N381&lt;TODAY(),"VENCIDA",IF($P381="Em execução","Em execução",IF($N381=TODAY(),"Hoje","Programada")))))))</f>
        <v/>
      </c>
      <c r="C381" s="38"/>
      <c r="D381" s="38"/>
      <c r="E381" s="38"/>
      <c r="F381" s="38"/>
      <c r="G381" s="39"/>
      <c r="H381" s="39"/>
      <c r="I381" s="40"/>
      <c r="J381" s="40"/>
      <c r="K381" s="40"/>
      <c r="L381" s="41"/>
      <c r="M381" s="42"/>
      <c r="N381" s="43" t="str">
        <f aca="false">IF(OR($L381="",$M381=""),"",$L381+MATCH($M381,Listas!$F$5:$F$11,0)-1)</f>
        <v/>
      </c>
      <c r="O381" s="44"/>
      <c r="P381" s="39"/>
      <c r="Q381" s="44"/>
      <c r="R381" s="38"/>
      <c r="S381" s="38"/>
      <c r="T381" s="36" t="str">
        <f aca="false">IF($F381="","",IF(ISNUMBER(SEARCH("(externo)",$I381&amp;$J381&amp;$K381)),"Terceirizada","Interna"))</f>
        <v/>
      </c>
      <c r="U381" s="43" t="str">
        <f aca="false">IF($N381="","",IF($Q381="",$N381,$Q381))</f>
        <v/>
      </c>
      <c r="V381" s="36" t="str">
        <f aca="false">IF($F381="","",IF(OR($O381="",$N381=""),0,IF($O381&lt;=$N381,1,0)))</f>
        <v/>
      </c>
      <c r="W381" s="36" t="str">
        <f aca="false">IF($F381="","",IF(OR($O381="",$U381=""),0,IF($O381&lt;=$U381,1,0)))</f>
        <v/>
      </c>
      <c r="X381" s="37" t="str">
        <f aca="false">IF(OR($O381="",$N381=""),"",MAX(0,$O381-$N381))</f>
        <v/>
      </c>
      <c r="Y381" s="36" t="str">
        <f aca="false">IF($F381="","",IF(AND($Q381&lt;&gt;"",$N381&lt;&gt;"",$Q381&lt;&gt;$N381),1,0))</f>
        <v/>
      </c>
      <c r="Z381" s="36" t="str">
        <f aca="false">IF($F381="","",IF($P381="Cancelada",0,IF(OR($O381&lt;&gt;"",$P381="Concluída"),1,0)))</f>
        <v/>
      </c>
    </row>
    <row r="382" customFormat="false" ht="16.5" hidden="false" customHeight="true" outlineLevel="0" collapsed="false">
      <c r="A382" s="36" t="str">
        <f aca="false">IF($F382="","",COUNTA($F$5:$F382))</f>
        <v/>
      </c>
      <c r="B382" s="37" t="str">
        <f aca="true">IF($F382="","",IF($P382="Cancelada","Cancelada",IF(OR($O382&lt;&gt;"",$P382="Concluída"),IF(OR($N382="",$O382="",$O382&lt;=$N382),"Concluída","Concluída com atraso"),IF($N382="","Na carteira",IF($N382&lt;TODAY(),"VENCIDA",IF($P382="Em execução","Em execução",IF($N382=TODAY(),"Hoje","Programada")))))))</f>
        <v/>
      </c>
      <c r="C382" s="38"/>
      <c r="D382" s="38"/>
      <c r="E382" s="38"/>
      <c r="F382" s="38"/>
      <c r="G382" s="39"/>
      <c r="H382" s="39"/>
      <c r="I382" s="40"/>
      <c r="J382" s="40"/>
      <c r="K382" s="40"/>
      <c r="L382" s="41"/>
      <c r="M382" s="42"/>
      <c r="N382" s="43" t="str">
        <f aca="false">IF(OR($L382="",$M382=""),"",$L382+MATCH($M382,Listas!$F$5:$F$11,0)-1)</f>
        <v/>
      </c>
      <c r="O382" s="44"/>
      <c r="P382" s="39"/>
      <c r="Q382" s="44"/>
      <c r="R382" s="38"/>
      <c r="S382" s="38"/>
      <c r="T382" s="36" t="str">
        <f aca="false">IF($F382="","",IF(ISNUMBER(SEARCH("(externo)",$I382&amp;$J382&amp;$K382)),"Terceirizada","Interna"))</f>
        <v/>
      </c>
      <c r="U382" s="43" t="str">
        <f aca="false">IF($N382="","",IF($Q382="",$N382,$Q382))</f>
        <v/>
      </c>
      <c r="V382" s="36" t="str">
        <f aca="false">IF($F382="","",IF(OR($O382="",$N382=""),0,IF($O382&lt;=$N382,1,0)))</f>
        <v/>
      </c>
      <c r="W382" s="36" t="str">
        <f aca="false">IF($F382="","",IF(OR($O382="",$U382=""),0,IF($O382&lt;=$U382,1,0)))</f>
        <v/>
      </c>
      <c r="X382" s="37" t="str">
        <f aca="false">IF(OR($O382="",$N382=""),"",MAX(0,$O382-$N382))</f>
        <v/>
      </c>
      <c r="Y382" s="36" t="str">
        <f aca="false">IF($F382="","",IF(AND($Q382&lt;&gt;"",$N382&lt;&gt;"",$Q382&lt;&gt;$N382),1,0))</f>
        <v/>
      </c>
      <c r="Z382" s="36" t="str">
        <f aca="false">IF($F382="","",IF($P382="Cancelada",0,IF(OR($O382&lt;&gt;"",$P382="Concluída"),1,0)))</f>
        <v/>
      </c>
    </row>
    <row r="383" customFormat="false" ht="16.5" hidden="false" customHeight="true" outlineLevel="0" collapsed="false">
      <c r="A383" s="36" t="str">
        <f aca="false">IF($F383="","",COUNTA($F$5:$F383))</f>
        <v/>
      </c>
      <c r="B383" s="37" t="str">
        <f aca="true">IF($F383="","",IF($P383="Cancelada","Cancelada",IF(OR($O383&lt;&gt;"",$P383="Concluída"),IF(OR($N383="",$O383="",$O383&lt;=$N383),"Concluída","Concluída com atraso"),IF($N383="","Na carteira",IF($N383&lt;TODAY(),"VENCIDA",IF($P383="Em execução","Em execução",IF($N383=TODAY(),"Hoje","Programada")))))))</f>
        <v/>
      </c>
      <c r="C383" s="38"/>
      <c r="D383" s="38"/>
      <c r="E383" s="38"/>
      <c r="F383" s="38"/>
      <c r="G383" s="39"/>
      <c r="H383" s="39"/>
      <c r="I383" s="40"/>
      <c r="J383" s="40"/>
      <c r="K383" s="40"/>
      <c r="L383" s="41"/>
      <c r="M383" s="42"/>
      <c r="N383" s="43" t="str">
        <f aca="false">IF(OR($L383="",$M383=""),"",$L383+MATCH($M383,Listas!$F$5:$F$11,0)-1)</f>
        <v/>
      </c>
      <c r="O383" s="44"/>
      <c r="P383" s="39"/>
      <c r="Q383" s="44"/>
      <c r="R383" s="38"/>
      <c r="S383" s="38"/>
      <c r="T383" s="36" t="str">
        <f aca="false">IF($F383="","",IF(ISNUMBER(SEARCH("(externo)",$I383&amp;$J383&amp;$K383)),"Terceirizada","Interna"))</f>
        <v/>
      </c>
      <c r="U383" s="43" t="str">
        <f aca="false">IF($N383="","",IF($Q383="",$N383,$Q383))</f>
        <v/>
      </c>
      <c r="V383" s="36" t="str">
        <f aca="false">IF($F383="","",IF(OR($O383="",$N383=""),0,IF($O383&lt;=$N383,1,0)))</f>
        <v/>
      </c>
      <c r="W383" s="36" t="str">
        <f aca="false">IF($F383="","",IF(OR($O383="",$U383=""),0,IF($O383&lt;=$U383,1,0)))</f>
        <v/>
      </c>
      <c r="X383" s="37" t="str">
        <f aca="false">IF(OR($O383="",$N383=""),"",MAX(0,$O383-$N383))</f>
        <v/>
      </c>
      <c r="Y383" s="36" t="str">
        <f aca="false">IF($F383="","",IF(AND($Q383&lt;&gt;"",$N383&lt;&gt;"",$Q383&lt;&gt;$N383),1,0))</f>
        <v/>
      </c>
      <c r="Z383" s="36" t="str">
        <f aca="false">IF($F383="","",IF($P383="Cancelada",0,IF(OR($O383&lt;&gt;"",$P383="Concluída"),1,0)))</f>
        <v/>
      </c>
    </row>
    <row r="384" customFormat="false" ht="16.5" hidden="false" customHeight="true" outlineLevel="0" collapsed="false">
      <c r="A384" s="36" t="str">
        <f aca="false">IF($F384="","",COUNTA($F$5:$F384))</f>
        <v/>
      </c>
      <c r="B384" s="37" t="str">
        <f aca="true">IF($F384="","",IF($P384="Cancelada","Cancelada",IF(OR($O384&lt;&gt;"",$P384="Concluída"),IF(OR($N384="",$O384="",$O384&lt;=$N384),"Concluída","Concluída com atraso"),IF($N384="","Na carteira",IF($N384&lt;TODAY(),"VENCIDA",IF($P384="Em execução","Em execução",IF($N384=TODAY(),"Hoje","Programada")))))))</f>
        <v/>
      </c>
      <c r="C384" s="38"/>
      <c r="D384" s="38"/>
      <c r="E384" s="38"/>
      <c r="F384" s="38"/>
      <c r="G384" s="39"/>
      <c r="H384" s="39"/>
      <c r="I384" s="40"/>
      <c r="J384" s="40"/>
      <c r="K384" s="40"/>
      <c r="L384" s="41"/>
      <c r="M384" s="42"/>
      <c r="N384" s="43" t="str">
        <f aca="false">IF(OR($L384="",$M384=""),"",$L384+MATCH($M384,Listas!$F$5:$F$11,0)-1)</f>
        <v/>
      </c>
      <c r="O384" s="44"/>
      <c r="P384" s="39"/>
      <c r="Q384" s="44"/>
      <c r="R384" s="38"/>
      <c r="S384" s="38"/>
      <c r="T384" s="36" t="str">
        <f aca="false">IF($F384="","",IF(ISNUMBER(SEARCH("(externo)",$I384&amp;$J384&amp;$K384)),"Terceirizada","Interna"))</f>
        <v/>
      </c>
      <c r="U384" s="43" t="str">
        <f aca="false">IF($N384="","",IF($Q384="",$N384,$Q384))</f>
        <v/>
      </c>
      <c r="V384" s="36" t="str">
        <f aca="false">IF($F384="","",IF(OR($O384="",$N384=""),0,IF($O384&lt;=$N384,1,0)))</f>
        <v/>
      </c>
      <c r="W384" s="36" t="str">
        <f aca="false">IF($F384="","",IF(OR($O384="",$U384=""),0,IF($O384&lt;=$U384,1,0)))</f>
        <v/>
      </c>
      <c r="X384" s="37" t="str">
        <f aca="false">IF(OR($O384="",$N384=""),"",MAX(0,$O384-$N384))</f>
        <v/>
      </c>
      <c r="Y384" s="36" t="str">
        <f aca="false">IF($F384="","",IF(AND($Q384&lt;&gt;"",$N384&lt;&gt;"",$Q384&lt;&gt;$N384),1,0))</f>
        <v/>
      </c>
      <c r="Z384" s="36" t="str">
        <f aca="false">IF($F384="","",IF($P384="Cancelada",0,IF(OR($O384&lt;&gt;"",$P384="Concluída"),1,0)))</f>
        <v/>
      </c>
    </row>
    <row r="385" customFormat="false" ht="16.5" hidden="false" customHeight="true" outlineLevel="0" collapsed="false">
      <c r="A385" s="36" t="str">
        <f aca="false">IF($F385="","",COUNTA($F$5:$F385))</f>
        <v/>
      </c>
      <c r="B385" s="37" t="str">
        <f aca="true">IF($F385="","",IF($P385="Cancelada","Cancelada",IF(OR($O385&lt;&gt;"",$P385="Concluída"),IF(OR($N385="",$O385="",$O385&lt;=$N385),"Concluída","Concluída com atraso"),IF($N385="","Na carteira",IF($N385&lt;TODAY(),"VENCIDA",IF($P385="Em execução","Em execução",IF($N385=TODAY(),"Hoje","Programada")))))))</f>
        <v/>
      </c>
      <c r="C385" s="38"/>
      <c r="D385" s="38"/>
      <c r="E385" s="38"/>
      <c r="F385" s="38"/>
      <c r="G385" s="39"/>
      <c r="H385" s="39"/>
      <c r="I385" s="40"/>
      <c r="J385" s="40"/>
      <c r="K385" s="40"/>
      <c r="L385" s="41"/>
      <c r="M385" s="42"/>
      <c r="N385" s="43" t="str">
        <f aca="false">IF(OR($L385="",$M385=""),"",$L385+MATCH($M385,Listas!$F$5:$F$11,0)-1)</f>
        <v/>
      </c>
      <c r="O385" s="44"/>
      <c r="P385" s="39"/>
      <c r="Q385" s="44"/>
      <c r="R385" s="38"/>
      <c r="S385" s="38"/>
      <c r="T385" s="36" t="str">
        <f aca="false">IF($F385="","",IF(ISNUMBER(SEARCH("(externo)",$I385&amp;$J385&amp;$K385)),"Terceirizada","Interna"))</f>
        <v/>
      </c>
      <c r="U385" s="43" t="str">
        <f aca="false">IF($N385="","",IF($Q385="",$N385,$Q385))</f>
        <v/>
      </c>
      <c r="V385" s="36" t="str">
        <f aca="false">IF($F385="","",IF(OR($O385="",$N385=""),0,IF($O385&lt;=$N385,1,0)))</f>
        <v/>
      </c>
      <c r="W385" s="36" t="str">
        <f aca="false">IF($F385="","",IF(OR($O385="",$U385=""),0,IF($O385&lt;=$U385,1,0)))</f>
        <v/>
      </c>
      <c r="X385" s="37" t="str">
        <f aca="false">IF(OR($O385="",$N385=""),"",MAX(0,$O385-$N385))</f>
        <v/>
      </c>
      <c r="Y385" s="36" t="str">
        <f aca="false">IF($F385="","",IF(AND($Q385&lt;&gt;"",$N385&lt;&gt;"",$Q385&lt;&gt;$N385),1,0))</f>
        <v/>
      </c>
      <c r="Z385" s="36" t="str">
        <f aca="false">IF($F385="","",IF($P385="Cancelada",0,IF(OR($O385&lt;&gt;"",$P385="Concluída"),1,0)))</f>
        <v/>
      </c>
    </row>
    <row r="386" customFormat="false" ht="16.5" hidden="false" customHeight="true" outlineLevel="0" collapsed="false">
      <c r="A386" s="36" t="str">
        <f aca="false">IF($F386="","",COUNTA($F$5:$F386))</f>
        <v/>
      </c>
      <c r="B386" s="37" t="str">
        <f aca="true">IF($F386="","",IF($P386="Cancelada","Cancelada",IF(OR($O386&lt;&gt;"",$P386="Concluída"),IF(OR($N386="",$O386="",$O386&lt;=$N386),"Concluída","Concluída com atraso"),IF($N386="","Na carteira",IF($N386&lt;TODAY(),"VENCIDA",IF($P386="Em execução","Em execução",IF($N386=TODAY(),"Hoje","Programada")))))))</f>
        <v/>
      </c>
      <c r="C386" s="38"/>
      <c r="D386" s="38"/>
      <c r="E386" s="38"/>
      <c r="F386" s="38"/>
      <c r="G386" s="39"/>
      <c r="H386" s="39"/>
      <c r="I386" s="40"/>
      <c r="J386" s="40"/>
      <c r="K386" s="40"/>
      <c r="L386" s="41"/>
      <c r="M386" s="42"/>
      <c r="N386" s="43" t="str">
        <f aca="false">IF(OR($L386="",$M386=""),"",$L386+MATCH($M386,Listas!$F$5:$F$11,0)-1)</f>
        <v/>
      </c>
      <c r="O386" s="44"/>
      <c r="P386" s="39"/>
      <c r="Q386" s="44"/>
      <c r="R386" s="38"/>
      <c r="S386" s="38"/>
      <c r="T386" s="36" t="str">
        <f aca="false">IF($F386="","",IF(ISNUMBER(SEARCH("(externo)",$I386&amp;$J386&amp;$K386)),"Terceirizada","Interna"))</f>
        <v/>
      </c>
      <c r="U386" s="43" t="str">
        <f aca="false">IF($N386="","",IF($Q386="",$N386,$Q386))</f>
        <v/>
      </c>
      <c r="V386" s="36" t="str">
        <f aca="false">IF($F386="","",IF(OR($O386="",$N386=""),0,IF($O386&lt;=$N386,1,0)))</f>
        <v/>
      </c>
      <c r="W386" s="36" t="str">
        <f aca="false">IF($F386="","",IF(OR($O386="",$U386=""),0,IF($O386&lt;=$U386,1,0)))</f>
        <v/>
      </c>
      <c r="X386" s="37" t="str">
        <f aca="false">IF(OR($O386="",$N386=""),"",MAX(0,$O386-$N386))</f>
        <v/>
      </c>
      <c r="Y386" s="36" t="str">
        <f aca="false">IF($F386="","",IF(AND($Q386&lt;&gt;"",$N386&lt;&gt;"",$Q386&lt;&gt;$N386),1,0))</f>
        <v/>
      </c>
      <c r="Z386" s="36" t="str">
        <f aca="false">IF($F386="","",IF($P386="Cancelada",0,IF(OR($O386&lt;&gt;"",$P386="Concluída"),1,0)))</f>
        <v/>
      </c>
    </row>
    <row r="387" customFormat="false" ht="16.5" hidden="false" customHeight="true" outlineLevel="0" collapsed="false">
      <c r="A387" s="36" t="str">
        <f aca="false">IF($F387="","",COUNTA($F$5:$F387))</f>
        <v/>
      </c>
      <c r="B387" s="37" t="str">
        <f aca="true">IF($F387="","",IF($P387="Cancelada","Cancelada",IF(OR($O387&lt;&gt;"",$P387="Concluída"),IF(OR($N387="",$O387="",$O387&lt;=$N387),"Concluída","Concluída com atraso"),IF($N387="","Na carteira",IF($N387&lt;TODAY(),"VENCIDA",IF($P387="Em execução","Em execução",IF($N387=TODAY(),"Hoje","Programada")))))))</f>
        <v/>
      </c>
      <c r="C387" s="38"/>
      <c r="D387" s="38"/>
      <c r="E387" s="38"/>
      <c r="F387" s="38"/>
      <c r="G387" s="39"/>
      <c r="H387" s="39"/>
      <c r="I387" s="40"/>
      <c r="J387" s="40"/>
      <c r="K387" s="40"/>
      <c r="L387" s="41"/>
      <c r="M387" s="42"/>
      <c r="N387" s="43" t="str">
        <f aca="false">IF(OR($L387="",$M387=""),"",$L387+MATCH($M387,Listas!$F$5:$F$11,0)-1)</f>
        <v/>
      </c>
      <c r="O387" s="44"/>
      <c r="P387" s="39"/>
      <c r="Q387" s="44"/>
      <c r="R387" s="38"/>
      <c r="S387" s="38"/>
      <c r="T387" s="36" t="str">
        <f aca="false">IF($F387="","",IF(ISNUMBER(SEARCH("(externo)",$I387&amp;$J387&amp;$K387)),"Terceirizada","Interna"))</f>
        <v/>
      </c>
      <c r="U387" s="43" t="str">
        <f aca="false">IF($N387="","",IF($Q387="",$N387,$Q387))</f>
        <v/>
      </c>
      <c r="V387" s="36" t="str">
        <f aca="false">IF($F387="","",IF(OR($O387="",$N387=""),0,IF($O387&lt;=$N387,1,0)))</f>
        <v/>
      </c>
      <c r="W387" s="36" t="str">
        <f aca="false">IF($F387="","",IF(OR($O387="",$U387=""),0,IF($O387&lt;=$U387,1,0)))</f>
        <v/>
      </c>
      <c r="X387" s="37" t="str">
        <f aca="false">IF(OR($O387="",$N387=""),"",MAX(0,$O387-$N387))</f>
        <v/>
      </c>
      <c r="Y387" s="36" t="str">
        <f aca="false">IF($F387="","",IF(AND($Q387&lt;&gt;"",$N387&lt;&gt;"",$Q387&lt;&gt;$N387),1,0))</f>
        <v/>
      </c>
      <c r="Z387" s="36" t="str">
        <f aca="false">IF($F387="","",IF($P387="Cancelada",0,IF(OR($O387&lt;&gt;"",$P387="Concluída"),1,0)))</f>
        <v/>
      </c>
    </row>
    <row r="388" customFormat="false" ht="16.5" hidden="false" customHeight="true" outlineLevel="0" collapsed="false">
      <c r="A388" s="36" t="str">
        <f aca="false">IF($F388="","",COUNTA($F$5:$F388))</f>
        <v/>
      </c>
      <c r="B388" s="37" t="str">
        <f aca="true">IF($F388="","",IF($P388="Cancelada","Cancelada",IF(OR($O388&lt;&gt;"",$P388="Concluída"),IF(OR($N388="",$O388="",$O388&lt;=$N388),"Concluída","Concluída com atraso"),IF($N388="","Na carteira",IF($N388&lt;TODAY(),"VENCIDA",IF($P388="Em execução","Em execução",IF($N388=TODAY(),"Hoje","Programada")))))))</f>
        <v/>
      </c>
      <c r="C388" s="38"/>
      <c r="D388" s="38"/>
      <c r="E388" s="38"/>
      <c r="F388" s="38"/>
      <c r="G388" s="39"/>
      <c r="H388" s="39"/>
      <c r="I388" s="40"/>
      <c r="J388" s="40"/>
      <c r="K388" s="40"/>
      <c r="L388" s="41"/>
      <c r="M388" s="42"/>
      <c r="N388" s="43" t="str">
        <f aca="false">IF(OR($L388="",$M388=""),"",$L388+MATCH($M388,Listas!$F$5:$F$11,0)-1)</f>
        <v/>
      </c>
      <c r="O388" s="44"/>
      <c r="P388" s="39"/>
      <c r="Q388" s="44"/>
      <c r="R388" s="38"/>
      <c r="S388" s="38"/>
      <c r="T388" s="36" t="str">
        <f aca="false">IF($F388="","",IF(ISNUMBER(SEARCH("(externo)",$I388&amp;$J388&amp;$K388)),"Terceirizada","Interna"))</f>
        <v/>
      </c>
      <c r="U388" s="43" t="str">
        <f aca="false">IF($N388="","",IF($Q388="",$N388,$Q388))</f>
        <v/>
      </c>
      <c r="V388" s="36" t="str">
        <f aca="false">IF($F388="","",IF(OR($O388="",$N388=""),0,IF($O388&lt;=$N388,1,0)))</f>
        <v/>
      </c>
      <c r="W388" s="36" t="str">
        <f aca="false">IF($F388="","",IF(OR($O388="",$U388=""),0,IF($O388&lt;=$U388,1,0)))</f>
        <v/>
      </c>
      <c r="X388" s="37" t="str">
        <f aca="false">IF(OR($O388="",$N388=""),"",MAX(0,$O388-$N388))</f>
        <v/>
      </c>
      <c r="Y388" s="36" t="str">
        <f aca="false">IF($F388="","",IF(AND($Q388&lt;&gt;"",$N388&lt;&gt;"",$Q388&lt;&gt;$N388),1,0))</f>
        <v/>
      </c>
      <c r="Z388" s="36" t="str">
        <f aca="false">IF($F388="","",IF($P388="Cancelada",0,IF(OR($O388&lt;&gt;"",$P388="Concluída"),1,0)))</f>
        <v/>
      </c>
    </row>
    <row r="389" customFormat="false" ht="16.5" hidden="false" customHeight="true" outlineLevel="0" collapsed="false">
      <c r="A389" s="36" t="str">
        <f aca="false">IF($F389="","",COUNTA($F$5:$F389))</f>
        <v/>
      </c>
      <c r="B389" s="37" t="str">
        <f aca="true">IF($F389="","",IF($P389="Cancelada","Cancelada",IF(OR($O389&lt;&gt;"",$P389="Concluída"),IF(OR($N389="",$O389="",$O389&lt;=$N389),"Concluída","Concluída com atraso"),IF($N389="","Na carteira",IF($N389&lt;TODAY(),"VENCIDA",IF($P389="Em execução","Em execução",IF($N389=TODAY(),"Hoje","Programada")))))))</f>
        <v/>
      </c>
      <c r="C389" s="38"/>
      <c r="D389" s="38"/>
      <c r="E389" s="38"/>
      <c r="F389" s="38"/>
      <c r="G389" s="39"/>
      <c r="H389" s="39"/>
      <c r="I389" s="40"/>
      <c r="J389" s="40"/>
      <c r="K389" s="40"/>
      <c r="L389" s="41"/>
      <c r="M389" s="42"/>
      <c r="N389" s="43" t="str">
        <f aca="false">IF(OR($L389="",$M389=""),"",$L389+MATCH($M389,Listas!$F$5:$F$11,0)-1)</f>
        <v/>
      </c>
      <c r="O389" s="44"/>
      <c r="P389" s="39"/>
      <c r="Q389" s="44"/>
      <c r="R389" s="38"/>
      <c r="S389" s="38"/>
      <c r="T389" s="36" t="str">
        <f aca="false">IF($F389="","",IF(ISNUMBER(SEARCH("(externo)",$I389&amp;$J389&amp;$K389)),"Terceirizada","Interna"))</f>
        <v/>
      </c>
      <c r="U389" s="43" t="str">
        <f aca="false">IF($N389="","",IF($Q389="",$N389,$Q389))</f>
        <v/>
      </c>
      <c r="V389" s="36" t="str">
        <f aca="false">IF($F389="","",IF(OR($O389="",$N389=""),0,IF($O389&lt;=$N389,1,0)))</f>
        <v/>
      </c>
      <c r="W389" s="36" t="str">
        <f aca="false">IF($F389="","",IF(OR($O389="",$U389=""),0,IF($O389&lt;=$U389,1,0)))</f>
        <v/>
      </c>
      <c r="X389" s="37" t="str">
        <f aca="false">IF(OR($O389="",$N389=""),"",MAX(0,$O389-$N389))</f>
        <v/>
      </c>
      <c r="Y389" s="36" t="str">
        <f aca="false">IF($F389="","",IF(AND($Q389&lt;&gt;"",$N389&lt;&gt;"",$Q389&lt;&gt;$N389),1,0))</f>
        <v/>
      </c>
      <c r="Z389" s="36" t="str">
        <f aca="false">IF($F389="","",IF($P389="Cancelada",0,IF(OR($O389&lt;&gt;"",$P389="Concluída"),1,0)))</f>
        <v/>
      </c>
    </row>
    <row r="390" customFormat="false" ht="16.5" hidden="false" customHeight="true" outlineLevel="0" collapsed="false">
      <c r="A390" s="36" t="str">
        <f aca="false">IF($F390="","",COUNTA($F$5:$F390))</f>
        <v/>
      </c>
      <c r="B390" s="37" t="str">
        <f aca="true">IF($F390="","",IF($P390="Cancelada","Cancelada",IF(OR($O390&lt;&gt;"",$P390="Concluída"),IF(OR($N390="",$O390="",$O390&lt;=$N390),"Concluída","Concluída com atraso"),IF($N390="","Na carteira",IF($N390&lt;TODAY(),"VENCIDA",IF($P390="Em execução","Em execução",IF($N390=TODAY(),"Hoje","Programada")))))))</f>
        <v/>
      </c>
      <c r="C390" s="38"/>
      <c r="D390" s="38"/>
      <c r="E390" s="38"/>
      <c r="F390" s="38"/>
      <c r="G390" s="39"/>
      <c r="H390" s="39"/>
      <c r="I390" s="40"/>
      <c r="J390" s="40"/>
      <c r="K390" s="40"/>
      <c r="L390" s="41"/>
      <c r="M390" s="42"/>
      <c r="N390" s="43" t="str">
        <f aca="false">IF(OR($L390="",$M390=""),"",$L390+MATCH($M390,Listas!$F$5:$F$11,0)-1)</f>
        <v/>
      </c>
      <c r="O390" s="44"/>
      <c r="P390" s="39"/>
      <c r="Q390" s="44"/>
      <c r="R390" s="38"/>
      <c r="S390" s="38"/>
      <c r="T390" s="36" t="str">
        <f aca="false">IF($F390="","",IF(ISNUMBER(SEARCH("(externo)",$I390&amp;$J390&amp;$K390)),"Terceirizada","Interna"))</f>
        <v/>
      </c>
      <c r="U390" s="43" t="str">
        <f aca="false">IF($N390="","",IF($Q390="",$N390,$Q390))</f>
        <v/>
      </c>
      <c r="V390" s="36" t="str">
        <f aca="false">IF($F390="","",IF(OR($O390="",$N390=""),0,IF($O390&lt;=$N390,1,0)))</f>
        <v/>
      </c>
      <c r="W390" s="36" t="str">
        <f aca="false">IF($F390="","",IF(OR($O390="",$U390=""),0,IF($O390&lt;=$U390,1,0)))</f>
        <v/>
      </c>
      <c r="X390" s="37" t="str">
        <f aca="false">IF(OR($O390="",$N390=""),"",MAX(0,$O390-$N390))</f>
        <v/>
      </c>
      <c r="Y390" s="36" t="str">
        <f aca="false">IF($F390="","",IF(AND($Q390&lt;&gt;"",$N390&lt;&gt;"",$Q390&lt;&gt;$N390),1,0))</f>
        <v/>
      </c>
      <c r="Z390" s="36" t="str">
        <f aca="false">IF($F390="","",IF($P390="Cancelada",0,IF(OR($O390&lt;&gt;"",$P390="Concluída"),1,0)))</f>
        <v/>
      </c>
    </row>
    <row r="391" customFormat="false" ht="16.5" hidden="false" customHeight="true" outlineLevel="0" collapsed="false">
      <c r="A391" s="36" t="str">
        <f aca="false">IF($F391="","",COUNTA($F$5:$F391))</f>
        <v/>
      </c>
      <c r="B391" s="37" t="str">
        <f aca="true">IF($F391="","",IF($P391="Cancelada","Cancelada",IF(OR($O391&lt;&gt;"",$P391="Concluída"),IF(OR($N391="",$O391="",$O391&lt;=$N391),"Concluída","Concluída com atraso"),IF($N391="","Na carteira",IF($N391&lt;TODAY(),"VENCIDA",IF($P391="Em execução","Em execução",IF($N391=TODAY(),"Hoje","Programada")))))))</f>
        <v/>
      </c>
      <c r="C391" s="38"/>
      <c r="D391" s="38"/>
      <c r="E391" s="38"/>
      <c r="F391" s="38"/>
      <c r="G391" s="39"/>
      <c r="H391" s="39"/>
      <c r="I391" s="40"/>
      <c r="J391" s="40"/>
      <c r="K391" s="40"/>
      <c r="L391" s="41"/>
      <c r="M391" s="42"/>
      <c r="N391" s="43" t="str">
        <f aca="false">IF(OR($L391="",$M391=""),"",$L391+MATCH($M391,Listas!$F$5:$F$11,0)-1)</f>
        <v/>
      </c>
      <c r="O391" s="44"/>
      <c r="P391" s="39"/>
      <c r="Q391" s="44"/>
      <c r="R391" s="38"/>
      <c r="S391" s="38"/>
      <c r="T391" s="36" t="str">
        <f aca="false">IF($F391="","",IF(ISNUMBER(SEARCH("(externo)",$I391&amp;$J391&amp;$K391)),"Terceirizada","Interna"))</f>
        <v/>
      </c>
      <c r="U391" s="43" t="str">
        <f aca="false">IF($N391="","",IF($Q391="",$N391,$Q391))</f>
        <v/>
      </c>
      <c r="V391" s="36" t="str">
        <f aca="false">IF($F391="","",IF(OR($O391="",$N391=""),0,IF($O391&lt;=$N391,1,0)))</f>
        <v/>
      </c>
      <c r="W391" s="36" t="str">
        <f aca="false">IF($F391="","",IF(OR($O391="",$U391=""),0,IF($O391&lt;=$U391,1,0)))</f>
        <v/>
      </c>
      <c r="X391" s="37" t="str">
        <f aca="false">IF(OR($O391="",$N391=""),"",MAX(0,$O391-$N391))</f>
        <v/>
      </c>
      <c r="Y391" s="36" t="str">
        <f aca="false">IF($F391="","",IF(AND($Q391&lt;&gt;"",$N391&lt;&gt;"",$Q391&lt;&gt;$N391),1,0))</f>
        <v/>
      </c>
      <c r="Z391" s="36" t="str">
        <f aca="false">IF($F391="","",IF($P391="Cancelada",0,IF(OR($O391&lt;&gt;"",$P391="Concluída"),1,0)))</f>
        <v/>
      </c>
    </row>
    <row r="392" customFormat="false" ht="16.5" hidden="false" customHeight="true" outlineLevel="0" collapsed="false">
      <c r="A392" s="36" t="str">
        <f aca="false">IF($F392="","",COUNTA($F$5:$F392))</f>
        <v/>
      </c>
      <c r="B392" s="37" t="str">
        <f aca="true">IF($F392="","",IF($P392="Cancelada","Cancelada",IF(OR($O392&lt;&gt;"",$P392="Concluída"),IF(OR($N392="",$O392="",$O392&lt;=$N392),"Concluída","Concluída com atraso"),IF($N392="","Na carteira",IF($N392&lt;TODAY(),"VENCIDA",IF($P392="Em execução","Em execução",IF($N392=TODAY(),"Hoje","Programada")))))))</f>
        <v/>
      </c>
      <c r="C392" s="38"/>
      <c r="D392" s="38"/>
      <c r="E392" s="38"/>
      <c r="F392" s="38"/>
      <c r="G392" s="39"/>
      <c r="H392" s="39"/>
      <c r="I392" s="40"/>
      <c r="J392" s="40"/>
      <c r="K392" s="40"/>
      <c r="L392" s="41"/>
      <c r="M392" s="42"/>
      <c r="N392" s="43" t="str">
        <f aca="false">IF(OR($L392="",$M392=""),"",$L392+MATCH($M392,Listas!$F$5:$F$11,0)-1)</f>
        <v/>
      </c>
      <c r="O392" s="44"/>
      <c r="P392" s="39"/>
      <c r="Q392" s="44"/>
      <c r="R392" s="38"/>
      <c r="S392" s="38"/>
      <c r="T392" s="36" t="str">
        <f aca="false">IF($F392="","",IF(ISNUMBER(SEARCH("(externo)",$I392&amp;$J392&amp;$K392)),"Terceirizada","Interna"))</f>
        <v/>
      </c>
      <c r="U392" s="43" t="str">
        <f aca="false">IF($N392="","",IF($Q392="",$N392,$Q392))</f>
        <v/>
      </c>
      <c r="V392" s="36" t="str">
        <f aca="false">IF($F392="","",IF(OR($O392="",$N392=""),0,IF($O392&lt;=$N392,1,0)))</f>
        <v/>
      </c>
      <c r="W392" s="36" t="str">
        <f aca="false">IF($F392="","",IF(OR($O392="",$U392=""),0,IF($O392&lt;=$U392,1,0)))</f>
        <v/>
      </c>
      <c r="X392" s="37" t="str">
        <f aca="false">IF(OR($O392="",$N392=""),"",MAX(0,$O392-$N392))</f>
        <v/>
      </c>
      <c r="Y392" s="36" t="str">
        <f aca="false">IF($F392="","",IF(AND($Q392&lt;&gt;"",$N392&lt;&gt;"",$Q392&lt;&gt;$N392),1,0))</f>
        <v/>
      </c>
      <c r="Z392" s="36" t="str">
        <f aca="false">IF($F392="","",IF($P392="Cancelada",0,IF(OR($O392&lt;&gt;"",$P392="Concluída"),1,0)))</f>
        <v/>
      </c>
    </row>
    <row r="393" customFormat="false" ht="16.5" hidden="false" customHeight="true" outlineLevel="0" collapsed="false">
      <c r="A393" s="36" t="str">
        <f aca="false">IF($F393="","",COUNTA($F$5:$F393))</f>
        <v/>
      </c>
      <c r="B393" s="37" t="str">
        <f aca="true">IF($F393="","",IF($P393="Cancelada","Cancelada",IF(OR($O393&lt;&gt;"",$P393="Concluída"),IF(OR($N393="",$O393="",$O393&lt;=$N393),"Concluída","Concluída com atraso"),IF($N393="","Na carteira",IF($N393&lt;TODAY(),"VENCIDA",IF($P393="Em execução","Em execução",IF($N393=TODAY(),"Hoje","Programada")))))))</f>
        <v/>
      </c>
      <c r="C393" s="38"/>
      <c r="D393" s="38"/>
      <c r="E393" s="38"/>
      <c r="F393" s="38"/>
      <c r="G393" s="39"/>
      <c r="H393" s="39"/>
      <c r="I393" s="40"/>
      <c r="J393" s="40"/>
      <c r="K393" s="40"/>
      <c r="L393" s="41"/>
      <c r="M393" s="42"/>
      <c r="N393" s="43" t="str">
        <f aca="false">IF(OR($L393="",$M393=""),"",$L393+MATCH($M393,Listas!$F$5:$F$11,0)-1)</f>
        <v/>
      </c>
      <c r="O393" s="44"/>
      <c r="P393" s="39"/>
      <c r="Q393" s="44"/>
      <c r="R393" s="38"/>
      <c r="S393" s="38"/>
      <c r="T393" s="36" t="str">
        <f aca="false">IF($F393="","",IF(ISNUMBER(SEARCH("(externo)",$I393&amp;$J393&amp;$K393)),"Terceirizada","Interna"))</f>
        <v/>
      </c>
      <c r="U393" s="43" t="str">
        <f aca="false">IF($N393="","",IF($Q393="",$N393,$Q393))</f>
        <v/>
      </c>
      <c r="V393" s="36" t="str">
        <f aca="false">IF($F393="","",IF(OR($O393="",$N393=""),0,IF($O393&lt;=$N393,1,0)))</f>
        <v/>
      </c>
      <c r="W393" s="36" t="str">
        <f aca="false">IF($F393="","",IF(OR($O393="",$U393=""),0,IF($O393&lt;=$U393,1,0)))</f>
        <v/>
      </c>
      <c r="X393" s="37" t="str">
        <f aca="false">IF(OR($O393="",$N393=""),"",MAX(0,$O393-$N393))</f>
        <v/>
      </c>
      <c r="Y393" s="36" t="str">
        <f aca="false">IF($F393="","",IF(AND($Q393&lt;&gt;"",$N393&lt;&gt;"",$Q393&lt;&gt;$N393),1,0))</f>
        <v/>
      </c>
      <c r="Z393" s="36" t="str">
        <f aca="false">IF($F393="","",IF($P393="Cancelada",0,IF(OR($O393&lt;&gt;"",$P393="Concluída"),1,0)))</f>
        <v/>
      </c>
    </row>
    <row r="394" customFormat="false" ht="16.5" hidden="false" customHeight="true" outlineLevel="0" collapsed="false">
      <c r="A394" s="36" t="str">
        <f aca="false">IF($F394="","",COUNTA($F$5:$F394))</f>
        <v/>
      </c>
      <c r="B394" s="37" t="str">
        <f aca="true">IF($F394="","",IF($P394="Cancelada","Cancelada",IF(OR($O394&lt;&gt;"",$P394="Concluída"),IF(OR($N394="",$O394="",$O394&lt;=$N394),"Concluída","Concluída com atraso"),IF($N394="","Na carteira",IF($N394&lt;TODAY(),"VENCIDA",IF($P394="Em execução","Em execução",IF($N394=TODAY(),"Hoje","Programada")))))))</f>
        <v/>
      </c>
      <c r="C394" s="38"/>
      <c r="D394" s="38"/>
      <c r="E394" s="38"/>
      <c r="F394" s="38"/>
      <c r="G394" s="39"/>
      <c r="H394" s="39"/>
      <c r="I394" s="40"/>
      <c r="J394" s="40"/>
      <c r="K394" s="40"/>
      <c r="L394" s="41"/>
      <c r="M394" s="42"/>
      <c r="N394" s="43" t="str">
        <f aca="false">IF(OR($L394="",$M394=""),"",$L394+MATCH($M394,Listas!$F$5:$F$11,0)-1)</f>
        <v/>
      </c>
      <c r="O394" s="44"/>
      <c r="P394" s="39"/>
      <c r="Q394" s="44"/>
      <c r="R394" s="38"/>
      <c r="S394" s="38"/>
      <c r="T394" s="36" t="str">
        <f aca="false">IF($F394="","",IF(ISNUMBER(SEARCH("(externo)",$I394&amp;$J394&amp;$K394)),"Terceirizada","Interna"))</f>
        <v/>
      </c>
      <c r="U394" s="43" t="str">
        <f aca="false">IF($N394="","",IF($Q394="",$N394,$Q394))</f>
        <v/>
      </c>
      <c r="V394" s="36" t="str">
        <f aca="false">IF($F394="","",IF(OR($O394="",$N394=""),0,IF($O394&lt;=$N394,1,0)))</f>
        <v/>
      </c>
      <c r="W394" s="36" t="str">
        <f aca="false">IF($F394="","",IF(OR($O394="",$U394=""),0,IF($O394&lt;=$U394,1,0)))</f>
        <v/>
      </c>
      <c r="X394" s="37" t="str">
        <f aca="false">IF(OR($O394="",$N394=""),"",MAX(0,$O394-$N394))</f>
        <v/>
      </c>
      <c r="Y394" s="36" t="str">
        <f aca="false">IF($F394="","",IF(AND($Q394&lt;&gt;"",$N394&lt;&gt;"",$Q394&lt;&gt;$N394),1,0))</f>
        <v/>
      </c>
      <c r="Z394" s="36" t="str">
        <f aca="false">IF($F394="","",IF($P394="Cancelada",0,IF(OR($O394&lt;&gt;"",$P394="Concluída"),1,0)))</f>
        <v/>
      </c>
    </row>
    <row r="395" customFormat="false" ht="16.5" hidden="false" customHeight="true" outlineLevel="0" collapsed="false">
      <c r="A395" s="36" t="str">
        <f aca="false">IF($F395="","",COUNTA($F$5:$F395))</f>
        <v/>
      </c>
      <c r="B395" s="37" t="str">
        <f aca="true">IF($F395="","",IF($P395="Cancelada","Cancelada",IF(OR($O395&lt;&gt;"",$P395="Concluída"),IF(OR($N395="",$O395="",$O395&lt;=$N395),"Concluída","Concluída com atraso"),IF($N395="","Na carteira",IF($N395&lt;TODAY(),"VENCIDA",IF($P395="Em execução","Em execução",IF($N395=TODAY(),"Hoje","Programada")))))))</f>
        <v/>
      </c>
      <c r="C395" s="38"/>
      <c r="D395" s="38"/>
      <c r="E395" s="38"/>
      <c r="F395" s="38"/>
      <c r="G395" s="39"/>
      <c r="H395" s="39"/>
      <c r="I395" s="40"/>
      <c r="J395" s="40"/>
      <c r="K395" s="40"/>
      <c r="L395" s="41"/>
      <c r="M395" s="42"/>
      <c r="N395" s="43" t="str">
        <f aca="false">IF(OR($L395="",$M395=""),"",$L395+MATCH($M395,Listas!$F$5:$F$11,0)-1)</f>
        <v/>
      </c>
      <c r="O395" s="44"/>
      <c r="P395" s="39"/>
      <c r="Q395" s="44"/>
      <c r="R395" s="38"/>
      <c r="S395" s="38"/>
      <c r="T395" s="36" t="str">
        <f aca="false">IF($F395="","",IF(ISNUMBER(SEARCH("(externo)",$I395&amp;$J395&amp;$K395)),"Terceirizada","Interna"))</f>
        <v/>
      </c>
      <c r="U395" s="43" t="str">
        <f aca="false">IF($N395="","",IF($Q395="",$N395,$Q395))</f>
        <v/>
      </c>
      <c r="V395" s="36" t="str">
        <f aca="false">IF($F395="","",IF(OR($O395="",$N395=""),0,IF($O395&lt;=$N395,1,0)))</f>
        <v/>
      </c>
      <c r="W395" s="36" t="str">
        <f aca="false">IF($F395="","",IF(OR($O395="",$U395=""),0,IF($O395&lt;=$U395,1,0)))</f>
        <v/>
      </c>
      <c r="X395" s="37" t="str">
        <f aca="false">IF(OR($O395="",$N395=""),"",MAX(0,$O395-$N395))</f>
        <v/>
      </c>
      <c r="Y395" s="36" t="str">
        <f aca="false">IF($F395="","",IF(AND($Q395&lt;&gt;"",$N395&lt;&gt;"",$Q395&lt;&gt;$N395),1,0))</f>
        <v/>
      </c>
      <c r="Z395" s="36" t="str">
        <f aca="false">IF($F395="","",IF($P395="Cancelada",0,IF(OR($O395&lt;&gt;"",$P395="Concluída"),1,0)))</f>
        <v/>
      </c>
    </row>
    <row r="396" customFormat="false" ht="16.5" hidden="false" customHeight="true" outlineLevel="0" collapsed="false">
      <c r="A396" s="36" t="str">
        <f aca="false">IF($F396="","",COUNTA($F$5:$F396))</f>
        <v/>
      </c>
      <c r="B396" s="37" t="str">
        <f aca="true">IF($F396="","",IF($P396="Cancelada","Cancelada",IF(OR($O396&lt;&gt;"",$P396="Concluída"),IF(OR($N396="",$O396="",$O396&lt;=$N396),"Concluída","Concluída com atraso"),IF($N396="","Na carteira",IF($N396&lt;TODAY(),"VENCIDA",IF($P396="Em execução","Em execução",IF($N396=TODAY(),"Hoje","Programada")))))))</f>
        <v/>
      </c>
      <c r="C396" s="38"/>
      <c r="D396" s="38"/>
      <c r="E396" s="38"/>
      <c r="F396" s="38"/>
      <c r="G396" s="39"/>
      <c r="H396" s="39"/>
      <c r="I396" s="40"/>
      <c r="J396" s="40"/>
      <c r="K396" s="40"/>
      <c r="L396" s="41"/>
      <c r="M396" s="42"/>
      <c r="N396" s="43" t="str">
        <f aca="false">IF(OR($L396="",$M396=""),"",$L396+MATCH($M396,Listas!$F$5:$F$11,0)-1)</f>
        <v/>
      </c>
      <c r="O396" s="44"/>
      <c r="P396" s="39"/>
      <c r="Q396" s="44"/>
      <c r="R396" s="38"/>
      <c r="S396" s="38"/>
      <c r="T396" s="36" t="str">
        <f aca="false">IF($F396="","",IF(ISNUMBER(SEARCH("(externo)",$I396&amp;$J396&amp;$K396)),"Terceirizada","Interna"))</f>
        <v/>
      </c>
      <c r="U396" s="43" t="str">
        <f aca="false">IF($N396="","",IF($Q396="",$N396,$Q396))</f>
        <v/>
      </c>
      <c r="V396" s="36" t="str">
        <f aca="false">IF($F396="","",IF(OR($O396="",$N396=""),0,IF($O396&lt;=$N396,1,0)))</f>
        <v/>
      </c>
      <c r="W396" s="36" t="str">
        <f aca="false">IF($F396="","",IF(OR($O396="",$U396=""),0,IF($O396&lt;=$U396,1,0)))</f>
        <v/>
      </c>
      <c r="X396" s="37" t="str">
        <f aca="false">IF(OR($O396="",$N396=""),"",MAX(0,$O396-$N396))</f>
        <v/>
      </c>
      <c r="Y396" s="36" t="str">
        <f aca="false">IF($F396="","",IF(AND($Q396&lt;&gt;"",$N396&lt;&gt;"",$Q396&lt;&gt;$N396),1,0))</f>
        <v/>
      </c>
      <c r="Z396" s="36" t="str">
        <f aca="false">IF($F396="","",IF($P396="Cancelada",0,IF(OR($O396&lt;&gt;"",$P396="Concluída"),1,0)))</f>
        <v/>
      </c>
    </row>
    <row r="397" customFormat="false" ht="16.5" hidden="false" customHeight="true" outlineLevel="0" collapsed="false">
      <c r="A397" s="36" t="str">
        <f aca="false">IF($F397="","",COUNTA($F$5:$F397))</f>
        <v/>
      </c>
      <c r="B397" s="37" t="str">
        <f aca="true">IF($F397="","",IF($P397="Cancelada","Cancelada",IF(OR($O397&lt;&gt;"",$P397="Concluída"),IF(OR($N397="",$O397="",$O397&lt;=$N397),"Concluída","Concluída com atraso"),IF($N397="","Na carteira",IF($N397&lt;TODAY(),"VENCIDA",IF($P397="Em execução","Em execução",IF($N397=TODAY(),"Hoje","Programada")))))))</f>
        <v/>
      </c>
      <c r="C397" s="38"/>
      <c r="D397" s="38"/>
      <c r="E397" s="38"/>
      <c r="F397" s="38"/>
      <c r="G397" s="39"/>
      <c r="H397" s="39"/>
      <c r="I397" s="40"/>
      <c r="J397" s="40"/>
      <c r="K397" s="40"/>
      <c r="L397" s="41"/>
      <c r="M397" s="42"/>
      <c r="N397" s="43" t="str">
        <f aca="false">IF(OR($L397="",$M397=""),"",$L397+MATCH($M397,Listas!$F$5:$F$11,0)-1)</f>
        <v/>
      </c>
      <c r="O397" s="44"/>
      <c r="P397" s="39"/>
      <c r="Q397" s="44"/>
      <c r="R397" s="38"/>
      <c r="S397" s="38"/>
      <c r="T397" s="36" t="str">
        <f aca="false">IF($F397="","",IF(ISNUMBER(SEARCH("(externo)",$I397&amp;$J397&amp;$K397)),"Terceirizada","Interna"))</f>
        <v/>
      </c>
      <c r="U397" s="43" t="str">
        <f aca="false">IF($N397="","",IF($Q397="",$N397,$Q397))</f>
        <v/>
      </c>
      <c r="V397" s="36" t="str">
        <f aca="false">IF($F397="","",IF(OR($O397="",$N397=""),0,IF($O397&lt;=$N397,1,0)))</f>
        <v/>
      </c>
      <c r="W397" s="36" t="str">
        <f aca="false">IF($F397="","",IF(OR($O397="",$U397=""),0,IF($O397&lt;=$U397,1,0)))</f>
        <v/>
      </c>
      <c r="X397" s="37" t="str">
        <f aca="false">IF(OR($O397="",$N397=""),"",MAX(0,$O397-$N397))</f>
        <v/>
      </c>
      <c r="Y397" s="36" t="str">
        <f aca="false">IF($F397="","",IF(AND($Q397&lt;&gt;"",$N397&lt;&gt;"",$Q397&lt;&gt;$N397),1,0))</f>
        <v/>
      </c>
      <c r="Z397" s="36" t="str">
        <f aca="false">IF($F397="","",IF($P397="Cancelada",0,IF(OR($O397&lt;&gt;"",$P397="Concluída"),1,0)))</f>
        <v/>
      </c>
    </row>
    <row r="398" customFormat="false" ht="16.5" hidden="false" customHeight="true" outlineLevel="0" collapsed="false">
      <c r="A398" s="36" t="str">
        <f aca="false">IF($F398="","",COUNTA($F$5:$F398))</f>
        <v/>
      </c>
      <c r="B398" s="37" t="str">
        <f aca="true">IF($F398="","",IF($P398="Cancelada","Cancelada",IF(OR($O398&lt;&gt;"",$P398="Concluída"),IF(OR($N398="",$O398="",$O398&lt;=$N398),"Concluída","Concluída com atraso"),IF($N398="","Na carteira",IF($N398&lt;TODAY(),"VENCIDA",IF($P398="Em execução","Em execução",IF($N398=TODAY(),"Hoje","Programada")))))))</f>
        <v/>
      </c>
      <c r="C398" s="38"/>
      <c r="D398" s="38"/>
      <c r="E398" s="38"/>
      <c r="F398" s="38"/>
      <c r="G398" s="39"/>
      <c r="H398" s="39"/>
      <c r="I398" s="40"/>
      <c r="J398" s="40"/>
      <c r="K398" s="40"/>
      <c r="L398" s="41"/>
      <c r="M398" s="42"/>
      <c r="N398" s="43" t="str">
        <f aca="false">IF(OR($L398="",$M398=""),"",$L398+MATCH($M398,Listas!$F$5:$F$11,0)-1)</f>
        <v/>
      </c>
      <c r="O398" s="44"/>
      <c r="P398" s="39"/>
      <c r="Q398" s="44"/>
      <c r="R398" s="38"/>
      <c r="S398" s="38"/>
      <c r="T398" s="36" t="str">
        <f aca="false">IF($F398="","",IF(ISNUMBER(SEARCH("(externo)",$I398&amp;$J398&amp;$K398)),"Terceirizada","Interna"))</f>
        <v/>
      </c>
      <c r="U398" s="43" t="str">
        <f aca="false">IF($N398="","",IF($Q398="",$N398,$Q398))</f>
        <v/>
      </c>
      <c r="V398" s="36" t="str">
        <f aca="false">IF($F398="","",IF(OR($O398="",$N398=""),0,IF($O398&lt;=$N398,1,0)))</f>
        <v/>
      </c>
      <c r="W398" s="36" t="str">
        <f aca="false">IF($F398="","",IF(OR($O398="",$U398=""),0,IF($O398&lt;=$U398,1,0)))</f>
        <v/>
      </c>
      <c r="X398" s="37" t="str">
        <f aca="false">IF(OR($O398="",$N398=""),"",MAX(0,$O398-$N398))</f>
        <v/>
      </c>
      <c r="Y398" s="36" t="str">
        <f aca="false">IF($F398="","",IF(AND($Q398&lt;&gt;"",$N398&lt;&gt;"",$Q398&lt;&gt;$N398),1,0))</f>
        <v/>
      </c>
      <c r="Z398" s="36" t="str">
        <f aca="false">IF($F398="","",IF($P398="Cancelada",0,IF(OR($O398&lt;&gt;"",$P398="Concluída"),1,0)))</f>
        <v/>
      </c>
    </row>
    <row r="399" customFormat="false" ht="16.5" hidden="false" customHeight="true" outlineLevel="0" collapsed="false">
      <c r="A399" s="36" t="str">
        <f aca="false">IF($F399="","",COUNTA($F$5:$F399))</f>
        <v/>
      </c>
      <c r="B399" s="37" t="str">
        <f aca="true">IF($F399="","",IF($P399="Cancelada","Cancelada",IF(OR($O399&lt;&gt;"",$P399="Concluída"),IF(OR($N399="",$O399="",$O399&lt;=$N399),"Concluída","Concluída com atraso"),IF($N399="","Na carteira",IF($N399&lt;TODAY(),"VENCIDA",IF($P399="Em execução","Em execução",IF($N399=TODAY(),"Hoje","Programada")))))))</f>
        <v/>
      </c>
      <c r="C399" s="38"/>
      <c r="D399" s="38"/>
      <c r="E399" s="38"/>
      <c r="F399" s="38"/>
      <c r="G399" s="39"/>
      <c r="H399" s="39"/>
      <c r="I399" s="40"/>
      <c r="J399" s="40"/>
      <c r="K399" s="40"/>
      <c r="L399" s="41"/>
      <c r="M399" s="42"/>
      <c r="N399" s="43" t="str">
        <f aca="false">IF(OR($L399="",$M399=""),"",$L399+MATCH($M399,Listas!$F$5:$F$11,0)-1)</f>
        <v/>
      </c>
      <c r="O399" s="44"/>
      <c r="P399" s="39"/>
      <c r="Q399" s="44"/>
      <c r="R399" s="38"/>
      <c r="S399" s="38"/>
      <c r="T399" s="36" t="str">
        <f aca="false">IF($F399="","",IF(ISNUMBER(SEARCH("(externo)",$I399&amp;$J399&amp;$K399)),"Terceirizada","Interna"))</f>
        <v/>
      </c>
      <c r="U399" s="43" t="str">
        <f aca="false">IF($N399="","",IF($Q399="",$N399,$Q399))</f>
        <v/>
      </c>
      <c r="V399" s="36" t="str">
        <f aca="false">IF($F399="","",IF(OR($O399="",$N399=""),0,IF($O399&lt;=$N399,1,0)))</f>
        <v/>
      </c>
      <c r="W399" s="36" t="str">
        <f aca="false">IF($F399="","",IF(OR($O399="",$U399=""),0,IF($O399&lt;=$U399,1,0)))</f>
        <v/>
      </c>
      <c r="X399" s="37" t="str">
        <f aca="false">IF(OR($O399="",$N399=""),"",MAX(0,$O399-$N399))</f>
        <v/>
      </c>
      <c r="Y399" s="36" t="str">
        <f aca="false">IF($F399="","",IF(AND($Q399&lt;&gt;"",$N399&lt;&gt;"",$Q399&lt;&gt;$N399),1,0))</f>
        <v/>
      </c>
      <c r="Z399" s="36" t="str">
        <f aca="false">IF($F399="","",IF($P399="Cancelada",0,IF(OR($O399&lt;&gt;"",$P399="Concluída"),1,0)))</f>
        <v/>
      </c>
    </row>
    <row r="400" customFormat="false" ht="16.5" hidden="false" customHeight="true" outlineLevel="0" collapsed="false">
      <c r="A400" s="36" t="str">
        <f aca="false">IF($F400="","",COUNTA($F$5:$F400))</f>
        <v/>
      </c>
      <c r="B400" s="37" t="str">
        <f aca="true">IF($F400="","",IF($P400="Cancelada","Cancelada",IF(OR($O400&lt;&gt;"",$P400="Concluída"),IF(OR($N400="",$O400="",$O400&lt;=$N400),"Concluída","Concluída com atraso"),IF($N400="","Na carteira",IF($N400&lt;TODAY(),"VENCIDA",IF($P400="Em execução","Em execução",IF($N400=TODAY(),"Hoje","Programada")))))))</f>
        <v/>
      </c>
      <c r="C400" s="38"/>
      <c r="D400" s="38"/>
      <c r="E400" s="38"/>
      <c r="F400" s="38"/>
      <c r="G400" s="39"/>
      <c r="H400" s="39"/>
      <c r="I400" s="40"/>
      <c r="J400" s="40"/>
      <c r="K400" s="40"/>
      <c r="L400" s="41"/>
      <c r="M400" s="42"/>
      <c r="N400" s="43" t="str">
        <f aca="false">IF(OR($L400="",$M400=""),"",$L400+MATCH($M400,Listas!$F$5:$F$11,0)-1)</f>
        <v/>
      </c>
      <c r="O400" s="44"/>
      <c r="P400" s="39"/>
      <c r="Q400" s="44"/>
      <c r="R400" s="38"/>
      <c r="S400" s="38"/>
      <c r="T400" s="36" t="str">
        <f aca="false">IF($F400="","",IF(ISNUMBER(SEARCH("(externo)",$I400&amp;$J400&amp;$K400)),"Terceirizada","Interna"))</f>
        <v/>
      </c>
      <c r="U400" s="43" t="str">
        <f aca="false">IF($N400="","",IF($Q400="",$N400,$Q400))</f>
        <v/>
      </c>
      <c r="V400" s="36" t="str">
        <f aca="false">IF($F400="","",IF(OR($O400="",$N400=""),0,IF($O400&lt;=$N400,1,0)))</f>
        <v/>
      </c>
      <c r="W400" s="36" t="str">
        <f aca="false">IF($F400="","",IF(OR($O400="",$U400=""),0,IF($O400&lt;=$U400,1,0)))</f>
        <v/>
      </c>
      <c r="X400" s="37" t="str">
        <f aca="false">IF(OR($O400="",$N400=""),"",MAX(0,$O400-$N400))</f>
        <v/>
      </c>
      <c r="Y400" s="36" t="str">
        <f aca="false">IF($F400="","",IF(AND($Q400&lt;&gt;"",$N400&lt;&gt;"",$Q400&lt;&gt;$N400),1,0))</f>
        <v/>
      </c>
      <c r="Z400" s="36" t="str">
        <f aca="false">IF($F400="","",IF($P400="Cancelada",0,IF(OR($O400&lt;&gt;"",$P400="Concluída"),1,0)))</f>
        <v/>
      </c>
    </row>
    <row r="401" customFormat="false" ht="16.5" hidden="false" customHeight="true" outlineLevel="0" collapsed="false">
      <c r="A401" s="36" t="str">
        <f aca="false">IF($F401="","",COUNTA($F$5:$F401))</f>
        <v/>
      </c>
      <c r="B401" s="37" t="str">
        <f aca="true">IF($F401="","",IF($P401="Cancelada","Cancelada",IF(OR($O401&lt;&gt;"",$P401="Concluída"),IF(OR($N401="",$O401="",$O401&lt;=$N401),"Concluída","Concluída com atraso"),IF($N401="","Na carteira",IF($N401&lt;TODAY(),"VENCIDA",IF($P401="Em execução","Em execução",IF($N401=TODAY(),"Hoje","Programada")))))))</f>
        <v/>
      </c>
      <c r="C401" s="38"/>
      <c r="D401" s="38"/>
      <c r="E401" s="38"/>
      <c r="F401" s="38"/>
      <c r="G401" s="39"/>
      <c r="H401" s="39"/>
      <c r="I401" s="40"/>
      <c r="J401" s="40"/>
      <c r="K401" s="40"/>
      <c r="L401" s="41"/>
      <c r="M401" s="42"/>
      <c r="N401" s="43" t="str">
        <f aca="false">IF(OR($L401="",$M401=""),"",$L401+MATCH($M401,Listas!$F$5:$F$11,0)-1)</f>
        <v/>
      </c>
      <c r="O401" s="44"/>
      <c r="P401" s="39"/>
      <c r="Q401" s="44"/>
      <c r="R401" s="38"/>
      <c r="S401" s="38"/>
      <c r="T401" s="36" t="str">
        <f aca="false">IF($F401="","",IF(ISNUMBER(SEARCH("(externo)",$I401&amp;$J401&amp;$K401)),"Terceirizada","Interna"))</f>
        <v/>
      </c>
      <c r="U401" s="43" t="str">
        <f aca="false">IF($N401="","",IF($Q401="",$N401,$Q401))</f>
        <v/>
      </c>
      <c r="V401" s="36" t="str">
        <f aca="false">IF($F401="","",IF(OR($O401="",$N401=""),0,IF($O401&lt;=$N401,1,0)))</f>
        <v/>
      </c>
      <c r="W401" s="36" t="str">
        <f aca="false">IF($F401="","",IF(OR($O401="",$U401=""),0,IF($O401&lt;=$U401,1,0)))</f>
        <v/>
      </c>
      <c r="X401" s="37" t="str">
        <f aca="false">IF(OR($O401="",$N401=""),"",MAX(0,$O401-$N401))</f>
        <v/>
      </c>
      <c r="Y401" s="36" t="str">
        <f aca="false">IF($F401="","",IF(AND($Q401&lt;&gt;"",$N401&lt;&gt;"",$Q401&lt;&gt;$N401),1,0))</f>
        <v/>
      </c>
      <c r="Z401" s="36" t="str">
        <f aca="false">IF($F401="","",IF($P401="Cancelada",0,IF(OR($O401&lt;&gt;"",$P401="Concluída"),1,0)))</f>
        <v/>
      </c>
    </row>
    <row r="402" customFormat="false" ht="16.5" hidden="false" customHeight="true" outlineLevel="0" collapsed="false">
      <c r="A402" s="36" t="str">
        <f aca="false">IF($F402="","",COUNTA($F$5:$F402))</f>
        <v/>
      </c>
      <c r="B402" s="37" t="str">
        <f aca="true">IF($F402="","",IF($P402="Cancelada","Cancelada",IF(OR($O402&lt;&gt;"",$P402="Concluída"),IF(OR($N402="",$O402="",$O402&lt;=$N402),"Concluída","Concluída com atraso"),IF($N402="","Na carteira",IF($N402&lt;TODAY(),"VENCIDA",IF($P402="Em execução","Em execução",IF($N402=TODAY(),"Hoje","Programada")))))))</f>
        <v/>
      </c>
      <c r="C402" s="38"/>
      <c r="D402" s="38"/>
      <c r="E402" s="38"/>
      <c r="F402" s="38"/>
      <c r="G402" s="39"/>
      <c r="H402" s="39"/>
      <c r="I402" s="40"/>
      <c r="J402" s="40"/>
      <c r="K402" s="40"/>
      <c r="L402" s="41"/>
      <c r="M402" s="42"/>
      <c r="N402" s="43" t="str">
        <f aca="false">IF(OR($L402="",$M402=""),"",$L402+MATCH($M402,Listas!$F$5:$F$11,0)-1)</f>
        <v/>
      </c>
      <c r="O402" s="44"/>
      <c r="P402" s="39"/>
      <c r="Q402" s="44"/>
      <c r="R402" s="38"/>
      <c r="S402" s="38"/>
      <c r="T402" s="36" t="str">
        <f aca="false">IF($F402="","",IF(ISNUMBER(SEARCH("(externo)",$I402&amp;$J402&amp;$K402)),"Terceirizada","Interna"))</f>
        <v/>
      </c>
      <c r="U402" s="43" t="str">
        <f aca="false">IF($N402="","",IF($Q402="",$N402,$Q402))</f>
        <v/>
      </c>
      <c r="V402" s="36" t="str">
        <f aca="false">IF($F402="","",IF(OR($O402="",$N402=""),0,IF($O402&lt;=$N402,1,0)))</f>
        <v/>
      </c>
      <c r="W402" s="36" t="str">
        <f aca="false">IF($F402="","",IF(OR($O402="",$U402=""),0,IF($O402&lt;=$U402,1,0)))</f>
        <v/>
      </c>
      <c r="X402" s="37" t="str">
        <f aca="false">IF(OR($O402="",$N402=""),"",MAX(0,$O402-$N402))</f>
        <v/>
      </c>
      <c r="Y402" s="36" t="str">
        <f aca="false">IF($F402="","",IF(AND($Q402&lt;&gt;"",$N402&lt;&gt;"",$Q402&lt;&gt;$N402),1,0))</f>
        <v/>
      </c>
      <c r="Z402" s="36" t="str">
        <f aca="false">IF($F402="","",IF($P402="Cancelada",0,IF(OR($O402&lt;&gt;"",$P402="Concluída"),1,0)))</f>
        <v/>
      </c>
    </row>
    <row r="403" customFormat="false" ht="16.5" hidden="false" customHeight="true" outlineLevel="0" collapsed="false">
      <c r="A403" s="36" t="str">
        <f aca="false">IF($F403="","",COUNTA($F$5:$F403))</f>
        <v/>
      </c>
      <c r="B403" s="37" t="str">
        <f aca="true">IF($F403="","",IF($P403="Cancelada","Cancelada",IF(OR($O403&lt;&gt;"",$P403="Concluída"),IF(OR($N403="",$O403="",$O403&lt;=$N403),"Concluída","Concluída com atraso"),IF($N403="","Na carteira",IF($N403&lt;TODAY(),"VENCIDA",IF($P403="Em execução","Em execução",IF($N403=TODAY(),"Hoje","Programada")))))))</f>
        <v/>
      </c>
      <c r="C403" s="38"/>
      <c r="D403" s="38"/>
      <c r="E403" s="38"/>
      <c r="F403" s="38"/>
      <c r="G403" s="39"/>
      <c r="H403" s="39"/>
      <c r="I403" s="40"/>
      <c r="J403" s="40"/>
      <c r="K403" s="40"/>
      <c r="L403" s="41"/>
      <c r="M403" s="42"/>
      <c r="N403" s="43" t="str">
        <f aca="false">IF(OR($L403="",$M403=""),"",$L403+MATCH($M403,Listas!$F$5:$F$11,0)-1)</f>
        <v/>
      </c>
      <c r="O403" s="44"/>
      <c r="P403" s="39"/>
      <c r="Q403" s="44"/>
      <c r="R403" s="38"/>
      <c r="S403" s="38"/>
      <c r="T403" s="36" t="str">
        <f aca="false">IF($F403="","",IF(ISNUMBER(SEARCH("(externo)",$I403&amp;$J403&amp;$K403)),"Terceirizada","Interna"))</f>
        <v/>
      </c>
      <c r="U403" s="43" t="str">
        <f aca="false">IF($N403="","",IF($Q403="",$N403,$Q403))</f>
        <v/>
      </c>
      <c r="V403" s="36" t="str">
        <f aca="false">IF($F403="","",IF(OR($O403="",$N403=""),0,IF($O403&lt;=$N403,1,0)))</f>
        <v/>
      </c>
      <c r="W403" s="36" t="str">
        <f aca="false">IF($F403="","",IF(OR($O403="",$U403=""),0,IF($O403&lt;=$U403,1,0)))</f>
        <v/>
      </c>
      <c r="X403" s="37" t="str">
        <f aca="false">IF(OR($O403="",$N403=""),"",MAX(0,$O403-$N403))</f>
        <v/>
      </c>
      <c r="Y403" s="36" t="str">
        <f aca="false">IF($F403="","",IF(AND($Q403&lt;&gt;"",$N403&lt;&gt;"",$Q403&lt;&gt;$N403),1,0))</f>
        <v/>
      </c>
      <c r="Z403" s="36" t="str">
        <f aca="false">IF($F403="","",IF($P403="Cancelada",0,IF(OR($O403&lt;&gt;"",$P403="Concluída"),1,0)))</f>
        <v/>
      </c>
    </row>
    <row r="404" customFormat="false" ht="16.5" hidden="false" customHeight="true" outlineLevel="0" collapsed="false">
      <c r="A404" s="36" t="str">
        <f aca="false">IF($F404="","",COUNTA($F$5:$F404))</f>
        <v/>
      </c>
      <c r="B404" s="37" t="str">
        <f aca="true">IF($F404="","",IF($P404="Cancelada","Cancelada",IF(OR($O404&lt;&gt;"",$P404="Concluída"),IF(OR($N404="",$O404="",$O404&lt;=$N404),"Concluída","Concluída com atraso"),IF($N404="","Na carteira",IF($N404&lt;TODAY(),"VENCIDA",IF($P404="Em execução","Em execução",IF($N404=TODAY(),"Hoje","Programada")))))))</f>
        <v/>
      </c>
      <c r="C404" s="38"/>
      <c r="D404" s="38"/>
      <c r="E404" s="38"/>
      <c r="F404" s="38"/>
      <c r="G404" s="39"/>
      <c r="H404" s="39"/>
      <c r="I404" s="40"/>
      <c r="J404" s="40"/>
      <c r="K404" s="40"/>
      <c r="L404" s="41"/>
      <c r="M404" s="42"/>
      <c r="N404" s="43" t="str">
        <f aca="false">IF(OR($L404="",$M404=""),"",$L404+MATCH($M404,Listas!$F$5:$F$11,0)-1)</f>
        <v/>
      </c>
      <c r="O404" s="44"/>
      <c r="P404" s="39"/>
      <c r="Q404" s="44"/>
      <c r="R404" s="38"/>
      <c r="S404" s="38"/>
      <c r="T404" s="36" t="str">
        <f aca="false">IF($F404="","",IF(ISNUMBER(SEARCH("(externo)",$I404&amp;$J404&amp;$K404)),"Terceirizada","Interna"))</f>
        <v/>
      </c>
      <c r="U404" s="43" t="str">
        <f aca="false">IF($N404="","",IF($Q404="",$N404,$Q404))</f>
        <v/>
      </c>
      <c r="V404" s="36" t="str">
        <f aca="false">IF($F404="","",IF(OR($O404="",$N404=""),0,IF($O404&lt;=$N404,1,0)))</f>
        <v/>
      </c>
      <c r="W404" s="36" t="str">
        <f aca="false">IF($F404="","",IF(OR($O404="",$U404=""),0,IF($O404&lt;=$U404,1,0)))</f>
        <v/>
      </c>
      <c r="X404" s="37" t="str">
        <f aca="false">IF(OR($O404="",$N404=""),"",MAX(0,$O404-$N404))</f>
        <v/>
      </c>
      <c r="Y404" s="36" t="str">
        <f aca="false">IF($F404="","",IF(AND($Q404&lt;&gt;"",$N404&lt;&gt;"",$Q404&lt;&gt;$N404),1,0))</f>
        <v/>
      </c>
      <c r="Z404" s="36" t="str">
        <f aca="false">IF($F404="","",IF($P404="Cancelada",0,IF(OR($O404&lt;&gt;"",$P404="Concluída"),1,0)))</f>
        <v/>
      </c>
    </row>
    <row r="405" customFormat="false" ht="16.5" hidden="false" customHeight="true" outlineLevel="0" collapsed="false">
      <c r="A405" s="36" t="str">
        <f aca="false">IF($F405="","",COUNTA($F$5:$F405))</f>
        <v/>
      </c>
      <c r="B405" s="37" t="str">
        <f aca="true">IF($F405="","",IF($P405="Cancelada","Cancelada",IF(OR($O405&lt;&gt;"",$P405="Concluída"),IF(OR($N405="",$O405="",$O405&lt;=$N405),"Concluída","Concluída com atraso"),IF($N405="","Na carteira",IF($N405&lt;TODAY(),"VENCIDA",IF($P405="Em execução","Em execução",IF($N405=TODAY(),"Hoje","Programada")))))))</f>
        <v/>
      </c>
      <c r="C405" s="38"/>
      <c r="D405" s="38"/>
      <c r="E405" s="38"/>
      <c r="F405" s="38"/>
      <c r="G405" s="39"/>
      <c r="H405" s="39"/>
      <c r="I405" s="40"/>
      <c r="J405" s="40"/>
      <c r="K405" s="40"/>
      <c r="L405" s="41"/>
      <c r="M405" s="42"/>
      <c r="N405" s="43" t="str">
        <f aca="false">IF(OR($L405="",$M405=""),"",$L405+MATCH($M405,Listas!$F$5:$F$11,0)-1)</f>
        <v/>
      </c>
      <c r="O405" s="44"/>
      <c r="P405" s="39"/>
      <c r="Q405" s="44"/>
      <c r="R405" s="38"/>
      <c r="S405" s="38"/>
      <c r="T405" s="36" t="str">
        <f aca="false">IF($F405="","",IF(ISNUMBER(SEARCH("(externo)",$I405&amp;$J405&amp;$K405)),"Terceirizada","Interna"))</f>
        <v/>
      </c>
      <c r="U405" s="43" t="str">
        <f aca="false">IF($N405="","",IF($Q405="",$N405,$Q405))</f>
        <v/>
      </c>
      <c r="V405" s="36" t="str">
        <f aca="false">IF($F405="","",IF(OR($O405="",$N405=""),0,IF($O405&lt;=$N405,1,0)))</f>
        <v/>
      </c>
      <c r="W405" s="36" t="str">
        <f aca="false">IF($F405="","",IF(OR($O405="",$U405=""),0,IF($O405&lt;=$U405,1,0)))</f>
        <v/>
      </c>
      <c r="X405" s="37" t="str">
        <f aca="false">IF(OR($O405="",$N405=""),"",MAX(0,$O405-$N405))</f>
        <v/>
      </c>
      <c r="Y405" s="36" t="str">
        <f aca="false">IF($F405="","",IF(AND($Q405&lt;&gt;"",$N405&lt;&gt;"",$Q405&lt;&gt;$N405),1,0))</f>
        <v/>
      </c>
      <c r="Z405" s="36" t="str">
        <f aca="false">IF($F405="","",IF($P405="Cancelada",0,IF(OR($O405&lt;&gt;"",$P405="Concluída"),1,0)))</f>
        <v/>
      </c>
    </row>
    <row r="406" customFormat="false" ht="16.5" hidden="false" customHeight="true" outlineLevel="0" collapsed="false">
      <c r="A406" s="36" t="str">
        <f aca="false">IF($F406="","",COUNTA($F$5:$F406))</f>
        <v/>
      </c>
      <c r="B406" s="37" t="str">
        <f aca="true">IF($F406="","",IF($P406="Cancelada","Cancelada",IF(OR($O406&lt;&gt;"",$P406="Concluída"),IF(OR($N406="",$O406="",$O406&lt;=$N406),"Concluída","Concluída com atraso"),IF($N406="","Na carteira",IF($N406&lt;TODAY(),"VENCIDA",IF($P406="Em execução","Em execução",IF($N406=TODAY(),"Hoje","Programada")))))))</f>
        <v/>
      </c>
      <c r="C406" s="38"/>
      <c r="D406" s="38"/>
      <c r="E406" s="38"/>
      <c r="F406" s="38"/>
      <c r="G406" s="39"/>
      <c r="H406" s="39"/>
      <c r="I406" s="40"/>
      <c r="J406" s="40"/>
      <c r="K406" s="40"/>
      <c r="L406" s="41"/>
      <c r="M406" s="42"/>
      <c r="N406" s="43" t="str">
        <f aca="false">IF(OR($L406="",$M406=""),"",$L406+MATCH($M406,Listas!$F$5:$F$11,0)-1)</f>
        <v/>
      </c>
      <c r="O406" s="44"/>
      <c r="P406" s="39"/>
      <c r="Q406" s="44"/>
      <c r="R406" s="38"/>
      <c r="S406" s="38"/>
      <c r="T406" s="36" t="str">
        <f aca="false">IF($F406="","",IF(ISNUMBER(SEARCH("(externo)",$I406&amp;$J406&amp;$K406)),"Terceirizada","Interna"))</f>
        <v/>
      </c>
      <c r="U406" s="43" t="str">
        <f aca="false">IF($N406="","",IF($Q406="",$N406,$Q406))</f>
        <v/>
      </c>
      <c r="V406" s="36" t="str">
        <f aca="false">IF($F406="","",IF(OR($O406="",$N406=""),0,IF($O406&lt;=$N406,1,0)))</f>
        <v/>
      </c>
      <c r="W406" s="36" t="str">
        <f aca="false">IF($F406="","",IF(OR($O406="",$U406=""),0,IF($O406&lt;=$U406,1,0)))</f>
        <v/>
      </c>
      <c r="X406" s="37" t="str">
        <f aca="false">IF(OR($O406="",$N406=""),"",MAX(0,$O406-$N406))</f>
        <v/>
      </c>
      <c r="Y406" s="36" t="str">
        <f aca="false">IF($F406="","",IF(AND($Q406&lt;&gt;"",$N406&lt;&gt;"",$Q406&lt;&gt;$N406),1,0))</f>
        <v/>
      </c>
      <c r="Z406" s="36" t="str">
        <f aca="false">IF($F406="","",IF($P406="Cancelada",0,IF(OR($O406&lt;&gt;"",$P406="Concluída"),1,0)))</f>
        <v/>
      </c>
    </row>
    <row r="407" customFormat="false" ht="16.5" hidden="false" customHeight="true" outlineLevel="0" collapsed="false">
      <c r="A407" s="36" t="str">
        <f aca="false">IF($F407="","",COUNTA($F$5:$F407))</f>
        <v/>
      </c>
      <c r="B407" s="37" t="str">
        <f aca="true">IF($F407="","",IF($P407="Cancelada","Cancelada",IF(OR($O407&lt;&gt;"",$P407="Concluída"),IF(OR($N407="",$O407="",$O407&lt;=$N407),"Concluída","Concluída com atraso"),IF($N407="","Na carteira",IF($N407&lt;TODAY(),"VENCIDA",IF($P407="Em execução","Em execução",IF($N407=TODAY(),"Hoje","Programada")))))))</f>
        <v/>
      </c>
      <c r="C407" s="38"/>
      <c r="D407" s="38"/>
      <c r="E407" s="38"/>
      <c r="F407" s="38"/>
      <c r="G407" s="39"/>
      <c r="H407" s="39"/>
      <c r="I407" s="40"/>
      <c r="J407" s="40"/>
      <c r="K407" s="40"/>
      <c r="L407" s="41"/>
      <c r="M407" s="42"/>
      <c r="N407" s="43" t="str">
        <f aca="false">IF(OR($L407="",$M407=""),"",$L407+MATCH($M407,Listas!$F$5:$F$11,0)-1)</f>
        <v/>
      </c>
      <c r="O407" s="44"/>
      <c r="P407" s="39"/>
      <c r="Q407" s="44"/>
      <c r="R407" s="38"/>
      <c r="S407" s="38"/>
      <c r="T407" s="36" t="str">
        <f aca="false">IF($F407="","",IF(ISNUMBER(SEARCH("(externo)",$I407&amp;$J407&amp;$K407)),"Terceirizada","Interna"))</f>
        <v/>
      </c>
      <c r="U407" s="43" t="str">
        <f aca="false">IF($N407="","",IF($Q407="",$N407,$Q407))</f>
        <v/>
      </c>
      <c r="V407" s="36" t="str">
        <f aca="false">IF($F407="","",IF(OR($O407="",$N407=""),0,IF($O407&lt;=$N407,1,0)))</f>
        <v/>
      </c>
      <c r="W407" s="36" t="str">
        <f aca="false">IF($F407="","",IF(OR($O407="",$U407=""),0,IF($O407&lt;=$U407,1,0)))</f>
        <v/>
      </c>
      <c r="X407" s="37" t="str">
        <f aca="false">IF(OR($O407="",$N407=""),"",MAX(0,$O407-$N407))</f>
        <v/>
      </c>
      <c r="Y407" s="36" t="str">
        <f aca="false">IF($F407="","",IF(AND($Q407&lt;&gt;"",$N407&lt;&gt;"",$Q407&lt;&gt;$N407),1,0))</f>
        <v/>
      </c>
      <c r="Z407" s="36" t="str">
        <f aca="false">IF($F407="","",IF($P407="Cancelada",0,IF(OR($O407&lt;&gt;"",$P407="Concluída"),1,0)))</f>
        <v/>
      </c>
    </row>
    <row r="408" customFormat="false" ht="16.5" hidden="false" customHeight="true" outlineLevel="0" collapsed="false">
      <c r="A408" s="36" t="str">
        <f aca="false">IF($F408="","",COUNTA($F$5:$F408))</f>
        <v/>
      </c>
      <c r="B408" s="37" t="str">
        <f aca="true">IF($F408="","",IF($P408="Cancelada","Cancelada",IF(OR($O408&lt;&gt;"",$P408="Concluída"),IF(OR($N408="",$O408="",$O408&lt;=$N408),"Concluída","Concluída com atraso"),IF($N408="","Na carteira",IF($N408&lt;TODAY(),"VENCIDA",IF($P408="Em execução","Em execução",IF($N408=TODAY(),"Hoje","Programada")))))))</f>
        <v/>
      </c>
      <c r="C408" s="38"/>
      <c r="D408" s="38"/>
      <c r="E408" s="38"/>
      <c r="F408" s="38"/>
      <c r="G408" s="39"/>
      <c r="H408" s="39"/>
      <c r="I408" s="40"/>
      <c r="J408" s="40"/>
      <c r="K408" s="40"/>
      <c r="L408" s="41"/>
      <c r="M408" s="42"/>
      <c r="N408" s="43" t="str">
        <f aca="false">IF(OR($L408="",$M408=""),"",$L408+MATCH($M408,Listas!$F$5:$F$11,0)-1)</f>
        <v/>
      </c>
      <c r="O408" s="44"/>
      <c r="P408" s="39"/>
      <c r="Q408" s="44"/>
      <c r="R408" s="38"/>
      <c r="S408" s="38"/>
      <c r="T408" s="36" t="str">
        <f aca="false">IF($F408="","",IF(ISNUMBER(SEARCH("(externo)",$I408&amp;$J408&amp;$K408)),"Terceirizada","Interna"))</f>
        <v/>
      </c>
      <c r="U408" s="43" t="str">
        <f aca="false">IF($N408="","",IF($Q408="",$N408,$Q408))</f>
        <v/>
      </c>
      <c r="V408" s="36" t="str">
        <f aca="false">IF($F408="","",IF(OR($O408="",$N408=""),0,IF($O408&lt;=$N408,1,0)))</f>
        <v/>
      </c>
      <c r="W408" s="36" t="str">
        <f aca="false">IF($F408="","",IF(OR($O408="",$U408=""),0,IF($O408&lt;=$U408,1,0)))</f>
        <v/>
      </c>
      <c r="X408" s="37" t="str">
        <f aca="false">IF(OR($O408="",$N408=""),"",MAX(0,$O408-$N408))</f>
        <v/>
      </c>
      <c r="Y408" s="36" t="str">
        <f aca="false">IF($F408="","",IF(AND($Q408&lt;&gt;"",$N408&lt;&gt;"",$Q408&lt;&gt;$N408),1,0))</f>
        <v/>
      </c>
      <c r="Z408" s="36" t="str">
        <f aca="false">IF($F408="","",IF($P408="Cancelada",0,IF(OR($O408&lt;&gt;"",$P408="Concluída"),1,0)))</f>
        <v/>
      </c>
    </row>
    <row r="409" customFormat="false" ht="16.5" hidden="false" customHeight="true" outlineLevel="0" collapsed="false">
      <c r="A409" s="36" t="str">
        <f aca="false">IF($F409="","",COUNTA($F$5:$F409))</f>
        <v/>
      </c>
      <c r="B409" s="37" t="str">
        <f aca="true">IF($F409="","",IF($P409="Cancelada","Cancelada",IF(OR($O409&lt;&gt;"",$P409="Concluída"),IF(OR($N409="",$O409="",$O409&lt;=$N409),"Concluída","Concluída com atraso"),IF($N409="","Na carteira",IF($N409&lt;TODAY(),"VENCIDA",IF($P409="Em execução","Em execução",IF($N409=TODAY(),"Hoje","Programada")))))))</f>
        <v/>
      </c>
      <c r="C409" s="38"/>
      <c r="D409" s="38"/>
      <c r="E409" s="38"/>
      <c r="F409" s="38"/>
      <c r="G409" s="39"/>
      <c r="H409" s="39"/>
      <c r="I409" s="40"/>
      <c r="J409" s="40"/>
      <c r="K409" s="40"/>
      <c r="L409" s="41"/>
      <c r="M409" s="42"/>
      <c r="N409" s="43" t="str">
        <f aca="false">IF(OR($L409="",$M409=""),"",$L409+MATCH($M409,Listas!$F$5:$F$11,0)-1)</f>
        <v/>
      </c>
      <c r="O409" s="44"/>
      <c r="P409" s="39"/>
      <c r="Q409" s="44"/>
      <c r="R409" s="38"/>
      <c r="S409" s="38"/>
      <c r="T409" s="36" t="str">
        <f aca="false">IF($F409="","",IF(ISNUMBER(SEARCH("(externo)",$I409&amp;$J409&amp;$K409)),"Terceirizada","Interna"))</f>
        <v/>
      </c>
      <c r="U409" s="43" t="str">
        <f aca="false">IF($N409="","",IF($Q409="",$N409,$Q409))</f>
        <v/>
      </c>
      <c r="V409" s="36" t="str">
        <f aca="false">IF($F409="","",IF(OR($O409="",$N409=""),0,IF($O409&lt;=$N409,1,0)))</f>
        <v/>
      </c>
      <c r="W409" s="36" t="str">
        <f aca="false">IF($F409="","",IF(OR($O409="",$U409=""),0,IF($O409&lt;=$U409,1,0)))</f>
        <v/>
      </c>
      <c r="X409" s="37" t="str">
        <f aca="false">IF(OR($O409="",$N409=""),"",MAX(0,$O409-$N409))</f>
        <v/>
      </c>
      <c r="Y409" s="36" t="str">
        <f aca="false">IF($F409="","",IF(AND($Q409&lt;&gt;"",$N409&lt;&gt;"",$Q409&lt;&gt;$N409),1,0))</f>
        <v/>
      </c>
      <c r="Z409" s="36" t="str">
        <f aca="false">IF($F409="","",IF($P409="Cancelada",0,IF(OR($O409&lt;&gt;"",$P409="Concluída"),1,0)))</f>
        <v/>
      </c>
    </row>
    <row r="410" customFormat="false" ht="16.5" hidden="false" customHeight="true" outlineLevel="0" collapsed="false">
      <c r="A410" s="36" t="str">
        <f aca="false">IF($F410="","",COUNTA($F$5:$F410))</f>
        <v/>
      </c>
      <c r="B410" s="37" t="str">
        <f aca="true">IF($F410="","",IF($P410="Cancelada","Cancelada",IF(OR($O410&lt;&gt;"",$P410="Concluída"),IF(OR($N410="",$O410="",$O410&lt;=$N410),"Concluída","Concluída com atraso"),IF($N410="","Na carteira",IF($N410&lt;TODAY(),"VENCIDA",IF($P410="Em execução","Em execução",IF($N410=TODAY(),"Hoje","Programada")))))))</f>
        <v/>
      </c>
      <c r="C410" s="38"/>
      <c r="D410" s="38"/>
      <c r="E410" s="38"/>
      <c r="F410" s="38"/>
      <c r="G410" s="39"/>
      <c r="H410" s="39"/>
      <c r="I410" s="40"/>
      <c r="J410" s="40"/>
      <c r="K410" s="40"/>
      <c r="L410" s="41"/>
      <c r="M410" s="42"/>
      <c r="N410" s="43" t="str">
        <f aca="false">IF(OR($L410="",$M410=""),"",$L410+MATCH($M410,Listas!$F$5:$F$11,0)-1)</f>
        <v/>
      </c>
      <c r="O410" s="44"/>
      <c r="P410" s="39"/>
      <c r="Q410" s="44"/>
      <c r="R410" s="38"/>
      <c r="S410" s="38"/>
      <c r="T410" s="36" t="str">
        <f aca="false">IF($F410="","",IF(ISNUMBER(SEARCH("(externo)",$I410&amp;$J410&amp;$K410)),"Terceirizada","Interna"))</f>
        <v/>
      </c>
      <c r="U410" s="43" t="str">
        <f aca="false">IF($N410="","",IF($Q410="",$N410,$Q410))</f>
        <v/>
      </c>
      <c r="V410" s="36" t="str">
        <f aca="false">IF($F410="","",IF(OR($O410="",$N410=""),0,IF($O410&lt;=$N410,1,0)))</f>
        <v/>
      </c>
      <c r="W410" s="36" t="str">
        <f aca="false">IF($F410="","",IF(OR($O410="",$U410=""),0,IF($O410&lt;=$U410,1,0)))</f>
        <v/>
      </c>
      <c r="X410" s="37" t="str">
        <f aca="false">IF(OR($O410="",$N410=""),"",MAX(0,$O410-$N410))</f>
        <v/>
      </c>
      <c r="Y410" s="36" t="str">
        <f aca="false">IF($F410="","",IF(AND($Q410&lt;&gt;"",$N410&lt;&gt;"",$Q410&lt;&gt;$N410),1,0))</f>
        <v/>
      </c>
      <c r="Z410" s="36" t="str">
        <f aca="false">IF($F410="","",IF($P410="Cancelada",0,IF(OR($O410&lt;&gt;"",$P410="Concluída"),1,0)))</f>
        <v/>
      </c>
    </row>
    <row r="411" customFormat="false" ht="16.5" hidden="false" customHeight="true" outlineLevel="0" collapsed="false">
      <c r="A411" s="36" t="str">
        <f aca="false">IF($F411="","",COUNTA($F$5:$F411))</f>
        <v/>
      </c>
      <c r="B411" s="37" t="str">
        <f aca="true">IF($F411="","",IF($P411="Cancelada","Cancelada",IF(OR($O411&lt;&gt;"",$P411="Concluída"),IF(OR($N411="",$O411="",$O411&lt;=$N411),"Concluída","Concluída com atraso"),IF($N411="","Na carteira",IF($N411&lt;TODAY(),"VENCIDA",IF($P411="Em execução","Em execução",IF($N411=TODAY(),"Hoje","Programada")))))))</f>
        <v/>
      </c>
      <c r="C411" s="38"/>
      <c r="D411" s="38"/>
      <c r="E411" s="38"/>
      <c r="F411" s="38"/>
      <c r="G411" s="39"/>
      <c r="H411" s="39"/>
      <c r="I411" s="40"/>
      <c r="J411" s="40"/>
      <c r="K411" s="40"/>
      <c r="L411" s="41"/>
      <c r="M411" s="42"/>
      <c r="N411" s="43" t="str">
        <f aca="false">IF(OR($L411="",$M411=""),"",$L411+MATCH($M411,Listas!$F$5:$F$11,0)-1)</f>
        <v/>
      </c>
      <c r="O411" s="44"/>
      <c r="P411" s="39"/>
      <c r="Q411" s="44"/>
      <c r="R411" s="38"/>
      <c r="S411" s="38"/>
      <c r="T411" s="36" t="str">
        <f aca="false">IF($F411="","",IF(ISNUMBER(SEARCH("(externo)",$I411&amp;$J411&amp;$K411)),"Terceirizada","Interna"))</f>
        <v/>
      </c>
      <c r="U411" s="43" t="str">
        <f aca="false">IF($N411="","",IF($Q411="",$N411,$Q411))</f>
        <v/>
      </c>
      <c r="V411" s="36" t="str">
        <f aca="false">IF($F411="","",IF(OR($O411="",$N411=""),0,IF($O411&lt;=$N411,1,0)))</f>
        <v/>
      </c>
      <c r="W411" s="36" t="str">
        <f aca="false">IF($F411="","",IF(OR($O411="",$U411=""),0,IF($O411&lt;=$U411,1,0)))</f>
        <v/>
      </c>
      <c r="X411" s="37" t="str">
        <f aca="false">IF(OR($O411="",$N411=""),"",MAX(0,$O411-$N411))</f>
        <v/>
      </c>
      <c r="Y411" s="36" t="str">
        <f aca="false">IF($F411="","",IF(AND($Q411&lt;&gt;"",$N411&lt;&gt;"",$Q411&lt;&gt;$N411),1,0))</f>
        <v/>
      </c>
      <c r="Z411" s="36" t="str">
        <f aca="false">IF($F411="","",IF($P411="Cancelada",0,IF(OR($O411&lt;&gt;"",$P411="Concluída"),1,0)))</f>
        <v/>
      </c>
    </row>
    <row r="412" customFormat="false" ht="16.5" hidden="false" customHeight="true" outlineLevel="0" collapsed="false">
      <c r="A412" s="36" t="str">
        <f aca="false">IF($F412="","",COUNTA($F$5:$F412))</f>
        <v/>
      </c>
      <c r="B412" s="37" t="str">
        <f aca="true">IF($F412="","",IF($P412="Cancelada","Cancelada",IF(OR($O412&lt;&gt;"",$P412="Concluída"),IF(OR($N412="",$O412="",$O412&lt;=$N412),"Concluída","Concluída com atraso"),IF($N412="","Na carteira",IF($N412&lt;TODAY(),"VENCIDA",IF($P412="Em execução","Em execução",IF($N412=TODAY(),"Hoje","Programada")))))))</f>
        <v/>
      </c>
      <c r="C412" s="38"/>
      <c r="D412" s="38"/>
      <c r="E412" s="38"/>
      <c r="F412" s="38"/>
      <c r="G412" s="39"/>
      <c r="H412" s="39"/>
      <c r="I412" s="40"/>
      <c r="J412" s="40"/>
      <c r="K412" s="40"/>
      <c r="L412" s="41"/>
      <c r="M412" s="42"/>
      <c r="N412" s="43" t="str">
        <f aca="false">IF(OR($L412="",$M412=""),"",$L412+MATCH($M412,Listas!$F$5:$F$11,0)-1)</f>
        <v/>
      </c>
      <c r="O412" s="44"/>
      <c r="P412" s="39"/>
      <c r="Q412" s="44"/>
      <c r="R412" s="38"/>
      <c r="S412" s="38"/>
      <c r="T412" s="36" t="str">
        <f aca="false">IF($F412="","",IF(ISNUMBER(SEARCH("(externo)",$I412&amp;$J412&amp;$K412)),"Terceirizada","Interna"))</f>
        <v/>
      </c>
      <c r="U412" s="43" t="str">
        <f aca="false">IF($N412="","",IF($Q412="",$N412,$Q412))</f>
        <v/>
      </c>
      <c r="V412" s="36" t="str">
        <f aca="false">IF($F412="","",IF(OR($O412="",$N412=""),0,IF($O412&lt;=$N412,1,0)))</f>
        <v/>
      </c>
      <c r="W412" s="36" t="str">
        <f aca="false">IF($F412="","",IF(OR($O412="",$U412=""),0,IF($O412&lt;=$U412,1,0)))</f>
        <v/>
      </c>
      <c r="X412" s="37" t="str">
        <f aca="false">IF(OR($O412="",$N412=""),"",MAX(0,$O412-$N412))</f>
        <v/>
      </c>
      <c r="Y412" s="36" t="str">
        <f aca="false">IF($F412="","",IF(AND($Q412&lt;&gt;"",$N412&lt;&gt;"",$Q412&lt;&gt;$N412),1,0))</f>
        <v/>
      </c>
      <c r="Z412" s="36" t="str">
        <f aca="false">IF($F412="","",IF($P412="Cancelada",0,IF(OR($O412&lt;&gt;"",$P412="Concluída"),1,0)))</f>
        <v/>
      </c>
    </row>
    <row r="413" customFormat="false" ht="16.5" hidden="false" customHeight="true" outlineLevel="0" collapsed="false">
      <c r="A413" s="36" t="str">
        <f aca="false">IF($F413="","",COUNTA($F$5:$F413))</f>
        <v/>
      </c>
      <c r="B413" s="37" t="str">
        <f aca="true">IF($F413="","",IF($P413="Cancelada","Cancelada",IF(OR($O413&lt;&gt;"",$P413="Concluída"),IF(OR($N413="",$O413="",$O413&lt;=$N413),"Concluída","Concluída com atraso"),IF($N413="","Na carteira",IF($N413&lt;TODAY(),"VENCIDA",IF($P413="Em execução","Em execução",IF($N413=TODAY(),"Hoje","Programada")))))))</f>
        <v/>
      </c>
      <c r="C413" s="38"/>
      <c r="D413" s="38"/>
      <c r="E413" s="38"/>
      <c r="F413" s="38"/>
      <c r="G413" s="39"/>
      <c r="H413" s="39"/>
      <c r="I413" s="40"/>
      <c r="J413" s="40"/>
      <c r="K413" s="40"/>
      <c r="L413" s="41"/>
      <c r="M413" s="42"/>
      <c r="N413" s="43" t="str">
        <f aca="false">IF(OR($L413="",$M413=""),"",$L413+MATCH($M413,Listas!$F$5:$F$11,0)-1)</f>
        <v/>
      </c>
      <c r="O413" s="44"/>
      <c r="P413" s="39"/>
      <c r="Q413" s="44"/>
      <c r="R413" s="38"/>
      <c r="S413" s="38"/>
      <c r="T413" s="36" t="str">
        <f aca="false">IF($F413="","",IF(ISNUMBER(SEARCH("(externo)",$I413&amp;$J413&amp;$K413)),"Terceirizada","Interna"))</f>
        <v/>
      </c>
      <c r="U413" s="43" t="str">
        <f aca="false">IF($N413="","",IF($Q413="",$N413,$Q413))</f>
        <v/>
      </c>
      <c r="V413" s="36" t="str">
        <f aca="false">IF($F413="","",IF(OR($O413="",$N413=""),0,IF($O413&lt;=$N413,1,0)))</f>
        <v/>
      </c>
      <c r="W413" s="36" t="str">
        <f aca="false">IF($F413="","",IF(OR($O413="",$U413=""),0,IF($O413&lt;=$U413,1,0)))</f>
        <v/>
      </c>
      <c r="X413" s="37" t="str">
        <f aca="false">IF(OR($O413="",$N413=""),"",MAX(0,$O413-$N413))</f>
        <v/>
      </c>
      <c r="Y413" s="36" t="str">
        <f aca="false">IF($F413="","",IF(AND($Q413&lt;&gt;"",$N413&lt;&gt;"",$Q413&lt;&gt;$N413),1,0))</f>
        <v/>
      </c>
      <c r="Z413" s="36" t="str">
        <f aca="false">IF($F413="","",IF($P413="Cancelada",0,IF(OR($O413&lt;&gt;"",$P413="Concluída"),1,0)))</f>
        <v/>
      </c>
    </row>
    <row r="414" customFormat="false" ht="16.5" hidden="false" customHeight="true" outlineLevel="0" collapsed="false">
      <c r="A414" s="36" t="str">
        <f aca="false">IF($F414="","",COUNTA($F$5:$F414))</f>
        <v/>
      </c>
      <c r="B414" s="37" t="str">
        <f aca="true">IF($F414="","",IF($P414="Cancelada","Cancelada",IF(OR($O414&lt;&gt;"",$P414="Concluída"),IF(OR($N414="",$O414="",$O414&lt;=$N414),"Concluída","Concluída com atraso"),IF($N414="","Na carteira",IF($N414&lt;TODAY(),"VENCIDA",IF($P414="Em execução","Em execução",IF($N414=TODAY(),"Hoje","Programada")))))))</f>
        <v/>
      </c>
      <c r="C414" s="38"/>
      <c r="D414" s="38"/>
      <c r="E414" s="38"/>
      <c r="F414" s="38"/>
      <c r="G414" s="39"/>
      <c r="H414" s="39"/>
      <c r="I414" s="40"/>
      <c r="J414" s="40"/>
      <c r="K414" s="40"/>
      <c r="L414" s="41"/>
      <c r="M414" s="42"/>
      <c r="N414" s="43" t="str">
        <f aca="false">IF(OR($L414="",$M414=""),"",$L414+MATCH($M414,Listas!$F$5:$F$11,0)-1)</f>
        <v/>
      </c>
      <c r="O414" s="44"/>
      <c r="P414" s="39"/>
      <c r="Q414" s="44"/>
      <c r="R414" s="38"/>
      <c r="S414" s="38"/>
      <c r="T414" s="36" t="str">
        <f aca="false">IF($F414="","",IF(ISNUMBER(SEARCH("(externo)",$I414&amp;$J414&amp;$K414)),"Terceirizada","Interna"))</f>
        <v/>
      </c>
      <c r="U414" s="43" t="str">
        <f aca="false">IF($N414="","",IF($Q414="",$N414,$Q414))</f>
        <v/>
      </c>
      <c r="V414" s="36" t="str">
        <f aca="false">IF($F414="","",IF(OR($O414="",$N414=""),0,IF($O414&lt;=$N414,1,0)))</f>
        <v/>
      </c>
      <c r="W414" s="36" t="str">
        <f aca="false">IF($F414="","",IF(OR($O414="",$U414=""),0,IF($O414&lt;=$U414,1,0)))</f>
        <v/>
      </c>
      <c r="X414" s="37" t="str">
        <f aca="false">IF(OR($O414="",$N414=""),"",MAX(0,$O414-$N414))</f>
        <v/>
      </c>
      <c r="Y414" s="36" t="str">
        <f aca="false">IF($F414="","",IF(AND($Q414&lt;&gt;"",$N414&lt;&gt;"",$Q414&lt;&gt;$N414),1,0))</f>
        <v/>
      </c>
      <c r="Z414" s="36" t="str">
        <f aca="false">IF($F414="","",IF($P414="Cancelada",0,IF(OR($O414&lt;&gt;"",$P414="Concluída"),1,0)))</f>
        <v/>
      </c>
    </row>
    <row r="415" customFormat="false" ht="16.5" hidden="false" customHeight="true" outlineLevel="0" collapsed="false">
      <c r="A415" s="36" t="str">
        <f aca="false">IF($F415="","",COUNTA($F$5:$F415))</f>
        <v/>
      </c>
      <c r="B415" s="37" t="str">
        <f aca="true">IF($F415="","",IF($P415="Cancelada","Cancelada",IF(OR($O415&lt;&gt;"",$P415="Concluída"),IF(OR($N415="",$O415="",$O415&lt;=$N415),"Concluída","Concluída com atraso"),IF($N415="","Na carteira",IF($N415&lt;TODAY(),"VENCIDA",IF($P415="Em execução","Em execução",IF($N415=TODAY(),"Hoje","Programada")))))))</f>
        <v/>
      </c>
      <c r="C415" s="38"/>
      <c r="D415" s="38"/>
      <c r="E415" s="38"/>
      <c r="F415" s="38"/>
      <c r="G415" s="39"/>
      <c r="H415" s="39"/>
      <c r="I415" s="40"/>
      <c r="J415" s="40"/>
      <c r="K415" s="40"/>
      <c r="L415" s="41"/>
      <c r="M415" s="42"/>
      <c r="N415" s="43" t="str">
        <f aca="false">IF(OR($L415="",$M415=""),"",$L415+MATCH($M415,Listas!$F$5:$F$11,0)-1)</f>
        <v/>
      </c>
      <c r="O415" s="44"/>
      <c r="P415" s="39"/>
      <c r="Q415" s="44"/>
      <c r="R415" s="38"/>
      <c r="S415" s="38"/>
      <c r="T415" s="36" t="str">
        <f aca="false">IF($F415="","",IF(ISNUMBER(SEARCH("(externo)",$I415&amp;$J415&amp;$K415)),"Terceirizada","Interna"))</f>
        <v/>
      </c>
      <c r="U415" s="43" t="str">
        <f aca="false">IF($N415="","",IF($Q415="",$N415,$Q415))</f>
        <v/>
      </c>
      <c r="V415" s="36" t="str">
        <f aca="false">IF($F415="","",IF(OR($O415="",$N415=""),0,IF($O415&lt;=$N415,1,0)))</f>
        <v/>
      </c>
      <c r="W415" s="36" t="str">
        <f aca="false">IF($F415="","",IF(OR($O415="",$U415=""),0,IF($O415&lt;=$U415,1,0)))</f>
        <v/>
      </c>
      <c r="X415" s="37" t="str">
        <f aca="false">IF(OR($O415="",$N415=""),"",MAX(0,$O415-$N415))</f>
        <v/>
      </c>
      <c r="Y415" s="36" t="str">
        <f aca="false">IF($F415="","",IF(AND($Q415&lt;&gt;"",$N415&lt;&gt;"",$Q415&lt;&gt;$N415),1,0))</f>
        <v/>
      </c>
      <c r="Z415" s="36" t="str">
        <f aca="false">IF($F415="","",IF($P415="Cancelada",0,IF(OR($O415&lt;&gt;"",$P415="Concluída"),1,0)))</f>
        <v/>
      </c>
    </row>
    <row r="416" customFormat="false" ht="16.5" hidden="false" customHeight="true" outlineLevel="0" collapsed="false">
      <c r="A416" s="36" t="str">
        <f aca="false">IF($F416="","",COUNTA($F$5:$F416))</f>
        <v/>
      </c>
      <c r="B416" s="37" t="str">
        <f aca="true">IF($F416="","",IF($P416="Cancelada","Cancelada",IF(OR($O416&lt;&gt;"",$P416="Concluída"),IF(OR($N416="",$O416="",$O416&lt;=$N416),"Concluída","Concluída com atraso"),IF($N416="","Na carteira",IF($N416&lt;TODAY(),"VENCIDA",IF($P416="Em execução","Em execução",IF($N416=TODAY(),"Hoje","Programada")))))))</f>
        <v/>
      </c>
      <c r="C416" s="38"/>
      <c r="D416" s="38"/>
      <c r="E416" s="38"/>
      <c r="F416" s="38"/>
      <c r="G416" s="39"/>
      <c r="H416" s="39"/>
      <c r="I416" s="40"/>
      <c r="J416" s="40"/>
      <c r="K416" s="40"/>
      <c r="L416" s="41"/>
      <c r="M416" s="42"/>
      <c r="N416" s="43" t="str">
        <f aca="false">IF(OR($L416="",$M416=""),"",$L416+MATCH($M416,Listas!$F$5:$F$11,0)-1)</f>
        <v/>
      </c>
      <c r="O416" s="44"/>
      <c r="P416" s="39"/>
      <c r="Q416" s="44"/>
      <c r="R416" s="38"/>
      <c r="S416" s="38"/>
      <c r="T416" s="36" t="str">
        <f aca="false">IF($F416="","",IF(ISNUMBER(SEARCH("(externo)",$I416&amp;$J416&amp;$K416)),"Terceirizada","Interna"))</f>
        <v/>
      </c>
      <c r="U416" s="43" t="str">
        <f aca="false">IF($N416="","",IF($Q416="",$N416,$Q416))</f>
        <v/>
      </c>
      <c r="V416" s="36" t="str">
        <f aca="false">IF($F416="","",IF(OR($O416="",$N416=""),0,IF($O416&lt;=$N416,1,0)))</f>
        <v/>
      </c>
      <c r="W416" s="36" t="str">
        <f aca="false">IF($F416="","",IF(OR($O416="",$U416=""),0,IF($O416&lt;=$U416,1,0)))</f>
        <v/>
      </c>
      <c r="X416" s="37" t="str">
        <f aca="false">IF(OR($O416="",$N416=""),"",MAX(0,$O416-$N416))</f>
        <v/>
      </c>
      <c r="Y416" s="36" t="str">
        <f aca="false">IF($F416="","",IF(AND($Q416&lt;&gt;"",$N416&lt;&gt;"",$Q416&lt;&gt;$N416),1,0))</f>
        <v/>
      </c>
      <c r="Z416" s="36" t="str">
        <f aca="false">IF($F416="","",IF($P416="Cancelada",0,IF(OR($O416&lt;&gt;"",$P416="Concluída"),1,0)))</f>
        <v/>
      </c>
    </row>
    <row r="417" customFormat="false" ht="16.5" hidden="false" customHeight="true" outlineLevel="0" collapsed="false">
      <c r="A417" s="36" t="str">
        <f aca="false">IF($F417="","",COUNTA($F$5:$F417))</f>
        <v/>
      </c>
      <c r="B417" s="37" t="str">
        <f aca="true">IF($F417="","",IF($P417="Cancelada","Cancelada",IF(OR($O417&lt;&gt;"",$P417="Concluída"),IF(OR($N417="",$O417="",$O417&lt;=$N417),"Concluída","Concluída com atraso"),IF($N417="","Na carteira",IF($N417&lt;TODAY(),"VENCIDA",IF($P417="Em execução","Em execução",IF($N417=TODAY(),"Hoje","Programada")))))))</f>
        <v/>
      </c>
      <c r="C417" s="38"/>
      <c r="D417" s="38"/>
      <c r="E417" s="38"/>
      <c r="F417" s="38"/>
      <c r="G417" s="39"/>
      <c r="H417" s="39"/>
      <c r="I417" s="40"/>
      <c r="J417" s="40"/>
      <c r="K417" s="40"/>
      <c r="L417" s="41"/>
      <c r="M417" s="42"/>
      <c r="N417" s="43" t="str">
        <f aca="false">IF(OR($L417="",$M417=""),"",$L417+MATCH($M417,Listas!$F$5:$F$11,0)-1)</f>
        <v/>
      </c>
      <c r="O417" s="44"/>
      <c r="P417" s="39"/>
      <c r="Q417" s="44"/>
      <c r="R417" s="38"/>
      <c r="S417" s="38"/>
      <c r="T417" s="36" t="str">
        <f aca="false">IF($F417="","",IF(ISNUMBER(SEARCH("(externo)",$I417&amp;$J417&amp;$K417)),"Terceirizada","Interna"))</f>
        <v/>
      </c>
      <c r="U417" s="43" t="str">
        <f aca="false">IF($N417="","",IF($Q417="",$N417,$Q417))</f>
        <v/>
      </c>
      <c r="V417" s="36" t="str">
        <f aca="false">IF($F417="","",IF(OR($O417="",$N417=""),0,IF($O417&lt;=$N417,1,0)))</f>
        <v/>
      </c>
      <c r="W417" s="36" t="str">
        <f aca="false">IF($F417="","",IF(OR($O417="",$U417=""),0,IF($O417&lt;=$U417,1,0)))</f>
        <v/>
      </c>
      <c r="X417" s="37" t="str">
        <f aca="false">IF(OR($O417="",$N417=""),"",MAX(0,$O417-$N417))</f>
        <v/>
      </c>
      <c r="Y417" s="36" t="str">
        <f aca="false">IF($F417="","",IF(AND($Q417&lt;&gt;"",$N417&lt;&gt;"",$Q417&lt;&gt;$N417),1,0))</f>
        <v/>
      </c>
      <c r="Z417" s="36" t="str">
        <f aca="false">IF($F417="","",IF($P417="Cancelada",0,IF(OR($O417&lt;&gt;"",$P417="Concluída"),1,0)))</f>
        <v/>
      </c>
    </row>
    <row r="418" customFormat="false" ht="16.5" hidden="false" customHeight="true" outlineLevel="0" collapsed="false">
      <c r="A418" s="36" t="str">
        <f aca="false">IF($F418="","",COUNTA($F$5:$F418))</f>
        <v/>
      </c>
      <c r="B418" s="37" t="str">
        <f aca="true">IF($F418="","",IF($P418="Cancelada","Cancelada",IF(OR($O418&lt;&gt;"",$P418="Concluída"),IF(OR($N418="",$O418="",$O418&lt;=$N418),"Concluída","Concluída com atraso"),IF($N418="","Na carteira",IF($N418&lt;TODAY(),"VENCIDA",IF($P418="Em execução","Em execução",IF($N418=TODAY(),"Hoje","Programada")))))))</f>
        <v/>
      </c>
      <c r="C418" s="38"/>
      <c r="D418" s="38"/>
      <c r="E418" s="38"/>
      <c r="F418" s="38"/>
      <c r="G418" s="39"/>
      <c r="H418" s="39"/>
      <c r="I418" s="40"/>
      <c r="J418" s="40"/>
      <c r="K418" s="40"/>
      <c r="L418" s="41"/>
      <c r="M418" s="42"/>
      <c r="N418" s="43" t="str">
        <f aca="false">IF(OR($L418="",$M418=""),"",$L418+MATCH($M418,Listas!$F$5:$F$11,0)-1)</f>
        <v/>
      </c>
      <c r="O418" s="44"/>
      <c r="P418" s="39"/>
      <c r="Q418" s="44"/>
      <c r="R418" s="38"/>
      <c r="S418" s="38"/>
      <c r="T418" s="36" t="str">
        <f aca="false">IF($F418="","",IF(ISNUMBER(SEARCH("(externo)",$I418&amp;$J418&amp;$K418)),"Terceirizada","Interna"))</f>
        <v/>
      </c>
      <c r="U418" s="43" t="str">
        <f aca="false">IF($N418="","",IF($Q418="",$N418,$Q418))</f>
        <v/>
      </c>
      <c r="V418" s="36" t="str">
        <f aca="false">IF($F418="","",IF(OR($O418="",$N418=""),0,IF($O418&lt;=$N418,1,0)))</f>
        <v/>
      </c>
      <c r="W418" s="36" t="str">
        <f aca="false">IF($F418="","",IF(OR($O418="",$U418=""),0,IF($O418&lt;=$U418,1,0)))</f>
        <v/>
      </c>
      <c r="X418" s="37" t="str">
        <f aca="false">IF(OR($O418="",$N418=""),"",MAX(0,$O418-$N418))</f>
        <v/>
      </c>
      <c r="Y418" s="36" t="str">
        <f aca="false">IF($F418="","",IF(AND($Q418&lt;&gt;"",$N418&lt;&gt;"",$Q418&lt;&gt;$N418),1,0))</f>
        <v/>
      </c>
      <c r="Z418" s="36" t="str">
        <f aca="false">IF($F418="","",IF($P418="Cancelada",0,IF(OR($O418&lt;&gt;"",$P418="Concluída"),1,0)))</f>
        <v/>
      </c>
    </row>
    <row r="419" customFormat="false" ht="16.5" hidden="false" customHeight="true" outlineLevel="0" collapsed="false">
      <c r="A419" s="36" t="str">
        <f aca="false">IF($F419="","",COUNTA($F$5:$F419))</f>
        <v/>
      </c>
      <c r="B419" s="37" t="str">
        <f aca="true">IF($F419="","",IF($P419="Cancelada","Cancelada",IF(OR($O419&lt;&gt;"",$P419="Concluída"),IF(OR($N419="",$O419="",$O419&lt;=$N419),"Concluída","Concluída com atraso"),IF($N419="","Na carteira",IF($N419&lt;TODAY(),"VENCIDA",IF($P419="Em execução","Em execução",IF($N419=TODAY(),"Hoje","Programada")))))))</f>
        <v/>
      </c>
      <c r="C419" s="38"/>
      <c r="D419" s="38"/>
      <c r="E419" s="38"/>
      <c r="F419" s="38"/>
      <c r="G419" s="39"/>
      <c r="H419" s="39"/>
      <c r="I419" s="40"/>
      <c r="J419" s="40"/>
      <c r="K419" s="40"/>
      <c r="L419" s="41"/>
      <c r="M419" s="42"/>
      <c r="N419" s="43" t="str">
        <f aca="false">IF(OR($L419="",$M419=""),"",$L419+MATCH($M419,Listas!$F$5:$F$11,0)-1)</f>
        <v/>
      </c>
      <c r="O419" s="44"/>
      <c r="P419" s="39"/>
      <c r="Q419" s="44"/>
      <c r="R419" s="38"/>
      <c r="S419" s="38"/>
      <c r="T419" s="36" t="str">
        <f aca="false">IF($F419="","",IF(ISNUMBER(SEARCH("(externo)",$I419&amp;$J419&amp;$K419)),"Terceirizada","Interna"))</f>
        <v/>
      </c>
      <c r="U419" s="43" t="str">
        <f aca="false">IF($N419="","",IF($Q419="",$N419,$Q419))</f>
        <v/>
      </c>
      <c r="V419" s="36" t="str">
        <f aca="false">IF($F419="","",IF(OR($O419="",$N419=""),0,IF($O419&lt;=$N419,1,0)))</f>
        <v/>
      </c>
      <c r="W419" s="36" t="str">
        <f aca="false">IF($F419="","",IF(OR($O419="",$U419=""),0,IF($O419&lt;=$U419,1,0)))</f>
        <v/>
      </c>
      <c r="X419" s="37" t="str">
        <f aca="false">IF(OR($O419="",$N419=""),"",MAX(0,$O419-$N419))</f>
        <v/>
      </c>
      <c r="Y419" s="36" t="str">
        <f aca="false">IF($F419="","",IF(AND($Q419&lt;&gt;"",$N419&lt;&gt;"",$Q419&lt;&gt;$N419),1,0))</f>
        <v/>
      </c>
      <c r="Z419" s="36" t="str">
        <f aca="false">IF($F419="","",IF($P419="Cancelada",0,IF(OR($O419&lt;&gt;"",$P419="Concluída"),1,0)))</f>
        <v/>
      </c>
    </row>
    <row r="420" customFormat="false" ht="16.5" hidden="false" customHeight="true" outlineLevel="0" collapsed="false">
      <c r="A420" s="36" t="str">
        <f aca="false">IF($F420="","",COUNTA($F$5:$F420))</f>
        <v/>
      </c>
      <c r="B420" s="37" t="str">
        <f aca="true">IF($F420="","",IF($P420="Cancelada","Cancelada",IF(OR($O420&lt;&gt;"",$P420="Concluída"),IF(OR($N420="",$O420="",$O420&lt;=$N420),"Concluída","Concluída com atraso"),IF($N420="","Na carteira",IF($N420&lt;TODAY(),"VENCIDA",IF($P420="Em execução","Em execução",IF($N420=TODAY(),"Hoje","Programada")))))))</f>
        <v/>
      </c>
      <c r="C420" s="38"/>
      <c r="D420" s="38"/>
      <c r="E420" s="38"/>
      <c r="F420" s="38"/>
      <c r="G420" s="39"/>
      <c r="H420" s="39"/>
      <c r="I420" s="40"/>
      <c r="J420" s="40"/>
      <c r="K420" s="40"/>
      <c r="L420" s="41"/>
      <c r="M420" s="42"/>
      <c r="N420" s="43" t="str">
        <f aca="false">IF(OR($L420="",$M420=""),"",$L420+MATCH($M420,Listas!$F$5:$F$11,0)-1)</f>
        <v/>
      </c>
      <c r="O420" s="44"/>
      <c r="P420" s="39"/>
      <c r="Q420" s="44"/>
      <c r="R420" s="38"/>
      <c r="S420" s="38"/>
      <c r="T420" s="36" t="str">
        <f aca="false">IF($F420="","",IF(ISNUMBER(SEARCH("(externo)",$I420&amp;$J420&amp;$K420)),"Terceirizada","Interna"))</f>
        <v/>
      </c>
      <c r="U420" s="43" t="str">
        <f aca="false">IF($N420="","",IF($Q420="",$N420,$Q420))</f>
        <v/>
      </c>
      <c r="V420" s="36" t="str">
        <f aca="false">IF($F420="","",IF(OR($O420="",$N420=""),0,IF($O420&lt;=$N420,1,0)))</f>
        <v/>
      </c>
      <c r="W420" s="36" t="str">
        <f aca="false">IF($F420="","",IF(OR($O420="",$U420=""),0,IF($O420&lt;=$U420,1,0)))</f>
        <v/>
      </c>
      <c r="X420" s="37" t="str">
        <f aca="false">IF(OR($O420="",$N420=""),"",MAX(0,$O420-$N420))</f>
        <v/>
      </c>
      <c r="Y420" s="36" t="str">
        <f aca="false">IF($F420="","",IF(AND($Q420&lt;&gt;"",$N420&lt;&gt;"",$Q420&lt;&gt;$N420),1,0))</f>
        <v/>
      </c>
      <c r="Z420" s="36" t="str">
        <f aca="false">IF($F420="","",IF($P420="Cancelada",0,IF(OR($O420&lt;&gt;"",$P420="Concluída"),1,0)))</f>
        <v/>
      </c>
    </row>
    <row r="421" customFormat="false" ht="16.5" hidden="false" customHeight="true" outlineLevel="0" collapsed="false">
      <c r="A421" s="36" t="str">
        <f aca="false">IF($F421="","",COUNTA($F$5:$F421))</f>
        <v/>
      </c>
      <c r="B421" s="37" t="str">
        <f aca="true">IF($F421="","",IF($P421="Cancelada","Cancelada",IF(OR($O421&lt;&gt;"",$P421="Concluída"),IF(OR($N421="",$O421="",$O421&lt;=$N421),"Concluída","Concluída com atraso"),IF($N421="","Na carteira",IF($N421&lt;TODAY(),"VENCIDA",IF($P421="Em execução","Em execução",IF($N421=TODAY(),"Hoje","Programada")))))))</f>
        <v/>
      </c>
      <c r="C421" s="38"/>
      <c r="D421" s="38"/>
      <c r="E421" s="38"/>
      <c r="F421" s="38"/>
      <c r="G421" s="39"/>
      <c r="H421" s="39"/>
      <c r="I421" s="40"/>
      <c r="J421" s="40"/>
      <c r="K421" s="40"/>
      <c r="L421" s="41"/>
      <c r="M421" s="42"/>
      <c r="N421" s="43" t="str">
        <f aca="false">IF(OR($L421="",$M421=""),"",$L421+MATCH($M421,Listas!$F$5:$F$11,0)-1)</f>
        <v/>
      </c>
      <c r="O421" s="44"/>
      <c r="P421" s="39"/>
      <c r="Q421" s="44"/>
      <c r="R421" s="38"/>
      <c r="S421" s="38"/>
      <c r="T421" s="36" t="str">
        <f aca="false">IF($F421="","",IF(ISNUMBER(SEARCH("(externo)",$I421&amp;$J421&amp;$K421)),"Terceirizada","Interna"))</f>
        <v/>
      </c>
      <c r="U421" s="43" t="str">
        <f aca="false">IF($N421="","",IF($Q421="",$N421,$Q421))</f>
        <v/>
      </c>
      <c r="V421" s="36" t="str">
        <f aca="false">IF($F421="","",IF(OR($O421="",$N421=""),0,IF($O421&lt;=$N421,1,0)))</f>
        <v/>
      </c>
      <c r="W421" s="36" t="str">
        <f aca="false">IF($F421="","",IF(OR($O421="",$U421=""),0,IF($O421&lt;=$U421,1,0)))</f>
        <v/>
      </c>
      <c r="X421" s="37" t="str">
        <f aca="false">IF(OR($O421="",$N421=""),"",MAX(0,$O421-$N421))</f>
        <v/>
      </c>
      <c r="Y421" s="36" t="str">
        <f aca="false">IF($F421="","",IF(AND($Q421&lt;&gt;"",$N421&lt;&gt;"",$Q421&lt;&gt;$N421),1,0))</f>
        <v/>
      </c>
      <c r="Z421" s="36" t="str">
        <f aca="false">IF($F421="","",IF($P421="Cancelada",0,IF(OR($O421&lt;&gt;"",$P421="Concluída"),1,0)))</f>
        <v/>
      </c>
    </row>
    <row r="422" customFormat="false" ht="16.5" hidden="false" customHeight="true" outlineLevel="0" collapsed="false">
      <c r="A422" s="36" t="str">
        <f aca="false">IF($F422="","",COUNTA($F$5:$F422))</f>
        <v/>
      </c>
      <c r="B422" s="37" t="str">
        <f aca="true">IF($F422="","",IF($P422="Cancelada","Cancelada",IF(OR($O422&lt;&gt;"",$P422="Concluída"),IF(OR($N422="",$O422="",$O422&lt;=$N422),"Concluída","Concluída com atraso"),IF($N422="","Na carteira",IF($N422&lt;TODAY(),"VENCIDA",IF($P422="Em execução","Em execução",IF($N422=TODAY(),"Hoje","Programada")))))))</f>
        <v/>
      </c>
      <c r="C422" s="38"/>
      <c r="D422" s="38"/>
      <c r="E422" s="38"/>
      <c r="F422" s="38"/>
      <c r="G422" s="39"/>
      <c r="H422" s="39"/>
      <c r="I422" s="40"/>
      <c r="J422" s="40"/>
      <c r="K422" s="40"/>
      <c r="L422" s="41"/>
      <c r="M422" s="42"/>
      <c r="N422" s="43" t="str">
        <f aca="false">IF(OR($L422="",$M422=""),"",$L422+MATCH($M422,Listas!$F$5:$F$11,0)-1)</f>
        <v/>
      </c>
      <c r="O422" s="44"/>
      <c r="P422" s="39"/>
      <c r="Q422" s="44"/>
      <c r="R422" s="38"/>
      <c r="S422" s="38"/>
      <c r="T422" s="36" t="str">
        <f aca="false">IF($F422="","",IF(ISNUMBER(SEARCH("(externo)",$I422&amp;$J422&amp;$K422)),"Terceirizada","Interna"))</f>
        <v/>
      </c>
      <c r="U422" s="43" t="str">
        <f aca="false">IF($N422="","",IF($Q422="",$N422,$Q422))</f>
        <v/>
      </c>
      <c r="V422" s="36" t="str">
        <f aca="false">IF($F422="","",IF(OR($O422="",$N422=""),0,IF($O422&lt;=$N422,1,0)))</f>
        <v/>
      </c>
      <c r="W422" s="36" t="str">
        <f aca="false">IF($F422="","",IF(OR($O422="",$U422=""),0,IF($O422&lt;=$U422,1,0)))</f>
        <v/>
      </c>
      <c r="X422" s="37" t="str">
        <f aca="false">IF(OR($O422="",$N422=""),"",MAX(0,$O422-$N422))</f>
        <v/>
      </c>
      <c r="Y422" s="36" t="str">
        <f aca="false">IF($F422="","",IF(AND($Q422&lt;&gt;"",$N422&lt;&gt;"",$Q422&lt;&gt;$N422),1,0))</f>
        <v/>
      </c>
      <c r="Z422" s="36" t="str">
        <f aca="false">IF($F422="","",IF($P422="Cancelada",0,IF(OR($O422&lt;&gt;"",$P422="Concluída"),1,0)))</f>
        <v/>
      </c>
    </row>
    <row r="423" customFormat="false" ht="16.5" hidden="false" customHeight="true" outlineLevel="0" collapsed="false">
      <c r="A423" s="36" t="str">
        <f aca="false">IF($F423="","",COUNTA($F$5:$F423))</f>
        <v/>
      </c>
      <c r="B423" s="37" t="str">
        <f aca="true">IF($F423="","",IF($P423="Cancelada","Cancelada",IF(OR($O423&lt;&gt;"",$P423="Concluída"),IF(OR($N423="",$O423="",$O423&lt;=$N423),"Concluída","Concluída com atraso"),IF($N423="","Na carteira",IF($N423&lt;TODAY(),"VENCIDA",IF($P423="Em execução","Em execução",IF($N423=TODAY(),"Hoje","Programada")))))))</f>
        <v/>
      </c>
      <c r="C423" s="38"/>
      <c r="D423" s="38"/>
      <c r="E423" s="38"/>
      <c r="F423" s="38"/>
      <c r="G423" s="39"/>
      <c r="H423" s="39"/>
      <c r="I423" s="40"/>
      <c r="J423" s="40"/>
      <c r="K423" s="40"/>
      <c r="L423" s="41"/>
      <c r="M423" s="42"/>
      <c r="N423" s="43" t="str">
        <f aca="false">IF(OR($L423="",$M423=""),"",$L423+MATCH($M423,Listas!$F$5:$F$11,0)-1)</f>
        <v/>
      </c>
      <c r="O423" s="44"/>
      <c r="P423" s="39"/>
      <c r="Q423" s="44"/>
      <c r="R423" s="38"/>
      <c r="S423" s="38"/>
      <c r="T423" s="36" t="str">
        <f aca="false">IF($F423="","",IF(ISNUMBER(SEARCH("(externo)",$I423&amp;$J423&amp;$K423)),"Terceirizada","Interna"))</f>
        <v/>
      </c>
      <c r="U423" s="43" t="str">
        <f aca="false">IF($N423="","",IF($Q423="",$N423,$Q423))</f>
        <v/>
      </c>
      <c r="V423" s="36" t="str">
        <f aca="false">IF($F423="","",IF(OR($O423="",$N423=""),0,IF($O423&lt;=$N423,1,0)))</f>
        <v/>
      </c>
      <c r="W423" s="36" t="str">
        <f aca="false">IF($F423="","",IF(OR($O423="",$U423=""),0,IF($O423&lt;=$U423,1,0)))</f>
        <v/>
      </c>
      <c r="X423" s="37" t="str">
        <f aca="false">IF(OR($O423="",$N423=""),"",MAX(0,$O423-$N423))</f>
        <v/>
      </c>
      <c r="Y423" s="36" t="str">
        <f aca="false">IF($F423="","",IF(AND($Q423&lt;&gt;"",$N423&lt;&gt;"",$Q423&lt;&gt;$N423),1,0))</f>
        <v/>
      </c>
      <c r="Z423" s="36" t="str">
        <f aca="false">IF($F423="","",IF($P423="Cancelada",0,IF(OR($O423&lt;&gt;"",$P423="Concluída"),1,0)))</f>
        <v/>
      </c>
    </row>
    <row r="424" customFormat="false" ht="16.5" hidden="false" customHeight="true" outlineLevel="0" collapsed="false">
      <c r="A424" s="36" t="str">
        <f aca="false">IF($F424="","",COUNTA($F$5:$F424))</f>
        <v/>
      </c>
      <c r="B424" s="37" t="str">
        <f aca="true">IF($F424="","",IF($P424="Cancelada","Cancelada",IF(OR($O424&lt;&gt;"",$P424="Concluída"),IF(OR($N424="",$O424="",$O424&lt;=$N424),"Concluída","Concluída com atraso"),IF($N424="","Na carteira",IF($N424&lt;TODAY(),"VENCIDA",IF($P424="Em execução","Em execução",IF($N424=TODAY(),"Hoje","Programada")))))))</f>
        <v/>
      </c>
      <c r="C424" s="38"/>
      <c r="D424" s="38"/>
      <c r="E424" s="38"/>
      <c r="F424" s="38"/>
      <c r="G424" s="39"/>
      <c r="H424" s="39"/>
      <c r="I424" s="40"/>
      <c r="J424" s="40"/>
      <c r="K424" s="40"/>
      <c r="L424" s="41"/>
      <c r="M424" s="42"/>
      <c r="N424" s="43" t="str">
        <f aca="false">IF(OR($L424="",$M424=""),"",$L424+MATCH($M424,Listas!$F$5:$F$11,0)-1)</f>
        <v/>
      </c>
      <c r="O424" s="44"/>
      <c r="P424" s="39"/>
      <c r="Q424" s="44"/>
      <c r="R424" s="38"/>
      <c r="S424" s="38"/>
      <c r="T424" s="36" t="str">
        <f aca="false">IF($F424="","",IF(ISNUMBER(SEARCH("(externo)",$I424&amp;$J424&amp;$K424)),"Terceirizada","Interna"))</f>
        <v/>
      </c>
      <c r="U424" s="43" t="str">
        <f aca="false">IF($N424="","",IF($Q424="",$N424,$Q424))</f>
        <v/>
      </c>
      <c r="V424" s="36" t="str">
        <f aca="false">IF($F424="","",IF(OR($O424="",$N424=""),0,IF($O424&lt;=$N424,1,0)))</f>
        <v/>
      </c>
      <c r="W424" s="36" t="str">
        <f aca="false">IF($F424="","",IF(OR($O424="",$U424=""),0,IF($O424&lt;=$U424,1,0)))</f>
        <v/>
      </c>
      <c r="X424" s="37" t="str">
        <f aca="false">IF(OR($O424="",$N424=""),"",MAX(0,$O424-$N424))</f>
        <v/>
      </c>
      <c r="Y424" s="36" t="str">
        <f aca="false">IF($F424="","",IF(AND($Q424&lt;&gt;"",$N424&lt;&gt;"",$Q424&lt;&gt;$N424),1,0))</f>
        <v/>
      </c>
      <c r="Z424" s="36" t="str">
        <f aca="false">IF($F424="","",IF($P424="Cancelada",0,IF(OR($O424&lt;&gt;"",$P424="Concluída"),1,0)))</f>
        <v/>
      </c>
    </row>
    <row r="425" customFormat="false" ht="16.5" hidden="false" customHeight="true" outlineLevel="0" collapsed="false">
      <c r="A425" s="36" t="str">
        <f aca="false">IF($F425="","",COUNTA($F$5:$F425))</f>
        <v/>
      </c>
      <c r="B425" s="37" t="str">
        <f aca="true">IF($F425="","",IF($P425="Cancelada","Cancelada",IF(OR($O425&lt;&gt;"",$P425="Concluída"),IF(OR($N425="",$O425="",$O425&lt;=$N425),"Concluída","Concluída com atraso"),IF($N425="","Na carteira",IF($N425&lt;TODAY(),"VENCIDA",IF($P425="Em execução","Em execução",IF($N425=TODAY(),"Hoje","Programada")))))))</f>
        <v/>
      </c>
      <c r="C425" s="38"/>
      <c r="D425" s="38"/>
      <c r="E425" s="38"/>
      <c r="F425" s="38"/>
      <c r="G425" s="39"/>
      <c r="H425" s="39"/>
      <c r="I425" s="40"/>
      <c r="J425" s="40"/>
      <c r="K425" s="40"/>
      <c r="L425" s="41"/>
      <c r="M425" s="42"/>
      <c r="N425" s="43" t="str">
        <f aca="false">IF(OR($L425="",$M425=""),"",$L425+MATCH($M425,Listas!$F$5:$F$11,0)-1)</f>
        <v/>
      </c>
      <c r="O425" s="44"/>
      <c r="P425" s="39"/>
      <c r="Q425" s="44"/>
      <c r="R425" s="38"/>
      <c r="S425" s="38"/>
      <c r="T425" s="36" t="str">
        <f aca="false">IF($F425="","",IF(ISNUMBER(SEARCH("(externo)",$I425&amp;$J425&amp;$K425)),"Terceirizada","Interna"))</f>
        <v/>
      </c>
      <c r="U425" s="43" t="str">
        <f aca="false">IF($N425="","",IF($Q425="",$N425,$Q425))</f>
        <v/>
      </c>
      <c r="V425" s="36" t="str">
        <f aca="false">IF($F425="","",IF(OR($O425="",$N425=""),0,IF($O425&lt;=$N425,1,0)))</f>
        <v/>
      </c>
      <c r="W425" s="36" t="str">
        <f aca="false">IF($F425="","",IF(OR($O425="",$U425=""),0,IF($O425&lt;=$U425,1,0)))</f>
        <v/>
      </c>
      <c r="X425" s="37" t="str">
        <f aca="false">IF(OR($O425="",$N425=""),"",MAX(0,$O425-$N425))</f>
        <v/>
      </c>
      <c r="Y425" s="36" t="str">
        <f aca="false">IF($F425="","",IF(AND($Q425&lt;&gt;"",$N425&lt;&gt;"",$Q425&lt;&gt;$N425),1,0))</f>
        <v/>
      </c>
      <c r="Z425" s="36" t="str">
        <f aca="false">IF($F425="","",IF($P425="Cancelada",0,IF(OR($O425&lt;&gt;"",$P425="Concluída"),1,0)))</f>
        <v/>
      </c>
    </row>
    <row r="426" customFormat="false" ht="16.5" hidden="false" customHeight="true" outlineLevel="0" collapsed="false">
      <c r="A426" s="36" t="str">
        <f aca="false">IF($F426="","",COUNTA($F$5:$F426))</f>
        <v/>
      </c>
      <c r="B426" s="37" t="str">
        <f aca="true">IF($F426="","",IF($P426="Cancelada","Cancelada",IF(OR($O426&lt;&gt;"",$P426="Concluída"),IF(OR($N426="",$O426="",$O426&lt;=$N426),"Concluída","Concluída com atraso"),IF($N426="","Na carteira",IF($N426&lt;TODAY(),"VENCIDA",IF($P426="Em execução","Em execução",IF($N426=TODAY(),"Hoje","Programada")))))))</f>
        <v/>
      </c>
      <c r="C426" s="38"/>
      <c r="D426" s="38"/>
      <c r="E426" s="38"/>
      <c r="F426" s="38"/>
      <c r="G426" s="39"/>
      <c r="H426" s="39"/>
      <c r="I426" s="40"/>
      <c r="J426" s="40"/>
      <c r="K426" s="40"/>
      <c r="L426" s="41"/>
      <c r="M426" s="42"/>
      <c r="N426" s="43" t="str">
        <f aca="false">IF(OR($L426="",$M426=""),"",$L426+MATCH($M426,Listas!$F$5:$F$11,0)-1)</f>
        <v/>
      </c>
      <c r="O426" s="44"/>
      <c r="P426" s="39"/>
      <c r="Q426" s="44"/>
      <c r="R426" s="38"/>
      <c r="S426" s="38"/>
      <c r="T426" s="36" t="str">
        <f aca="false">IF($F426="","",IF(ISNUMBER(SEARCH("(externo)",$I426&amp;$J426&amp;$K426)),"Terceirizada","Interna"))</f>
        <v/>
      </c>
      <c r="U426" s="43" t="str">
        <f aca="false">IF($N426="","",IF($Q426="",$N426,$Q426))</f>
        <v/>
      </c>
      <c r="V426" s="36" t="str">
        <f aca="false">IF($F426="","",IF(OR($O426="",$N426=""),0,IF($O426&lt;=$N426,1,0)))</f>
        <v/>
      </c>
      <c r="W426" s="36" t="str">
        <f aca="false">IF($F426="","",IF(OR($O426="",$U426=""),0,IF($O426&lt;=$U426,1,0)))</f>
        <v/>
      </c>
      <c r="X426" s="37" t="str">
        <f aca="false">IF(OR($O426="",$N426=""),"",MAX(0,$O426-$N426))</f>
        <v/>
      </c>
      <c r="Y426" s="36" t="str">
        <f aca="false">IF($F426="","",IF(AND($Q426&lt;&gt;"",$N426&lt;&gt;"",$Q426&lt;&gt;$N426),1,0))</f>
        <v/>
      </c>
      <c r="Z426" s="36" t="str">
        <f aca="false">IF($F426="","",IF($P426="Cancelada",0,IF(OR($O426&lt;&gt;"",$P426="Concluída"),1,0)))</f>
        <v/>
      </c>
    </row>
    <row r="427" customFormat="false" ht="16.5" hidden="false" customHeight="true" outlineLevel="0" collapsed="false">
      <c r="A427" s="36" t="str">
        <f aca="false">IF($F427="","",COUNTA($F$5:$F427))</f>
        <v/>
      </c>
      <c r="B427" s="37" t="str">
        <f aca="true">IF($F427="","",IF($P427="Cancelada","Cancelada",IF(OR($O427&lt;&gt;"",$P427="Concluída"),IF(OR($N427="",$O427="",$O427&lt;=$N427),"Concluída","Concluída com atraso"),IF($N427="","Na carteira",IF($N427&lt;TODAY(),"VENCIDA",IF($P427="Em execução","Em execução",IF($N427=TODAY(),"Hoje","Programada")))))))</f>
        <v/>
      </c>
      <c r="C427" s="38"/>
      <c r="D427" s="38"/>
      <c r="E427" s="38"/>
      <c r="F427" s="38"/>
      <c r="G427" s="39"/>
      <c r="H427" s="39"/>
      <c r="I427" s="40"/>
      <c r="J427" s="40"/>
      <c r="K427" s="40"/>
      <c r="L427" s="41"/>
      <c r="M427" s="42"/>
      <c r="N427" s="43" t="str">
        <f aca="false">IF(OR($L427="",$M427=""),"",$L427+MATCH($M427,Listas!$F$5:$F$11,0)-1)</f>
        <v/>
      </c>
      <c r="O427" s="44"/>
      <c r="P427" s="39"/>
      <c r="Q427" s="44"/>
      <c r="R427" s="38"/>
      <c r="S427" s="38"/>
      <c r="T427" s="36" t="str">
        <f aca="false">IF($F427="","",IF(ISNUMBER(SEARCH("(externo)",$I427&amp;$J427&amp;$K427)),"Terceirizada","Interna"))</f>
        <v/>
      </c>
      <c r="U427" s="43" t="str">
        <f aca="false">IF($N427="","",IF($Q427="",$N427,$Q427))</f>
        <v/>
      </c>
      <c r="V427" s="36" t="str">
        <f aca="false">IF($F427="","",IF(OR($O427="",$N427=""),0,IF($O427&lt;=$N427,1,0)))</f>
        <v/>
      </c>
      <c r="W427" s="36" t="str">
        <f aca="false">IF($F427="","",IF(OR($O427="",$U427=""),0,IF($O427&lt;=$U427,1,0)))</f>
        <v/>
      </c>
      <c r="X427" s="37" t="str">
        <f aca="false">IF(OR($O427="",$N427=""),"",MAX(0,$O427-$N427))</f>
        <v/>
      </c>
      <c r="Y427" s="36" t="str">
        <f aca="false">IF($F427="","",IF(AND($Q427&lt;&gt;"",$N427&lt;&gt;"",$Q427&lt;&gt;$N427),1,0))</f>
        <v/>
      </c>
      <c r="Z427" s="36" t="str">
        <f aca="false">IF($F427="","",IF($P427="Cancelada",0,IF(OR($O427&lt;&gt;"",$P427="Concluída"),1,0)))</f>
        <v/>
      </c>
    </row>
    <row r="428" customFormat="false" ht="16.5" hidden="false" customHeight="true" outlineLevel="0" collapsed="false">
      <c r="A428" s="36" t="str">
        <f aca="false">IF($F428="","",COUNTA($F$5:$F428))</f>
        <v/>
      </c>
      <c r="B428" s="37" t="str">
        <f aca="true">IF($F428="","",IF($P428="Cancelada","Cancelada",IF(OR($O428&lt;&gt;"",$P428="Concluída"),IF(OR($N428="",$O428="",$O428&lt;=$N428),"Concluída","Concluída com atraso"),IF($N428="","Na carteira",IF($N428&lt;TODAY(),"VENCIDA",IF($P428="Em execução","Em execução",IF($N428=TODAY(),"Hoje","Programada")))))))</f>
        <v/>
      </c>
      <c r="C428" s="38"/>
      <c r="D428" s="38"/>
      <c r="E428" s="38"/>
      <c r="F428" s="38"/>
      <c r="G428" s="39"/>
      <c r="H428" s="39"/>
      <c r="I428" s="40"/>
      <c r="J428" s="40"/>
      <c r="K428" s="40"/>
      <c r="L428" s="41"/>
      <c r="M428" s="42"/>
      <c r="N428" s="43" t="str">
        <f aca="false">IF(OR($L428="",$M428=""),"",$L428+MATCH($M428,Listas!$F$5:$F$11,0)-1)</f>
        <v/>
      </c>
      <c r="O428" s="44"/>
      <c r="P428" s="39"/>
      <c r="Q428" s="44"/>
      <c r="R428" s="38"/>
      <c r="S428" s="38"/>
      <c r="T428" s="36" t="str">
        <f aca="false">IF($F428="","",IF(ISNUMBER(SEARCH("(externo)",$I428&amp;$J428&amp;$K428)),"Terceirizada","Interna"))</f>
        <v/>
      </c>
      <c r="U428" s="43" t="str">
        <f aca="false">IF($N428="","",IF($Q428="",$N428,$Q428))</f>
        <v/>
      </c>
      <c r="V428" s="36" t="str">
        <f aca="false">IF($F428="","",IF(OR($O428="",$N428=""),0,IF($O428&lt;=$N428,1,0)))</f>
        <v/>
      </c>
      <c r="W428" s="36" t="str">
        <f aca="false">IF($F428="","",IF(OR($O428="",$U428=""),0,IF($O428&lt;=$U428,1,0)))</f>
        <v/>
      </c>
      <c r="X428" s="37" t="str">
        <f aca="false">IF(OR($O428="",$N428=""),"",MAX(0,$O428-$N428))</f>
        <v/>
      </c>
      <c r="Y428" s="36" t="str">
        <f aca="false">IF($F428="","",IF(AND($Q428&lt;&gt;"",$N428&lt;&gt;"",$Q428&lt;&gt;$N428),1,0))</f>
        <v/>
      </c>
      <c r="Z428" s="36" t="str">
        <f aca="false">IF($F428="","",IF($P428="Cancelada",0,IF(OR($O428&lt;&gt;"",$P428="Concluída"),1,0)))</f>
        <v/>
      </c>
    </row>
    <row r="429" customFormat="false" ht="16.5" hidden="false" customHeight="true" outlineLevel="0" collapsed="false">
      <c r="A429" s="36" t="str">
        <f aca="false">IF($F429="","",COUNTA($F$5:$F429))</f>
        <v/>
      </c>
      <c r="B429" s="37" t="str">
        <f aca="true">IF($F429="","",IF($P429="Cancelada","Cancelada",IF(OR($O429&lt;&gt;"",$P429="Concluída"),IF(OR($N429="",$O429="",$O429&lt;=$N429),"Concluída","Concluída com atraso"),IF($N429="","Na carteira",IF($N429&lt;TODAY(),"VENCIDA",IF($P429="Em execução","Em execução",IF($N429=TODAY(),"Hoje","Programada")))))))</f>
        <v/>
      </c>
      <c r="C429" s="38"/>
      <c r="D429" s="38"/>
      <c r="E429" s="38"/>
      <c r="F429" s="38"/>
      <c r="G429" s="39"/>
      <c r="H429" s="39"/>
      <c r="I429" s="40"/>
      <c r="J429" s="40"/>
      <c r="K429" s="40"/>
      <c r="L429" s="41"/>
      <c r="M429" s="42"/>
      <c r="N429" s="43" t="str">
        <f aca="false">IF(OR($L429="",$M429=""),"",$L429+MATCH($M429,Listas!$F$5:$F$11,0)-1)</f>
        <v/>
      </c>
      <c r="O429" s="44"/>
      <c r="P429" s="39"/>
      <c r="Q429" s="44"/>
      <c r="R429" s="38"/>
      <c r="S429" s="38"/>
      <c r="T429" s="36" t="str">
        <f aca="false">IF($F429="","",IF(ISNUMBER(SEARCH("(externo)",$I429&amp;$J429&amp;$K429)),"Terceirizada","Interna"))</f>
        <v/>
      </c>
      <c r="U429" s="43" t="str">
        <f aca="false">IF($N429="","",IF($Q429="",$N429,$Q429))</f>
        <v/>
      </c>
      <c r="V429" s="36" t="str">
        <f aca="false">IF($F429="","",IF(OR($O429="",$N429=""),0,IF($O429&lt;=$N429,1,0)))</f>
        <v/>
      </c>
      <c r="W429" s="36" t="str">
        <f aca="false">IF($F429="","",IF(OR($O429="",$U429=""),0,IF($O429&lt;=$U429,1,0)))</f>
        <v/>
      </c>
      <c r="X429" s="37" t="str">
        <f aca="false">IF(OR($O429="",$N429=""),"",MAX(0,$O429-$N429))</f>
        <v/>
      </c>
      <c r="Y429" s="36" t="str">
        <f aca="false">IF($F429="","",IF(AND($Q429&lt;&gt;"",$N429&lt;&gt;"",$Q429&lt;&gt;$N429),1,0))</f>
        <v/>
      </c>
      <c r="Z429" s="36" t="str">
        <f aca="false">IF($F429="","",IF($P429="Cancelada",0,IF(OR($O429&lt;&gt;"",$P429="Concluída"),1,0)))</f>
        <v/>
      </c>
    </row>
    <row r="430" customFormat="false" ht="16.5" hidden="false" customHeight="true" outlineLevel="0" collapsed="false">
      <c r="A430" s="36" t="str">
        <f aca="false">IF($F430="","",COUNTA($F$5:$F430))</f>
        <v/>
      </c>
      <c r="B430" s="37" t="str">
        <f aca="true">IF($F430="","",IF($P430="Cancelada","Cancelada",IF(OR($O430&lt;&gt;"",$P430="Concluída"),IF(OR($N430="",$O430="",$O430&lt;=$N430),"Concluída","Concluída com atraso"),IF($N430="","Na carteira",IF($N430&lt;TODAY(),"VENCIDA",IF($P430="Em execução","Em execução",IF($N430=TODAY(),"Hoje","Programada")))))))</f>
        <v/>
      </c>
      <c r="C430" s="38"/>
      <c r="D430" s="38"/>
      <c r="E430" s="38"/>
      <c r="F430" s="38"/>
      <c r="G430" s="39"/>
      <c r="H430" s="39"/>
      <c r="I430" s="40"/>
      <c r="J430" s="40"/>
      <c r="K430" s="40"/>
      <c r="L430" s="41"/>
      <c r="M430" s="42"/>
      <c r="N430" s="43" t="str">
        <f aca="false">IF(OR($L430="",$M430=""),"",$L430+MATCH($M430,Listas!$F$5:$F$11,0)-1)</f>
        <v/>
      </c>
      <c r="O430" s="44"/>
      <c r="P430" s="39"/>
      <c r="Q430" s="44"/>
      <c r="R430" s="38"/>
      <c r="S430" s="38"/>
      <c r="T430" s="36" t="str">
        <f aca="false">IF($F430="","",IF(ISNUMBER(SEARCH("(externo)",$I430&amp;$J430&amp;$K430)),"Terceirizada","Interna"))</f>
        <v/>
      </c>
      <c r="U430" s="43" t="str">
        <f aca="false">IF($N430="","",IF($Q430="",$N430,$Q430))</f>
        <v/>
      </c>
      <c r="V430" s="36" t="str">
        <f aca="false">IF($F430="","",IF(OR($O430="",$N430=""),0,IF($O430&lt;=$N430,1,0)))</f>
        <v/>
      </c>
      <c r="W430" s="36" t="str">
        <f aca="false">IF($F430="","",IF(OR($O430="",$U430=""),0,IF($O430&lt;=$U430,1,0)))</f>
        <v/>
      </c>
      <c r="X430" s="37" t="str">
        <f aca="false">IF(OR($O430="",$N430=""),"",MAX(0,$O430-$N430))</f>
        <v/>
      </c>
      <c r="Y430" s="36" t="str">
        <f aca="false">IF($F430="","",IF(AND($Q430&lt;&gt;"",$N430&lt;&gt;"",$Q430&lt;&gt;$N430),1,0))</f>
        <v/>
      </c>
      <c r="Z430" s="36" t="str">
        <f aca="false">IF($F430="","",IF($P430="Cancelada",0,IF(OR($O430&lt;&gt;"",$P430="Concluída"),1,0)))</f>
        <v/>
      </c>
    </row>
    <row r="431" customFormat="false" ht="16.5" hidden="false" customHeight="true" outlineLevel="0" collapsed="false">
      <c r="A431" s="36" t="str">
        <f aca="false">IF($F431="","",COUNTA($F$5:$F431))</f>
        <v/>
      </c>
      <c r="B431" s="37" t="str">
        <f aca="true">IF($F431="","",IF($P431="Cancelada","Cancelada",IF(OR($O431&lt;&gt;"",$P431="Concluída"),IF(OR($N431="",$O431="",$O431&lt;=$N431),"Concluída","Concluída com atraso"),IF($N431="","Na carteira",IF($N431&lt;TODAY(),"VENCIDA",IF($P431="Em execução","Em execução",IF($N431=TODAY(),"Hoje","Programada")))))))</f>
        <v/>
      </c>
      <c r="C431" s="38"/>
      <c r="D431" s="38"/>
      <c r="E431" s="38"/>
      <c r="F431" s="38"/>
      <c r="G431" s="39"/>
      <c r="H431" s="39"/>
      <c r="I431" s="40"/>
      <c r="J431" s="40"/>
      <c r="K431" s="40"/>
      <c r="L431" s="41"/>
      <c r="M431" s="42"/>
      <c r="N431" s="43" t="str">
        <f aca="false">IF(OR($L431="",$M431=""),"",$L431+MATCH($M431,Listas!$F$5:$F$11,0)-1)</f>
        <v/>
      </c>
      <c r="O431" s="44"/>
      <c r="P431" s="39"/>
      <c r="Q431" s="44"/>
      <c r="R431" s="38"/>
      <c r="S431" s="38"/>
      <c r="T431" s="36" t="str">
        <f aca="false">IF($F431="","",IF(ISNUMBER(SEARCH("(externo)",$I431&amp;$J431&amp;$K431)),"Terceirizada","Interna"))</f>
        <v/>
      </c>
      <c r="U431" s="43" t="str">
        <f aca="false">IF($N431="","",IF($Q431="",$N431,$Q431))</f>
        <v/>
      </c>
      <c r="V431" s="36" t="str">
        <f aca="false">IF($F431="","",IF(OR($O431="",$N431=""),0,IF($O431&lt;=$N431,1,0)))</f>
        <v/>
      </c>
      <c r="W431" s="36" t="str">
        <f aca="false">IF($F431="","",IF(OR($O431="",$U431=""),0,IF($O431&lt;=$U431,1,0)))</f>
        <v/>
      </c>
      <c r="X431" s="37" t="str">
        <f aca="false">IF(OR($O431="",$N431=""),"",MAX(0,$O431-$N431))</f>
        <v/>
      </c>
      <c r="Y431" s="36" t="str">
        <f aca="false">IF($F431="","",IF(AND($Q431&lt;&gt;"",$N431&lt;&gt;"",$Q431&lt;&gt;$N431),1,0))</f>
        <v/>
      </c>
      <c r="Z431" s="36" t="str">
        <f aca="false">IF($F431="","",IF($P431="Cancelada",0,IF(OR($O431&lt;&gt;"",$P431="Concluída"),1,0)))</f>
        <v/>
      </c>
    </row>
    <row r="432" customFormat="false" ht="16.5" hidden="false" customHeight="true" outlineLevel="0" collapsed="false">
      <c r="A432" s="36" t="str">
        <f aca="false">IF($F432="","",COUNTA($F$5:$F432))</f>
        <v/>
      </c>
      <c r="B432" s="37" t="str">
        <f aca="true">IF($F432="","",IF($P432="Cancelada","Cancelada",IF(OR($O432&lt;&gt;"",$P432="Concluída"),IF(OR($N432="",$O432="",$O432&lt;=$N432),"Concluída","Concluída com atraso"),IF($N432="","Na carteira",IF($N432&lt;TODAY(),"VENCIDA",IF($P432="Em execução","Em execução",IF($N432=TODAY(),"Hoje","Programada")))))))</f>
        <v/>
      </c>
      <c r="C432" s="38"/>
      <c r="D432" s="38"/>
      <c r="E432" s="38"/>
      <c r="F432" s="38"/>
      <c r="G432" s="39"/>
      <c r="H432" s="39"/>
      <c r="I432" s="40"/>
      <c r="J432" s="40"/>
      <c r="K432" s="40"/>
      <c r="L432" s="41"/>
      <c r="M432" s="42"/>
      <c r="N432" s="43" t="str">
        <f aca="false">IF(OR($L432="",$M432=""),"",$L432+MATCH($M432,Listas!$F$5:$F$11,0)-1)</f>
        <v/>
      </c>
      <c r="O432" s="44"/>
      <c r="P432" s="39"/>
      <c r="Q432" s="44"/>
      <c r="R432" s="38"/>
      <c r="S432" s="38"/>
      <c r="T432" s="36" t="str">
        <f aca="false">IF($F432="","",IF(ISNUMBER(SEARCH("(externo)",$I432&amp;$J432&amp;$K432)),"Terceirizada","Interna"))</f>
        <v/>
      </c>
      <c r="U432" s="43" t="str">
        <f aca="false">IF($N432="","",IF($Q432="",$N432,$Q432))</f>
        <v/>
      </c>
      <c r="V432" s="36" t="str">
        <f aca="false">IF($F432="","",IF(OR($O432="",$N432=""),0,IF($O432&lt;=$N432,1,0)))</f>
        <v/>
      </c>
      <c r="W432" s="36" t="str">
        <f aca="false">IF($F432="","",IF(OR($O432="",$U432=""),0,IF($O432&lt;=$U432,1,0)))</f>
        <v/>
      </c>
      <c r="X432" s="37" t="str">
        <f aca="false">IF(OR($O432="",$N432=""),"",MAX(0,$O432-$N432))</f>
        <v/>
      </c>
      <c r="Y432" s="36" t="str">
        <f aca="false">IF($F432="","",IF(AND($Q432&lt;&gt;"",$N432&lt;&gt;"",$Q432&lt;&gt;$N432),1,0))</f>
        <v/>
      </c>
      <c r="Z432" s="36" t="str">
        <f aca="false">IF($F432="","",IF($P432="Cancelada",0,IF(OR($O432&lt;&gt;"",$P432="Concluída"),1,0)))</f>
        <v/>
      </c>
    </row>
    <row r="433" customFormat="false" ht="16.5" hidden="false" customHeight="true" outlineLevel="0" collapsed="false">
      <c r="A433" s="36" t="str">
        <f aca="false">IF($F433="","",COUNTA($F$5:$F433))</f>
        <v/>
      </c>
      <c r="B433" s="37" t="str">
        <f aca="true">IF($F433="","",IF($P433="Cancelada","Cancelada",IF(OR($O433&lt;&gt;"",$P433="Concluída"),IF(OR($N433="",$O433="",$O433&lt;=$N433),"Concluída","Concluída com atraso"),IF($N433="","Na carteira",IF($N433&lt;TODAY(),"VENCIDA",IF($P433="Em execução","Em execução",IF($N433=TODAY(),"Hoje","Programada")))))))</f>
        <v/>
      </c>
      <c r="C433" s="38"/>
      <c r="D433" s="38"/>
      <c r="E433" s="38"/>
      <c r="F433" s="38"/>
      <c r="G433" s="39"/>
      <c r="H433" s="39"/>
      <c r="I433" s="40"/>
      <c r="J433" s="40"/>
      <c r="K433" s="40"/>
      <c r="L433" s="41"/>
      <c r="M433" s="42"/>
      <c r="N433" s="43" t="str">
        <f aca="false">IF(OR($L433="",$M433=""),"",$L433+MATCH($M433,Listas!$F$5:$F$11,0)-1)</f>
        <v/>
      </c>
      <c r="O433" s="44"/>
      <c r="P433" s="39"/>
      <c r="Q433" s="44"/>
      <c r="R433" s="38"/>
      <c r="S433" s="38"/>
      <c r="T433" s="36" t="str">
        <f aca="false">IF($F433="","",IF(ISNUMBER(SEARCH("(externo)",$I433&amp;$J433&amp;$K433)),"Terceirizada","Interna"))</f>
        <v/>
      </c>
      <c r="U433" s="43" t="str">
        <f aca="false">IF($N433="","",IF($Q433="",$N433,$Q433))</f>
        <v/>
      </c>
      <c r="V433" s="36" t="str">
        <f aca="false">IF($F433="","",IF(OR($O433="",$N433=""),0,IF($O433&lt;=$N433,1,0)))</f>
        <v/>
      </c>
      <c r="W433" s="36" t="str">
        <f aca="false">IF($F433="","",IF(OR($O433="",$U433=""),0,IF($O433&lt;=$U433,1,0)))</f>
        <v/>
      </c>
      <c r="X433" s="37" t="str">
        <f aca="false">IF(OR($O433="",$N433=""),"",MAX(0,$O433-$N433))</f>
        <v/>
      </c>
      <c r="Y433" s="36" t="str">
        <f aca="false">IF($F433="","",IF(AND($Q433&lt;&gt;"",$N433&lt;&gt;"",$Q433&lt;&gt;$N433),1,0))</f>
        <v/>
      </c>
      <c r="Z433" s="36" t="str">
        <f aca="false">IF($F433="","",IF($P433="Cancelada",0,IF(OR($O433&lt;&gt;"",$P433="Concluída"),1,0)))</f>
        <v/>
      </c>
    </row>
    <row r="434" customFormat="false" ht="16.5" hidden="false" customHeight="true" outlineLevel="0" collapsed="false">
      <c r="A434" s="36" t="str">
        <f aca="false">IF($F434="","",COUNTA($F$5:$F434))</f>
        <v/>
      </c>
      <c r="B434" s="37" t="str">
        <f aca="true">IF($F434="","",IF($P434="Cancelada","Cancelada",IF(OR($O434&lt;&gt;"",$P434="Concluída"),IF(OR($N434="",$O434="",$O434&lt;=$N434),"Concluída","Concluída com atraso"),IF($N434="","Na carteira",IF($N434&lt;TODAY(),"VENCIDA",IF($P434="Em execução","Em execução",IF($N434=TODAY(),"Hoje","Programada")))))))</f>
        <v/>
      </c>
      <c r="C434" s="38"/>
      <c r="D434" s="38"/>
      <c r="E434" s="38"/>
      <c r="F434" s="38"/>
      <c r="G434" s="39"/>
      <c r="H434" s="39"/>
      <c r="I434" s="40"/>
      <c r="J434" s="40"/>
      <c r="K434" s="40"/>
      <c r="L434" s="41"/>
      <c r="M434" s="42"/>
      <c r="N434" s="43" t="str">
        <f aca="false">IF(OR($L434="",$M434=""),"",$L434+MATCH($M434,Listas!$F$5:$F$11,0)-1)</f>
        <v/>
      </c>
      <c r="O434" s="44"/>
      <c r="P434" s="39"/>
      <c r="Q434" s="44"/>
      <c r="R434" s="38"/>
      <c r="S434" s="38"/>
      <c r="T434" s="36" t="str">
        <f aca="false">IF($F434="","",IF(ISNUMBER(SEARCH("(externo)",$I434&amp;$J434&amp;$K434)),"Terceirizada","Interna"))</f>
        <v/>
      </c>
      <c r="U434" s="43" t="str">
        <f aca="false">IF($N434="","",IF($Q434="",$N434,$Q434))</f>
        <v/>
      </c>
      <c r="V434" s="36" t="str">
        <f aca="false">IF($F434="","",IF(OR($O434="",$N434=""),0,IF($O434&lt;=$N434,1,0)))</f>
        <v/>
      </c>
      <c r="W434" s="36" t="str">
        <f aca="false">IF($F434="","",IF(OR($O434="",$U434=""),0,IF($O434&lt;=$U434,1,0)))</f>
        <v/>
      </c>
      <c r="X434" s="37" t="str">
        <f aca="false">IF(OR($O434="",$N434=""),"",MAX(0,$O434-$N434))</f>
        <v/>
      </c>
      <c r="Y434" s="36" t="str">
        <f aca="false">IF($F434="","",IF(AND($Q434&lt;&gt;"",$N434&lt;&gt;"",$Q434&lt;&gt;$N434),1,0))</f>
        <v/>
      </c>
      <c r="Z434" s="36" t="str">
        <f aca="false">IF($F434="","",IF($P434="Cancelada",0,IF(OR($O434&lt;&gt;"",$P434="Concluída"),1,0)))</f>
        <v/>
      </c>
    </row>
    <row r="435" customFormat="false" ht="16.5" hidden="false" customHeight="true" outlineLevel="0" collapsed="false">
      <c r="A435" s="36" t="str">
        <f aca="false">IF($F435="","",COUNTA($F$5:$F435))</f>
        <v/>
      </c>
      <c r="B435" s="37" t="str">
        <f aca="true">IF($F435="","",IF($P435="Cancelada","Cancelada",IF(OR($O435&lt;&gt;"",$P435="Concluída"),IF(OR($N435="",$O435="",$O435&lt;=$N435),"Concluída","Concluída com atraso"),IF($N435="","Na carteira",IF($N435&lt;TODAY(),"VENCIDA",IF($P435="Em execução","Em execução",IF($N435=TODAY(),"Hoje","Programada")))))))</f>
        <v/>
      </c>
      <c r="C435" s="38"/>
      <c r="D435" s="38"/>
      <c r="E435" s="38"/>
      <c r="F435" s="38"/>
      <c r="G435" s="39"/>
      <c r="H435" s="39"/>
      <c r="I435" s="40"/>
      <c r="J435" s="40"/>
      <c r="K435" s="40"/>
      <c r="L435" s="41"/>
      <c r="M435" s="42"/>
      <c r="N435" s="43" t="str">
        <f aca="false">IF(OR($L435="",$M435=""),"",$L435+MATCH($M435,Listas!$F$5:$F$11,0)-1)</f>
        <v/>
      </c>
      <c r="O435" s="44"/>
      <c r="P435" s="39"/>
      <c r="Q435" s="44"/>
      <c r="R435" s="38"/>
      <c r="S435" s="38"/>
      <c r="T435" s="36" t="str">
        <f aca="false">IF($F435="","",IF(ISNUMBER(SEARCH("(externo)",$I435&amp;$J435&amp;$K435)),"Terceirizada","Interna"))</f>
        <v/>
      </c>
      <c r="U435" s="43" t="str">
        <f aca="false">IF($N435="","",IF($Q435="",$N435,$Q435))</f>
        <v/>
      </c>
      <c r="V435" s="36" t="str">
        <f aca="false">IF($F435="","",IF(OR($O435="",$N435=""),0,IF($O435&lt;=$N435,1,0)))</f>
        <v/>
      </c>
      <c r="W435" s="36" t="str">
        <f aca="false">IF($F435="","",IF(OR($O435="",$U435=""),0,IF($O435&lt;=$U435,1,0)))</f>
        <v/>
      </c>
      <c r="X435" s="37" t="str">
        <f aca="false">IF(OR($O435="",$N435=""),"",MAX(0,$O435-$N435))</f>
        <v/>
      </c>
      <c r="Y435" s="36" t="str">
        <f aca="false">IF($F435="","",IF(AND($Q435&lt;&gt;"",$N435&lt;&gt;"",$Q435&lt;&gt;$N435),1,0))</f>
        <v/>
      </c>
      <c r="Z435" s="36" t="str">
        <f aca="false">IF($F435="","",IF($P435="Cancelada",0,IF(OR($O435&lt;&gt;"",$P435="Concluída"),1,0)))</f>
        <v/>
      </c>
    </row>
    <row r="436" customFormat="false" ht="16.5" hidden="false" customHeight="true" outlineLevel="0" collapsed="false">
      <c r="A436" s="36" t="str">
        <f aca="false">IF($F436="","",COUNTA($F$5:$F436))</f>
        <v/>
      </c>
      <c r="B436" s="37" t="str">
        <f aca="true">IF($F436="","",IF($P436="Cancelada","Cancelada",IF(OR($O436&lt;&gt;"",$P436="Concluída"),IF(OR($N436="",$O436="",$O436&lt;=$N436),"Concluída","Concluída com atraso"),IF($N436="","Na carteira",IF($N436&lt;TODAY(),"VENCIDA",IF($P436="Em execução","Em execução",IF($N436=TODAY(),"Hoje","Programada")))))))</f>
        <v/>
      </c>
      <c r="C436" s="38"/>
      <c r="D436" s="38"/>
      <c r="E436" s="38"/>
      <c r="F436" s="38"/>
      <c r="G436" s="39"/>
      <c r="H436" s="39"/>
      <c r="I436" s="40"/>
      <c r="J436" s="40"/>
      <c r="K436" s="40"/>
      <c r="L436" s="41"/>
      <c r="M436" s="42"/>
      <c r="N436" s="43" t="str">
        <f aca="false">IF(OR($L436="",$M436=""),"",$L436+MATCH($M436,Listas!$F$5:$F$11,0)-1)</f>
        <v/>
      </c>
      <c r="O436" s="44"/>
      <c r="P436" s="39"/>
      <c r="Q436" s="44"/>
      <c r="R436" s="38"/>
      <c r="S436" s="38"/>
      <c r="T436" s="36" t="str">
        <f aca="false">IF($F436="","",IF(ISNUMBER(SEARCH("(externo)",$I436&amp;$J436&amp;$K436)),"Terceirizada","Interna"))</f>
        <v/>
      </c>
      <c r="U436" s="43" t="str">
        <f aca="false">IF($N436="","",IF($Q436="",$N436,$Q436))</f>
        <v/>
      </c>
      <c r="V436" s="36" t="str">
        <f aca="false">IF($F436="","",IF(OR($O436="",$N436=""),0,IF($O436&lt;=$N436,1,0)))</f>
        <v/>
      </c>
      <c r="W436" s="36" t="str">
        <f aca="false">IF($F436="","",IF(OR($O436="",$U436=""),0,IF($O436&lt;=$U436,1,0)))</f>
        <v/>
      </c>
      <c r="X436" s="37" t="str">
        <f aca="false">IF(OR($O436="",$N436=""),"",MAX(0,$O436-$N436))</f>
        <v/>
      </c>
      <c r="Y436" s="36" t="str">
        <f aca="false">IF($F436="","",IF(AND($Q436&lt;&gt;"",$N436&lt;&gt;"",$Q436&lt;&gt;$N436),1,0))</f>
        <v/>
      </c>
      <c r="Z436" s="36" t="str">
        <f aca="false">IF($F436="","",IF($P436="Cancelada",0,IF(OR($O436&lt;&gt;"",$P436="Concluída"),1,0)))</f>
        <v/>
      </c>
    </row>
    <row r="437" customFormat="false" ht="16.5" hidden="false" customHeight="true" outlineLevel="0" collapsed="false">
      <c r="A437" s="36" t="str">
        <f aca="false">IF($F437="","",COUNTA($F$5:$F437))</f>
        <v/>
      </c>
      <c r="B437" s="37" t="str">
        <f aca="true">IF($F437="","",IF($P437="Cancelada","Cancelada",IF(OR($O437&lt;&gt;"",$P437="Concluída"),IF(OR($N437="",$O437="",$O437&lt;=$N437),"Concluída","Concluída com atraso"),IF($N437="","Na carteira",IF($N437&lt;TODAY(),"VENCIDA",IF($P437="Em execução","Em execução",IF($N437=TODAY(),"Hoje","Programada")))))))</f>
        <v/>
      </c>
      <c r="C437" s="38"/>
      <c r="D437" s="38"/>
      <c r="E437" s="38"/>
      <c r="F437" s="38"/>
      <c r="G437" s="39"/>
      <c r="H437" s="39"/>
      <c r="I437" s="40"/>
      <c r="J437" s="40"/>
      <c r="K437" s="40"/>
      <c r="L437" s="41"/>
      <c r="M437" s="42"/>
      <c r="N437" s="43" t="str">
        <f aca="false">IF(OR($L437="",$M437=""),"",$L437+MATCH($M437,Listas!$F$5:$F$11,0)-1)</f>
        <v/>
      </c>
      <c r="O437" s="44"/>
      <c r="P437" s="39"/>
      <c r="Q437" s="44"/>
      <c r="R437" s="38"/>
      <c r="S437" s="38"/>
      <c r="T437" s="36" t="str">
        <f aca="false">IF($F437="","",IF(ISNUMBER(SEARCH("(externo)",$I437&amp;$J437&amp;$K437)),"Terceirizada","Interna"))</f>
        <v/>
      </c>
      <c r="U437" s="43" t="str">
        <f aca="false">IF($N437="","",IF($Q437="",$N437,$Q437))</f>
        <v/>
      </c>
      <c r="V437" s="36" t="str">
        <f aca="false">IF($F437="","",IF(OR($O437="",$N437=""),0,IF($O437&lt;=$N437,1,0)))</f>
        <v/>
      </c>
      <c r="W437" s="36" t="str">
        <f aca="false">IF($F437="","",IF(OR($O437="",$U437=""),0,IF($O437&lt;=$U437,1,0)))</f>
        <v/>
      </c>
      <c r="X437" s="37" t="str">
        <f aca="false">IF(OR($O437="",$N437=""),"",MAX(0,$O437-$N437))</f>
        <v/>
      </c>
      <c r="Y437" s="36" t="str">
        <f aca="false">IF($F437="","",IF(AND($Q437&lt;&gt;"",$N437&lt;&gt;"",$Q437&lt;&gt;$N437),1,0))</f>
        <v/>
      </c>
      <c r="Z437" s="36" t="str">
        <f aca="false">IF($F437="","",IF($P437="Cancelada",0,IF(OR($O437&lt;&gt;"",$P437="Concluída"),1,0)))</f>
        <v/>
      </c>
    </row>
    <row r="438" customFormat="false" ht="16.5" hidden="false" customHeight="true" outlineLevel="0" collapsed="false">
      <c r="A438" s="36" t="str">
        <f aca="false">IF($F438="","",COUNTA($F$5:$F438))</f>
        <v/>
      </c>
      <c r="B438" s="37" t="str">
        <f aca="true">IF($F438="","",IF($P438="Cancelada","Cancelada",IF(OR($O438&lt;&gt;"",$P438="Concluída"),IF(OR($N438="",$O438="",$O438&lt;=$N438),"Concluída","Concluída com atraso"),IF($N438="","Na carteira",IF($N438&lt;TODAY(),"VENCIDA",IF($P438="Em execução","Em execução",IF($N438=TODAY(),"Hoje","Programada")))))))</f>
        <v/>
      </c>
      <c r="C438" s="38"/>
      <c r="D438" s="38"/>
      <c r="E438" s="38"/>
      <c r="F438" s="38"/>
      <c r="G438" s="39"/>
      <c r="H438" s="39"/>
      <c r="I438" s="40"/>
      <c r="J438" s="40"/>
      <c r="K438" s="40"/>
      <c r="L438" s="41"/>
      <c r="M438" s="42"/>
      <c r="N438" s="43" t="str">
        <f aca="false">IF(OR($L438="",$M438=""),"",$L438+MATCH($M438,Listas!$F$5:$F$11,0)-1)</f>
        <v/>
      </c>
      <c r="O438" s="44"/>
      <c r="P438" s="39"/>
      <c r="Q438" s="44"/>
      <c r="R438" s="38"/>
      <c r="S438" s="38"/>
      <c r="T438" s="36" t="str">
        <f aca="false">IF($F438="","",IF(ISNUMBER(SEARCH("(externo)",$I438&amp;$J438&amp;$K438)),"Terceirizada","Interna"))</f>
        <v/>
      </c>
      <c r="U438" s="43" t="str">
        <f aca="false">IF($N438="","",IF($Q438="",$N438,$Q438))</f>
        <v/>
      </c>
      <c r="V438" s="36" t="str">
        <f aca="false">IF($F438="","",IF(OR($O438="",$N438=""),0,IF($O438&lt;=$N438,1,0)))</f>
        <v/>
      </c>
      <c r="W438" s="36" t="str">
        <f aca="false">IF($F438="","",IF(OR($O438="",$U438=""),0,IF($O438&lt;=$U438,1,0)))</f>
        <v/>
      </c>
      <c r="X438" s="37" t="str">
        <f aca="false">IF(OR($O438="",$N438=""),"",MAX(0,$O438-$N438))</f>
        <v/>
      </c>
      <c r="Y438" s="36" t="str">
        <f aca="false">IF($F438="","",IF(AND($Q438&lt;&gt;"",$N438&lt;&gt;"",$Q438&lt;&gt;$N438),1,0))</f>
        <v/>
      </c>
      <c r="Z438" s="36" t="str">
        <f aca="false">IF($F438="","",IF($P438="Cancelada",0,IF(OR($O438&lt;&gt;"",$P438="Concluída"),1,0)))</f>
        <v/>
      </c>
    </row>
    <row r="439" customFormat="false" ht="16.5" hidden="false" customHeight="true" outlineLevel="0" collapsed="false">
      <c r="A439" s="36" t="str">
        <f aca="false">IF($F439="","",COUNTA($F$5:$F439))</f>
        <v/>
      </c>
      <c r="B439" s="37" t="str">
        <f aca="true">IF($F439="","",IF($P439="Cancelada","Cancelada",IF(OR($O439&lt;&gt;"",$P439="Concluída"),IF(OR($N439="",$O439="",$O439&lt;=$N439),"Concluída","Concluída com atraso"),IF($N439="","Na carteira",IF($N439&lt;TODAY(),"VENCIDA",IF($P439="Em execução","Em execução",IF($N439=TODAY(),"Hoje","Programada")))))))</f>
        <v/>
      </c>
      <c r="C439" s="38"/>
      <c r="D439" s="38"/>
      <c r="E439" s="38"/>
      <c r="F439" s="38"/>
      <c r="G439" s="39"/>
      <c r="H439" s="39"/>
      <c r="I439" s="40"/>
      <c r="J439" s="40"/>
      <c r="K439" s="40"/>
      <c r="L439" s="41"/>
      <c r="M439" s="42"/>
      <c r="N439" s="43" t="str">
        <f aca="false">IF(OR($L439="",$M439=""),"",$L439+MATCH($M439,Listas!$F$5:$F$11,0)-1)</f>
        <v/>
      </c>
      <c r="O439" s="44"/>
      <c r="P439" s="39"/>
      <c r="Q439" s="44"/>
      <c r="R439" s="38"/>
      <c r="S439" s="38"/>
      <c r="T439" s="36" t="str">
        <f aca="false">IF($F439="","",IF(ISNUMBER(SEARCH("(externo)",$I439&amp;$J439&amp;$K439)),"Terceirizada","Interna"))</f>
        <v/>
      </c>
      <c r="U439" s="43" t="str">
        <f aca="false">IF($N439="","",IF($Q439="",$N439,$Q439))</f>
        <v/>
      </c>
      <c r="V439" s="36" t="str">
        <f aca="false">IF($F439="","",IF(OR($O439="",$N439=""),0,IF($O439&lt;=$N439,1,0)))</f>
        <v/>
      </c>
      <c r="W439" s="36" t="str">
        <f aca="false">IF($F439="","",IF(OR($O439="",$U439=""),0,IF($O439&lt;=$U439,1,0)))</f>
        <v/>
      </c>
      <c r="X439" s="37" t="str">
        <f aca="false">IF(OR($O439="",$N439=""),"",MAX(0,$O439-$N439))</f>
        <v/>
      </c>
      <c r="Y439" s="36" t="str">
        <f aca="false">IF($F439="","",IF(AND($Q439&lt;&gt;"",$N439&lt;&gt;"",$Q439&lt;&gt;$N439),1,0))</f>
        <v/>
      </c>
      <c r="Z439" s="36" t="str">
        <f aca="false">IF($F439="","",IF($P439="Cancelada",0,IF(OR($O439&lt;&gt;"",$P439="Concluída"),1,0)))</f>
        <v/>
      </c>
    </row>
    <row r="440" customFormat="false" ht="16.5" hidden="false" customHeight="true" outlineLevel="0" collapsed="false">
      <c r="A440" s="36" t="str">
        <f aca="false">IF($F440="","",COUNTA($F$5:$F440))</f>
        <v/>
      </c>
      <c r="B440" s="37" t="str">
        <f aca="true">IF($F440="","",IF($P440="Cancelada","Cancelada",IF(OR($O440&lt;&gt;"",$P440="Concluída"),IF(OR($N440="",$O440="",$O440&lt;=$N440),"Concluída","Concluída com atraso"),IF($N440="","Na carteira",IF($N440&lt;TODAY(),"VENCIDA",IF($P440="Em execução","Em execução",IF($N440=TODAY(),"Hoje","Programada")))))))</f>
        <v/>
      </c>
      <c r="C440" s="38"/>
      <c r="D440" s="38"/>
      <c r="E440" s="38"/>
      <c r="F440" s="38"/>
      <c r="G440" s="39"/>
      <c r="H440" s="39"/>
      <c r="I440" s="40"/>
      <c r="J440" s="40"/>
      <c r="K440" s="40"/>
      <c r="L440" s="41"/>
      <c r="M440" s="42"/>
      <c r="N440" s="43" t="str">
        <f aca="false">IF(OR($L440="",$M440=""),"",$L440+MATCH($M440,Listas!$F$5:$F$11,0)-1)</f>
        <v/>
      </c>
      <c r="O440" s="44"/>
      <c r="P440" s="39"/>
      <c r="Q440" s="44"/>
      <c r="R440" s="38"/>
      <c r="S440" s="38"/>
      <c r="T440" s="36" t="str">
        <f aca="false">IF($F440="","",IF(ISNUMBER(SEARCH("(externo)",$I440&amp;$J440&amp;$K440)),"Terceirizada","Interna"))</f>
        <v/>
      </c>
      <c r="U440" s="43" t="str">
        <f aca="false">IF($N440="","",IF($Q440="",$N440,$Q440))</f>
        <v/>
      </c>
      <c r="V440" s="36" t="str">
        <f aca="false">IF($F440="","",IF(OR($O440="",$N440=""),0,IF($O440&lt;=$N440,1,0)))</f>
        <v/>
      </c>
      <c r="W440" s="36" t="str">
        <f aca="false">IF($F440="","",IF(OR($O440="",$U440=""),0,IF($O440&lt;=$U440,1,0)))</f>
        <v/>
      </c>
      <c r="X440" s="37" t="str">
        <f aca="false">IF(OR($O440="",$N440=""),"",MAX(0,$O440-$N440))</f>
        <v/>
      </c>
      <c r="Y440" s="36" t="str">
        <f aca="false">IF($F440="","",IF(AND($Q440&lt;&gt;"",$N440&lt;&gt;"",$Q440&lt;&gt;$N440),1,0))</f>
        <v/>
      </c>
      <c r="Z440" s="36" t="str">
        <f aca="false">IF($F440="","",IF($P440="Cancelada",0,IF(OR($O440&lt;&gt;"",$P440="Concluída"),1,0)))</f>
        <v/>
      </c>
    </row>
    <row r="441" customFormat="false" ht="16.5" hidden="false" customHeight="true" outlineLevel="0" collapsed="false">
      <c r="A441" s="36" t="str">
        <f aca="false">IF($F441="","",COUNTA($F$5:$F441))</f>
        <v/>
      </c>
      <c r="B441" s="37" t="str">
        <f aca="true">IF($F441="","",IF($P441="Cancelada","Cancelada",IF(OR($O441&lt;&gt;"",$P441="Concluída"),IF(OR($N441="",$O441="",$O441&lt;=$N441),"Concluída","Concluída com atraso"),IF($N441="","Na carteira",IF($N441&lt;TODAY(),"VENCIDA",IF($P441="Em execução","Em execução",IF($N441=TODAY(),"Hoje","Programada")))))))</f>
        <v/>
      </c>
      <c r="C441" s="38"/>
      <c r="D441" s="38"/>
      <c r="E441" s="38"/>
      <c r="F441" s="38"/>
      <c r="G441" s="39"/>
      <c r="H441" s="39"/>
      <c r="I441" s="40"/>
      <c r="J441" s="40"/>
      <c r="K441" s="40"/>
      <c r="L441" s="41"/>
      <c r="M441" s="42"/>
      <c r="N441" s="43" t="str">
        <f aca="false">IF(OR($L441="",$M441=""),"",$L441+MATCH($M441,Listas!$F$5:$F$11,0)-1)</f>
        <v/>
      </c>
      <c r="O441" s="44"/>
      <c r="P441" s="39"/>
      <c r="Q441" s="44"/>
      <c r="R441" s="38"/>
      <c r="S441" s="38"/>
      <c r="T441" s="36" t="str">
        <f aca="false">IF($F441="","",IF(ISNUMBER(SEARCH("(externo)",$I441&amp;$J441&amp;$K441)),"Terceirizada","Interna"))</f>
        <v/>
      </c>
      <c r="U441" s="43" t="str">
        <f aca="false">IF($N441="","",IF($Q441="",$N441,$Q441))</f>
        <v/>
      </c>
      <c r="V441" s="36" t="str">
        <f aca="false">IF($F441="","",IF(OR($O441="",$N441=""),0,IF($O441&lt;=$N441,1,0)))</f>
        <v/>
      </c>
      <c r="W441" s="36" t="str">
        <f aca="false">IF($F441="","",IF(OR($O441="",$U441=""),0,IF($O441&lt;=$U441,1,0)))</f>
        <v/>
      </c>
      <c r="X441" s="37" t="str">
        <f aca="false">IF(OR($O441="",$N441=""),"",MAX(0,$O441-$N441))</f>
        <v/>
      </c>
      <c r="Y441" s="36" t="str">
        <f aca="false">IF($F441="","",IF(AND($Q441&lt;&gt;"",$N441&lt;&gt;"",$Q441&lt;&gt;$N441),1,0))</f>
        <v/>
      </c>
      <c r="Z441" s="36" t="str">
        <f aca="false">IF($F441="","",IF($P441="Cancelada",0,IF(OR($O441&lt;&gt;"",$P441="Concluída"),1,0)))</f>
        <v/>
      </c>
    </row>
    <row r="442" customFormat="false" ht="16.5" hidden="false" customHeight="true" outlineLevel="0" collapsed="false">
      <c r="A442" s="36" t="str">
        <f aca="false">IF($F442="","",COUNTA($F$5:$F442))</f>
        <v/>
      </c>
      <c r="B442" s="37" t="str">
        <f aca="true">IF($F442="","",IF($P442="Cancelada","Cancelada",IF(OR($O442&lt;&gt;"",$P442="Concluída"),IF(OR($N442="",$O442="",$O442&lt;=$N442),"Concluída","Concluída com atraso"),IF($N442="","Na carteira",IF($N442&lt;TODAY(),"VENCIDA",IF($P442="Em execução","Em execução",IF($N442=TODAY(),"Hoje","Programada")))))))</f>
        <v/>
      </c>
      <c r="C442" s="38"/>
      <c r="D442" s="38"/>
      <c r="E442" s="38"/>
      <c r="F442" s="38"/>
      <c r="G442" s="39"/>
      <c r="H442" s="39"/>
      <c r="I442" s="40"/>
      <c r="J442" s="40"/>
      <c r="K442" s="40"/>
      <c r="L442" s="41"/>
      <c r="M442" s="42"/>
      <c r="N442" s="43" t="str">
        <f aca="false">IF(OR($L442="",$M442=""),"",$L442+MATCH($M442,Listas!$F$5:$F$11,0)-1)</f>
        <v/>
      </c>
      <c r="O442" s="44"/>
      <c r="P442" s="39"/>
      <c r="Q442" s="44"/>
      <c r="R442" s="38"/>
      <c r="S442" s="38"/>
      <c r="T442" s="36" t="str">
        <f aca="false">IF($F442="","",IF(ISNUMBER(SEARCH("(externo)",$I442&amp;$J442&amp;$K442)),"Terceirizada","Interna"))</f>
        <v/>
      </c>
      <c r="U442" s="43" t="str">
        <f aca="false">IF($N442="","",IF($Q442="",$N442,$Q442))</f>
        <v/>
      </c>
      <c r="V442" s="36" t="str">
        <f aca="false">IF($F442="","",IF(OR($O442="",$N442=""),0,IF($O442&lt;=$N442,1,0)))</f>
        <v/>
      </c>
      <c r="W442" s="36" t="str">
        <f aca="false">IF($F442="","",IF(OR($O442="",$U442=""),0,IF($O442&lt;=$U442,1,0)))</f>
        <v/>
      </c>
      <c r="X442" s="37" t="str">
        <f aca="false">IF(OR($O442="",$N442=""),"",MAX(0,$O442-$N442))</f>
        <v/>
      </c>
      <c r="Y442" s="36" t="str">
        <f aca="false">IF($F442="","",IF(AND($Q442&lt;&gt;"",$N442&lt;&gt;"",$Q442&lt;&gt;$N442),1,0))</f>
        <v/>
      </c>
      <c r="Z442" s="36" t="str">
        <f aca="false">IF($F442="","",IF($P442="Cancelada",0,IF(OR($O442&lt;&gt;"",$P442="Concluída"),1,0)))</f>
        <v/>
      </c>
    </row>
    <row r="443" customFormat="false" ht="16.5" hidden="false" customHeight="true" outlineLevel="0" collapsed="false">
      <c r="A443" s="36" t="str">
        <f aca="false">IF($F443="","",COUNTA($F$5:$F443))</f>
        <v/>
      </c>
      <c r="B443" s="37" t="str">
        <f aca="true">IF($F443="","",IF($P443="Cancelada","Cancelada",IF(OR($O443&lt;&gt;"",$P443="Concluída"),IF(OR($N443="",$O443="",$O443&lt;=$N443),"Concluída","Concluída com atraso"),IF($N443="","Na carteira",IF($N443&lt;TODAY(),"VENCIDA",IF($P443="Em execução","Em execução",IF($N443=TODAY(),"Hoje","Programada")))))))</f>
        <v/>
      </c>
      <c r="C443" s="38"/>
      <c r="D443" s="38"/>
      <c r="E443" s="38"/>
      <c r="F443" s="38"/>
      <c r="G443" s="39"/>
      <c r="H443" s="39"/>
      <c r="I443" s="40"/>
      <c r="J443" s="40"/>
      <c r="K443" s="40"/>
      <c r="L443" s="41"/>
      <c r="M443" s="42"/>
      <c r="N443" s="43" t="str">
        <f aca="false">IF(OR($L443="",$M443=""),"",$L443+MATCH($M443,Listas!$F$5:$F$11,0)-1)</f>
        <v/>
      </c>
      <c r="O443" s="44"/>
      <c r="P443" s="39"/>
      <c r="Q443" s="44"/>
      <c r="R443" s="38"/>
      <c r="S443" s="38"/>
      <c r="T443" s="36" t="str">
        <f aca="false">IF($F443="","",IF(ISNUMBER(SEARCH("(externo)",$I443&amp;$J443&amp;$K443)),"Terceirizada","Interna"))</f>
        <v/>
      </c>
      <c r="U443" s="43" t="str">
        <f aca="false">IF($N443="","",IF($Q443="",$N443,$Q443))</f>
        <v/>
      </c>
      <c r="V443" s="36" t="str">
        <f aca="false">IF($F443="","",IF(OR($O443="",$N443=""),0,IF($O443&lt;=$N443,1,0)))</f>
        <v/>
      </c>
      <c r="W443" s="36" t="str">
        <f aca="false">IF($F443="","",IF(OR($O443="",$U443=""),0,IF($O443&lt;=$U443,1,0)))</f>
        <v/>
      </c>
      <c r="X443" s="37" t="str">
        <f aca="false">IF(OR($O443="",$N443=""),"",MAX(0,$O443-$N443))</f>
        <v/>
      </c>
      <c r="Y443" s="36" t="str">
        <f aca="false">IF($F443="","",IF(AND($Q443&lt;&gt;"",$N443&lt;&gt;"",$Q443&lt;&gt;$N443),1,0))</f>
        <v/>
      </c>
      <c r="Z443" s="36" t="str">
        <f aca="false">IF($F443="","",IF($P443="Cancelada",0,IF(OR($O443&lt;&gt;"",$P443="Concluída"),1,0)))</f>
        <v/>
      </c>
    </row>
    <row r="444" customFormat="false" ht="16.5" hidden="false" customHeight="true" outlineLevel="0" collapsed="false">
      <c r="A444" s="36" t="str">
        <f aca="false">IF($F444="","",COUNTA($F$5:$F444))</f>
        <v/>
      </c>
      <c r="B444" s="37" t="str">
        <f aca="true">IF($F444="","",IF($P444="Cancelada","Cancelada",IF(OR($O444&lt;&gt;"",$P444="Concluída"),IF(OR($N444="",$O444="",$O444&lt;=$N444),"Concluída","Concluída com atraso"),IF($N444="","Na carteira",IF($N444&lt;TODAY(),"VENCIDA",IF($P444="Em execução","Em execução",IF($N444=TODAY(),"Hoje","Programada")))))))</f>
        <v/>
      </c>
      <c r="C444" s="38"/>
      <c r="D444" s="38"/>
      <c r="E444" s="38"/>
      <c r="F444" s="38"/>
      <c r="G444" s="39"/>
      <c r="H444" s="39"/>
      <c r="I444" s="40"/>
      <c r="J444" s="40"/>
      <c r="K444" s="40"/>
      <c r="L444" s="41"/>
      <c r="M444" s="42"/>
      <c r="N444" s="43" t="str">
        <f aca="false">IF(OR($L444="",$M444=""),"",$L444+MATCH($M444,Listas!$F$5:$F$11,0)-1)</f>
        <v/>
      </c>
      <c r="O444" s="44"/>
      <c r="P444" s="39"/>
      <c r="Q444" s="44"/>
      <c r="R444" s="38"/>
      <c r="S444" s="38"/>
      <c r="T444" s="36" t="str">
        <f aca="false">IF($F444="","",IF(ISNUMBER(SEARCH("(externo)",$I444&amp;$J444&amp;$K444)),"Terceirizada","Interna"))</f>
        <v/>
      </c>
      <c r="U444" s="43" t="str">
        <f aca="false">IF($N444="","",IF($Q444="",$N444,$Q444))</f>
        <v/>
      </c>
      <c r="V444" s="36" t="str">
        <f aca="false">IF($F444="","",IF(OR($O444="",$N444=""),0,IF($O444&lt;=$N444,1,0)))</f>
        <v/>
      </c>
      <c r="W444" s="36" t="str">
        <f aca="false">IF($F444="","",IF(OR($O444="",$U444=""),0,IF($O444&lt;=$U444,1,0)))</f>
        <v/>
      </c>
      <c r="X444" s="37" t="str">
        <f aca="false">IF(OR($O444="",$N444=""),"",MAX(0,$O444-$N444))</f>
        <v/>
      </c>
      <c r="Y444" s="36" t="str">
        <f aca="false">IF($F444="","",IF(AND($Q444&lt;&gt;"",$N444&lt;&gt;"",$Q444&lt;&gt;$N444),1,0))</f>
        <v/>
      </c>
      <c r="Z444" s="36" t="str">
        <f aca="false">IF($F444="","",IF($P444="Cancelada",0,IF(OR($O444&lt;&gt;"",$P444="Concluída"),1,0)))</f>
        <v/>
      </c>
    </row>
    <row r="445" customFormat="false" ht="16.5" hidden="false" customHeight="true" outlineLevel="0" collapsed="false">
      <c r="A445" s="36" t="str">
        <f aca="false">IF($F445="","",COUNTA($F$5:$F445))</f>
        <v/>
      </c>
      <c r="B445" s="37" t="str">
        <f aca="true">IF($F445="","",IF($P445="Cancelada","Cancelada",IF(OR($O445&lt;&gt;"",$P445="Concluída"),IF(OR($N445="",$O445="",$O445&lt;=$N445),"Concluída","Concluída com atraso"),IF($N445="","Na carteira",IF($N445&lt;TODAY(),"VENCIDA",IF($P445="Em execução","Em execução",IF($N445=TODAY(),"Hoje","Programada")))))))</f>
        <v/>
      </c>
      <c r="C445" s="38"/>
      <c r="D445" s="38"/>
      <c r="E445" s="38"/>
      <c r="F445" s="38"/>
      <c r="G445" s="39"/>
      <c r="H445" s="39"/>
      <c r="I445" s="40"/>
      <c r="J445" s="40"/>
      <c r="K445" s="40"/>
      <c r="L445" s="41"/>
      <c r="M445" s="42"/>
      <c r="N445" s="43" t="str">
        <f aca="false">IF(OR($L445="",$M445=""),"",$L445+MATCH($M445,Listas!$F$5:$F$11,0)-1)</f>
        <v/>
      </c>
      <c r="O445" s="44"/>
      <c r="P445" s="39"/>
      <c r="Q445" s="44"/>
      <c r="R445" s="38"/>
      <c r="S445" s="38"/>
      <c r="T445" s="36" t="str">
        <f aca="false">IF($F445="","",IF(ISNUMBER(SEARCH("(externo)",$I445&amp;$J445&amp;$K445)),"Terceirizada","Interna"))</f>
        <v/>
      </c>
      <c r="U445" s="43" t="str">
        <f aca="false">IF($N445="","",IF($Q445="",$N445,$Q445))</f>
        <v/>
      </c>
      <c r="V445" s="36" t="str">
        <f aca="false">IF($F445="","",IF(OR($O445="",$N445=""),0,IF($O445&lt;=$N445,1,0)))</f>
        <v/>
      </c>
      <c r="W445" s="36" t="str">
        <f aca="false">IF($F445="","",IF(OR($O445="",$U445=""),0,IF($O445&lt;=$U445,1,0)))</f>
        <v/>
      </c>
      <c r="X445" s="37" t="str">
        <f aca="false">IF(OR($O445="",$N445=""),"",MAX(0,$O445-$N445))</f>
        <v/>
      </c>
      <c r="Y445" s="36" t="str">
        <f aca="false">IF($F445="","",IF(AND($Q445&lt;&gt;"",$N445&lt;&gt;"",$Q445&lt;&gt;$N445),1,0))</f>
        <v/>
      </c>
      <c r="Z445" s="36" t="str">
        <f aca="false">IF($F445="","",IF($P445="Cancelada",0,IF(OR($O445&lt;&gt;"",$P445="Concluída"),1,0)))</f>
        <v/>
      </c>
    </row>
    <row r="446" customFormat="false" ht="16.5" hidden="false" customHeight="true" outlineLevel="0" collapsed="false">
      <c r="A446" s="36" t="str">
        <f aca="false">IF($F446="","",COUNTA($F$5:$F446))</f>
        <v/>
      </c>
      <c r="B446" s="37" t="str">
        <f aca="true">IF($F446="","",IF($P446="Cancelada","Cancelada",IF(OR($O446&lt;&gt;"",$P446="Concluída"),IF(OR($N446="",$O446="",$O446&lt;=$N446),"Concluída","Concluída com atraso"),IF($N446="","Na carteira",IF($N446&lt;TODAY(),"VENCIDA",IF($P446="Em execução","Em execução",IF($N446=TODAY(),"Hoje","Programada")))))))</f>
        <v/>
      </c>
      <c r="C446" s="38"/>
      <c r="D446" s="38"/>
      <c r="E446" s="38"/>
      <c r="F446" s="38"/>
      <c r="G446" s="39"/>
      <c r="H446" s="39"/>
      <c r="I446" s="40"/>
      <c r="J446" s="40"/>
      <c r="K446" s="40"/>
      <c r="L446" s="41"/>
      <c r="M446" s="42"/>
      <c r="N446" s="43" t="str">
        <f aca="false">IF(OR($L446="",$M446=""),"",$L446+MATCH($M446,Listas!$F$5:$F$11,0)-1)</f>
        <v/>
      </c>
      <c r="O446" s="44"/>
      <c r="P446" s="39"/>
      <c r="Q446" s="44"/>
      <c r="R446" s="38"/>
      <c r="S446" s="38"/>
      <c r="T446" s="36" t="str">
        <f aca="false">IF($F446="","",IF(ISNUMBER(SEARCH("(externo)",$I446&amp;$J446&amp;$K446)),"Terceirizada","Interna"))</f>
        <v/>
      </c>
      <c r="U446" s="43" t="str">
        <f aca="false">IF($N446="","",IF($Q446="",$N446,$Q446))</f>
        <v/>
      </c>
      <c r="V446" s="36" t="str">
        <f aca="false">IF($F446="","",IF(OR($O446="",$N446=""),0,IF($O446&lt;=$N446,1,0)))</f>
        <v/>
      </c>
      <c r="W446" s="36" t="str">
        <f aca="false">IF($F446="","",IF(OR($O446="",$U446=""),0,IF($O446&lt;=$U446,1,0)))</f>
        <v/>
      </c>
      <c r="X446" s="37" t="str">
        <f aca="false">IF(OR($O446="",$N446=""),"",MAX(0,$O446-$N446))</f>
        <v/>
      </c>
      <c r="Y446" s="36" t="str">
        <f aca="false">IF($F446="","",IF(AND($Q446&lt;&gt;"",$N446&lt;&gt;"",$Q446&lt;&gt;$N446),1,0))</f>
        <v/>
      </c>
      <c r="Z446" s="36" t="str">
        <f aca="false">IF($F446="","",IF($P446="Cancelada",0,IF(OR($O446&lt;&gt;"",$P446="Concluída"),1,0)))</f>
        <v/>
      </c>
    </row>
    <row r="447" customFormat="false" ht="16.5" hidden="false" customHeight="true" outlineLevel="0" collapsed="false">
      <c r="A447" s="36" t="str">
        <f aca="false">IF($F447="","",COUNTA($F$5:$F447))</f>
        <v/>
      </c>
      <c r="B447" s="37" t="str">
        <f aca="true">IF($F447="","",IF($P447="Cancelada","Cancelada",IF(OR($O447&lt;&gt;"",$P447="Concluída"),IF(OR($N447="",$O447="",$O447&lt;=$N447),"Concluída","Concluída com atraso"),IF($N447="","Na carteira",IF($N447&lt;TODAY(),"VENCIDA",IF($P447="Em execução","Em execução",IF($N447=TODAY(),"Hoje","Programada")))))))</f>
        <v/>
      </c>
      <c r="C447" s="38"/>
      <c r="D447" s="38"/>
      <c r="E447" s="38"/>
      <c r="F447" s="38"/>
      <c r="G447" s="39"/>
      <c r="H447" s="39"/>
      <c r="I447" s="40"/>
      <c r="J447" s="40"/>
      <c r="K447" s="40"/>
      <c r="L447" s="41"/>
      <c r="M447" s="42"/>
      <c r="N447" s="43" t="str">
        <f aca="false">IF(OR($L447="",$M447=""),"",$L447+MATCH($M447,Listas!$F$5:$F$11,0)-1)</f>
        <v/>
      </c>
      <c r="O447" s="44"/>
      <c r="P447" s="39"/>
      <c r="Q447" s="44"/>
      <c r="R447" s="38"/>
      <c r="S447" s="38"/>
      <c r="T447" s="36" t="str">
        <f aca="false">IF($F447="","",IF(ISNUMBER(SEARCH("(externo)",$I447&amp;$J447&amp;$K447)),"Terceirizada","Interna"))</f>
        <v/>
      </c>
      <c r="U447" s="43" t="str">
        <f aca="false">IF($N447="","",IF($Q447="",$N447,$Q447))</f>
        <v/>
      </c>
      <c r="V447" s="36" t="str">
        <f aca="false">IF($F447="","",IF(OR($O447="",$N447=""),0,IF($O447&lt;=$N447,1,0)))</f>
        <v/>
      </c>
      <c r="W447" s="36" t="str">
        <f aca="false">IF($F447="","",IF(OR($O447="",$U447=""),0,IF($O447&lt;=$U447,1,0)))</f>
        <v/>
      </c>
      <c r="X447" s="37" t="str">
        <f aca="false">IF(OR($O447="",$N447=""),"",MAX(0,$O447-$N447))</f>
        <v/>
      </c>
      <c r="Y447" s="36" t="str">
        <f aca="false">IF($F447="","",IF(AND($Q447&lt;&gt;"",$N447&lt;&gt;"",$Q447&lt;&gt;$N447),1,0))</f>
        <v/>
      </c>
      <c r="Z447" s="36" t="str">
        <f aca="false">IF($F447="","",IF($P447="Cancelada",0,IF(OR($O447&lt;&gt;"",$P447="Concluída"),1,0)))</f>
        <v/>
      </c>
    </row>
    <row r="448" customFormat="false" ht="16.5" hidden="false" customHeight="true" outlineLevel="0" collapsed="false">
      <c r="A448" s="36" t="str">
        <f aca="false">IF($F448="","",COUNTA($F$5:$F448))</f>
        <v/>
      </c>
      <c r="B448" s="37" t="str">
        <f aca="true">IF($F448="","",IF($P448="Cancelada","Cancelada",IF(OR($O448&lt;&gt;"",$P448="Concluída"),IF(OR($N448="",$O448="",$O448&lt;=$N448),"Concluída","Concluída com atraso"),IF($N448="","Na carteira",IF($N448&lt;TODAY(),"VENCIDA",IF($P448="Em execução","Em execução",IF($N448=TODAY(),"Hoje","Programada")))))))</f>
        <v/>
      </c>
      <c r="C448" s="38"/>
      <c r="D448" s="38"/>
      <c r="E448" s="38"/>
      <c r="F448" s="38"/>
      <c r="G448" s="39"/>
      <c r="H448" s="39"/>
      <c r="I448" s="40"/>
      <c r="J448" s="40"/>
      <c r="K448" s="40"/>
      <c r="L448" s="41"/>
      <c r="M448" s="42"/>
      <c r="N448" s="43" t="str">
        <f aca="false">IF(OR($L448="",$M448=""),"",$L448+MATCH($M448,Listas!$F$5:$F$11,0)-1)</f>
        <v/>
      </c>
      <c r="O448" s="44"/>
      <c r="P448" s="39"/>
      <c r="Q448" s="44"/>
      <c r="R448" s="38"/>
      <c r="S448" s="38"/>
      <c r="T448" s="36" t="str">
        <f aca="false">IF($F448="","",IF(ISNUMBER(SEARCH("(externo)",$I448&amp;$J448&amp;$K448)),"Terceirizada","Interna"))</f>
        <v/>
      </c>
      <c r="U448" s="43" t="str">
        <f aca="false">IF($N448="","",IF($Q448="",$N448,$Q448))</f>
        <v/>
      </c>
      <c r="V448" s="36" t="str">
        <f aca="false">IF($F448="","",IF(OR($O448="",$N448=""),0,IF($O448&lt;=$N448,1,0)))</f>
        <v/>
      </c>
      <c r="W448" s="36" t="str">
        <f aca="false">IF($F448="","",IF(OR($O448="",$U448=""),0,IF($O448&lt;=$U448,1,0)))</f>
        <v/>
      </c>
      <c r="X448" s="37" t="str">
        <f aca="false">IF(OR($O448="",$N448=""),"",MAX(0,$O448-$N448))</f>
        <v/>
      </c>
      <c r="Y448" s="36" t="str">
        <f aca="false">IF($F448="","",IF(AND($Q448&lt;&gt;"",$N448&lt;&gt;"",$Q448&lt;&gt;$N448),1,0))</f>
        <v/>
      </c>
      <c r="Z448" s="36" t="str">
        <f aca="false">IF($F448="","",IF($P448="Cancelada",0,IF(OR($O448&lt;&gt;"",$P448="Concluída"),1,0)))</f>
        <v/>
      </c>
    </row>
    <row r="449" customFormat="false" ht="16.5" hidden="false" customHeight="true" outlineLevel="0" collapsed="false">
      <c r="A449" s="36" t="str">
        <f aca="false">IF($F449="","",COUNTA($F$5:$F449))</f>
        <v/>
      </c>
      <c r="B449" s="37" t="str">
        <f aca="true">IF($F449="","",IF($P449="Cancelada","Cancelada",IF(OR($O449&lt;&gt;"",$P449="Concluída"),IF(OR($N449="",$O449="",$O449&lt;=$N449),"Concluída","Concluída com atraso"),IF($N449="","Na carteira",IF($N449&lt;TODAY(),"VENCIDA",IF($P449="Em execução","Em execução",IF($N449=TODAY(),"Hoje","Programada")))))))</f>
        <v/>
      </c>
      <c r="C449" s="38"/>
      <c r="D449" s="38"/>
      <c r="E449" s="38"/>
      <c r="F449" s="38"/>
      <c r="G449" s="39"/>
      <c r="H449" s="39"/>
      <c r="I449" s="40"/>
      <c r="J449" s="40"/>
      <c r="K449" s="40"/>
      <c r="L449" s="41"/>
      <c r="M449" s="42"/>
      <c r="N449" s="43" t="str">
        <f aca="false">IF(OR($L449="",$M449=""),"",$L449+MATCH($M449,Listas!$F$5:$F$11,0)-1)</f>
        <v/>
      </c>
      <c r="O449" s="44"/>
      <c r="P449" s="39"/>
      <c r="Q449" s="44"/>
      <c r="R449" s="38"/>
      <c r="S449" s="38"/>
      <c r="T449" s="36" t="str">
        <f aca="false">IF($F449="","",IF(ISNUMBER(SEARCH("(externo)",$I449&amp;$J449&amp;$K449)),"Terceirizada","Interna"))</f>
        <v/>
      </c>
      <c r="U449" s="43" t="str">
        <f aca="false">IF($N449="","",IF($Q449="",$N449,$Q449))</f>
        <v/>
      </c>
      <c r="V449" s="36" t="str">
        <f aca="false">IF($F449="","",IF(OR($O449="",$N449=""),0,IF($O449&lt;=$N449,1,0)))</f>
        <v/>
      </c>
      <c r="W449" s="36" t="str">
        <f aca="false">IF($F449="","",IF(OR($O449="",$U449=""),0,IF($O449&lt;=$U449,1,0)))</f>
        <v/>
      </c>
      <c r="X449" s="37" t="str">
        <f aca="false">IF(OR($O449="",$N449=""),"",MAX(0,$O449-$N449))</f>
        <v/>
      </c>
      <c r="Y449" s="36" t="str">
        <f aca="false">IF($F449="","",IF(AND($Q449&lt;&gt;"",$N449&lt;&gt;"",$Q449&lt;&gt;$N449),1,0))</f>
        <v/>
      </c>
      <c r="Z449" s="36" t="str">
        <f aca="false">IF($F449="","",IF($P449="Cancelada",0,IF(OR($O449&lt;&gt;"",$P449="Concluída"),1,0)))</f>
        <v/>
      </c>
    </row>
    <row r="450" customFormat="false" ht="16.5" hidden="false" customHeight="true" outlineLevel="0" collapsed="false">
      <c r="A450" s="36" t="str">
        <f aca="false">IF($F450="","",COUNTA($F$5:$F450))</f>
        <v/>
      </c>
      <c r="B450" s="37" t="str">
        <f aca="true">IF($F450="","",IF($P450="Cancelada","Cancelada",IF(OR($O450&lt;&gt;"",$P450="Concluída"),IF(OR($N450="",$O450="",$O450&lt;=$N450),"Concluída","Concluída com atraso"),IF($N450="","Na carteira",IF($N450&lt;TODAY(),"VENCIDA",IF($P450="Em execução","Em execução",IF($N450=TODAY(),"Hoje","Programada")))))))</f>
        <v/>
      </c>
      <c r="C450" s="38"/>
      <c r="D450" s="38"/>
      <c r="E450" s="38"/>
      <c r="F450" s="38"/>
      <c r="G450" s="39"/>
      <c r="H450" s="39"/>
      <c r="I450" s="40"/>
      <c r="J450" s="40"/>
      <c r="K450" s="40"/>
      <c r="L450" s="41"/>
      <c r="M450" s="42"/>
      <c r="N450" s="43" t="str">
        <f aca="false">IF(OR($L450="",$M450=""),"",$L450+MATCH($M450,Listas!$F$5:$F$11,0)-1)</f>
        <v/>
      </c>
      <c r="O450" s="44"/>
      <c r="P450" s="39"/>
      <c r="Q450" s="44"/>
      <c r="R450" s="38"/>
      <c r="S450" s="38"/>
      <c r="T450" s="36" t="str">
        <f aca="false">IF($F450="","",IF(ISNUMBER(SEARCH("(externo)",$I450&amp;$J450&amp;$K450)),"Terceirizada","Interna"))</f>
        <v/>
      </c>
      <c r="U450" s="43" t="str">
        <f aca="false">IF($N450="","",IF($Q450="",$N450,$Q450))</f>
        <v/>
      </c>
      <c r="V450" s="36" t="str">
        <f aca="false">IF($F450="","",IF(OR($O450="",$N450=""),0,IF($O450&lt;=$N450,1,0)))</f>
        <v/>
      </c>
      <c r="W450" s="36" t="str">
        <f aca="false">IF($F450="","",IF(OR($O450="",$U450=""),0,IF($O450&lt;=$U450,1,0)))</f>
        <v/>
      </c>
      <c r="X450" s="37" t="str">
        <f aca="false">IF(OR($O450="",$N450=""),"",MAX(0,$O450-$N450))</f>
        <v/>
      </c>
      <c r="Y450" s="36" t="str">
        <f aca="false">IF($F450="","",IF(AND($Q450&lt;&gt;"",$N450&lt;&gt;"",$Q450&lt;&gt;$N450),1,0))</f>
        <v/>
      </c>
      <c r="Z450" s="36" t="str">
        <f aca="false">IF($F450="","",IF($P450="Cancelada",0,IF(OR($O450&lt;&gt;"",$P450="Concluída"),1,0)))</f>
        <v/>
      </c>
    </row>
    <row r="451" customFormat="false" ht="16.5" hidden="false" customHeight="true" outlineLevel="0" collapsed="false">
      <c r="A451" s="36" t="str">
        <f aca="false">IF($F451="","",COUNTA($F$5:$F451))</f>
        <v/>
      </c>
      <c r="B451" s="37" t="str">
        <f aca="true">IF($F451="","",IF($P451="Cancelada","Cancelada",IF(OR($O451&lt;&gt;"",$P451="Concluída"),IF(OR($N451="",$O451="",$O451&lt;=$N451),"Concluída","Concluída com atraso"),IF($N451="","Na carteira",IF($N451&lt;TODAY(),"VENCIDA",IF($P451="Em execução","Em execução",IF($N451=TODAY(),"Hoje","Programada")))))))</f>
        <v/>
      </c>
      <c r="C451" s="38"/>
      <c r="D451" s="38"/>
      <c r="E451" s="38"/>
      <c r="F451" s="38"/>
      <c r="G451" s="39"/>
      <c r="H451" s="39"/>
      <c r="I451" s="40"/>
      <c r="J451" s="40"/>
      <c r="K451" s="40"/>
      <c r="L451" s="41"/>
      <c r="M451" s="42"/>
      <c r="N451" s="43" t="str">
        <f aca="false">IF(OR($L451="",$M451=""),"",$L451+MATCH($M451,Listas!$F$5:$F$11,0)-1)</f>
        <v/>
      </c>
      <c r="O451" s="44"/>
      <c r="P451" s="39"/>
      <c r="Q451" s="44"/>
      <c r="R451" s="38"/>
      <c r="S451" s="38"/>
      <c r="T451" s="36" t="str">
        <f aca="false">IF($F451="","",IF(ISNUMBER(SEARCH("(externo)",$I451&amp;$J451&amp;$K451)),"Terceirizada","Interna"))</f>
        <v/>
      </c>
      <c r="U451" s="43" t="str">
        <f aca="false">IF($N451="","",IF($Q451="",$N451,$Q451))</f>
        <v/>
      </c>
      <c r="V451" s="36" t="str">
        <f aca="false">IF($F451="","",IF(OR($O451="",$N451=""),0,IF($O451&lt;=$N451,1,0)))</f>
        <v/>
      </c>
      <c r="W451" s="36" t="str">
        <f aca="false">IF($F451="","",IF(OR($O451="",$U451=""),0,IF($O451&lt;=$U451,1,0)))</f>
        <v/>
      </c>
      <c r="X451" s="37" t="str">
        <f aca="false">IF(OR($O451="",$N451=""),"",MAX(0,$O451-$N451))</f>
        <v/>
      </c>
      <c r="Y451" s="36" t="str">
        <f aca="false">IF($F451="","",IF(AND($Q451&lt;&gt;"",$N451&lt;&gt;"",$Q451&lt;&gt;$N451),1,0))</f>
        <v/>
      </c>
      <c r="Z451" s="36" t="str">
        <f aca="false">IF($F451="","",IF($P451="Cancelada",0,IF(OR($O451&lt;&gt;"",$P451="Concluída"),1,0)))</f>
        <v/>
      </c>
    </row>
    <row r="452" customFormat="false" ht="16.5" hidden="false" customHeight="true" outlineLevel="0" collapsed="false">
      <c r="A452" s="36" t="str">
        <f aca="false">IF($F452="","",COUNTA($F$5:$F452))</f>
        <v/>
      </c>
      <c r="B452" s="37" t="str">
        <f aca="true">IF($F452="","",IF($P452="Cancelada","Cancelada",IF(OR($O452&lt;&gt;"",$P452="Concluída"),IF(OR($N452="",$O452="",$O452&lt;=$N452),"Concluída","Concluída com atraso"),IF($N452="","Na carteira",IF($N452&lt;TODAY(),"VENCIDA",IF($P452="Em execução","Em execução",IF($N452=TODAY(),"Hoje","Programada")))))))</f>
        <v/>
      </c>
      <c r="C452" s="38"/>
      <c r="D452" s="38"/>
      <c r="E452" s="38"/>
      <c r="F452" s="38"/>
      <c r="G452" s="39"/>
      <c r="H452" s="39"/>
      <c r="I452" s="40"/>
      <c r="J452" s="40"/>
      <c r="K452" s="40"/>
      <c r="L452" s="41"/>
      <c r="M452" s="42"/>
      <c r="N452" s="43" t="str">
        <f aca="false">IF(OR($L452="",$M452=""),"",$L452+MATCH($M452,Listas!$F$5:$F$11,0)-1)</f>
        <v/>
      </c>
      <c r="O452" s="44"/>
      <c r="P452" s="39"/>
      <c r="Q452" s="44"/>
      <c r="R452" s="38"/>
      <c r="S452" s="38"/>
      <c r="T452" s="36" t="str">
        <f aca="false">IF($F452="","",IF(ISNUMBER(SEARCH("(externo)",$I452&amp;$J452&amp;$K452)),"Terceirizada","Interna"))</f>
        <v/>
      </c>
      <c r="U452" s="43" t="str">
        <f aca="false">IF($N452="","",IF($Q452="",$N452,$Q452))</f>
        <v/>
      </c>
      <c r="V452" s="36" t="str">
        <f aca="false">IF($F452="","",IF(OR($O452="",$N452=""),0,IF($O452&lt;=$N452,1,0)))</f>
        <v/>
      </c>
      <c r="W452" s="36" t="str">
        <f aca="false">IF($F452="","",IF(OR($O452="",$U452=""),0,IF($O452&lt;=$U452,1,0)))</f>
        <v/>
      </c>
      <c r="X452" s="37" t="str">
        <f aca="false">IF(OR($O452="",$N452=""),"",MAX(0,$O452-$N452))</f>
        <v/>
      </c>
      <c r="Y452" s="36" t="str">
        <f aca="false">IF($F452="","",IF(AND($Q452&lt;&gt;"",$N452&lt;&gt;"",$Q452&lt;&gt;$N452),1,0))</f>
        <v/>
      </c>
      <c r="Z452" s="36" t="str">
        <f aca="false">IF($F452="","",IF($P452="Cancelada",0,IF(OR($O452&lt;&gt;"",$P452="Concluída"),1,0)))</f>
        <v/>
      </c>
    </row>
    <row r="453" customFormat="false" ht="16.5" hidden="false" customHeight="true" outlineLevel="0" collapsed="false">
      <c r="A453" s="36" t="str">
        <f aca="false">IF($F453="","",COUNTA($F$5:$F453))</f>
        <v/>
      </c>
      <c r="B453" s="37" t="str">
        <f aca="true">IF($F453="","",IF($P453="Cancelada","Cancelada",IF(OR($O453&lt;&gt;"",$P453="Concluída"),IF(OR($N453="",$O453="",$O453&lt;=$N453),"Concluída","Concluída com atraso"),IF($N453="","Na carteira",IF($N453&lt;TODAY(),"VENCIDA",IF($P453="Em execução","Em execução",IF($N453=TODAY(),"Hoje","Programada")))))))</f>
        <v/>
      </c>
      <c r="C453" s="38"/>
      <c r="D453" s="38"/>
      <c r="E453" s="38"/>
      <c r="F453" s="38"/>
      <c r="G453" s="39"/>
      <c r="H453" s="39"/>
      <c r="I453" s="40"/>
      <c r="J453" s="40"/>
      <c r="K453" s="40"/>
      <c r="L453" s="41"/>
      <c r="M453" s="42"/>
      <c r="N453" s="43" t="str">
        <f aca="false">IF(OR($L453="",$M453=""),"",$L453+MATCH($M453,Listas!$F$5:$F$11,0)-1)</f>
        <v/>
      </c>
      <c r="O453" s="44"/>
      <c r="P453" s="39"/>
      <c r="Q453" s="44"/>
      <c r="R453" s="38"/>
      <c r="S453" s="38"/>
      <c r="T453" s="36" t="str">
        <f aca="false">IF($F453="","",IF(ISNUMBER(SEARCH("(externo)",$I453&amp;$J453&amp;$K453)),"Terceirizada","Interna"))</f>
        <v/>
      </c>
      <c r="U453" s="43" t="str">
        <f aca="false">IF($N453="","",IF($Q453="",$N453,$Q453))</f>
        <v/>
      </c>
      <c r="V453" s="36" t="str">
        <f aca="false">IF($F453="","",IF(OR($O453="",$N453=""),0,IF($O453&lt;=$N453,1,0)))</f>
        <v/>
      </c>
      <c r="W453" s="36" t="str">
        <f aca="false">IF($F453="","",IF(OR($O453="",$U453=""),0,IF($O453&lt;=$U453,1,0)))</f>
        <v/>
      </c>
      <c r="X453" s="37" t="str">
        <f aca="false">IF(OR($O453="",$N453=""),"",MAX(0,$O453-$N453))</f>
        <v/>
      </c>
      <c r="Y453" s="36" t="str">
        <f aca="false">IF($F453="","",IF(AND($Q453&lt;&gt;"",$N453&lt;&gt;"",$Q453&lt;&gt;$N453),1,0))</f>
        <v/>
      </c>
      <c r="Z453" s="36" t="str">
        <f aca="false">IF($F453="","",IF($P453="Cancelada",0,IF(OR($O453&lt;&gt;"",$P453="Concluída"),1,0)))</f>
        <v/>
      </c>
    </row>
    <row r="454" customFormat="false" ht="16.5" hidden="false" customHeight="true" outlineLevel="0" collapsed="false">
      <c r="A454" s="36" t="str">
        <f aca="false">IF($F454="","",COUNTA($F$5:$F454))</f>
        <v/>
      </c>
      <c r="B454" s="37" t="str">
        <f aca="true">IF($F454="","",IF($P454="Cancelada","Cancelada",IF(OR($O454&lt;&gt;"",$P454="Concluída"),IF(OR($N454="",$O454="",$O454&lt;=$N454),"Concluída","Concluída com atraso"),IF($N454="","Na carteira",IF($N454&lt;TODAY(),"VENCIDA",IF($P454="Em execução","Em execução",IF($N454=TODAY(),"Hoje","Programada")))))))</f>
        <v/>
      </c>
      <c r="C454" s="38"/>
      <c r="D454" s="38"/>
      <c r="E454" s="38"/>
      <c r="F454" s="38"/>
      <c r="G454" s="39"/>
      <c r="H454" s="39"/>
      <c r="I454" s="40"/>
      <c r="J454" s="40"/>
      <c r="K454" s="40"/>
      <c r="L454" s="41"/>
      <c r="M454" s="42"/>
      <c r="N454" s="43" t="str">
        <f aca="false">IF(OR($L454="",$M454=""),"",$L454+MATCH($M454,Listas!$F$5:$F$11,0)-1)</f>
        <v/>
      </c>
      <c r="O454" s="44"/>
      <c r="P454" s="39"/>
      <c r="Q454" s="44"/>
      <c r="R454" s="38"/>
      <c r="S454" s="38"/>
      <c r="T454" s="36" t="str">
        <f aca="false">IF($F454="","",IF(ISNUMBER(SEARCH("(externo)",$I454&amp;$J454&amp;$K454)),"Terceirizada","Interna"))</f>
        <v/>
      </c>
      <c r="U454" s="43" t="str">
        <f aca="false">IF($N454="","",IF($Q454="",$N454,$Q454))</f>
        <v/>
      </c>
      <c r="V454" s="36" t="str">
        <f aca="false">IF($F454="","",IF(OR($O454="",$N454=""),0,IF($O454&lt;=$N454,1,0)))</f>
        <v/>
      </c>
      <c r="W454" s="36" t="str">
        <f aca="false">IF($F454="","",IF(OR($O454="",$U454=""),0,IF($O454&lt;=$U454,1,0)))</f>
        <v/>
      </c>
      <c r="X454" s="37" t="str">
        <f aca="false">IF(OR($O454="",$N454=""),"",MAX(0,$O454-$N454))</f>
        <v/>
      </c>
      <c r="Y454" s="36" t="str">
        <f aca="false">IF($F454="","",IF(AND($Q454&lt;&gt;"",$N454&lt;&gt;"",$Q454&lt;&gt;$N454),1,0))</f>
        <v/>
      </c>
      <c r="Z454" s="36" t="str">
        <f aca="false">IF($F454="","",IF($P454="Cancelada",0,IF(OR($O454&lt;&gt;"",$P454="Concluída"),1,0)))</f>
        <v/>
      </c>
    </row>
    <row r="455" customFormat="false" ht="16.5" hidden="false" customHeight="true" outlineLevel="0" collapsed="false">
      <c r="A455" s="36" t="str">
        <f aca="false">IF($F455="","",COUNTA($F$5:$F455))</f>
        <v/>
      </c>
      <c r="B455" s="37" t="str">
        <f aca="true">IF($F455="","",IF($P455="Cancelada","Cancelada",IF(OR($O455&lt;&gt;"",$P455="Concluída"),IF(OR($N455="",$O455="",$O455&lt;=$N455),"Concluída","Concluída com atraso"),IF($N455="","Na carteira",IF($N455&lt;TODAY(),"VENCIDA",IF($P455="Em execução","Em execução",IF($N455=TODAY(),"Hoje","Programada")))))))</f>
        <v/>
      </c>
      <c r="C455" s="38"/>
      <c r="D455" s="38"/>
      <c r="E455" s="38"/>
      <c r="F455" s="38"/>
      <c r="G455" s="39"/>
      <c r="H455" s="39"/>
      <c r="I455" s="40"/>
      <c r="J455" s="40"/>
      <c r="K455" s="40"/>
      <c r="L455" s="41"/>
      <c r="M455" s="42"/>
      <c r="N455" s="43" t="str">
        <f aca="false">IF(OR($L455="",$M455=""),"",$L455+MATCH($M455,Listas!$F$5:$F$11,0)-1)</f>
        <v/>
      </c>
      <c r="O455" s="44"/>
      <c r="P455" s="39"/>
      <c r="Q455" s="44"/>
      <c r="R455" s="38"/>
      <c r="S455" s="38"/>
      <c r="T455" s="36" t="str">
        <f aca="false">IF($F455="","",IF(ISNUMBER(SEARCH("(externo)",$I455&amp;$J455&amp;$K455)),"Terceirizada","Interna"))</f>
        <v/>
      </c>
      <c r="U455" s="43" t="str">
        <f aca="false">IF($N455="","",IF($Q455="",$N455,$Q455))</f>
        <v/>
      </c>
      <c r="V455" s="36" t="str">
        <f aca="false">IF($F455="","",IF(OR($O455="",$N455=""),0,IF($O455&lt;=$N455,1,0)))</f>
        <v/>
      </c>
      <c r="W455" s="36" t="str">
        <f aca="false">IF($F455="","",IF(OR($O455="",$U455=""),0,IF($O455&lt;=$U455,1,0)))</f>
        <v/>
      </c>
      <c r="X455" s="37" t="str">
        <f aca="false">IF(OR($O455="",$N455=""),"",MAX(0,$O455-$N455))</f>
        <v/>
      </c>
      <c r="Y455" s="36" t="str">
        <f aca="false">IF($F455="","",IF(AND($Q455&lt;&gt;"",$N455&lt;&gt;"",$Q455&lt;&gt;$N455),1,0))</f>
        <v/>
      </c>
      <c r="Z455" s="36" t="str">
        <f aca="false">IF($F455="","",IF($P455="Cancelada",0,IF(OR($O455&lt;&gt;"",$P455="Concluída"),1,0)))</f>
        <v/>
      </c>
    </row>
    <row r="456" customFormat="false" ht="16.5" hidden="false" customHeight="true" outlineLevel="0" collapsed="false">
      <c r="A456" s="36" t="str">
        <f aca="false">IF($F456="","",COUNTA($F$5:$F456))</f>
        <v/>
      </c>
      <c r="B456" s="37" t="str">
        <f aca="true">IF($F456="","",IF($P456="Cancelada","Cancelada",IF(OR($O456&lt;&gt;"",$P456="Concluída"),IF(OR($N456="",$O456="",$O456&lt;=$N456),"Concluída","Concluída com atraso"),IF($N456="","Na carteira",IF($N456&lt;TODAY(),"VENCIDA",IF($P456="Em execução","Em execução",IF($N456=TODAY(),"Hoje","Programada")))))))</f>
        <v/>
      </c>
      <c r="C456" s="38"/>
      <c r="D456" s="38"/>
      <c r="E456" s="38"/>
      <c r="F456" s="38"/>
      <c r="G456" s="39"/>
      <c r="H456" s="39"/>
      <c r="I456" s="40"/>
      <c r="J456" s="40"/>
      <c r="K456" s="40"/>
      <c r="L456" s="41"/>
      <c r="M456" s="42"/>
      <c r="N456" s="43" t="str">
        <f aca="false">IF(OR($L456="",$M456=""),"",$L456+MATCH($M456,Listas!$F$5:$F$11,0)-1)</f>
        <v/>
      </c>
      <c r="O456" s="44"/>
      <c r="P456" s="39"/>
      <c r="Q456" s="44"/>
      <c r="R456" s="38"/>
      <c r="S456" s="38"/>
      <c r="T456" s="36" t="str">
        <f aca="false">IF($F456="","",IF(ISNUMBER(SEARCH("(externo)",$I456&amp;$J456&amp;$K456)),"Terceirizada","Interna"))</f>
        <v/>
      </c>
      <c r="U456" s="43" t="str">
        <f aca="false">IF($N456="","",IF($Q456="",$N456,$Q456))</f>
        <v/>
      </c>
      <c r="V456" s="36" t="str">
        <f aca="false">IF($F456="","",IF(OR($O456="",$N456=""),0,IF($O456&lt;=$N456,1,0)))</f>
        <v/>
      </c>
      <c r="W456" s="36" t="str">
        <f aca="false">IF($F456="","",IF(OR($O456="",$U456=""),0,IF($O456&lt;=$U456,1,0)))</f>
        <v/>
      </c>
      <c r="X456" s="37" t="str">
        <f aca="false">IF(OR($O456="",$N456=""),"",MAX(0,$O456-$N456))</f>
        <v/>
      </c>
      <c r="Y456" s="36" t="str">
        <f aca="false">IF($F456="","",IF(AND($Q456&lt;&gt;"",$N456&lt;&gt;"",$Q456&lt;&gt;$N456),1,0))</f>
        <v/>
      </c>
      <c r="Z456" s="36" t="str">
        <f aca="false">IF($F456="","",IF($P456="Cancelada",0,IF(OR($O456&lt;&gt;"",$P456="Concluída"),1,0)))</f>
        <v/>
      </c>
    </row>
    <row r="457" customFormat="false" ht="16.5" hidden="false" customHeight="true" outlineLevel="0" collapsed="false">
      <c r="A457" s="36" t="str">
        <f aca="false">IF($F457="","",COUNTA($F$5:$F457))</f>
        <v/>
      </c>
      <c r="B457" s="37" t="str">
        <f aca="true">IF($F457="","",IF($P457="Cancelada","Cancelada",IF(OR($O457&lt;&gt;"",$P457="Concluída"),IF(OR($N457="",$O457="",$O457&lt;=$N457),"Concluída","Concluída com atraso"),IF($N457="","Na carteira",IF($N457&lt;TODAY(),"VENCIDA",IF($P457="Em execução","Em execução",IF($N457=TODAY(),"Hoje","Programada")))))))</f>
        <v/>
      </c>
      <c r="C457" s="38"/>
      <c r="D457" s="38"/>
      <c r="E457" s="38"/>
      <c r="F457" s="38"/>
      <c r="G457" s="39"/>
      <c r="H457" s="39"/>
      <c r="I457" s="40"/>
      <c r="J457" s="40"/>
      <c r="K457" s="40"/>
      <c r="L457" s="41"/>
      <c r="M457" s="42"/>
      <c r="N457" s="43" t="str">
        <f aca="false">IF(OR($L457="",$M457=""),"",$L457+MATCH($M457,Listas!$F$5:$F$11,0)-1)</f>
        <v/>
      </c>
      <c r="O457" s="44"/>
      <c r="P457" s="39"/>
      <c r="Q457" s="44"/>
      <c r="R457" s="38"/>
      <c r="S457" s="38"/>
      <c r="T457" s="36" t="str">
        <f aca="false">IF($F457="","",IF(ISNUMBER(SEARCH("(externo)",$I457&amp;$J457&amp;$K457)),"Terceirizada","Interna"))</f>
        <v/>
      </c>
      <c r="U457" s="43" t="str">
        <f aca="false">IF($N457="","",IF($Q457="",$N457,$Q457))</f>
        <v/>
      </c>
      <c r="V457" s="36" t="str">
        <f aca="false">IF($F457="","",IF(OR($O457="",$N457=""),0,IF($O457&lt;=$N457,1,0)))</f>
        <v/>
      </c>
      <c r="W457" s="36" t="str">
        <f aca="false">IF($F457="","",IF(OR($O457="",$U457=""),0,IF($O457&lt;=$U457,1,0)))</f>
        <v/>
      </c>
      <c r="X457" s="37" t="str">
        <f aca="false">IF(OR($O457="",$N457=""),"",MAX(0,$O457-$N457))</f>
        <v/>
      </c>
      <c r="Y457" s="36" t="str">
        <f aca="false">IF($F457="","",IF(AND($Q457&lt;&gt;"",$N457&lt;&gt;"",$Q457&lt;&gt;$N457),1,0))</f>
        <v/>
      </c>
      <c r="Z457" s="36" t="str">
        <f aca="false">IF($F457="","",IF($P457="Cancelada",0,IF(OR($O457&lt;&gt;"",$P457="Concluída"),1,0)))</f>
        <v/>
      </c>
    </row>
    <row r="458" customFormat="false" ht="16.5" hidden="false" customHeight="true" outlineLevel="0" collapsed="false">
      <c r="A458" s="36" t="str">
        <f aca="false">IF($F458="","",COUNTA($F$5:$F458))</f>
        <v/>
      </c>
      <c r="B458" s="37" t="str">
        <f aca="true">IF($F458="","",IF($P458="Cancelada","Cancelada",IF(OR($O458&lt;&gt;"",$P458="Concluída"),IF(OR($N458="",$O458="",$O458&lt;=$N458),"Concluída","Concluída com atraso"),IF($N458="","Na carteira",IF($N458&lt;TODAY(),"VENCIDA",IF($P458="Em execução","Em execução",IF($N458=TODAY(),"Hoje","Programada")))))))</f>
        <v/>
      </c>
      <c r="C458" s="38"/>
      <c r="D458" s="38"/>
      <c r="E458" s="38"/>
      <c r="F458" s="38"/>
      <c r="G458" s="39"/>
      <c r="H458" s="39"/>
      <c r="I458" s="40"/>
      <c r="J458" s="40"/>
      <c r="K458" s="40"/>
      <c r="L458" s="41"/>
      <c r="M458" s="42"/>
      <c r="N458" s="43" t="str">
        <f aca="false">IF(OR($L458="",$M458=""),"",$L458+MATCH($M458,Listas!$F$5:$F$11,0)-1)</f>
        <v/>
      </c>
      <c r="O458" s="44"/>
      <c r="P458" s="39"/>
      <c r="Q458" s="44"/>
      <c r="R458" s="38"/>
      <c r="S458" s="38"/>
      <c r="T458" s="36" t="str">
        <f aca="false">IF($F458="","",IF(ISNUMBER(SEARCH("(externo)",$I458&amp;$J458&amp;$K458)),"Terceirizada","Interna"))</f>
        <v/>
      </c>
      <c r="U458" s="43" t="str">
        <f aca="false">IF($N458="","",IF($Q458="",$N458,$Q458))</f>
        <v/>
      </c>
      <c r="V458" s="36" t="str">
        <f aca="false">IF($F458="","",IF(OR($O458="",$N458=""),0,IF($O458&lt;=$N458,1,0)))</f>
        <v/>
      </c>
      <c r="W458" s="36" t="str">
        <f aca="false">IF($F458="","",IF(OR($O458="",$U458=""),0,IF($O458&lt;=$U458,1,0)))</f>
        <v/>
      </c>
      <c r="X458" s="37" t="str">
        <f aca="false">IF(OR($O458="",$N458=""),"",MAX(0,$O458-$N458))</f>
        <v/>
      </c>
      <c r="Y458" s="36" t="str">
        <f aca="false">IF($F458="","",IF(AND($Q458&lt;&gt;"",$N458&lt;&gt;"",$Q458&lt;&gt;$N458),1,0))</f>
        <v/>
      </c>
      <c r="Z458" s="36" t="str">
        <f aca="false">IF($F458="","",IF($P458="Cancelada",0,IF(OR($O458&lt;&gt;"",$P458="Concluída"),1,0)))</f>
        <v/>
      </c>
    </row>
    <row r="459" customFormat="false" ht="16.5" hidden="false" customHeight="true" outlineLevel="0" collapsed="false">
      <c r="A459" s="36" t="str">
        <f aca="false">IF($F459="","",COUNTA($F$5:$F459))</f>
        <v/>
      </c>
      <c r="B459" s="37" t="str">
        <f aca="true">IF($F459="","",IF($P459="Cancelada","Cancelada",IF(OR($O459&lt;&gt;"",$P459="Concluída"),IF(OR($N459="",$O459="",$O459&lt;=$N459),"Concluída","Concluída com atraso"),IF($N459="","Na carteira",IF($N459&lt;TODAY(),"VENCIDA",IF($P459="Em execução","Em execução",IF($N459=TODAY(),"Hoje","Programada")))))))</f>
        <v/>
      </c>
      <c r="C459" s="38"/>
      <c r="D459" s="38"/>
      <c r="E459" s="38"/>
      <c r="F459" s="38"/>
      <c r="G459" s="39"/>
      <c r="H459" s="39"/>
      <c r="I459" s="40"/>
      <c r="J459" s="40"/>
      <c r="K459" s="40"/>
      <c r="L459" s="41"/>
      <c r="M459" s="42"/>
      <c r="N459" s="43" t="str">
        <f aca="false">IF(OR($L459="",$M459=""),"",$L459+MATCH($M459,Listas!$F$5:$F$11,0)-1)</f>
        <v/>
      </c>
      <c r="O459" s="44"/>
      <c r="P459" s="39"/>
      <c r="Q459" s="44"/>
      <c r="R459" s="38"/>
      <c r="S459" s="38"/>
      <c r="T459" s="36" t="str">
        <f aca="false">IF($F459="","",IF(ISNUMBER(SEARCH("(externo)",$I459&amp;$J459&amp;$K459)),"Terceirizada","Interna"))</f>
        <v/>
      </c>
      <c r="U459" s="43" t="str">
        <f aca="false">IF($N459="","",IF($Q459="",$N459,$Q459))</f>
        <v/>
      </c>
      <c r="V459" s="36" t="str">
        <f aca="false">IF($F459="","",IF(OR($O459="",$N459=""),0,IF($O459&lt;=$N459,1,0)))</f>
        <v/>
      </c>
      <c r="W459" s="36" t="str">
        <f aca="false">IF($F459="","",IF(OR($O459="",$U459=""),0,IF($O459&lt;=$U459,1,0)))</f>
        <v/>
      </c>
      <c r="X459" s="37" t="str">
        <f aca="false">IF(OR($O459="",$N459=""),"",MAX(0,$O459-$N459))</f>
        <v/>
      </c>
      <c r="Y459" s="36" t="str">
        <f aca="false">IF($F459="","",IF(AND($Q459&lt;&gt;"",$N459&lt;&gt;"",$Q459&lt;&gt;$N459),1,0))</f>
        <v/>
      </c>
      <c r="Z459" s="36" t="str">
        <f aca="false">IF($F459="","",IF($P459="Cancelada",0,IF(OR($O459&lt;&gt;"",$P459="Concluída"),1,0)))</f>
        <v/>
      </c>
    </row>
    <row r="460" customFormat="false" ht="16.5" hidden="false" customHeight="true" outlineLevel="0" collapsed="false">
      <c r="A460" s="36" t="str">
        <f aca="false">IF($F460="","",COUNTA($F$5:$F460))</f>
        <v/>
      </c>
      <c r="B460" s="37" t="str">
        <f aca="true">IF($F460="","",IF($P460="Cancelada","Cancelada",IF(OR($O460&lt;&gt;"",$P460="Concluída"),IF(OR($N460="",$O460="",$O460&lt;=$N460),"Concluída","Concluída com atraso"),IF($N460="","Na carteira",IF($N460&lt;TODAY(),"VENCIDA",IF($P460="Em execução","Em execução",IF($N460=TODAY(),"Hoje","Programada")))))))</f>
        <v/>
      </c>
      <c r="C460" s="38"/>
      <c r="D460" s="38"/>
      <c r="E460" s="38"/>
      <c r="F460" s="38"/>
      <c r="G460" s="39"/>
      <c r="H460" s="39"/>
      <c r="I460" s="40"/>
      <c r="J460" s="40"/>
      <c r="K460" s="40"/>
      <c r="L460" s="41"/>
      <c r="M460" s="42"/>
      <c r="N460" s="43" t="str">
        <f aca="false">IF(OR($L460="",$M460=""),"",$L460+MATCH($M460,Listas!$F$5:$F$11,0)-1)</f>
        <v/>
      </c>
      <c r="O460" s="44"/>
      <c r="P460" s="39"/>
      <c r="Q460" s="44"/>
      <c r="R460" s="38"/>
      <c r="S460" s="38"/>
      <c r="T460" s="36" t="str">
        <f aca="false">IF($F460="","",IF(ISNUMBER(SEARCH("(externo)",$I460&amp;$J460&amp;$K460)),"Terceirizada","Interna"))</f>
        <v/>
      </c>
      <c r="U460" s="43" t="str">
        <f aca="false">IF($N460="","",IF($Q460="",$N460,$Q460))</f>
        <v/>
      </c>
      <c r="V460" s="36" t="str">
        <f aca="false">IF($F460="","",IF(OR($O460="",$N460=""),0,IF($O460&lt;=$N460,1,0)))</f>
        <v/>
      </c>
      <c r="W460" s="36" t="str">
        <f aca="false">IF($F460="","",IF(OR($O460="",$U460=""),0,IF($O460&lt;=$U460,1,0)))</f>
        <v/>
      </c>
      <c r="X460" s="37" t="str">
        <f aca="false">IF(OR($O460="",$N460=""),"",MAX(0,$O460-$N460))</f>
        <v/>
      </c>
      <c r="Y460" s="36" t="str">
        <f aca="false">IF($F460="","",IF(AND($Q460&lt;&gt;"",$N460&lt;&gt;"",$Q460&lt;&gt;$N460),1,0))</f>
        <v/>
      </c>
      <c r="Z460" s="36" t="str">
        <f aca="false">IF($F460="","",IF($P460="Cancelada",0,IF(OR($O460&lt;&gt;"",$P460="Concluída"),1,0)))</f>
        <v/>
      </c>
    </row>
    <row r="461" customFormat="false" ht="16.5" hidden="false" customHeight="true" outlineLevel="0" collapsed="false">
      <c r="A461" s="36" t="str">
        <f aca="false">IF($F461="","",COUNTA($F$5:$F461))</f>
        <v/>
      </c>
      <c r="B461" s="37" t="str">
        <f aca="true">IF($F461="","",IF($P461="Cancelada","Cancelada",IF(OR($O461&lt;&gt;"",$P461="Concluída"),IF(OR($N461="",$O461="",$O461&lt;=$N461),"Concluída","Concluída com atraso"),IF($N461="","Na carteira",IF($N461&lt;TODAY(),"VENCIDA",IF($P461="Em execução","Em execução",IF($N461=TODAY(),"Hoje","Programada")))))))</f>
        <v/>
      </c>
      <c r="C461" s="38"/>
      <c r="D461" s="38"/>
      <c r="E461" s="38"/>
      <c r="F461" s="38"/>
      <c r="G461" s="39"/>
      <c r="H461" s="39"/>
      <c r="I461" s="40"/>
      <c r="J461" s="40"/>
      <c r="K461" s="40"/>
      <c r="L461" s="41"/>
      <c r="M461" s="42"/>
      <c r="N461" s="43" t="str">
        <f aca="false">IF(OR($L461="",$M461=""),"",$L461+MATCH($M461,Listas!$F$5:$F$11,0)-1)</f>
        <v/>
      </c>
      <c r="O461" s="44"/>
      <c r="P461" s="39"/>
      <c r="Q461" s="44"/>
      <c r="R461" s="38"/>
      <c r="S461" s="38"/>
      <c r="T461" s="36" t="str">
        <f aca="false">IF($F461="","",IF(ISNUMBER(SEARCH("(externo)",$I461&amp;$J461&amp;$K461)),"Terceirizada","Interna"))</f>
        <v/>
      </c>
      <c r="U461" s="43" t="str">
        <f aca="false">IF($N461="","",IF($Q461="",$N461,$Q461))</f>
        <v/>
      </c>
      <c r="V461" s="36" t="str">
        <f aca="false">IF($F461="","",IF(OR($O461="",$N461=""),0,IF($O461&lt;=$N461,1,0)))</f>
        <v/>
      </c>
      <c r="W461" s="36" t="str">
        <f aca="false">IF($F461="","",IF(OR($O461="",$U461=""),0,IF($O461&lt;=$U461,1,0)))</f>
        <v/>
      </c>
      <c r="X461" s="37" t="str">
        <f aca="false">IF(OR($O461="",$N461=""),"",MAX(0,$O461-$N461))</f>
        <v/>
      </c>
      <c r="Y461" s="36" t="str">
        <f aca="false">IF($F461="","",IF(AND($Q461&lt;&gt;"",$N461&lt;&gt;"",$Q461&lt;&gt;$N461),1,0))</f>
        <v/>
      </c>
      <c r="Z461" s="36" t="str">
        <f aca="false">IF($F461="","",IF($P461="Cancelada",0,IF(OR($O461&lt;&gt;"",$P461="Concluída"),1,0)))</f>
        <v/>
      </c>
    </row>
    <row r="462" customFormat="false" ht="16.5" hidden="false" customHeight="true" outlineLevel="0" collapsed="false">
      <c r="A462" s="36" t="str">
        <f aca="false">IF($F462="","",COUNTA($F$5:$F462))</f>
        <v/>
      </c>
      <c r="B462" s="37" t="str">
        <f aca="true">IF($F462="","",IF($P462="Cancelada","Cancelada",IF(OR($O462&lt;&gt;"",$P462="Concluída"),IF(OR($N462="",$O462="",$O462&lt;=$N462),"Concluída","Concluída com atraso"),IF($N462="","Na carteira",IF($N462&lt;TODAY(),"VENCIDA",IF($P462="Em execução","Em execução",IF($N462=TODAY(),"Hoje","Programada")))))))</f>
        <v/>
      </c>
      <c r="C462" s="38"/>
      <c r="D462" s="38"/>
      <c r="E462" s="38"/>
      <c r="F462" s="38"/>
      <c r="G462" s="39"/>
      <c r="H462" s="39"/>
      <c r="I462" s="40"/>
      <c r="J462" s="40"/>
      <c r="K462" s="40"/>
      <c r="L462" s="41"/>
      <c r="M462" s="42"/>
      <c r="N462" s="43" t="str">
        <f aca="false">IF(OR($L462="",$M462=""),"",$L462+MATCH($M462,Listas!$F$5:$F$11,0)-1)</f>
        <v/>
      </c>
      <c r="O462" s="44"/>
      <c r="P462" s="39"/>
      <c r="Q462" s="44"/>
      <c r="R462" s="38"/>
      <c r="S462" s="38"/>
      <c r="T462" s="36" t="str">
        <f aca="false">IF($F462="","",IF(ISNUMBER(SEARCH("(externo)",$I462&amp;$J462&amp;$K462)),"Terceirizada","Interna"))</f>
        <v/>
      </c>
      <c r="U462" s="43" t="str">
        <f aca="false">IF($N462="","",IF($Q462="",$N462,$Q462))</f>
        <v/>
      </c>
      <c r="V462" s="36" t="str">
        <f aca="false">IF($F462="","",IF(OR($O462="",$N462=""),0,IF($O462&lt;=$N462,1,0)))</f>
        <v/>
      </c>
      <c r="W462" s="36" t="str">
        <f aca="false">IF($F462="","",IF(OR($O462="",$U462=""),0,IF($O462&lt;=$U462,1,0)))</f>
        <v/>
      </c>
      <c r="X462" s="37" t="str">
        <f aca="false">IF(OR($O462="",$N462=""),"",MAX(0,$O462-$N462))</f>
        <v/>
      </c>
      <c r="Y462" s="36" t="str">
        <f aca="false">IF($F462="","",IF(AND($Q462&lt;&gt;"",$N462&lt;&gt;"",$Q462&lt;&gt;$N462),1,0))</f>
        <v/>
      </c>
      <c r="Z462" s="36" t="str">
        <f aca="false">IF($F462="","",IF($P462="Cancelada",0,IF(OR($O462&lt;&gt;"",$P462="Concluída"),1,0)))</f>
        <v/>
      </c>
    </row>
    <row r="463" customFormat="false" ht="16.5" hidden="false" customHeight="true" outlineLevel="0" collapsed="false">
      <c r="A463" s="36" t="str">
        <f aca="false">IF($F463="","",COUNTA($F$5:$F463))</f>
        <v/>
      </c>
      <c r="B463" s="37" t="str">
        <f aca="true">IF($F463="","",IF($P463="Cancelada","Cancelada",IF(OR($O463&lt;&gt;"",$P463="Concluída"),IF(OR($N463="",$O463="",$O463&lt;=$N463),"Concluída","Concluída com atraso"),IF($N463="","Na carteira",IF($N463&lt;TODAY(),"VENCIDA",IF($P463="Em execução","Em execução",IF($N463=TODAY(),"Hoje","Programada")))))))</f>
        <v/>
      </c>
      <c r="C463" s="38"/>
      <c r="D463" s="38"/>
      <c r="E463" s="38"/>
      <c r="F463" s="38"/>
      <c r="G463" s="39"/>
      <c r="H463" s="39"/>
      <c r="I463" s="40"/>
      <c r="J463" s="40"/>
      <c r="K463" s="40"/>
      <c r="L463" s="41"/>
      <c r="M463" s="42"/>
      <c r="N463" s="43" t="str">
        <f aca="false">IF(OR($L463="",$M463=""),"",$L463+MATCH($M463,Listas!$F$5:$F$11,0)-1)</f>
        <v/>
      </c>
      <c r="O463" s="44"/>
      <c r="P463" s="39"/>
      <c r="Q463" s="44"/>
      <c r="R463" s="38"/>
      <c r="S463" s="38"/>
      <c r="T463" s="36" t="str">
        <f aca="false">IF($F463="","",IF(ISNUMBER(SEARCH("(externo)",$I463&amp;$J463&amp;$K463)),"Terceirizada","Interna"))</f>
        <v/>
      </c>
      <c r="U463" s="43" t="str">
        <f aca="false">IF($N463="","",IF($Q463="",$N463,$Q463))</f>
        <v/>
      </c>
      <c r="V463" s="36" t="str">
        <f aca="false">IF($F463="","",IF(OR($O463="",$N463=""),0,IF($O463&lt;=$N463,1,0)))</f>
        <v/>
      </c>
      <c r="W463" s="36" t="str">
        <f aca="false">IF($F463="","",IF(OR($O463="",$U463=""),0,IF($O463&lt;=$U463,1,0)))</f>
        <v/>
      </c>
      <c r="X463" s="37" t="str">
        <f aca="false">IF(OR($O463="",$N463=""),"",MAX(0,$O463-$N463))</f>
        <v/>
      </c>
      <c r="Y463" s="36" t="str">
        <f aca="false">IF($F463="","",IF(AND($Q463&lt;&gt;"",$N463&lt;&gt;"",$Q463&lt;&gt;$N463),1,0))</f>
        <v/>
      </c>
      <c r="Z463" s="36" t="str">
        <f aca="false">IF($F463="","",IF($P463="Cancelada",0,IF(OR($O463&lt;&gt;"",$P463="Concluída"),1,0)))</f>
        <v/>
      </c>
    </row>
    <row r="464" customFormat="false" ht="16.5" hidden="false" customHeight="true" outlineLevel="0" collapsed="false">
      <c r="A464" s="36" t="str">
        <f aca="false">IF($F464="","",COUNTA($F$5:$F464))</f>
        <v/>
      </c>
      <c r="B464" s="37" t="str">
        <f aca="true">IF($F464="","",IF($P464="Cancelada","Cancelada",IF(OR($O464&lt;&gt;"",$P464="Concluída"),IF(OR($N464="",$O464="",$O464&lt;=$N464),"Concluída","Concluída com atraso"),IF($N464="","Na carteira",IF($N464&lt;TODAY(),"VENCIDA",IF($P464="Em execução","Em execução",IF($N464=TODAY(),"Hoje","Programada")))))))</f>
        <v/>
      </c>
      <c r="C464" s="38"/>
      <c r="D464" s="38"/>
      <c r="E464" s="38"/>
      <c r="F464" s="38"/>
      <c r="G464" s="39"/>
      <c r="H464" s="39"/>
      <c r="I464" s="40"/>
      <c r="J464" s="40"/>
      <c r="K464" s="40"/>
      <c r="L464" s="41"/>
      <c r="M464" s="42"/>
      <c r="N464" s="43" t="str">
        <f aca="false">IF(OR($L464="",$M464=""),"",$L464+MATCH($M464,Listas!$F$5:$F$11,0)-1)</f>
        <v/>
      </c>
      <c r="O464" s="44"/>
      <c r="P464" s="39"/>
      <c r="Q464" s="44"/>
      <c r="R464" s="38"/>
      <c r="S464" s="38"/>
      <c r="T464" s="36" t="str">
        <f aca="false">IF($F464="","",IF(ISNUMBER(SEARCH("(externo)",$I464&amp;$J464&amp;$K464)),"Terceirizada","Interna"))</f>
        <v/>
      </c>
      <c r="U464" s="43" t="str">
        <f aca="false">IF($N464="","",IF($Q464="",$N464,$Q464))</f>
        <v/>
      </c>
      <c r="V464" s="36" t="str">
        <f aca="false">IF($F464="","",IF(OR($O464="",$N464=""),0,IF($O464&lt;=$N464,1,0)))</f>
        <v/>
      </c>
      <c r="W464" s="36" t="str">
        <f aca="false">IF($F464="","",IF(OR($O464="",$U464=""),0,IF($O464&lt;=$U464,1,0)))</f>
        <v/>
      </c>
      <c r="X464" s="37" t="str">
        <f aca="false">IF(OR($O464="",$N464=""),"",MAX(0,$O464-$N464))</f>
        <v/>
      </c>
      <c r="Y464" s="36" t="str">
        <f aca="false">IF($F464="","",IF(AND($Q464&lt;&gt;"",$N464&lt;&gt;"",$Q464&lt;&gt;$N464),1,0))</f>
        <v/>
      </c>
      <c r="Z464" s="36" t="str">
        <f aca="false">IF($F464="","",IF($P464="Cancelada",0,IF(OR($O464&lt;&gt;"",$P464="Concluída"),1,0)))</f>
        <v/>
      </c>
    </row>
    <row r="465" customFormat="false" ht="16.5" hidden="false" customHeight="true" outlineLevel="0" collapsed="false">
      <c r="A465" s="36" t="str">
        <f aca="false">IF($F465="","",COUNTA($F$5:$F465))</f>
        <v/>
      </c>
      <c r="B465" s="37" t="str">
        <f aca="true">IF($F465="","",IF($P465="Cancelada","Cancelada",IF(OR($O465&lt;&gt;"",$P465="Concluída"),IF(OR($N465="",$O465="",$O465&lt;=$N465),"Concluída","Concluída com atraso"),IF($N465="","Na carteira",IF($N465&lt;TODAY(),"VENCIDA",IF($P465="Em execução","Em execução",IF($N465=TODAY(),"Hoje","Programada")))))))</f>
        <v/>
      </c>
      <c r="C465" s="38"/>
      <c r="D465" s="38"/>
      <c r="E465" s="38"/>
      <c r="F465" s="38"/>
      <c r="G465" s="39"/>
      <c r="H465" s="39"/>
      <c r="I465" s="40"/>
      <c r="J465" s="40"/>
      <c r="K465" s="40"/>
      <c r="L465" s="41"/>
      <c r="M465" s="42"/>
      <c r="N465" s="43" t="str">
        <f aca="false">IF(OR($L465="",$M465=""),"",$L465+MATCH($M465,Listas!$F$5:$F$11,0)-1)</f>
        <v/>
      </c>
      <c r="O465" s="44"/>
      <c r="P465" s="39"/>
      <c r="Q465" s="44"/>
      <c r="R465" s="38"/>
      <c r="S465" s="38"/>
      <c r="T465" s="36" t="str">
        <f aca="false">IF($F465="","",IF(ISNUMBER(SEARCH("(externo)",$I465&amp;$J465&amp;$K465)),"Terceirizada","Interna"))</f>
        <v/>
      </c>
      <c r="U465" s="43" t="str">
        <f aca="false">IF($N465="","",IF($Q465="",$N465,$Q465))</f>
        <v/>
      </c>
      <c r="V465" s="36" t="str">
        <f aca="false">IF($F465="","",IF(OR($O465="",$N465=""),0,IF($O465&lt;=$N465,1,0)))</f>
        <v/>
      </c>
      <c r="W465" s="36" t="str">
        <f aca="false">IF($F465="","",IF(OR($O465="",$U465=""),0,IF($O465&lt;=$U465,1,0)))</f>
        <v/>
      </c>
      <c r="X465" s="37" t="str">
        <f aca="false">IF(OR($O465="",$N465=""),"",MAX(0,$O465-$N465))</f>
        <v/>
      </c>
      <c r="Y465" s="36" t="str">
        <f aca="false">IF($F465="","",IF(AND($Q465&lt;&gt;"",$N465&lt;&gt;"",$Q465&lt;&gt;$N465),1,0))</f>
        <v/>
      </c>
      <c r="Z465" s="36" t="str">
        <f aca="false">IF($F465="","",IF($P465="Cancelada",0,IF(OR($O465&lt;&gt;"",$P465="Concluída"),1,0)))</f>
        <v/>
      </c>
    </row>
    <row r="466" customFormat="false" ht="16.5" hidden="false" customHeight="true" outlineLevel="0" collapsed="false">
      <c r="A466" s="36" t="str">
        <f aca="false">IF($F466="","",COUNTA($F$5:$F466))</f>
        <v/>
      </c>
      <c r="B466" s="37" t="str">
        <f aca="true">IF($F466="","",IF($P466="Cancelada","Cancelada",IF(OR($O466&lt;&gt;"",$P466="Concluída"),IF(OR($N466="",$O466="",$O466&lt;=$N466),"Concluída","Concluída com atraso"),IF($N466="","Na carteira",IF($N466&lt;TODAY(),"VENCIDA",IF($P466="Em execução","Em execução",IF($N466=TODAY(),"Hoje","Programada")))))))</f>
        <v/>
      </c>
      <c r="C466" s="38"/>
      <c r="D466" s="38"/>
      <c r="E466" s="38"/>
      <c r="F466" s="38"/>
      <c r="G466" s="39"/>
      <c r="H466" s="39"/>
      <c r="I466" s="40"/>
      <c r="J466" s="40"/>
      <c r="K466" s="40"/>
      <c r="L466" s="41"/>
      <c r="M466" s="42"/>
      <c r="N466" s="43" t="str">
        <f aca="false">IF(OR($L466="",$M466=""),"",$L466+MATCH($M466,Listas!$F$5:$F$11,0)-1)</f>
        <v/>
      </c>
      <c r="O466" s="44"/>
      <c r="P466" s="39"/>
      <c r="Q466" s="44"/>
      <c r="R466" s="38"/>
      <c r="S466" s="38"/>
      <c r="T466" s="36" t="str">
        <f aca="false">IF($F466="","",IF(ISNUMBER(SEARCH("(externo)",$I466&amp;$J466&amp;$K466)),"Terceirizada","Interna"))</f>
        <v/>
      </c>
      <c r="U466" s="43" t="str">
        <f aca="false">IF($N466="","",IF($Q466="",$N466,$Q466))</f>
        <v/>
      </c>
      <c r="V466" s="36" t="str">
        <f aca="false">IF($F466="","",IF(OR($O466="",$N466=""),0,IF($O466&lt;=$N466,1,0)))</f>
        <v/>
      </c>
      <c r="W466" s="36" t="str">
        <f aca="false">IF($F466="","",IF(OR($O466="",$U466=""),0,IF($O466&lt;=$U466,1,0)))</f>
        <v/>
      </c>
      <c r="X466" s="37" t="str">
        <f aca="false">IF(OR($O466="",$N466=""),"",MAX(0,$O466-$N466))</f>
        <v/>
      </c>
      <c r="Y466" s="36" t="str">
        <f aca="false">IF($F466="","",IF(AND($Q466&lt;&gt;"",$N466&lt;&gt;"",$Q466&lt;&gt;$N466),1,0))</f>
        <v/>
      </c>
      <c r="Z466" s="36" t="str">
        <f aca="false">IF($F466="","",IF($P466="Cancelada",0,IF(OR($O466&lt;&gt;"",$P466="Concluída"),1,0)))</f>
        <v/>
      </c>
    </row>
    <row r="467" customFormat="false" ht="16.5" hidden="false" customHeight="true" outlineLevel="0" collapsed="false">
      <c r="A467" s="36" t="str">
        <f aca="false">IF($F467="","",COUNTA($F$5:$F467))</f>
        <v/>
      </c>
      <c r="B467" s="37" t="str">
        <f aca="true">IF($F467="","",IF($P467="Cancelada","Cancelada",IF(OR($O467&lt;&gt;"",$P467="Concluída"),IF(OR($N467="",$O467="",$O467&lt;=$N467),"Concluída","Concluída com atraso"),IF($N467="","Na carteira",IF($N467&lt;TODAY(),"VENCIDA",IF($P467="Em execução","Em execução",IF($N467=TODAY(),"Hoje","Programada")))))))</f>
        <v/>
      </c>
      <c r="C467" s="38"/>
      <c r="D467" s="38"/>
      <c r="E467" s="38"/>
      <c r="F467" s="38"/>
      <c r="G467" s="39"/>
      <c r="H467" s="39"/>
      <c r="I467" s="40"/>
      <c r="J467" s="40"/>
      <c r="K467" s="40"/>
      <c r="L467" s="41"/>
      <c r="M467" s="42"/>
      <c r="N467" s="43" t="str">
        <f aca="false">IF(OR($L467="",$M467=""),"",$L467+MATCH($M467,Listas!$F$5:$F$11,0)-1)</f>
        <v/>
      </c>
      <c r="O467" s="44"/>
      <c r="P467" s="39"/>
      <c r="Q467" s="44"/>
      <c r="R467" s="38"/>
      <c r="S467" s="38"/>
      <c r="T467" s="36" t="str">
        <f aca="false">IF($F467="","",IF(ISNUMBER(SEARCH("(externo)",$I467&amp;$J467&amp;$K467)),"Terceirizada","Interna"))</f>
        <v/>
      </c>
      <c r="U467" s="43" t="str">
        <f aca="false">IF($N467="","",IF($Q467="",$N467,$Q467))</f>
        <v/>
      </c>
      <c r="V467" s="36" t="str">
        <f aca="false">IF($F467="","",IF(OR($O467="",$N467=""),0,IF($O467&lt;=$N467,1,0)))</f>
        <v/>
      </c>
      <c r="W467" s="36" t="str">
        <f aca="false">IF($F467="","",IF(OR($O467="",$U467=""),0,IF($O467&lt;=$U467,1,0)))</f>
        <v/>
      </c>
      <c r="X467" s="37" t="str">
        <f aca="false">IF(OR($O467="",$N467=""),"",MAX(0,$O467-$N467))</f>
        <v/>
      </c>
      <c r="Y467" s="36" t="str">
        <f aca="false">IF($F467="","",IF(AND($Q467&lt;&gt;"",$N467&lt;&gt;"",$Q467&lt;&gt;$N467),1,0))</f>
        <v/>
      </c>
      <c r="Z467" s="36" t="str">
        <f aca="false">IF($F467="","",IF($P467="Cancelada",0,IF(OR($O467&lt;&gt;"",$P467="Concluída"),1,0)))</f>
        <v/>
      </c>
    </row>
    <row r="468" customFormat="false" ht="16.5" hidden="false" customHeight="true" outlineLevel="0" collapsed="false">
      <c r="A468" s="36" t="str">
        <f aca="false">IF($F468="","",COUNTA($F$5:$F468))</f>
        <v/>
      </c>
      <c r="B468" s="37" t="str">
        <f aca="true">IF($F468="","",IF($P468="Cancelada","Cancelada",IF(OR($O468&lt;&gt;"",$P468="Concluída"),IF(OR($N468="",$O468="",$O468&lt;=$N468),"Concluída","Concluída com atraso"),IF($N468="","Na carteira",IF($N468&lt;TODAY(),"VENCIDA",IF($P468="Em execução","Em execução",IF($N468=TODAY(),"Hoje","Programada")))))))</f>
        <v/>
      </c>
      <c r="C468" s="38"/>
      <c r="D468" s="38"/>
      <c r="E468" s="38"/>
      <c r="F468" s="38"/>
      <c r="G468" s="39"/>
      <c r="H468" s="39"/>
      <c r="I468" s="40"/>
      <c r="J468" s="40"/>
      <c r="K468" s="40"/>
      <c r="L468" s="41"/>
      <c r="M468" s="42"/>
      <c r="N468" s="43" t="str">
        <f aca="false">IF(OR($L468="",$M468=""),"",$L468+MATCH($M468,Listas!$F$5:$F$11,0)-1)</f>
        <v/>
      </c>
      <c r="O468" s="44"/>
      <c r="P468" s="39"/>
      <c r="Q468" s="44"/>
      <c r="R468" s="38"/>
      <c r="S468" s="38"/>
      <c r="T468" s="36" t="str">
        <f aca="false">IF($F468="","",IF(ISNUMBER(SEARCH("(externo)",$I468&amp;$J468&amp;$K468)),"Terceirizada","Interna"))</f>
        <v/>
      </c>
      <c r="U468" s="43" t="str">
        <f aca="false">IF($N468="","",IF($Q468="",$N468,$Q468))</f>
        <v/>
      </c>
      <c r="V468" s="36" t="str">
        <f aca="false">IF($F468="","",IF(OR($O468="",$N468=""),0,IF($O468&lt;=$N468,1,0)))</f>
        <v/>
      </c>
      <c r="W468" s="36" t="str">
        <f aca="false">IF($F468="","",IF(OR($O468="",$U468=""),0,IF($O468&lt;=$U468,1,0)))</f>
        <v/>
      </c>
      <c r="X468" s="37" t="str">
        <f aca="false">IF(OR($O468="",$N468=""),"",MAX(0,$O468-$N468))</f>
        <v/>
      </c>
      <c r="Y468" s="36" t="str">
        <f aca="false">IF($F468="","",IF(AND($Q468&lt;&gt;"",$N468&lt;&gt;"",$Q468&lt;&gt;$N468),1,0))</f>
        <v/>
      </c>
      <c r="Z468" s="36" t="str">
        <f aca="false">IF($F468="","",IF($P468="Cancelada",0,IF(OR($O468&lt;&gt;"",$P468="Concluída"),1,0)))</f>
        <v/>
      </c>
    </row>
    <row r="469" customFormat="false" ht="16.5" hidden="false" customHeight="true" outlineLevel="0" collapsed="false">
      <c r="A469" s="36" t="str">
        <f aca="false">IF($F469="","",COUNTA($F$5:$F469))</f>
        <v/>
      </c>
      <c r="B469" s="37" t="str">
        <f aca="true">IF($F469="","",IF($P469="Cancelada","Cancelada",IF(OR($O469&lt;&gt;"",$P469="Concluída"),IF(OR($N469="",$O469="",$O469&lt;=$N469),"Concluída","Concluída com atraso"),IF($N469="","Na carteira",IF($N469&lt;TODAY(),"VENCIDA",IF($P469="Em execução","Em execução",IF($N469=TODAY(),"Hoje","Programada")))))))</f>
        <v/>
      </c>
      <c r="C469" s="38"/>
      <c r="D469" s="38"/>
      <c r="E469" s="38"/>
      <c r="F469" s="38"/>
      <c r="G469" s="39"/>
      <c r="H469" s="39"/>
      <c r="I469" s="40"/>
      <c r="J469" s="40"/>
      <c r="K469" s="40"/>
      <c r="L469" s="41"/>
      <c r="M469" s="42"/>
      <c r="N469" s="43" t="str">
        <f aca="false">IF(OR($L469="",$M469=""),"",$L469+MATCH($M469,Listas!$F$5:$F$11,0)-1)</f>
        <v/>
      </c>
      <c r="O469" s="44"/>
      <c r="P469" s="39"/>
      <c r="Q469" s="44"/>
      <c r="R469" s="38"/>
      <c r="S469" s="38"/>
      <c r="T469" s="36" t="str">
        <f aca="false">IF($F469="","",IF(ISNUMBER(SEARCH("(externo)",$I469&amp;$J469&amp;$K469)),"Terceirizada","Interna"))</f>
        <v/>
      </c>
      <c r="U469" s="43" t="str">
        <f aca="false">IF($N469="","",IF($Q469="",$N469,$Q469))</f>
        <v/>
      </c>
      <c r="V469" s="36" t="str">
        <f aca="false">IF($F469="","",IF(OR($O469="",$N469=""),0,IF($O469&lt;=$N469,1,0)))</f>
        <v/>
      </c>
      <c r="W469" s="36" t="str">
        <f aca="false">IF($F469="","",IF(OR($O469="",$U469=""),0,IF($O469&lt;=$U469,1,0)))</f>
        <v/>
      </c>
      <c r="X469" s="37" t="str">
        <f aca="false">IF(OR($O469="",$N469=""),"",MAX(0,$O469-$N469))</f>
        <v/>
      </c>
      <c r="Y469" s="36" t="str">
        <f aca="false">IF($F469="","",IF(AND($Q469&lt;&gt;"",$N469&lt;&gt;"",$Q469&lt;&gt;$N469),1,0))</f>
        <v/>
      </c>
      <c r="Z469" s="36" t="str">
        <f aca="false">IF($F469="","",IF($P469="Cancelada",0,IF(OR($O469&lt;&gt;"",$P469="Concluída"),1,0)))</f>
        <v/>
      </c>
    </row>
    <row r="470" customFormat="false" ht="16.5" hidden="false" customHeight="true" outlineLevel="0" collapsed="false">
      <c r="A470" s="36" t="str">
        <f aca="false">IF($F470="","",COUNTA($F$5:$F470))</f>
        <v/>
      </c>
      <c r="B470" s="37" t="str">
        <f aca="true">IF($F470="","",IF($P470="Cancelada","Cancelada",IF(OR($O470&lt;&gt;"",$P470="Concluída"),IF(OR($N470="",$O470="",$O470&lt;=$N470),"Concluída","Concluída com atraso"),IF($N470="","Na carteira",IF($N470&lt;TODAY(),"VENCIDA",IF($P470="Em execução","Em execução",IF($N470=TODAY(),"Hoje","Programada")))))))</f>
        <v/>
      </c>
      <c r="C470" s="38"/>
      <c r="D470" s="38"/>
      <c r="E470" s="38"/>
      <c r="F470" s="38"/>
      <c r="G470" s="39"/>
      <c r="H470" s="39"/>
      <c r="I470" s="40"/>
      <c r="J470" s="40"/>
      <c r="K470" s="40"/>
      <c r="L470" s="41"/>
      <c r="M470" s="42"/>
      <c r="N470" s="43" t="str">
        <f aca="false">IF(OR($L470="",$M470=""),"",$L470+MATCH($M470,Listas!$F$5:$F$11,0)-1)</f>
        <v/>
      </c>
      <c r="O470" s="44"/>
      <c r="P470" s="39"/>
      <c r="Q470" s="44"/>
      <c r="R470" s="38"/>
      <c r="S470" s="38"/>
      <c r="T470" s="36" t="str">
        <f aca="false">IF($F470="","",IF(ISNUMBER(SEARCH("(externo)",$I470&amp;$J470&amp;$K470)),"Terceirizada","Interna"))</f>
        <v/>
      </c>
      <c r="U470" s="43" t="str">
        <f aca="false">IF($N470="","",IF($Q470="",$N470,$Q470))</f>
        <v/>
      </c>
      <c r="V470" s="36" t="str">
        <f aca="false">IF($F470="","",IF(OR($O470="",$N470=""),0,IF($O470&lt;=$N470,1,0)))</f>
        <v/>
      </c>
      <c r="W470" s="36" t="str">
        <f aca="false">IF($F470="","",IF(OR($O470="",$U470=""),0,IF($O470&lt;=$U470,1,0)))</f>
        <v/>
      </c>
      <c r="X470" s="37" t="str">
        <f aca="false">IF(OR($O470="",$N470=""),"",MAX(0,$O470-$N470))</f>
        <v/>
      </c>
      <c r="Y470" s="36" t="str">
        <f aca="false">IF($F470="","",IF(AND($Q470&lt;&gt;"",$N470&lt;&gt;"",$Q470&lt;&gt;$N470),1,0))</f>
        <v/>
      </c>
      <c r="Z470" s="36" t="str">
        <f aca="false">IF($F470="","",IF($P470="Cancelada",0,IF(OR($O470&lt;&gt;"",$P470="Concluída"),1,0)))</f>
        <v/>
      </c>
    </row>
    <row r="471" customFormat="false" ht="16.5" hidden="false" customHeight="true" outlineLevel="0" collapsed="false">
      <c r="A471" s="36" t="str">
        <f aca="false">IF($F471="","",COUNTA($F$5:$F471))</f>
        <v/>
      </c>
      <c r="B471" s="37" t="str">
        <f aca="true">IF($F471="","",IF($P471="Cancelada","Cancelada",IF(OR($O471&lt;&gt;"",$P471="Concluída"),IF(OR($N471="",$O471="",$O471&lt;=$N471),"Concluída","Concluída com atraso"),IF($N471="","Na carteira",IF($N471&lt;TODAY(),"VENCIDA",IF($P471="Em execução","Em execução",IF($N471=TODAY(),"Hoje","Programada")))))))</f>
        <v/>
      </c>
      <c r="C471" s="38"/>
      <c r="D471" s="38"/>
      <c r="E471" s="38"/>
      <c r="F471" s="38"/>
      <c r="G471" s="39"/>
      <c r="H471" s="39"/>
      <c r="I471" s="40"/>
      <c r="J471" s="40"/>
      <c r="K471" s="40"/>
      <c r="L471" s="41"/>
      <c r="M471" s="42"/>
      <c r="N471" s="43" t="str">
        <f aca="false">IF(OR($L471="",$M471=""),"",$L471+MATCH($M471,Listas!$F$5:$F$11,0)-1)</f>
        <v/>
      </c>
      <c r="O471" s="44"/>
      <c r="P471" s="39"/>
      <c r="Q471" s="44"/>
      <c r="R471" s="38"/>
      <c r="S471" s="38"/>
      <c r="T471" s="36" t="str">
        <f aca="false">IF($F471="","",IF(ISNUMBER(SEARCH("(externo)",$I471&amp;$J471&amp;$K471)),"Terceirizada","Interna"))</f>
        <v/>
      </c>
      <c r="U471" s="43" t="str">
        <f aca="false">IF($N471="","",IF($Q471="",$N471,$Q471))</f>
        <v/>
      </c>
      <c r="V471" s="36" t="str">
        <f aca="false">IF($F471="","",IF(OR($O471="",$N471=""),0,IF($O471&lt;=$N471,1,0)))</f>
        <v/>
      </c>
      <c r="W471" s="36" t="str">
        <f aca="false">IF($F471="","",IF(OR($O471="",$U471=""),0,IF($O471&lt;=$U471,1,0)))</f>
        <v/>
      </c>
      <c r="X471" s="37" t="str">
        <f aca="false">IF(OR($O471="",$N471=""),"",MAX(0,$O471-$N471))</f>
        <v/>
      </c>
      <c r="Y471" s="36" t="str">
        <f aca="false">IF($F471="","",IF(AND($Q471&lt;&gt;"",$N471&lt;&gt;"",$Q471&lt;&gt;$N471),1,0))</f>
        <v/>
      </c>
      <c r="Z471" s="36" t="str">
        <f aca="false">IF($F471="","",IF($P471="Cancelada",0,IF(OR($O471&lt;&gt;"",$P471="Concluída"),1,0)))</f>
        <v/>
      </c>
    </row>
    <row r="472" customFormat="false" ht="16.5" hidden="false" customHeight="true" outlineLevel="0" collapsed="false">
      <c r="A472" s="36" t="str">
        <f aca="false">IF($F472="","",COUNTA($F$5:$F472))</f>
        <v/>
      </c>
      <c r="B472" s="37" t="str">
        <f aca="true">IF($F472="","",IF($P472="Cancelada","Cancelada",IF(OR($O472&lt;&gt;"",$P472="Concluída"),IF(OR($N472="",$O472="",$O472&lt;=$N472),"Concluída","Concluída com atraso"),IF($N472="","Na carteira",IF($N472&lt;TODAY(),"VENCIDA",IF($P472="Em execução","Em execução",IF($N472=TODAY(),"Hoje","Programada")))))))</f>
        <v/>
      </c>
      <c r="C472" s="38"/>
      <c r="D472" s="38"/>
      <c r="E472" s="38"/>
      <c r="F472" s="38"/>
      <c r="G472" s="39"/>
      <c r="H472" s="39"/>
      <c r="I472" s="40"/>
      <c r="J472" s="40"/>
      <c r="K472" s="40"/>
      <c r="L472" s="41"/>
      <c r="M472" s="42"/>
      <c r="N472" s="43" t="str">
        <f aca="false">IF(OR($L472="",$M472=""),"",$L472+MATCH($M472,Listas!$F$5:$F$11,0)-1)</f>
        <v/>
      </c>
      <c r="O472" s="44"/>
      <c r="P472" s="39"/>
      <c r="Q472" s="44"/>
      <c r="R472" s="38"/>
      <c r="S472" s="38"/>
      <c r="T472" s="36" t="str">
        <f aca="false">IF($F472="","",IF(ISNUMBER(SEARCH("(externo)",$I472&amp;$J472&amp;$K472)),"Terceirizada","Interna"))</f>
        <v/>
      </c>
      <c r="U472" s="43" t="str">
        <f aca="false">IF($N472="","",IF($Q472="",$N472,$Q472))</f>
        <v/>
      </c>
      <c r="V472" s="36" t="str">
        <f aca="false">IF($F472="","",IF(OR($O472="",$N472=""),0,IF($O472&lt;=$N472,1,0)))</f>
        <v/>
      </c>
      <c r="W472" s="36" t="str">
        <f aca="false">IF($F472="","",IF(OR($O472="",$U472=""),0,IF($O472&lt;=$U472,1,0)))</f>
        <v/>
      </c>
      <c r="X472" s="37" t="str">
        <f aca="false">IF(OR($O472="",$N472=""),"",MAX(0,$O472-$N472))</f>
        <v/>
      </c>
      <c r="Y472" s="36" t="str">
        <f aca="false">IF($F472="","",IF(AND($Q472&lt;&gt;"",$N472&lt;&gt;"",$Q472&lt;&gt;$N472),1,0))</f>
        <v/>
      </c>
      <c r="Z472" s="36" t="str">
        <f aca="false">IF($F472="","",IF($P472="Cancelada",0,IF(OR($O472&lt;&gt;"",$P472="Concluída"),1,0)))</f>
        <v/>
      </c>
    </row>
    <row r="473" customFormat="false" ht="16.5" hidden="false" customHeight="true" outlineLevel="0" collapsed="false">
      <c r="A473" s="36" t="str">
        <f aca="false">IF($F473="","",COUNTA($F$5:$F473))</f>
        <v/>
      </c>
      <c r="B473" s="37" t="str">
        <f aca="true">IF($F473="","",IF($P473="Cancelada","Cancelada",IF(OR($O473&lt;&gt;"",$P473="Concluída"),IF(OR($N473="",$O473="",$O473&lt;=$N473),"Concluída","Concluída com atraso"),IF($N473="","Na carteira",IF($N473&lt;TODAY(),"VENCIDA",IF($P473="Em execução","Em execução",IF($N473=TODAY(),"Hoje","Programada")))))))</f>
        <v/>
      </c>
      <c r="C473" s="38"/>
      <c r="D473" s="38"/>
      <c r="E473" s="38"/>
      <c r="F473" s="38"/>
      <c r="G473" s="39"/>
      <c r="H473" s="39"/>
      <c r="I473" s="40"/>
      <c r="J473" s="40"/>
      <c r="K473" s="40"/>
      <c r="L473" s="41"/>
      <c r="M473" s="42"/>
      <c r="N473" s="43" t="str">
        <f aca="false">IF(OR($L473="",$M473=""),"",$L473+MATCH($M473,Listas!$F$5:$F$11,0)-1)</f>
        <v/>
      </c>
      <c r="O473" s="44"/>
      <c r="P473" s="39"/>
      <c r="Q473" s="44"/>
      <c r="R473" s="38"/>
      <c r="S473" s="38"/>
      <c r="T473" s="36" t="str">
        <f aca="false">IF($F473="","",IF(ISNUMBER(SEARCH("(externo)",$I473&amp;$J473&amp;$K473)),"Terceirizada","Interna"))</f>
        <v/>
      </c>
      <c r="U473" s="43" t="str">
        <f aca="false">IF($N473="","",IF($Q473="",$N473,$Q473))</f>
        <v/>
      </c>
      <c r="V473" s="36" t="str">
        <f aca="false">IF($F473="","",IF(OR($O473="",$N473=""),0,IF($O473&lt;=$N473,1,0)))</f>
        <v/>
      </c>
      <c r="W473" s="36" t="str">
        <f aca="false">IF($F473="","",IF(OR($O473="",$U473=""),0,IF($O473&lt;=$U473,1,0)))</f>
        <v/>
      </c>
      <c r="X473" s="37" t="str">
        <f aca="false">IF(OR($O473="",$N473=""),"",MAX(0,$O473-$N473))</f>
        <v/>
      </c>
      <c r="Y473" s="36" t="str">
        <f aca="false">IF($F473="","",IF(AND($Q473&lt;&gt;"",$N473&lt;&gt;"",$Q473&lt;&gt;$N473),1,0))</f>
        <v/>
      </c>
      <c r="Z473" s="36" t="str">
        <f aca="false">IF($F473="","",IF($P473="Cancelada",0,IF(OR($O473&lt;&gt;"",$P473="Concluída"),1,0)))</f>
        <v/>
      </c>
    </row>
    <row r="474" customFormat="false" ht="16.5" hidden="false" customHeight="true" outlineLevel="0" collapsed="false">
      <c r="A474" s="36" t="str">
        <f aca="false">IF($F474="","",COUNTA($F$5:$F474))</f>
        <v/>
      </c>
      <c r="B474" s="37" t="str">
        <f aca="true">IF($F474="","",IF($P474="Cancelada","Cancelada",IF(OR($O474&lt;&gt;"",$P474="Concluída"),IF(OR($N474="",$O474="",$O474&lt;=$N474),"Concluída","Concluída com atraso"),IF($N474="","Na carteira",IF($N474&lt;TODAY(),"VENCIDA",IF($P474="Em execução","Em execução",IF($N474=TODAY(),"Hoje","Programada")))))))</f>
        <v/>
      </c>
      <c r="C474" s="38"/>
      <c r="D474" s="38"/>
      <c r="E474" s="38"/>
      <c r="F474" s="38"/>
      <c r="G474" s="39"/>
      <c r="H474" s="39"/>
      <c r="I474" s="40"/>
      <c r="J474" s="40"/>
      <c r="K474" s="40"/>
      <c r="L474" s="41"/>
      <c r="M474" s="42"/>
      <c r="N474" s="43" t="str">
        <f aca="false">IF(OR($L474="",$M474=""),"",$L474+MATCH($M474,Listas!$F$5:$F$11,0)-1)</f>
        <v/>
      </c>
      <c r="O474" s="44"/>
      <c r="P474" s="39"/>
      <c r="Q474" s="44"/>
      <c r="R474" s="38"/>
      <c r="S474" s="38"/>
      <c r="T474" s="36" t="str">
        <f aca="false">IF($F474="","",IF(ISNUMBER(SEARCH("(externo)",$I474&amp;$J474&amp;$K474)),"Terceirizada","Interna"))</f>
        <v/>
      </c>
      <c r="U474" s="43" t="str">
        <f aca="false">IF($N474="","",IF($Q474="",$N474,$Q474))</f>
        <v/>
      </c>
      <c r="V474" s="36" t="str">
        <f aca="false">IF($F474="","",IF(OR($O474="",$N474=""),0,IF($O474&lt;=$N474,1,0)))</f>
        <v/>
      </c>
      <c r="W474" s="36" t="str">
        <f aca="false">IF($F474="","",IF(OR($O474="",$U474=""),0,IF($O474&lt;=$U474,1,0)))</f>
        <v/>
      </c>
      <c r="X474" s="37" t="str">
        <f aca="false">IF(OR($O474="",$N474=""),"",MAX(0,$O474-$N474))</f>
        <v/>
      </c>
      <c r="Y474" s="36" t="str">
        <f aca="false">IF($F474="","",IF(AND($Q474&lt;&gt;"",$N474&lt;&gt;"",$Q474&lt;&gt;$N474),1,0))</f>
        <v/>
      </c>
      <c r="Z474" s="36" t="str">
        <f aca="false">IF($F474="","",IF($P474="Cancelada",0,IF(OR($O474&lt;&gt;"",$P474="Concluída"),1,0)))</f>
        <v/>
      </c>
    </row>
    <row r="475" customFormat="false" ht="16.5" hidden="false" customHeight="true" outlineLevel="0" collapsed="false">
      <c r="A475" s="36" t="str">
        <f aca="false">IF($F475="","",COUNTA($F$5:$F475))</f>
        <v/>
      </c>
      <c r="B475" s="37" t="str">
        <f aca="true">IF($F475="","",IF($P475="Cancelada","Cancelada",IF(OR($O475&lt;&gt;"",$P475="Concluída"),IF(OR($N475="",$O475="",$O475&lt;=$N475),"Concluída","Concluída com atraso"),IF($N475="","Na carteira",IF($N475&lt;TODAY(),"VENCIDA",IF($P475="Em execução","Em execução",IF($N475=TODAY(),"Hoje","Programada")))))))</f>
        <v/>
      </c>
      <c r="C475" s="38"/>
      <c r="D475" s="38"/>
      <c r="E475" s="38"/>
      <c r="F475" s="38"/>
      <c r="G475" s="39"/>
      <c r="H475" s="39"/>
      <c r="I475" s="40"/>
      <c r="J475" s="40"/>
      <c r="K475" s="40"/>
      <c r="L475" s="41"/>
      <c r="M475" s="42"/>
      <c r="N475" s="43" t="str">
        <f aca="false">IF(OR($L475="",$M475=""),"",$L475+MATCH($M475,Listas!$F$5:$F$11,0)-1)</f>
        <v/>
      </c>
      <c r="O475" s="44"/>
      <c r="P475" s="39"/>
      <c r="Q475" s="44"/>
      <c r="R475" s="38"/>
      <c r="S475" s="38"/>
      <c r="T475" s="36" t="str">
        <f aca="false">IF($F475="","",IF(ISNUMBER(SEARCH("(externo)",$I475&amp;$J475&amp;$K475)),"Terceirizada","Interna"))</f>
        <v/>
      </c>
      <c r="U475" s="43" t="str">
        <f aca="false">IF($N475="","",IF($Q475="",$N475,$Q475))</f>
        <v/>
      </c>
      <c r="V475" s="36" t="str">
        <f aca="false">IF($F475="","",IF(OR($O475="",$N475=""),0,IF($O475&lt;=$N475,1,0)))</f>
        <v/>
      </c>
      <c r="W475" s="36" t="str">
        <f aca="false">IF($F475="","",IF(OR($O475="",$U475=""),0,IF($O475&lt;=$U475,1,0)))</f>
        <v/>
      </c>
      <c r="X475" s="37" t="str">
        <f aca="false">IF(OR($O475="",$N475=""),"",MAX(0,$O475-$N475))</f>
        <v/>
      </c>
      <c r="Y475" s="36" t="str">
        <f aca="false">IF($F475="","",IF(AND($Q475&lt;&gt;"",$N475&lt;&gt;"",$Q475&lt;&gt;$N475),1,0))</f>
        <v/>
      </c>
      <c r="Z475" s="36" t="str">
        <f aca="false">IF($F475="","",IF($P475="Cancelada",0,IF(OR($O475&lt;&gt;"",$P475="Concluída"),1,0)))</f>
        <v/>
      </c>
    </row>
    <row r="476" customFormat="false" ht="16.5" hidden="false" customHeight="true" outlineLevel="0" collapsed="false">
      <c r="A476" s="36" t="str">
        <f aca="false">IF($F476="","",COUNTA($F$5:$F476))</f>
        <v/>
      </c>
      <c r="B476" s="37" t="str">
        <f aca="true">IF($F476="","",IF($P476="Cancelada","Cancelada",IF(OR($O476&lt;&gt;"",$P476="Concluída"),IF(OR($N476="",$O476="",$O476&lt;=$N476),"Concluída","Concluída com atraso"),IF($N476="","Na carteira",IF($N476&lt;TODAY(),"VENCIDA",IF($P476="Em execução","Em execução",IF($N476=TODAY(),"Hoje","Programada")))))))</f>
        <v/>
      </c>
      <c r="C476" s="38"/>
      <c r="D476" s="38"/>
      <c r="E476" s="38"/>
      <c r="F476" s="38"/>
      <c r="G476" s="39"/>
      <c r="H476" s="39"/>
      <c r="I476" s="40"/>
      <c r="J476" s="40"/>
      <c r="K476" s="40"/>
      <c r="L476" s="41"/>
      <c r="M476" s="42"/>
      <c r="N476" s="43" t="str">
        <f aca="false">IF(OR($L476="",$M476=""),"",$L476+MATCH($M476,Listas!$F$5:$F$11,0)-1)</f>
        <v/>
      </c>
      <c r="O476" s="44"/>
      <c r="P476" s="39"/>
      <c r="Q476" s="44"/>
      <c r="R476" s="38"/>
      <c r="S476" s="38"/>
      <c r="T476" s="36" t="str">
        <f aca="false">IF($F476="","",IF(ISNUMBER(SEARCH("(externo)",$I476&amp;$J476&amp;$K476)),"Terceirizada","Interna"))</f>
        <v/>
      </c>
      <c r="U476" s="43" t="str">
        <f aca="false">IF($N476="","",IF($Q476="",$N476,$Q476))</f>
        <v/>
      </c>
      <c r="V476" s="36" t="str">
        <f aca="false">IF($F476="","",IF(OR($O476="",$N476=""),0,IF($O476&lt;=$N476,1,0)))</f>
        <v/>
      </c>
      <c r="W476" s="36" t="str">
        <f aca="false">IF($F476="","",IF(OR($O476="",$U476=""),0,IF($O476&lt;=$U476,1,0)))</f>
        <v/>
      </c>
      <c r="X476" s="37" t="str">
        <f aca="false">IF(OR($O476="",$N476=""),"",MAX(0,$O476-$N476))</f>
        <v/>
      </c>
      <c r="Y476" s="36" t="str">
        <f aca="false">IF($F476="","",IF(AND($Q476&lt;&gt;"",$N476&lt;&gt;"",$Q476&lt;&gt;$N476),1,0))</f>
        <v/>
      </c>
      <c r="Z476" s="36" t="str">
        <f aca="false">IF($F476="","",IF($P476="Cancelada",0,IF(OR($O476&lt;&gt;"",$P476="Concluída"),1,0)))</f>
        <v/>
      </c>
    </row>
    <row r="477" customFormat="false" ht="16.5" hidden="false" customHeight="true" outlineLevel="0" collapsed="false">
      <c r="A477" s="36" t="str">
        <f aca="false">IF($F477="","",COUNTA($F$5:$F477))</f>
        <v/>
      </c>
      <c r="B477" s="37" t="str">
        <f aca="true">IF($F477="","",IF($P477="Cancelada","Cancelada",IF(OR($O477&lt;&gt;"",$P477="Concluída"),IF(OR($N477="",$O477="",$O477&lt;=$N477),"Concluída","Concluída com atraso"),IF($N477="","Na carteira",IF($N477&lt;TODAY(),"VENCIDA",IF($P477="Em execução","Em execução",IF($N477=TODAY(),"Hoje","Programada")))))))</f>
        <v/>
      </c>
      <c r="C477" s="38"/>
      <c r="D477" s="38"/>
      <c r="E477" s="38"/>
      <c r="F477" s="38"/>
      <c r="G477" s="39"/>
      <c r="H477" s="39"/>
      <c r="I477" s="40"/>
      <c r="J477" s="40"/>
      <c r="K477" s="40"/>
      <c r="L477" s="41"/>
      <c r="M477" s="42"/>
      <c r="N477" s="43" t="str">
        <f aca="false">IF(OR($L477="",$M477=""),"",$L477+MATCH($M477,Listas!$F$5:$F$11,0)-1)</f>
        <v/>
      </c>
      <c r="O477" s="44"/>
      <c r="P477" s="39"/>
      <c r="Q477" s="44"/>
      <c r="R477" s="38"/>
      <c r="S477" s="38"/>
      <c r="T477" s="36" t="str">
        <f aca="false">IF($F477="","",IF(ISNUMBER(SEARCH("(externo)",$I477&amp;$J477&amp;$K477)),"Terceirizada","Interna"))</f>
        <v/>
      </c>
      <c r="U477" s="43" t="str">
        <f aca="false">IF($N477="","",IF($Q477="",$N477,$Q477))</f>
        <v/>
      </c>
      <c r="V477" s="36" t="str">
        <f aca="false">IF($F477="","",IF(OR($O477="",$N477=""),0,IF($O477&lt;=$N477,1,0)))</f>
        <v/>
      </c>
      <c r="W477" s="36" t="str">
        <f aca="false">IF($F477="","",IF(OR($O477="",$U477=""),0,IF($O477&lt;=$U477,1,0)))</f>
        <v/>
      </c>
      <c r="X477" s="37" t="str">
        <f aca="false">IF(OR($O477="",$N477=""),"",MAX(0,$O477-$N477))</f>
        <v/>
      </c>
      <c r="Y477" s="36" t="str">
        <f aca="false">IF($F477="","",IF(AND($Q477&lt;&gt;"",$N477&lt;&gt;"",$Q477&lt;&gt;$N477),1,0))</f>
        <v/>
      </c>
      <c r="Z477" s="36" t="str">
        <f aca="false">IF($F477="","",IF($P477="Cancelada",0,IF(OR($O477&lt;&gt;"",$P477="Concluída"),1,0)))</f>
        <v/>
      </c>
    </row>
    <row r="478" customFormat="false" ht="16.5" hidden="false" customHeight="true" outlineLevel="0" collapsed="false">
      <c r="A478" s="36" t="str">
        <f aca="false">IF($F478="","",COUNTA($F$5:$F478))</f>
        <v/>
      </c>
      <c r="B478" s="37" t="str">
        <f aca="true">IF($F478="","",IF($P478="Cancelada","Cancelada",IF(OR($O478&lt;&gt;"",$P478="Concluída"),IF(OR($N478="",$O478="",$O478&lt;=$N478),"Concluída","Concluída com atraso"),IF($N478="","Na carteira",IF($N478&lt;TODAY(),"VENCIDA",IF($P478="Em execução","Em execução",IF($N478=TODAY(),"Hoje","Programada")))))))</f>
        <v/>
      </c>
      <c r="C478" s="38"/>
      <c r="D478" s="38"/>
      <c r="E478" s="38"/>
      <c r="F478" s="38"/>
      <c r="G478" s="39"/>
      <c r="H478" s="39"/>
      <c r="I478" s="40"/>
      <c r="J478" s="40"/>
      <c r="K478" s="40"/>
      <c r="L478" s="41"/>
      <c r="M478" s="42"/>
      <c r="N478" s="43" t="str">
        <f aca="false">IF(OR($L478="",$M478=""),"",$L478+MATCH($M478,Listas!$F$5:$F$11,0)-1)</f>
        <v/>
      </c>
      <c r="O478" s="44"/>
      <c r="P478" s="39"/>
      <c r="Q478" s="44"/>
      <c r="R478" s="38"/>
      <c r="S478" s="38"/>
      <c r="T478" s="36" t="str">
        <f aca="false">IF($F478="","",IF(ISNUMBER(SEARCH("(externo)",$I478&amp;$J478&amp;$K478)),"Terceirizada","Interna"))</f>
        <v/>
      </c>
      <c r="U478" s="43" t="str">
        <f aca="false">IF($N478="","",IF($Q478="",$N478,$Q478))</f>
        <v/>
      </c>
      <c r="V478" s="36" t="str">
        <f aca="false">IF($F478="","",IF(OR($O478="",$N478=""),0,IF($O478&lt;=$N478,1,0)))</f>
        <v/>
      </c>
      <c r="W478" s="36" t="str">
        <f aca="false">IF($F478="","",IF(OR($O478="",$U478=""),0,IF($O478&lt;=$U478,1,0)))</f>
        <v/>
      </c>
      <c r="X478" s="37" t="str">
        <f aca="false">IF(OR($O478="",$N478=""),"",MAX(0,$O478-$N478))</f>
        <v/>
      </c>
      <c r="Y478" s="36" t="str">
        <f aca="false">IF($F478="","",IF(AND($Q478&lt;&gt;"",$N478&lt;&gt;"",$Q478&lt;&gt;$N478),1,0))</f>
        <v/>
      </c>
      <c r="Z478" s="36" t="str">
        <f aca="false">IF($F478="","",IF($P478="Cancelada",0,IF(OR($O478&lt;&gt;"",$P478="Concluída"),1,0)))</f>
        <v/>
      </c>
    </row>
    <row r="479" customFormat="false" ht="16.5" hidden="false" customHeight="true" outlineLevel="0" collapsed="false">
      <c r="A479" s="36" t="str">
        <f aca="false">IF($F479="","",COUNTA($F$5:$F479))</f>
        <v/>
      </c>
      <c r="B479" s="37" t="str">
        <f aca="true">IF($F479="","",IF($P479="Cancelada","Cancelada",IF(OR($O479&lt;&gt;"",$P479="Concluída"),IF(OR($N479="",$O479="",$O479&lt;=$N479),"Concluída","Concluída com atraso"),IF($N479="","Na carteira",IF($N479&lt;TODAY(),"VENCIDA",IF($P479="Em execução","Em execução",IF($N479=TODAY(),"Hoje","Programada")))))))</f>
        <v/>
      </c>
      <c r="C479" s="38"/>
      <c r="D479" s="38"/>
      <c r="E479" s="38"/>
      <c r="F479" s="38"/>
      <c r="G479" s="39"/>
      <c r="H479" s="39"/>
      <c r="I479" s="40"/>
      <c r="J479" s="40"/>
      <c r="K479" s="40"/>
      <c r="L479" s="41"/>
      <c r="M479" s="42"/>
      <c r="N479" s="43" t="str">
        <f aca="false">IF(OR($L479="",$M479=""),"",$L479+MATCH($M479,Listas!$F$5:$F$11,0)-1)</f>
        <v/>
      </c>
      <c r="O479" s="44"/>
      <c r="P479" s="39"/>
      <c r="Q479" s="44"/>
      <c r="R479" s="38"/>
      <c r="S479" s="38"/>
      <c r="T479" s="36" t="str">
        <f aca="false">IF($F479="","",IF(ISNUMBER(SEARCH("(externo)",$I479&amp;$J479&amp;$K479)),"Terceirizada","Interna"))</f>
        <v/>
      </c>
      <c r="U479" s="43" t="str">
        <f aca="false">IF($N479="","",IF($Q479="",$N479,$Q479))</f>
        <v/>
      </c>
      <c r="V479" s="36" t="str">
        <f aca="false">IF($F479="","",IF(OR($O479="",$N479=""),0,IF($O479&lt;=$N479,1,0)))</f>
        <v/>
      </c>
      <c r="W479" s="36" t="str">
        <f aca="false">IF($F479="","",IF(OR($O479="",$U479=""),0,IF($O479&lt;=$U479,1,0)))</f>
        <v/>
      </c>
      <c r="X479" s="37" t="str">
        <f aca="false">IF(OR($O479="",$N479=""),"",MAX(0,$O479-$N479))</f>
        <v/>
      </c>
      <c r="Y479" s="36" t="str">
        <f aca="false">IF($F479="","",IF(AND($Q479&lt;&gt;"",$N479&lt;&gt;"",$Q479&lt;&gt;$N479),1,0))</f>
        <v/>
      </c>
      <c r="Z479" s="36" t="str">
        <f aca="false">IF($F479="","",IF($P479="Cancelada",0,IF(OR($O479&lt;&gt;"",$P479="Concluída"),1,0)))</f>
        <v/>
      </c>
    </row>
    <row r="480" customFormat="false" ht="16.5" hidden="false" customHeight="true" outlineLevel="0" collapsed="false">
      <c r="A480" s="36" t="str">
        <f aca="false">IF($F480="","",COUNTA($F$5:$F480))</f>
        <v/>
      </c>
      <c r="B480" s="37" t="str">
        <f aca="true">IF($F480="","",IF($P480="Cancelada","Cancelada",IF(OR($O480&lt;&gt;"",$P480="Concluída"),IF(OR($N480="",$O480="",$O480&lt;=$N480),"Concluída","Concluída com atraso"),IF($N480="","Na carteira",IF($N480&lt;TODAY(),"VENCIDA",IF($P480="Em execução","Em execução",IF($N480=TODAY(),"Hoje","Programada")))))))</f>
        <v/>
      </c>
      <c r="C480" s="38"/>
      <c r="D480" s="38"/>
      <c r="E480" s="38"/>
      <c r="F480" s="38"/>
      <c r="G480" s="39"/>
      <c r="H480" s="39"/>
      <c r="I480" s="40"/>
      <c r="J480" s="40"/>
      <c r="K480" s="40"/>
      <c r="L480" s="41"/>
      <c r="M480" s="42"/>
      <c r="N480" s="43" t="str">
        <f aca="false">IF(OR($L480="",$M480=""),"",$L480+MATCH($M480,Listas!$F$5:$F$11,0)-1)</f>
        <v/>
      </c>
      <c r="O480" s="44"/>
      <c r="P480" s="39"/>
      <c r="Q480" s="44"/>
      <c r="R480" s="38"/>
      <c r="S480" s="38"/>
      <c r="T480" s="36" t="str">
        <f aca="false">IF($F480="","",IF(ISNUMBER(SEARCH("(externo)",$I480&amp;$J480&amp;$K480)),"Terceirizada","Interna"))</f>
        <v/>
      </c>
      <c r="U480" s="43" t="str">
        <f aca="false">IF($N480="","",IF($Q480="",$N480,$Q480))</f>
        <v/>
      </c>
      <c r="V480" s="36" t="str">
        <f aca="false">IF($F480="","",IF(OR($O480="",$N480=""),0,IF($O480&lt;=$N480,1,0)))</f>
        <v/>
      </c>
      <c r="W480" s="36" t="str">
        <f aca="false">IF($F480="","",IF(OR($O480="",$U480=""),0,IF($O480&lt;=$U480,1,0)))</f>
        <v/>
      </c>
      <c r="X480" s="37" t="str">
        <f aca="false">IF(OR($O480="",$N480=""),"",MAX(0,$O480-$N480))</f>
        <v/>
      </c>
      <c r="Y480" s="36" t="str">
        <f aca="false">IF($F480="","",IF(AND($Q480&lt;&gt;"",$N480&lt;&gt;"",$Q480&lt;&gt;$N480),1,0))</f>
        <v/>
      </c>
      <c r="Z480" s="36" t="str">
        <f aca="false">IF($F480="","",IF($P480="Cancelada",0,IF(OR($O480&lt;&gt;"",$P480="Concluída"),1,0)))</f>
        <v/>
      </c>
    </row>
    <row r="481" customFormat="false" ht="16.5" hidden="false" customHeight="true" outlineLevel="0" collapsed="false">
      <c r="A481" s="36" t="str">
        <f aca="false">IF($F481="","",COUNTA($F$5:$F481))</f>
        <v/>
      </c>
      <c r="B481" s="37" t="str">
        <f aca="true">IF($F481="","",IF($P481="Cancelada","Cancelada",IF(OR($O481&lt;&gt;"",$P481="Concluída"),IF(OR($N481="",$O481="",$O481&lt;=$N481),"Concluída","Concluída com atraso"),IF($N481="","Na carteira",IF($N481&lt;TODAY(),"VENCIDA",IF($P481="Em execução","Em execução",IF($N481=TODAY(),"Hoje","Programada")))))))</f>
        <v/>
      </c>
      <c r="C481" s="38"/>
      <c r="D481" s="38"/>
      <c r="E481" s="38"/>
      <c r="F481" s="38"/>
      <c r="G481" s="39"/>
      <c r="H481" s="39"/>
      <c r="I481" s="40"/>
      <c r="J481" s="40"/>
      <c r="K481" s="40"/>
      <c r="L481" s="41"/>
      <c r="M481" s="42"/>
      <c r="N481" s="43" t="str">
        <f aca="false">IF(OR($L481="",$M481=""),"",$L481+MATCH($M481,Listas!$F$5:$F$11,0)-1)</f>
        <v/>
      </c>
      <c r="O481" s="44"/>
      <c r="P481" s="39"/>
      <c r="Q481" s="44"/>
      <c r="R481" s="38"/>
      <c r="S481" s="38"/>
      <c r="T481" s="36" t="str">
        <f aca="false">IF($F481="","",IF(ISNUMBER(SEARCH("(externo)",$I481&amp;$J481&amp;$K481)),"Terceirizada","Interna"))</f>
        <v/>
      </c>
      <c r="U481" s="43" t="str">
        <f aca="false">IF($N481="","",IF($Q481="",$N481,$Q481))</f>
        <v/>
      </c>
      <c r="V481" s="36" t="str">
        <f aca="false">IF($F481="","",IF(OR($O481="",$N481=""),0,IF($O481&lt;=$N481,1,0)))</f>
        <v/>
      </c>
      <c r="W481" s="36" t="str">
        <f aca="false">IF($F481="","",IF(OR($O481="",$U481=""),0,IF($O481&lt;=$U481,1,0)))</f>
        <v/>
      </c>
      <c r="X481" s="37" t="str">
        <f aca="false">IF(OR($O481="",$N481=""),"",MAX(0,$O481-$N481))</f>
        <v/>
      </c>
      <c r="Y481" s="36" t="str">
        <f aca="false">IF($F481="","",IF(AND($Q481&lt;&gt;"",$N481&lt;&gt;"",$Q481&lt;&gt;$N481),1,0))</f>
        <v/>
      </c>
      <c r="Z481" s="36" t="str">
        <f aca="false">IF($F481="","",IF($P481="Cancelada",0,IF(OR($O481&lt;&gt;"",$P481="Concluída"),1,0)))</f>
        <v/>
      </c>
    </row>
    <row r="482" customFormat="false" ht="16.5" hidden="false" customHeight="true" outlineLevel="0" collapsed="false">
      <c r="A482" s="36" t="str">
        <f aca="false">IF($F482="","",COUNTA($F$5:$F482))</f>
        <v/>
      </c>
      <c r="B482" s="37" t="str">
        <f aca="true">IF($F482="","",IF($P482="Cancelada","Cancelada",IF(OR($O482&lt;&gt;"",$P482="Concluída"),IF(OR($N482="",$O482="",$O482&lt;=$N482),"Concluída","Concluída com atraso"),IF($N482="","Na carteira",IF($N482&lt;TODAY(),"VENCIDA",IF($P482="Em execução","Em execução",IF($N482=TODAY(),"Hoje","Programada")))))))</f>
        <v/>
      </c>
      <c r="C482" s="38"/>
      <c r="D482" s="38"/>
      <c r="E482" s="38"/>
      <c r="F482" s="38"/>
      <c r="G482" s="39"/>
      <c r="H482" s="39"/>
      <c r="I482" s="40"/>
      <c r="J482" s="40"/>
      <c r="K482" s="40"/>
      <c r="L482" s="41"/>
      <c r="M482" s="42"/>
      <c r="N482" s="43" t="str">
        <f aca="false">IF(OR($L482="",$M482=""),"",$L482+MATCH($M482,Listas!$F$5:$F$11,0)-1)</f>
        <v/>
      </c>
      <c r="O482" s="44"/>
      <c r="P482" s="39"/>
      <c r="Q482" s="44"/>
      <c r="R482" s="38"/>
      <c r="S482" s="38"/>
      <c r="T482" s="36" t="str">
        <f aca="false">IF($F482="","",IF(ISNUMBER(SEARCH("(externo)",$I482&amp;$J482&amp;$K482)),"Terceirizada","Interna"))</f>
        <v/>
      </c>
      <c r="U482" s="43" t="str">
        <f aca="false">IF($N482="","",IF($Q482="",$N482,$Q482))</f>
        <v/>
      </c>
      <c r="V482" s="36" t="str">
        <f aca="false">IF($F482="","",IF(OR($O482="",$N482=""),0,IF($O482&lt;=$N482,1,0)))</f>
        <v/>
      </c>
      <c r="W482" s="36" t="str">
        <f aca="false">IF($F482="","",IF(OR($O482="",$U482=""),0,IF($O482&lt;=$U482,1,0)))</f>
        <v/>
      </c>
      <c r="X482" s="37" t="str">
        <f aca="false">IF(OR($O482="",$N482=""),"",MAX(0,$O482-$N482))</f>
        <v/>
      </c>
      <c r="Y482" s="36" t="str">
        <f aca="false">IF($F482="","",IF(AND($Q482&lt;&gt;"",$N482&lt;&gt;"",$Q482&lt;&gt;$N482),1,0))</f>
        <v/>
      </c>
      <c r="Z482" s="36" t="str">
        <f aca="false">IF($F482="","",IF($P482="Cancelada",0,IF(OR($O482&lt;&gt;"",$P482="Concluída"),1,0)))</f>
        <v/>
      </c>
    </row>
    <row r="483" customFormat="false" ht="16.5" hidden="false" customHeight="true" outlineLevel="0" collapsed="false">
      <c r="A483" s="36" t="str">
        <f aca="false">IF($F483="","",COUNTA($F$5:$F483))</f>
        <v/>
      </c>
      <c r="B483" s="37" t="str">
        <f aca="true">IF($F483="","",IF($P483="Cancelada","Cancelada",IF(OR($O483&lt;&gt;"",$P483="Concluída"),IF(OR($N483="",$O483="",$O483&lt;=$N483),"Concluída","Concluída com atraso"),IF($N483="","Na carteira",IF($N483&lt;TODAY(),"VENCIDA",IF($P483="Em execução","Em execução",IF($N483=TODAY(),"Hoje","Programada")))))))</f>
        <v/>
      </c>
      <c r="C483" s="38"/>
      <c r="D483" s="38"/>
      <c r="E483" s="38"/>
      <c r="F483" s="38"/>
      <c r="G483" s="39"/>
      <c r="H483" s="39"/>
      <c r="I483" s="40"/>
      <c r="J483" s="40"/>
      <c r="K483" s="40"/>
      <c r="L483" s="41"/>
      <c r="M483" s="42"/>
      <c r="N483" s="43" t="str">
        <f aca="false">IF(OR($L483="",$M483=""),"",$L483+MATCH($M483,Listas!$F$5:$F$11,0)-1)</f>
        <v/>
      </c>
      <c r="O483" s="44"/>
      <c r="P483" s="39"/>
      <c r="Q483" s="44"/>
      <c r="R483" s="38"/>
      <c r="S483" s="38"/>
      <c r="T483" s="36" t="str">
        <f aca="false">IF($F483="","",IF(ISNUMBER(SEARCH("(externo)",$I483&amp;$J483&amp;$K483)),"Terceirizada","Interna"))</f>
        <v/>
      </c>
      <c r="U483" s="43" t="str">
        <f aca="false">IF($N483="","",IF($Q483="",$N483,$Q483))</f>
        <v/>
      </c>
      <c r="V483" s="36" t="str">
        <f aca="false">IF($F483="","",IF(OR($O483="",$N483=""),0,IF($O483&lt;=$N483,1,0)))</f>
        <v/>
      </c>
      <c r="W483" s="36" t="str">
        <f aca="false">IF($F483="","",IF(OR($O483="",$U483=""),0,IF($O483&lt;=$U483,1,0)))</f>
        <v/>
      </c>
      <c r="X483" s="37" t="str">
        <f aca="false">IF(OR($O483="",$N483=""),"",MAX(0,$O483-$N483))</f>
        <v/>
      </c>
      <c r="Y483" s="36" t="str">
        <f aca="false">IF($F483="","",IF(AND($Q483&lt;&gt;"",$N483&lt;&gt;"",$Q483&lt;&gt;$N483),1,0))</f>
        <v/>
      </c>
      <c r="Z483" s="36" t="str">
        <f aca="false">IF($F483="","",IF($P483="Cancelada",0,IF(OR($O483&lt;&gt;"",$P483="Concluída"),1,0)))</f>
        <v/>
      </c>
    </row>
    <row r="484" customFormat="false" ht="16.5" hidden="false" customHeight="true" outlineLevel="0" collapsed="false">
      <c r="A484" s="36" t="str">
        <f aca="false">IF($F484="","",COUNTA($F$5:$F484))</f>
        <v/>
      </c>
      <c r="B484" s="37" t="str">
        <f aca="true">IF($F484="","",IF($P484="Cancelada","Cancelada",IF(OR($O484&lt;&gt;"",$P484="Concluída"),IF(OR($N484="",$O484="",$O484&lt;=$N484),"Concluída","Concluída com atraso"),IF($N484="","Na carteira",IF($N484&lt;TODAY(),"VENCIDA",IF($P484="Em execução","Em execução",IF($N484=TODAY(),"Hoje","Programada")))))))</f>
        <v/>
      </c>
      <c r="C484" s="38"/>
      <c r="D484" s="38"/>
      <c r="E484" s="38"/>
      <c r="F484" s="38"/>
      <c r="G484" s="39"/>
      <c r="H484" s="39"/>
      <c r="I484" s="40"/>
      <c r="J484" s="40"/>
      <c r="K484" s="40"/>
      <c r="L484" s="41"/>
      <c r="M484" s="42"/>
      <c r="N484" s="43" t="str">
        <f aca="false">IF(OR($L484="",$M484=""),"",$L484+MATCH($M484,Listas!$F$5:$F$11,0)-1)</f>
        <v/>
      </c>
      <c r="O484" s="44"/>
      <c r="P484" s="39"/>
      <c r="Q484" s="44"/>
      <c r="R484" s="38"/>
      <c r="S484" s="38"/>
      <c r="T484" s="36" t="str">
        <f aca="false">IF($F484="","",IF(ISNUMBER(SEARCH("(externo)",$I484&amp;$J484&amp;$K484)),"Terceirizada","Interna"))</f>
        <v/>
      </c>
      <c r="U484" s="43" t="str">
        <f aca="false">IF($N484="","",IF($Q484="",$N484,$Q484))</f>
        <v/>
      </c>
      <c r="V484" s="36" t="str">
        <f aca="false">IF($F484="","",IF(OR($O484="",$N484=""),0,IF($O484&lt;=$N484,1,0)))</f>
        <v/>
      </c>
      <c r="W484" s="36" t="str">
        <f aca="false">IF($F484="","",IF(OR($O484="",$U484=""),0,IF($O484&lt;=$U484,1,0)))</f>
        <v/>
      </c>
      <c r="X484" s="37" t="str">
        <f aca="false">IF(OR($O484="",$N484=""),"",MAX(0,$O484-$N484))</f>
        <v/>
      </c>
      <c r="Y484" s="36" t="str">
        <f aca="false">IF($F484="","",IF(AND($Q484&lt;&gt;"",$N484&lt;&gt;"",$Q484&lt;&gt;$N484),1,0))</f>
        <v/>
      </c>
      <c r="Z484" s="36" t="str">
        <f aca="false">IF($F484="","",IF($P484="Cancelada",0,IF(OR($O484&lt;&gt;"",$P484="Concluída"),1,0)))</f>
        <v/>
      </c>
    </row>
    <row r="485" customFormat="false" ht="16.5" hidden="false" customHeight="true" outlineLevel="0" collapsed="false">
      <c r="A485" s="36" t="str">
        <f aca="false">IF($F485="","",COUNTA($F$5:$F485))</f>
        <v/>
      </c>
      <c r="B485" s="37" t="str">
        <f aca="true">IF($F485="","",IF($P485="Cancelada","Cancelada",IF(OR($O485&lt;&gt;"",$P485="Concluída"),IF(OR($N485="",$O485="",$O485&lt;=$N485),"Concluída","Concluída com atraso"),IF($N485="","Na carteira",IF($N485&lt;TODAY(),"VENCIDA",IF($P485="Em execução","Em execução",IF($N485=TODAY(),"Hoje","Programada")))))))</f>
        <v/>
      </c>
      <c r="C485" s="38"/>
      <c r="D485" s="38"/>
      <c r="E485" s="38"/>
      <c r="F485" s="38"/>
      <c r="G485" s="39"/>
      <c r="H485" s="39"/>
      <c r="I485" s="40"/>
      <c r="J485" s="40"/>
      <c r="K485" s="40"/>
      <c r="L485" s="41"/>
      <c r="M485" s="42"/>
      <c r="N485" s="43" t="str">
        <f aca="false">IF(OR($L485="",$M485=""),"",$L485+MATCH($M485,Listas!$F$5:$F$11,0)-1)</f>
        <v/>
      </c>
      <c r="O485" s="44"/>
      <c r="P485" s="39"/>
      <c r="Q485" s="44"/>
      <c r="R485" s="38"/>
      <c r="S485" s="38"/>
      <c r="T485" s="36" t="str">
        <f aca="false">IF($F485="","",IF(ISNUMBER(SEARCH("(externo)",$I485&amp;$J485&amp;$K485)),"Terceirizada","Interna"))</f>
        <v/>
      </c>
      <c r="U485" s="43" t="str">
        <f aca="false">IF($N485="","",IF($Q485="",$N485,$Q485))</f>
        <v/>
      </c>
      <c r="V485" s="36" t="str">
        <f aca="false">IF($F485="","",IF(OR($O485="",$N485=""),0,IF($O485&lt;=$N485,1,0)))</f>
        <v/>
      </c>
      <c r="W485" s="36" t="str">
        <f aca="false">IF($F485="","",IF(OR($O485="",$U485=""),0,IF($O485&lt;=$U485,1,0)))</f>
        <v/>
      </c>
      <c r="X485" s="37" t="str">
        <f aca="false">IF(OR($O485="",$N485=""),"",MAX(0,$O485-$N485))</f>
        <v/>
      </c>
      <c r="Y485" s="36" t="str">
        <f aca="false">IF($F485="","",IF(AND($Q485&lt;&gt;"",$N485&lt;&gt;"",$Q485&lt;&gt;$N485),1,0))</f>
        <v/>
      </c>
      <c r="Z485" s="36" t="str">
        <f aca="false">IF($F485="","",IF($P485="Cancelada",0,IF(OR($O485&lt;&gt;"",$P485="Concluída"),1,0)))</f>
        <v/>
      </c>
    </row>
    <row r="486" customFormat="false" ht="16.5" hidden="false" customHeight="true" outlineLevel="0" collapsed="false">
      <c r="A486" s="36" t="str">
        <f aca="false">IF($F486="","",COUNTA($F$5:$F486))</f>
        <v/>
      </c>
      <c r="B486" s="37" t="str">
        <f aca="true">IF($F486="","",IF($P486="Cancelada","Cancelada",IF(OR($O486&lt;&gt;"",$P486="Concluída"),IF(OR($N486="",$O486="",$O486&lt;=$N486),"Concluída","Concluída com atraso"),IF($N486="","Na carteira",IF($N486&lt;TODAY(),"VENCIDA",IF($P486="Em execução","Em execução",IF($N486=TODAY(),"Hoje","Programada")))))))</f>
        <v/>
      </c>
      <c r="C486" s="38"/>
      <c r="D486" s="38"/>
      <c r="E486" s="38"/>
      <c r="F486" s="38"/>
      <c r="G486" s="39"/>
      <c r="H486" s="39"/>
      <c r="I486" s="40"/>
      <c r="J486" s="40"/>
      <c r="K486" s="40"/>
      <c r="L486" s="41"/>
      <c r="M486" s="42"/>
      <c r="N486" s="43" t="str">
        <f aca="false">IF(OR($L486="",$M486=""),"",$L486+MATCH($M486,Listas!$F$5:$F$11,0)-1)</f>
        <v/>
      </c>
      <c r="O486" s="44"/>
      <c r="P486" s="39"/>
      <c r="Q486" s="44"/>
      <c r="R486" s="38"/>
      <c r="S486" s="38"/>
      <c r="T486" s="36" t="str">
        <f aca="false">IF($F486="","",IF(ISNUMBER(SEARCH("(externo)",$I486&amp;$J486&amp;$K486)),"Terceirizada","Interna"))</f>
        <v/>
      </c>
      <c r="U486" s="43" t="str">
        <f aca="false">IF($N486="","",IF($Q486="",$N486,$Q486))</f>
        <v/>
      </c>
      <c r="V486" s="36" t="str">
        <f aca="false">IF($F486="","",IF(OR($O486="",$N486=""),0,IF($O486&lt;=$N486,1,0)))</f>
        <v/>
      </c>
      <c r="W486" s="36" t="str">
        <f aca="false">IF($F486="","",IF(OR($O486="",$U486=""),0,IF($O486&lt;=$U486,1,0)))</f>
        <v/>
      </c>
      <c r="X486" s="37" t="str">
        <f aca="false">IF(OR($O486="",$N486=""),"",MAX(0,$O486-$N486))</f>
        <v/>
      </c>
      <c r="Y486" s="36" t="str">
        <f aca="false">IF($F486="","",IF(AND($Q486&lt;&gt;"",$N486&lt;&gt;"",$Q486&lt;&gt;$N486),1,0))</f>
        <v/>
      </c>
      <c r="Z486" s="36" t="str">
        <f aca="false">IF($F486="","",IF($P486="Cancelada",0,IF(OR($O486&lt;&gt;"",$P486="Concluída"),1,0)))</f>
        <v/>
      </c>
    </row>
    <row r="487" customFormat="false" ht="16.5" hidden="false" customHeight="true" outlineLevel="0" collapsed="false">
      <c r="A487" s="36" t="str">
        <f aca="false">IF($F487="","",COUNTA($F$5:$F487))</f>
        <v/>
      </c>
      <c r="B487" s="37" t="str">
        <f aca="true">IF($F487="","",IF($P487="Cancelada","Cancelada",IF(OR($O487&lt;&gt;"",$P487="Concluída"),IF(OR($N487="",$O487="",$O487&lt;=$N487),"Concluída","Concluída com atraso"),IF($N487="","Na carteira",IF($N487&lt;TODAY(),"VENCIDA",IF($P487="Em execução","Em execução",IF($N487=TODAY(),"Hoje","Programada")))))))</f>
        <v/>
      </c>
      <c r="C487" s="38"/>
      <c r="D487" s="38"/>
      <c r="E487" s="38"/>
      <c r="F487" s="38"/>
      <c r="G487" s="39"/>
      <c r="H487" s="39"/>
      <c r="I487" s="40"/>
      <c r="J487" s="40"/>
      <c r="K487" s="40"/>
      <c r="L487" s="41"/>
      <c r="M487" s="42"/>
      <c r="N487" s="43" t="str">
        <f aca="false">IF(OR($L487="",$M487=""),"",$L487+MATCH($M487,Listas!$F$5:$F$11,0)-1)</f>
        <v/>
      </c>
      <c r="O487" s="44"/>
      <c r="P487" s="39"/>
      <c r="Q487" s="44"/>
      <c r="R487" s="38"/>
      <c r="S487" s="38"/>
      <c r="T487" s="36" t="str">
        <f aca="false">IF($F487="","",IF(ISNUMBER(SEARCH("(externo)",$I487&amp;$J487&amp;$K487)),"Terceirizada","Interna"))</f>
        <v/>
      </c>
      <c r="U487" s="43" t="str">
        <f aca="false">IF($N487="","",IF($Q487="",$N487,$Q487))</f>
        <v/>
      </c>
      <c r="V487" s="36" t="str">
        <f aca="false">IF($F487="","",IF(OR($O487="",$N487=""),0,IF($O487&lt;=$N487,1,0)))</f>
        <v/>
      </c>
      <c r="W487" s="36" t="str">
        <f aca="false">IF($F487="","",IF(OR($O487="",$U487=""),0,IF($O487&lt;=$U487,1,0)))</f>
        <v/>
      </c>
      <c r="X487" s="37" t="str">
        <f aca="false">IF(OR($O487="",$N487=""),"",MAX(0,$O487-$N487))</f>
        <v/>
      </c>
      <c r="Y487" s="36" t="str">
        <f aca="false">IF($F487="","",IF(AND($Q487&lt;&gt;"",$N487&lt;&gt;"",$Q487&lt;&gt;$N487),1,0))</f>
        <v/>
      </c>
      <c r="Z487" s="36" t="str">
        <f aca="false">IF($F487="","",IF($P487="Cancelada",0,IF(OR($O487&lt;&gt;"",$P487="Concluída"),1,0)))</f>
        <v/>
      </c>
    </row>
    <row r="488" customFormat="false" ht="16.5" hidden="false" customHeight="true" outlineLevel="0" collapsed="false">
      <c r="A488" s="36" t="str">
        <f aca="false">IF($F488="","",COUNTA($F$5:$F488))</f>
        <v/>
      </c>
      <c r="B488" s="37" t="str">
        <f aca="true">IF($F488="","",IF($P488="Cancelada","Cancelada",IF(OR($O488&lt;&gt;"",$P488="Concluída"),IF(OR($N488="",$O488="",$O488&lt;=$N488),"Concluída","Concluída com atraso"),IF($N488="","Na carteira",IF($N488&lt;TODAY(),"VENCIDA",IF($P488="Em execução","Em execução",IF($N488=TODAY(),"Hoje","Programada")))))))</f>
        <v/>
      </c>
      <c r="C488" s="38"/>
      <c r="D488" s="38"/>
      <c r="E488" s="38"/>
      <c r="F488" s="38"/>
      <c r="G488" s="39"/>
      <c r="H488" s="39"/>
      <c r="I488" s="40"/>
      <c r="J488" s="40"/>
      <c r="K488" s="40"/>
      <c r="L488" s="41"/>
      <c r="M488" s="42"/>
      <c r="N488" s="43" t="str">
        <f aca="false">IF(OR($L488="",$M488=""),"",$L488+MATCH($M488,Listas!$F$5:$F$11,0)-1)</f>
        <v/>
      </c>
      <c r="O488" s="44"/>
      <c r="P488" s="39"/>
      <c r="Q488" s="44"/>
      <c r="R488" s="38"/>
      <c r="S488" s="38"/>
      <c r="T488" s="36" t="str">
        <f aca="false">IF($F488="","",IF(ISNUMBER(SEARCH("(externo)",$I488&amp;$J488&amp;$K488)),"Terceirizada","Interna"))</f>
        <v/>
      </c>
      <c r="U488" s="43" t="str">
        <f aca="false">IF($N488="","",IF($Q488="",$N488,$Q488))</f>
        <v/>
      </c>
      <c r="V488" s="36" t="str">
        <f aca="false">IF($F488="","",IF(OR($O488="",$N488=""),0,IF($O488&lt;=$N488,1,0)))</f>
        <v/>
      </c>
      <c r="W488" s="36" t="str">
        <f aca="false">IF($F488="","",IF(OR($O488="",$U488=""),0,IF($O488&lt;=$U488,1,0)))</f>
        <v/>
      </c>
      <c r="X488" s="37" t="str">
        <f aca="false">IF(OR($O488="",$N488=""),"",MAX(0,$O488-$N488))</f>
        <v/>
      </c>
      <c r="Y488" s="36" t="str">
        <f aca="false">IF($F488="","",IF(AND($Q488&lt;&gt;"",$N488&lt;&gt;"",$Q488&lt;&gt;$N488),1,0))</f>
        <v/>
      </c>
      <c r="Z488" s="36" t="str">
        <f aca="false">IF($F488="","",IF($P488="Cancelada",0,IF(OR($O488&lt;&gt;"",$P488="Concluída"),1,0)))</f>
        <v/>
      </c>
    </row>
    <row r="489" customFormat="false" ht="16.5" hidden="false" customHeight="true" outlineLevel="0" collapsed="false">
      <c r="A489" s="36" t="str">
        <f aca="false">IF($F489="","",COUNTA($F$5:$F489))</f>
        <v/>
      </c>
      <c r="B489" s="37" t="str">
        <f aca="true">IF($F489="","",IF($P489="Cancelada","Cancelada",IF(OR($O489&lt;&gt;"",$P489="Concluída"),IF(OR($N489="",$O489="",$O489&lt;=$N489),"Concluída","Concluída com atraso"),IF($N489="","Na carteira",IF($N489&lt;TODAY(),"VENCIDA",IF($P489="Em execução","Em execução",IF($N489=TODAY(),"Hoje","Programada")))))))</f>
        <v/>
      </c>
      <c r="C489" s="38"/>
      <c r="D489" s="38"/>
      <c r="E489" s="38"/>
      <c r="F489" s="38"/>
      <c r="G489" s="39"/>
      <c r="H489" s="39"/>
      <c r="I489" s="40"/>
      <c r="J489" s="40"/>
      <c r="K489" s="40"/>
      <c r="L489" s="41"/>
      <c r="M489" s="42"/>
      <c r="N489" s="43" t="str">
        <f aca="false">IF(OR($L489="",$M489=""),"",$L489+MATCH($M489,Listas!$F$5:$F$11,0)-1)</f>
        <v/>
      </c>
      <c r="O489" s="44"/>
      <c r="P489" s="39"/>
      <c r="Q489" s="44"/>
      <c r="R489" s="38"/>
      <c r="S489" s="38"/>
      <c r="T489" s="36" t="str">
        <f aca="false">IF($F489="","",IF(ISNUMBER(SEARCH("(externo)",$I489&amp;$J489&amp;$K489)),"Terceirizada","Interna"))</f>
        <v/>
      </c>
      <c r="U489" s="43" t="str">
        <f aca="false">IF($N489="","",IF($Q489="",$N489,$Q489))</f>
        <v/>
      </c>
      <c r="V489" s="36" t="str">
        <f aca="false">IF($F489="","",IF(OR($O489="",$N489=""),0,IF($O489&lt;=$N489,1,0)))</f>
        <v/>
      </c>
      <c r="W489" s="36" t="str">
        <f aca="false">IF($F489="","",IF(OR($O489="",$U489=""),0,IF($O489&lt;=$U489,1,0)))</f>
        <v/>
      </c>
      <c r="X489" s="37" t="str">
        <f aca="false">IF(OR($O489="",$N489=""),"",MAX(0,$O489-$N489))</f>
        <v/>
      </c>
      <c r="Y489" s="36" t="str">
        <f aca="false">IF($F489="","",IF(AND($Q489&lt;&gt;"",$N489&lt;&gt;"",$Q489&lt;&gt;$N489),1,0))</f>
        <v/>
      </c>
      <c r="Z489" s="36" t="str">
        <f aca="false">IF($F489="","",IF($P489="Cancelada",0,IF(OR($O489&lt;&gt;"",$P489="Concluída"),1,0)))</f>
        <v/>
      </c>
    </row>
    <row r="490" customFormat="false" ht="16.5" hidden="false" customHeight="true" outlineLevel="0" collapsed="false">
      <c r="A490" s="36" t="str">
        <f aca="false">IF($F490="","",COUNTA($F$5:$F490))</f>
        <v/>
      </c>
      <c r="B490" s="37" t="str">
        <f aca="true">IF($F490="","",IF($P490="Cancelada","Cancelada",IF(OR($O490&lt;&gt;"",$P490="Concluída"),IF(OR($N490="",$O490="",$O490&lt;=$N490),"Concluída","Concluída com atraso"),IF($N490="","Na carteira",IF($N490&lt;TODAY(),"VENCIDA",IF($P490="Em execução","Em execução",IF($N490=TODAY(),"Hoje","Programada")))))))</f>
        <v/>
      </c>
      <c r="C490" s="38"/>
      <c r="D490" s="38"/>
      <c r="E490" s="38"/>
      <c r="F490" s="38"/>
      <c r="G490" s="39"/>
      <c r="H490" s="39"/>
      <c r="I490" s="40"/>
      <c r="J490" s="40"/>
      <c r="K490" s="40"/>
      <c r="L490" s="41"/>
      <c r="M490" s="42"/>
      <c r="N490" s="43" t="str">
        <f aca="false">IF(OR($L490="",$M490=""),"",$L490+MATCH($M490,Listas!$F$5:$F$11,0)-1)</f>
        <v/>
      </c>
      <c r="O490" s="44"/>
      <c r="P490" s="39"/>
      <c r="Q490" s="44"/>
      <c r="R490" s="38"/>
      <c r="S490" s="38"/>
      <c r="T490" s="36" t="str">
        <f aca="false">IF($F490="","",IF(ISNUMBER(SEARCH("(externo)",$I490&amp;$J490&amp;$K490)),"Terceirizada","Interna"))</f>
        <v/>
      </c>
      <c r="U490" s="43" t="str">
        <f aca="false">IF($N490="","",IF($Q490="",$N490,$Q490))</f>
        <v/>
      </c>
      <c r="V490" s="36" t="str">
        <f aca="false">IF($F490="","",IF(OR($O490="",$N490=""),0,IF($O490&lt;=$N490,1,0)))</f>
        <v/>
      </c>
      <c r="W490" s="36" t="str">
        <f aca="false">IF($F490="","",IF(OR($O490="",$U490=""),0,IF($O490&lt;=$U490,1,0)))</f>
        <v/>
      </c>
      <c r="X490" s="37" t="str">
        <f aca="false">IF(OR($O490="",$N490=""),"",MAX(0,$O490-$N490))</f>
        <v/>
      </c>
      <c r="Y490" s="36" t="str">
        <f aca="false">IF($F490="","",IF(AND($Q490&lt;&gt;"",$N490&lt;&gt;"",$Q490&lt;&gt;$N490),1,0))</f>
        <v/>
      </c>
      <c r="Z490" s="36" t="str">
        <f aca="false">IF($F490="","",IF($P490="Cancelada",0,IF(OR($O490&lt;&gt;"",$P490="Concluída"),1,0)))</f>
        <v/>
      </c>
    </row>
    <row r="491" customFormat="false" ht="16.5" hidden="false" customHeight="true" outlineLevel="0" collapsed="false">
      <c r="A491" s="36" t="str">
        <f aca="false">IF($F491="","",COUNTA($F$5:$F491))</f>
        <v/>
      </c>
      <c r="B491" s="37" t="str">
        <f aca="true">IF($F491="","",IF($P491="Cancelada","Cancelada",IF(OR($O491&lt;&gt;"",$P491="Concluída"),IF(OR($N491="",$O491="",$O491&lt;=$N491),"Concluída","Concluída com atraso"),IF($N491="","Na carteira",IF($N491&lt;TODAY(),"VENCIDA",IF($P491="Em execução","Em execução",IF($N491=TODAY(),"Hoje","Programada")))))))</f>
        <v/>
      </c>
      <c r="C491" s="38"/>
      <c r="D491" s="38"/>
      <c r="E491" s="38"/>
      <c r="F491" s="38"/>
      <c r="G491" s="39"/>
      <c r="H491" s="39"/>
      <c r="I491" s="40"/>
      <c r="J491" s="40"/>
      <c r="K491" s="40"/>
      <c r="L491" s="41"/>
      <c r="M491" s="42"/>
      <c r="N491" s="43" t="str">
        <f aca="false">IF(OR($L491="",$M491=""),"",$L491+MATCH($M491,Listas!$F$5:$F$11,0)-1)</f>
        <v/>
      </c>
      <c r="O491" s="44"/>
      <c r="P491" s="39"/>
      <c r="Q491" s="44"/>
      <c r="R491" s="38"/>
      <c r="S491" s="38"/>
      <c r="T491" s="36" t="str">
        <f aca="false">IF($F491="","",IF(ISNUMBER(SEARCH("(externo)",$I491&amp;$J491&amp;$K491)),"Terceirizada","Interna"))</f>
        <v/>
      </c>
      <c r="U491" s="43" t="str">
        <f aca="false">IF($N491="","",IF($Q491="",$N491,$Q491))</f>
        <v/>
      </c>
      <c r="V491" s="36" t="str">
        <f aca="false">IF($F491="","",IF(OR($O491="",$N491=""),0,IF($O491&lt;=$N491,1,0)))</f>
        <v/>
      </c>
      <c r="W491" s="36" t="str">
        <f aca="false">IF($F491="","",IF(OR($O491="",$U491=""),0,IF($O491&lt;=$U491,1,0)))</f>
        <v/>
      </c>
      <c r="X491" s="37" t="str">
        <f aca="false">IF(OR($O491="",$N491=""),"",MAX(0,$O491-$N491))</f>
        <v/>
      </c>
      <c r="Y491" s="36" t="str">
        <f aca="false">IF($F491="","",IF(AND($Q491&lt;&gt;"",$N491&lt;&gt;"",$Q491&lt;&gt;$N491),1,0))</f>
        <v/>
      </c>
      <c r="Z491" s="36" t="str">
        <f aca="false">IF($F491="","",IF($P491="Cancelada",0,IF(OR($O491&lt;&gt;"",$P491="Concluída"),1,0)))</f>
        <v/>
      </c>
    </row>
    <row r="492" customFormat="false" ht="16.5" hidden="false" customHeight="true" outlineLevel="0" collapsed="false">
      <c r="A492" s="36" t="str">
        <f aca="false">IF($F492="","",COUNTA($F$5:$F492))</f>
        <v/>
      </c>
      <c r="B492" s="37" t="str">
        <f aca="true">IF($F492="","",IF($P492="Cancelada","Cancelada",IF(OR($O492&lt;&gt;"",$P492="Concluída"),IF(OR($N492="",$O492="",$O492&lt;=$N492),"Concluída","Concluída com atraso"),IF($N492="","Na carteira",IF($N492&lt;TODAY(),"VENCIDA",IF($P492="Em execução","Em execução",IF($N492=TODAY(),"Hoje","Programada")))))))</f>
        <v/>
      </c>
      <c r="C492" s="38"/>
      <c r="D492" s="38"/>
      <c r="E492" s="38"/>
      <c r="F492" s="38"/>
      <c r="G492" s="39"/>
      <c r="H492" s="39"/>
      <c r="I492" s="40"/>
      <c r="J492" s="40"/>
      <c r="K492" s="40"/>
      <c r="L492" s="41"/>
      <c r="M492" s="42"/>
      <c r="N492" s="43" t="str">
        <f aca="false">IF(OR($L492="",$M492=""),"",$L492+MATCH($M492,Listas!$F$5:$F$11,0)-1)</f>
        <v/>
      </c>
      <c r="O492" s="44"/>
      <c r="P492" s="39"/>
      <c r="Q492" s="44"/>
      <c r="R492" s="38"/>
      <c r="S492" s="38"/>
      <c r="T492" s="36" t="str">
        <f aca="false">IF($F492="","",IF(ISNUMBER(SEARCH("(externo)",$I492&amp;$J492&amp;$K492)),"Terceirizada","Interna"))</f>
        <v/>
      </c>
      <c r="U492" s="43" t="str">
        <f aca="false">IF($N492="","",IF($Q492="",$N492,$Q492))</f>
        <v/>
      </c>
      <c r="V492" s="36" t="str">
        <f aca="false">IF($F492="","",IF(OR($O492="",$N492=""),0,IF($O492&lt;=$N492,1,0)))</f>
        <v/>
      </c>
      <c r="W492" s="36" t="str">
        <f aca="false">IF($F492="","",IF(OR($O492="",$U492=""),0,IF($O492&lt;=$U492,1,0)))</f>
        <v/>
      </c>
      <c r="X492" s="37" t="str">
        <f aca="false">IF(OR($O492="",$N492=""),"",MAX(0,$O492-$N492))</f>
        <v/>
      </c>
      <c r="Y492" s="36" t="str">
        <f aca="false">IF($F492="","",IF(AND($Q492&lt;&gt;"",$N492&lt;&gt;"",$Q492&lt;&gt;$N492),1,0))</f>
        <v/>
      </c>
      <c r="Z492" s="36" t="str">
        <f aca="false">IF($F492="","",IF($P492="Cancelada",0,IF(OR($O492&lt;&gt;"",$P492="Concluída"),1,0)))</f>
        <v/>
      </c>
    </row>
    <row r="493" customFormat="false" ht="16.5" hidden="false" customHeight="true" outlineLevel="0" collapsed="false">
      <c r="A493" s="36" t="str">
        <f aca="false">IF($F493="","",COUNTA($F$5:$F493))</f>
        <v/>
      </c>
      <c r="B493" s="37" t="str">
        <f aca="true">IF($F493="","",IF($P493="Cancelada","Cancelada",IF(OR($O493&lt;&gt;"",$P493="Concluída"),IF(OR($N493="",$O493="",$O493&lt;=$N493),"Concluída","Concluída com atraso"),IF($N493="","Na carteira",IF($N493&lt;TODAY(),"VENCIDA",IF($P493="Em execução","Em execução",IF($N493=TODAY(),"Hoje","Programada")))))))</f>
        <v/>
      </c>
      <c r="C493" s="38"/>
      <c r="D493" s="38"/>
      <c r="E493" s="38"/>
      <c r="F493" s="38"/>
      <c r="G493" s="39"/>
      <c r="H493" s="39"/>
      <c r="I493" s="40"/>
      <c r="J493" s="40"/>
      <c r="K493" s="40"/>
      <c r="L493" s="41"/>
      <c r="M493" s="42"/>
      <c r="N493" s="43" t="str">
        <f aca="false">IF(OR($L493="",$M493=""),"",$L493+MATCH($M493,Listas!$F$5:$F$11,0)-1)</f>
        <v/>
      </c>
      <c r="O493" s="44"/>
      <c r="P493" s="39"/>
      <c r="Q493" s="44"/>
      <c r="R493" s="38"/>
      <c r="S493" s="38"/>
      <c r="T493" s="36" t="str">
        <f aca="false">IF($F493="","",IF(ISNUMBER(SEARCH("(externo)",$I493&amp;$J493&amp;$K493)),"Terceirizada","Interna"))</f>
        <v/>
      </c>
      <c r="U493" s="43" t="str">
        <f aca="false">IF($N493="","",IF($Q493="",$N493,$Q493))</f>
        <v/>
      </c>
      <c r="V493" s="36" t="str">
        <f aca="false">IF($F493="","",IF(OR($O493="",$N493=""),0,IF($O493&lt;=$N493,1,0)))</f>
        <v/>
      </c>
      <c r="W493" s="36" t="str">
        <f aca="false">IF($F493="","",IF(OR($O493="",$U493=""),0,IF($O493&lt;=$U493,1,0)))</f>
        <v/>
      </c>
      <c r="X493" s="37" t="str">
        <f aca="false">IF(OR($O493="",$N493=""),"",MAX(0,$O493-$N493))</f>
        <v/>
      </c>
      <c r="Y493" s="36" t="str">
        <f aca="false">IF($F493="","",IF(AND($Q493&lt;&gt;"",$N493&lt;&gt;"",$Q493&lt;&gt;$N493),1,0))</f>
        <v/>
      </c>
      <c r="Z493" s="36" t="str">
        <f aca="false">IF($F493="","",IF($P493="Cancelada",0,IF(OR($O493&lt;&gt;"",$P493="Concluída"),1,0)))</f>
        <v/>
      </c>
    </row>
    <row r="494" customFormat="false" ht="16.5" hidden="false" customHeight="true" outlineLevel="0" collapsed="false">
      <c r="A494" s="36" t="str">
        <f aca="false">IF($F494="","",COUNTA($F$5:$F494))</f>
        <v/>
      </c>
      <c r="B494" s="37" t="str">
        <f aca="true">IF($F494="","",IF($P494="Cancelada","Cancelada",IF(OR($O494&lt;&gt;"",$P494="Concluída"),IF(OR($N494="",$O494="",$O494&lt;=$N494),"Concluída","Concluída com atraso"),IF($N494="","Na carteira",IF($N494&lt;TODAY(),"VENCIDA",IF($P494="Em execução","Em execução",IF($N494=TODAY(),"Hoje","Programada")))))))</f>
        <v/>
      </c>
      <c r="C494" s="38"/>
      <c r="D494" s="38"/>
      <c r="E494" s="38"/>
      <c r="F494" s="38"/>
      <c r="G494" s="39"/>
      <c r="H494" s="39"/>
      <c r="I494" s="40"/>
      <c r="J494" s="40"/>
      <c r="K494" s="40"/>
      <c r="L494" s="41"/>
      <c r="M494" s="42"/>
      <c r="N494" s="43" t="str">
        <f aca="false">IF(OR($L494="",$M494=""),"",$L494+MATCH($M494,Listas!$F$5:$F$11,0)-1)</f>
        <v/>
      </c>
      <c r="O494" s="44"/>
      <c r="P494" s="39"/>
      <c r="Q494" s="44"/>
      <c r="R494" s="38"/>
      <c r="S494" s="38"/>
      <c r="T494" s="36" t="str">
        <f aca="false">IF($F494="","",IF(ISNUMBER(SEARCH("(externo)",$I494&amp;$J494&amp;$K494)),"Terceirizada","Interna"))</f>
        <v/>
      </c>
      <c r="U494" s="43" t="str">
        <f aca="false">IF($N494="","",IF($Q494="",$N494,$Q494))</f>
        <v/>
      </c>
      <c r="V494" s="36" t="str">
        <f aca="false">IF($F494="","",IF(OR($O494="",$N494=""),0,IF($O494&lt;=$N494,1,0)))</f>
        <v/>
      </c>
      <c r="W494" s="36" t="str">
        <f aca="false">IF($F494="","",IF(OR($O494="",$U494=""),0,IF($O494&lt;=$U494,1,0)))</f>
        <v/>
      </c>
      <c r="X494" s="37" t="str">
        <f aca="false">IF(OR($O494="",$N494=""),"",MAX(0,$O494-$N494))</f>
        <v/>
      </c>
      <c r="Y494" s="36" t="str">
        <f aca="false">IF($F494="","",IF(AND($Q494&lt;&gt;"",$N494&lt;&gt;"",$Q494&lt;&gt;$N494),1,0))</f>
        <v/>
      </c>
      <c r="Z494" s="36" t="str">
        <f aca="false">IF($F494="","",IF($P494="Cancelada",0,IF(OR($O494&lt;&gt;"",$P494="Concluída"),1,0)))</f>
        <v/>
      </c>
    </row>
    <row r="495" customFormat="false" ht="16.5" hidden="false" customHeight="true" outlineLevel="0" collapsed="false">
      <c r="A495" s="36" t="str">
        <f aca="false">IF($F495="","",COUNTA($F$5:$F495))</f>
        <v/>
      </c>
      <c r="B495" s="37" t="str">
        <f aca="true">IF($F495="","",IF($P495="Cancelada","Cancelada",IF(OR($O495&lt;&gt;"",$P495="Concluída"),IF(OR($N495="",$O495="",$O495&lt;=$N495),"Concluída","Concluída com atraso"),IF($N495="","Na carteira",IF($N495&lt;TODAY(),"VENCIDA",IF($P495="Em execução","Em execução",IF($N495=TODAY(),"Hoje","Programada")))))))</f>
        <v/>
      </c>
      <c r="C495" s="38"/>
      <c r="D495" s="38"/>
      <c r="E495" s="38"/>
      <c r="F495" s="38"/>
      <c r="G495" s="39"/>
      <c r="H495" s="39"/>
      <c r="I495" s="40"/>
      <c r="J495" s="40"/>
      <c r="K495" s="40"/>
      <c r="L495" s="41"/>
      <c r="M495" s="42"/>
      <c r="N495" s="43" t="str">
        <f aca="false">IF(OR($L495="",$M495=""),"",$L495+MATCH($M495,Listas!$F$5:$F$11,0)-1)</f>
        <v/>
      </c>
      <c r="O495" s="44"/>
      <c r="P495" s="39"/>
      <c r="Q495" s="44"/>
      <c r="R495" s="38"/>
      <c r="S495" s="38"/>
      <c r="T495" s="36" t="str">
        <f aca="false">IF($F495="","",IF(ISNUMBER(SEARCH("(externo)",$I495&amp;$J495&amp;$K495)),"Terceirizada","Interna"))</f>
        <v/>
      </c>
      <c r="U495" s="43" t="str">
        <f aca="false">IF($N495="","",IF($Q495="",$N495,$Q495))</f>
        <v/>
      </c>
      <c r="V495" s="36" t="str">
        <f aca="false">IF($F495="","",IF(OR($O495="",$N495=""),0,IF($O495&lt;=$N495,1,0)))</f>
        <v/>
      </c>
      <c r="W495" s="36" t="str">
        <f aca="false">IF($F495="","",IF(OR($O495="",$U495=""),0,IF($O495&lt;=$U495,1,0)))</f>
        <v/>
      </c>
      <c r="X495" s="37" t="str">
        <f aca="false">IF(OR($O495="",$N495=""),"",MAX(0,$O495-$N495))</f>
        <v/>
      </c>
      <c r="Y495" s="36" t="str">
        <f aca="false">IF($F495="","",IF(AND($Q495&lt;&gt;"",$N495&lt;&gt;"",$Q495&lt;&gt;$N495),1,0))</f>
        <v/>
      </c>
      <c r="Z495" s="36" t="str">
        <f aca="false">IF($F495="","",IF($P495="Cancelada",0,IF(OR($O495&lt;&gt;"",$P495="Concluída"),1,0)))</f>
        <v/>
      </c>
    </row>
    <row r="496" customFormat="false" ht="16.5" hidden="false" customHeight="true" outlineLevel="0" collapsed="false">
      <c r="A496" s="36" t="str">
        <f aca="false">IF($F496="","",COUNTA($F$5:$F496))</f>
        <v/>
      </c>
      <c r="B496" s="37" t="str">
        <f aca="true">IF($F496="","",IF($P496="Cancelada","Cancelada",IF(OR($O496&lt;&gt;"",$P496="Concluída"),IF(OR($N496="",$O496="",$O496&lt;=$N496),"Concluída","Concluída com atraso"),IF($N496="","Na carteira",IF($N496&lt;TODAY(),"VENCIDA",IF($P496="Em execução","Em execução",IF($N496=TODAY(),"Hoje","Programada")))))))</f>
        <v/>
      </c>
      <c r="C496" s="38"/>
      <c r="D496" s="38"/>
      <c r="E496" s="38"/>
      <c r="F496" s="38"/>
      <c r="G496" s="39"/>
      <c r="H496" s="39"/>
      <c r="I496" s="40"/>
      <c r="J496" s="40"/>
      <c r="K496" s="40"/>
      <c r="L496" s="41"/>
      <c r="M496" s="42"/>
      <c r="N496" s="43" t="str">
        <f aca="false">IF(OR($L496="",$M496=""),"",$L496+MATCH($M496,Listas!$F$5:$F$11,0)-1)</f>
        <v/>
      </c>
      <c r="O496" s="44"/>
      <c r="P496" s="39"/>
      <c r="Q496" s="44"/>
      <c r="R496" s="38"/>
      <c r="S496" s="38"/>
      <c r="T496" s="36" t="str">
        <f aca="false">IF($F496="","",IF(ISNUMBER(SEARCH("(externo)",$I496&amp;$J496&amp;$K496)),"Terceirizada","Interna"))</f>
        <v/>
      </c>
      <c r="U496" s="43" t="str">
        <f aca="false">IF($N496="","",IF($Q496="",$N496,$Q496))</f>
        <v/>
      </c>
      <c r="V496" s="36" t="str">
        <f aca="false">IF($F496="","",IF(OR($O496="",$N496=""),0,IF($O496&lt;=$N496,1,0)))</f>
        <v/>
      </c>
      <c r="W496" s="36" t="str">
        <f aca="false">IF($F496="","",IF(OR($O496="",$U496=""),0,IF($O496&lt;=$U496,1,0)))</f>
        <v/>
      </c>
      <c r="X496" s="37" t="str">
        <f aca="false">IF(OR($O496="",$N496=""),"",MAX(0,$O496-$N496))</f>
        <v/>
      </c>
      <c r="Y496" s="36" t="str">
        <f aca="false">IF($F496="","",IF(AND($Q496&lt;&gt;"",$N496&lt;&gt;"",$Q496&lt;&gt;$N496),1,0))</f>
        <v/>
      </c>
      <c r="Z496" s="36" t="str">
        <f aca="false">IF($F496="","",IF($P496="Cancelada",0,IF(OR($O496&lt;&gt;"",$P496="Concluída"),1,0)))</f>
        <v/>
      </c>
    </row>
    <row r="497" customFormat="false" ht="16.5" hidden="false" customHeight="true" outlineLevel="0" collapsed="false">
      <c r="A497" s="36" t="str">
        <f aca="false">IF($F497="","",COUNTA($F$5:$F497))</f>
        <v/>
      </c>
      <c r="B497" s="37" t="str">
        <f aca="true">IF($F497="","",IF($P497="Cancelada","Cancelada",IF(OR($O497&lt;&gt;"",$P497="Concluída"),IF(OR($N497="",$O497="",$O497&lt;=$N497),"Concluída","Concluída com atraso"),IF($N497="","Na carteira",IF($N497&lt;TODAY(),"VENCIDA",IF($P497="Em execução","Em execução",IF($N497=TODAY(),"Hoje","Programada")))))))</f>
        <v/>
      </c>
      <c r="C497" s="38"/>
      <c r="D497" s="38"/>
      <c r="E497" s="38"/>
      <c r="F497" s="38"/>
      <c r="G497" s="39"/>
      <c r="H497" s="39"/>
      <c r="I497" s="40"/>
      <c r="J497" s="40"/>
      <c r="K497" s="40"/>
      <c r="L497" s="41"/>
      <c r="M497" s="42"/>
      <c r="N497" s="43" t="str">
        <f aca="false">IF(OR($L497="",$M497=""),"",$L497+MATCH($M497,Listas!$F$5:$F$11,0)-1)</f>
        <v/>
      </c>
      <c r="O497" s="44"/>
      <c r="P497" s="39"/>
      <c r="Q497" s="44"/>
      <c r="R497" s="38"/>
      <c r="S497" s="38"/>
      <c r="T497" s="36" t="str">
        <f aca="false">IF($F497="","",IF(ISNUMBER(SEARCH("(externo)",$I497&amp;$J497&amp;$K497)),"Terceirizada","Interna"))</f>
        <v/>
      </c>
      <c r="U497" s="43" t="str">
        <f aca="false">IF($N497="","",IF($Q497="",$N497,$Q497))</f>
        <v/>
      </c>
      <c r="V497" s="36" t="str">
        <f aca="false">IF($F497="","",IF(OR($O497="",$N497=""),0,IF($O497&lt;=$N497,1,0)))</f>
        <v/>
      </c>
      <c r="W497" s="36" t="str">
        <f aca="false">IF($F497="","",IF(OR($O497="",$U497=""),0,IF($O497&lt;=$U497,1,0)))</f>
        <v/>
      </c>
      <c r="X497" s="37" t="str">
        <f aca="false">IF(OR($O497="",$N497=""),"",MAX(0,$O497-$N497))</f>
        <v/>
      </c>
      <c r="Y497" s="36" t="str">
        <f aca="false">IF($F497="","",IF(AND($Q497&lt;&gt;"",$N497&lt;&gt;"",$Q497&lt;&gt;$N497),1,0))</f>
        <v/>
      </c>
      <c r="Z497" s="36" t="str">
        <f aca="false">IF($F497="","",IF($P497="Cancelada",0,IF(OR($O497&lt;&gt;"",$P497="Concluída"),1,0)))</f>
        <v/>
      </c>
    </row>
    <row r="498" customFormat="false" ht="16.5" hidden="false" customHeight="true" outlineLevel="0" collapsed="false">
      <c r="A498" s="36" t="str">
        <f aca="false">IF($F498="","",COUNTA($F$5:$F498))</f>
        <v/>
      </c>
      <c r="B498" s="37" t="str">
        <f aca="true">IF($F498="","",IF($P498="Cancelada","Cancelada",IF(OR($O498&lt;&gt;"",$P498="Concluída"),IF(OR($N498="",$O498="",$O498&lt;=$N498),"Concluída","Concluída com atraso"),IF($N498="","Na carteira",IF($N498&lt;TODAY(),"VENCIDA",IF($P498="Em execução","Em execução",IF($N498=TODAY(),"Hoje","Programada")))))))</f>
        <v/>
      </c>
      <c r="C498" s="38"/>
      <c r="D498" s="38"/>
      <c r="E498" s="38"/>
      <c r="F498" s="38"/>
      <c r="G498" s="39"/>
      <c r="H498" s="39"/>
      <c r="I498" s="40"/>
      <c r="J498" s="40"/>
      <c r="K498" s="40"/>
      <c r="L498" s="41"/>
      <c r="M498" s="42"/>
      <c r="N498" s="43" t="str">
        <f aca="false">IF(OR($L498="",$M498=""),"",$L498+MATCH($M498,Listas!$F$5:$F$11,0)-1)</f>
        <v/>
      </c>
      <c r="O498" s="44"/>
      <c r="P498" s="39"/>
      <c r="Q498" s="44"/>
      <c r="R498" s="38"/>
      <c r="S498" s="38"/>
      <c r="T498" s="36" t="str">
        <f aca="false">IF($F498="","",IF(ISNUMBER(SEARCH("(externo)",$I498&amp;$J498&amp;$K498)),"Terceirizada","Interna"))</f>
        <v/>
      </c>
      <c r="U498" s="43" t="str">
        <f aca="false">IF($N498="","",IF($Q498="",$N498,$Q498))</f>
        <v/>
      </c>
      <c r="V498" s="36" t="str">
        <f aca="false">IF($F498="","",IF(OR($O498="",$N498=""),0,IF($O498&lt;=$N498,1,0)))</f>
        <v/>
      </c>
      <c r="W498" s="36" t="str">
        <f aca="false">IF($F498="","",IF(OR($O498="",$U498=""),0,IF($O498&lt;=$U498,1,0)))</f>
        <v/>
      </c>
      <c r="X498" s="37" t="str">
        <f aca="false">IF(OR($O498="",$N498=""),"",MAX(0,$O498-$N498))</f>
        <v/>
      </c>
      <c r="Y498" s="36" t="str">
        <f aca="false">IF($F498="","",IF(AND($Q498&lt;&gt;"",$N498&lt;&gt;"",$Q498&lt;&gt;$N498),1,0))</f>
        <v/>
      </c>
      <c r="Z498" s="36" t="str">
        <f aca="false">IF($F498="","",IF($P498="Cancelada",0,IF(OR($O498&lt;&gt;"",$P498="Concluída"),1,0)))</f>
        <v/>
      </c>
    </row>
    <row r="499" customFormat="false" ht="16.5" hidden="false" customHeight="true" outlineLevel="0" collapsed="false">
      <c r="A499" s="36" t="str">
        <f aca="false">IF($F499="","",COUNTA($F$5:$F499))</f>
        <v/>
      </c>
      <c r="B499" s="37" t="str">
        <f aca="true">IF($F499="","",IF($P499="Cancelada","Cancelada",IF(OR($O499&lt;&gt;"",$P499="Concluída"),IF(OR($N499="",$O499="",$O499&lt;=$N499),"Concluída","Concluída com atraso"),IF($N499="","Na carteira",IF($N499&lt;TODAY(),"VENCIDA",IF($P499="Em execução","Em execução",IF($N499=TODAY(),"Hoje","Programada")))))))</f>
        <v/>
      </c>
      <c r="C499" s="38"/>
      <c r="D499" s="38"/>
      <c r="E499" s="38"/>
      <c r="F499" s="38"/>
      <c r="G499" s="39"/>
      <c r="H499" s="39"/>
      <c r="I499" s="40"/>
      <c r="J499" s="40"/>
      <c r="K499" s="40"/>
      <c r="L499" s="41"/>
      <c r="M499" s="42"/>
      <c r="N499" s="43" t="str">
        <f aca="false">IF(OR($L499="",$M499=""),"",$L499+MATCH($M499,Listas!$F$5:$F$11,0)-1)</f>
        <v/>
      </c>
      <c r="O499" s="44"/>
      <c r="P499" s="39"/>
      <c r="Q499" s="44"/>
      <c r="R499" s="38"/>
      <c r="S499" s="38"/>
      <c r="T499" s="36" t="str">
        <f aca="false">IF($F499="","",IF(ISNUMBER(SEARCH("(externo)",$I499&amp;$J499&amp;$K499)),"Terceirizada","Interna"))</f>
        <v/>
      </c>
      <c r="U499" s="43" t="str">
        <f aca="false">IF($N499="","",IF($Q499="",$N499,$Q499))</f>
        <v/>
      </c>
      <c r="V499" s="36" t="str">
        <f aca="false">IF($F499="","",IF(OR($O499="",$N499=""),0,IF($O499&lt;=$N499,1,0)))</f>
        <v/>
      </c>
      <c r="W499" s="36" t="str">
        <f aca="false">IF($F499="","",IF(OR($O499="",$U499=""),0,IF($O499&lt;=$U499,1,0)))</f>
        <v/>
      </c>
      <c r="X499" s="37" t="str">
        <f aca="false">IF(OR($O499="",$N499=""),"",MAX(0,$O499-$N499))</f>
        <v/>
      </c>
      <c r="Y499" s="36" t="str">
        <f aca="false">IF($F499="","",IF(AND($Q499&lt;&gt;"",$N499&lt;&gt;"",$Q499&lt;&gt;$N499),1,0))</f>
        <v/>
      </c>
      <c r="Z499" s="36" t="str">
        <f aca="false">IF($F499="","",IF($P499="Cancelada",0,IF(OR($O499&lt;&gt;"",$P499="Concluída"),1,0)))</f>
        <v/>
      </c>
    </row>
    <row r="500" customFormat="false" ht="16.5" hidden="false" customHeight="true" outlineLevel="0" collapsed="false">
      <c r="A500" s="36" t="str">
        <f aca="false">IF($F500="","",COUNTA($F$5:$F500))</f>
        <v/>
      </c>
      <c r="B500" s="37" t="str">
        <f aca="true">IF($F500="","",IF($P500="Cancelada","Cancelada",IF(OR($O500&lt;&gt;"",$P500="Concluída"),IF(OR($N500="",$O500="",$O500&lt;=$N500),"Concluída","Concluída com atraso"),IF($N500="","Na carteira",IF($N500&lt;TODAY(),"VENCIDA",IF($P500="Em execução","Em execução",IF($N500=TODAY(),"Hoje","Programada")))))))</f>
        <v/>
      </c>
      <c r="C500" s="38"/>
      <c r="D500" s="38"/>
      <c r="E500" s="38"/>
      <c r="F500" s="38"/>
      <c r="G500" s="39"/>
      <c r="H500" s="39"/>
      <c r="I500" s="40"/>
      <c r="J500" s="40"/>
      <c r="K500" s="40"/>
      <c r="L500" s="41"/>
      <c r="M500" s="42"/>
      <c r="N500" s="43" t="str">
        <f aca="false">IF(OR($L500="",$M500=""),"",$L500+MATCH($M500,Listas!$F$5:$F$11,0)-1)</f>
        <v/>
      </c>
      <c r="O500" s="44"/>
      <c r="P500" s="39"/>
      <c r="Q500" s="44"/>
      <c r="R500" s="38"/>
      <c r="S500" s="38"/>
      <c r="T500" s="36" t="str">
        <f aca="false">IF($F500="","",IF(ISNUMBER(SEARCH("(externo)",$I500&amp;$J500&amp;$K500)),"Terceirizada","Interna"))</f>
        <v/>
      </c>
      <c r="U500" s="43" t="str">
        <f aca="false">IF($N500="","",IF($Q500="",$N500,$Q500))</f>
        <v/>
      </c>
      <c r="V500" s="36" t="str">
        <f aca="false">IF($F500="","",IF(OR($O500="",$N500=""),0,IF($O500&lt;=$N500,1,0)))</f>
        <v/>
      </c>
      <c r="W500" s="36" t="str">
        <f aca="false">IF($F500="","",IF(OR($O500="",$U500=""),0,IF($O500&lt;=$U500,1,0)))</f>
        <v/>
      </c>
      <c r="X500" s="37" t="str">
        <f aca="false">IF(OR($O500="",$N500=""),"",MAX(0,$O500-$N500))</f>
        <v/>
      </c>
      <c r="Y500" s="36" t="str">
        <f aca="false">IF($F500="","",IF(AND($Q500&lt;&gt;"",$N500&lt;&gt;"",$Q500&lt;&gt;$N500),1,0))</f>
        <v/>
      </c>
      <c r="Z500" s="36" t="str">
        <f aca="false">IF($F500="","",IF($P500="Cancelada",0,IF(OR($O500&lt;&gt;"",$P500="Concluída"),1,0)))</f>
        <v/>
      </c>
    </row>
    <row r="501" customFormat="false" ht="16.5" hidden="false" customHeight="true" outlineLevel="0" collapsed="false">
      <c r="A501" s="36" t="str">
        <f aca="false">IF($F501="","",COUNTA($F$5:$F501))</f>
        <v/>
      </c>
      <c r="B501" s="37" t="str">
        <f aca="true">IF($F501="","",IF($P501="Cancelada","Cancelada",IF(OR($O501&lt;&gt;"",$P501="Concluída"),IF(OR($N501="",$O501="",$O501&lt;=$N501),"Concluída","Concluída com atraso"),IF($N501="","Na carteira",IF($N501&lt;TODAY(),"VENCIDA",IF($P501="Em execução","Em execução",IF($N501=TODAY(),"Hoje","Programada")))))))</f>
        <v/>
      </c>
      <c r="C501" s="38"/>
      <c r="D501" s="38"/>
      <c r="E501" s="38"/>
      <c r="F501" s="38"/>
      <c r="G501" s="39"/>
      <c r="H501" s="39"/>
      <c r="I501" s="40"/>
      <c r="J501" s="40"/>
      <c r="K501" s="40"/>
      <c r="L501" s="41"/>
      <c r="M501" s="42"/>
      <c r="N501" s="43" t="str">
        <f aca="false">IF(OR($L501="",$M501=""),"",$L501+MATCH($M501,Listas!$F$5:$F$11,0)-1)</f>
        <v/>
      </c>
      <c r="O501" s="44"/>
      <c r="P501" s="39"/>
      <c r="Q501" s="44"/>
      <c r="R501" s="38"/>
      <c r="S501" s="38"/>
      <c r="T501" s="36" t="str">
        <f aca="false">IF($F501="","",IF(ISNUMBER(SEARCH("(externo)",$I501&amp;$J501&amp;$K501)),"Terceirizada","Interna"))</f>
        <v/>
      </c>
      <c r="U501" s="43" t="str">
        <f aca="false">IF($N501="","",IF($Q501="",$N501,$Q501))</f>
        <v/>
      </c>
      <c r="V501" s="36" t="str">
        <f aca="false">IF($F501="","",IF(OR($O501="",$N501=""),0,IF($O501&lt;=$N501,1,0)))</f>
        <v/>
      </c>
      <c r="W501" s="36" t="str">
        <f aca="false">IF($F501="","",IF(OR($O501="",$U501=""),0,IF($O501&lt;=$U501,1,0)))</f>
        <v/>
      </c>
      <c r="X501" s="37" t="str">
        <f aca="false">IF(OR($O501="",$N501=""),"",MAX(0,$O501-$N501))</f>
        <v/>
      </c>
      <c r="Y501" s="36" t="str">
        <f aca="false">IF($F501="","",IF(AND($Q501&lt;&gt;"",$N501&lt;&gt;"",$Q501&lt;&gt;$N501),1,0))</f>
        <v/>
      </c>
      <c r="Z501" s="36" t="str">
        <f aca="false">IF($F501="","",IF($P501="Cancelada",0,IF(OR($O501&lt;&gt;"",$P501="Concluída"),1,0)))</f>
        <v/>
      </c>
    </row>
    <row r="502" customFormat="false" ht="16.5" hidden="false" customHeight="true" outlineLevel="0" collapsed="false">
      <c r="A502" s="36" t="str">
        <f aca="false">IF($F502="","",COUNTA($F$5:$F502))</f>
        <v/>
      </c>
      <c r="B502" s="37" t="str">
        <f aca="true">IF($F502="","",IF($P502="Cancelada","Cancelada",IF(OR($O502&lt;&gt;"",$P502="Concluída"),IF(OR($N502="",$O502="",$O502&lt;=$N502),"Concluída","Concluída com atraso"),IF($N502="","Na carteira",IF($N502&lt;TODAY(),"VENCIDA",IF($P502="Em execução","Em execução",IF($N502=TODAY(),"Hoje","Programada")))))))</f>
        <v/>
      </c>
      <c r="C502" s="38"/>
      <c r="D502" s="38"/>
      <c r="E502" s="38"/>
      <c r="F502" s="38"/>
      <c r="G502" s="39"/>
      <c r="H502" s="39"/>
      <c r="I502" s="40"/>
      <c r="J502" s="40"/>
      <c r="K502" s="40"/>
      <c r="L502" s="41"/>
      <c r="M502" s="42"/>
      <c r="N502" s="43" t="str">
        <f aca="false">IF(OR($L502="",$M502=""),"",$L502+MATCH($M502,Listas!$F$5:$F$11,0)-1)</f>
        <v/>
      </c>
      <c r="O502" s="44"/>
      <c r="P502" s="39"/>
      <c r="Q502" s="44"/>
      <c r="R502" s="38"/>
      <c r="S502" s="38"/>
      <c r="T502" s="36" t="str">
        <f aca="false">IF($F502="","",IF(ISNUMBER(SEARCH("(externo)",$I502&amp;$J502&amp;$K502)),"Terceirizada","Interna"))</f>
        <v/>
      </c>
      <c r="U502" s="43" t="str">
        <f aca="false">IF($N502="","",IF($Q502="",$N502,$Q502))</f>
        <v/>
      </c>
      <c r="V502" s="36" t="str">
        <f aca="false">IF($F502="","",IF(OR($O502="",$N502=""),0,IF($O502&lt;=$N502,1,0)))</f>
        <v/>
      </c>
      <c r="W502" s="36" t="str">
        <f aca="false">IF($F502="","",IF(OR($O502="",$U502=""),0,IF($O502&lt;=$U502,1,0)))</f>
        <v/>
      </c>
      <c r="X502" s="37" t="str">
        <f aca="false">IF(OR($O502="",$N502=""),"",MAX(0,$O502-$N502))</f>
        <v/>
      </c>
      <c r="Y502" s="36" t="str">
        <f aca="false">IF($F502="","",IF(AND($Q502&lt;&gt;"",$N502&lt;&gt;"",$Q502&lt;&gt;$N502),1,0))</f>
        <v/>
      </c>
      <c r="Z502" s="36" t="str">
        <f aca="false">IF($F502="","",IF($P502="Cancelada",0,IF(OR($O502&lt;&gt;"",$P502="Concluída"),1,0)))</f>
        <v/>
      </c>
    </row>
    <row r="503" customFormat="false" ht="16.5" hidden="false" customHeight="true" outlineLevel="0" collapsed="false">
      <c r="A503" s="36" t="str">
        <f aca="false">IF($F503="","",COUNTA($F$5:$F503))</f>
        <v/>
      </c>
      <c r="B503" s="37" t="str">
        <f aca="true">IF($F503="","",IF($P503="Cancelada","Cancelada",IF(OR($O503&lt;&gt;"",$P503="Concluída"),IF(OR($N503="",$O503="",$O503&lt;=$N503),"Concluída","Concluída com atraso"),IF($N503="","Na carteira",IF($N503&lt;TODAY(),"VENCIDA",IF($P503="Em execução","Em execução",IF($N503=TODAY(),"Hoje","Programada")))))))</f>
        <v/>
      </c>
      <c r="C503" s="38"/>
      <c r="D503" s="38"/>
      <c r="E503" s="38"/>
      <c r="F503" s="38"/>
      <c r="G503" s="39"/>
      <c r="H503" s="39"/>
      <c r="I503" s="40"/>
      <c r="J503" s="40"/>
      <c r="K503" s="40"/>
      <c r="L503" s="41"/>
      <c r="M503" s="42"/>
      <c r="N503" s="43" t="str">
        <f aca="false">IF(OR($L503="",$M503=""),"",$L503+MATCH($M503,Listas!$F$5:$F$11,0)-1)</f>
        <v/>
      </c>
      <c r="O503" s="44"/>
      <c r="P503" s="39"/>
      <c r="Q503" s="44"/>
      <c r="R503" s="38"/>
      <c r="S503" s="38"/>
      <c r="T503" s="36" t="str">
        <f aca="false">IF($F503="","",IF(ISNUMBER(SEARCH("(externo)",$I503&amp;$J503&amp;$K503)),"Terceirizada","Interna"))</f>
        <v/>
      </c>
      <c r="U503" s="43" t="str">
        <f aca="false">IF($N503="","",IF($Q503="",$N503,$Q503))</f>
        <v/>
      </c>
      <c r="V503" s="36" t="str">
        <f aca="false">IF($F503="","",IF(OR($O503="",$N503=""),0,IF($O503&lt;=$N503,1,0)))</f>
        <v/>
      </c>
      <c r="W503" s="36" t="str">
        <f aca="false">IF($F503="","",IF(OR($O503="",$U503=""),0,IF($O503&lt;=$U503,1,0)))</f>
        <v/>
      </c>
      <c r="X503" s="37" t="str">
        <f aca="false">IF(OR($O503="",$N503=""),"",MAX(0,$O503-$N503))</f>
        <v/>
      </c>
      <c r="Y503" s="36" t="str">
        <f aca="false">IF($F503="","",IF(AND($Q503&lt;&gt;"",$N503&lt;&gt;"",$Q503&lt;&gt;$N503),1,0))</f>
        <v/>
      </c>
      <c r="Z503" s="36" t="str">
        <f aca="false">IF($F503="","",IF($P503="Cancelada",0,IF(OR($O503&lt;&gt;"",$P503="Concluída"),1,0)))</f>
        <v/>
      </c>
    </row>
    <row r="504" customFormat="false" ht="16.5" hidden="false" customHeight="true" outlineLevel="0" collapsed="false">
      <c r="A504" s="36" t="str">
        <f aca="false">IF($F504="","",COUNTA($F$5:$F504))</f>
        <v/>
      </c>
      <c r="B504" s="37" t="str">
        <f aca="true">IF($F504="","",IF($P504="Cancelada","Cancelada",IF(OR($O504&lt;&gt;"",$P504="Concluída"),IF(OR($N504="",$O504="",$O504&lt;=$N504),"Concluída","Concluída com atraso"),IF($N504="","Na carteira",IF($N504&lt;TODAY(),"VENCIDA",IF($P504="Em execução","Em execução",IF($N504=TODAY(),"Hoje","Programada")))))))</f>
        <v/>
      </c>
      <c r="C504" s="38"/>
      <c r="D504" s="38"/>
      <c r="E504" s="38"/>
      <c r="F504" s="38"/>
      <c r="G504" s="39"/>
      <c r="H504" s="39"/>
      <c r="I504" s="40"/>
      <c r="J504" s="40"/>
      <c r="K504" s="40"/>
      <c r="L504" s="41"/>
      <c r="M504" s="42"/>
      <c r="N504" s="43" t="str">
        <f aca="false">IF(OR($L504="",$M504=""),"",$L504+MATCH($M504,Listas!$F$5:$F$11,0)-1)</f>
        <v/>
      </c>
      <c r="O504" s="44"/>
      <c r="P504" s="39"/>
      <c r="Q504" s="44"/>
      <c r="R504" s="38"/>
      <c r="S504" s="38"/>
      <c r="T504" s="36" t="str">
        <f aca="false">IF($F504="","",IF(ISNUMBER(SEARCH("(externo)",$I504&amp;$J504&amp;$K504)),"Terceirizada","Interna"))</f>
        <v/>
      </c>
      <c r="U504" s="43" t="str">
        <f aca="false">IF($N504="","",IF($Q504="",$N504,$Q504))</f>
        <v/>
      </c>
      <c r="V504" s="36" t="str">
        <f aca="false">IF($F504="","",IF(OR($O504="",$N504=""),0,IF($O504&lt;=$N504,1,0)))</f>
        <v/>
      </c>
      <c r="W504" s="36" t="str">
        <f aca="false">IF($F504="","",IF(OR($O504="",$U504=""),0,IF($O504&lt;=$U504,1,0)))</f>
        <v/>
      </c>
      <c r="X504" s="37" t="str">
        <f aca="false">IF(OR($O504="",$N504=""),"",MAX(0,$O504-$N504))</f>
        <v/>
      </c>
      <c r="Y504" s="36" t="str">
        <f aca="false">IF($F504="","",IF(AND($Q504&lt;&gt;"",$N504&lt;&gt;"",$Q504&lt;&gt;$N504),1,0))</f>
        <v/>
      </c>
      <c r="Z504" s="36" t="str">
        <f aca="false">IF($F504="","",IF($P504="Cancelada",0,IF(OR($O504&lt;&gt;"",$P504="Concluída"),1,0)))</f>
        <v/>
      </c>
    </row>
    <row r="505" customFormat="false" ht="16.5" hidden="false" customHeight="true" outlineLevel="0" collapsed="false">
      <c r="A505" s="36" t="str">
        <f aca="false">IF($F505="","",COUNTA($F$5:$F505))</f>
        <v/>
      </c>
      <c r="B505" s="37" t="str">
        <f aca="true">IF($F505="","",IF($P505="Cancelada","Cancelada",IF(OR($O505&lt;&gt;"",$P505="Concluída"),IF(OR($N505="",$O505="",$O505&lt;=$N505),"Concluída","Concluída com atraso"),IF($N505="","Na carteira",IF($N505&lt;TODAY(),"VENCIDA",IF($P505="Em execução","Em execução",IF($N505=TODAY(),"Hoje","Programada")))))))</f>
        <v/>
      </c>
      <c r="C505" s="38"/>
      <c r="D505" s="38"/>
      <c r="E505" s="38"/>
      <c r="F505" s="38"/>
      <c r="G505" s="39"/>
      <c r="H505" s="39"/>
      <c r="I505" s="40"/>
      <c r="J505" s="40"/>
      <c r="K505" s="40"/>
      <c r="L505" s="41"/>
      <c r="M505" s="42"/>
      <c r="N505" s="43" t="str">
        <f aca="false">IF(OR($L505="",$M505=""),"",$L505+MATCH($M505,Listas!$F$5:$F$11,0)-1)</f>
        <v/>
      </c>
      <c r="O505" s="44"/>
      <c r="P505" s="39"/>
      <c r="Q505" s="44"/>
      <c r="R505" s="38"/>
      <c r="S505" s="38"/>
      <c r="T505" s="36" t="str">
        <f aca="false">IF($F505="","",IF(ISNUMBER(SEARCH("(externo)",$I505&amp;$J505&amp;$K505)),"Terceirizada","Interna"))</f>
        <v/>
      </c>
      <c r="U505" s="43" t="str">
        <f aca="false">IF($N505="","",IF($Q505="",$N505,$Q505))</f>
        <v/>
      </c>
      <c r="V505" s="36" t="str">
        <f aca="false">IF($F505="","",IF(OR($O505="",$N505=""),0,IF($O505&lt;=$N505,1,0)))</f>
        <v/>
      </c>
      <c r="W505" s="36" t="str">
        <f aca="false">IF($F505="","",IF(OR($O505="",$U505=""),0,IF($O505&lt;=$U505,1,0)))</f>
        <v/>
      </c>
      <c r="X505" s="37" t="str">
        <f aca="false">IF(OR($O505="",$N505=""),"",MAX(0,$O505-$N505))</f>
        <v/>
      </c>
      <c r="Y505" s="36" t="str">
        <f aca="false">IF($F505="","",IF(AND($Q505&lt;&gt;"",$N505&lt;&gt;"",$Q505&lt;&gt;$N505),1,0))</f>
        <v/>
      </c>
      <c r="Z505" s="36" t="str">
        <f aca="false">IF($F505="","",IF($P505="Cancelada",0,IF(OR($O505&lt;&gt;"",$P505="Concluída"),1,0)))</f>
        <v/>
      </c>
    </row>
    <row r="506" customFormat="false" ht="16.5" hidden="false" customHeight="true" outlineLevel="0" collapsed="false">
      <c r="A506" s="36" t="str">
        <f aca="false">IF($F506="","",COUNTA($F$5:$F506))</f>
        <v/>
      </c>
      <c r="B506" s="37" t="str">
        <f aca="true">IF($F506="","",IF($P506="Cancelada","Cancelada",IF(OR($O506&lt;&gt;"",$P506="Concluída"),IF(OR($N506="",$O506="",$O506&lt;=$N506),"Concluída","Concluída com atraso"),IF($N506="","Na carteira",IF($N506&lt;TODAY(),"VENCIDA",IF($P506="Em execução","Em execução",IF($N506=TODAY(),"Hoje","Programada")))))))</f>
        <v/>
      </c>
      <c r="C506" s="38"/>
      <c r="D506" s="38"/>
      <c r="E506" s="38"/>
      <c r="F506" s="38"/>
      <c r="G506" s="39"/>
      <c r="H506" s="39"/>
      <c r="I506" s="40"/>
      <c r="J506" s="40"/>
      <c r="K506" s="40"/>
      <c r="L506" s="41"/>
      <c r="M506" s="42"/>
      <c r="N506" s="43" t="str">
        <f aca="false">IF(OR($L506="",$M506=""),"",$L506+MATCH($M506,Listas!$F$5:$F$11,0)-1)</f>
        <v/>
      </c>
      <c r="O506" s="44"/>
      <c r="P506" s="39"/>
      <c r="Q506" s="44"/>
      <c r="R506" s="38"/>
      <c r="S506" s="38"/>
      <c r="T506" s="36" t="str">
        <f aca="false">IF($F506="","",IF(ISNUMBER(SEARCH("(externo)",$I506&amp;$J506&amp;$K506)),"Terceirizada","Interna"))</f>
        <v/>
      </c>
      <c r="U506" s="43" t="str">
        <f aca="false">IF($N506="","",IF($Q506="",$N506,$Q506))</f>
        <v/>
      </c>
      <c r="V506" s="36" t="str">
        <f aca="false">IF($F506="","",IF(OR($O506="",$N506=""),0,IF($O506&lt;=$N506,1,0)))</f>
        <v/>
      </c>
      <c r="W506" s="36" t="str">
        <f aca="false">IF($F506="","",IF(OR($O506="",$U506=""),0,IF($O506&lt;=$U506,1,0)))</f>
        <v/>
      </c>
      <c r="X506" s="37" t="str">
        <f aca="false">IF(OR($O506="",$N506=""),"",MAX(0,$O506-$N506))</f>
        <v/>
      </c>
      <c r="Y506" s="36" t="str">
        <f aca="false">IF($F506="","",IF(AND($Q506&lt;&gt;"",$N506&lt;&gt;"",$Q506&lt;&gt;$N506),1,0))</f>
        <v/>
      </c>
      <c r="Z506" s="36" t="str">
        <f aca="false">IF($F506="","",IF($P506="Cancelada",0,IF(OR($O506&lt;&gt;"",$P506="Concluída"),1,0)))</f>
        <v/>
      </c>
    </row>
    <row r="507" customFormat="false" ht="16.5" hidden="false" customHeight="true" outlineLevel="0" collapsed="false">
      <c r="A507" s="36" t="str">
        <f aca="false">IF($F507="","",COUNTA($F$5:$F507))</f>
        <v/>
      </c>
      <c r="B507" s="37" t="str">
        <f aca="true">IF($F507="","",IF($P507="Cancelada","Cancelada",IF(OR($O507&lt;&gt;"",$P507="Concluída"),IF(OR($N507="",$O507="",$O507&lt;=$N507),"Concluída","Concluída com atraso"),IF($N507="","Na carteira",IF($N507&lt;TODAY(),"VENCIDA",IF($P507="Em execução","Em execução",IF($N507=TODAY(),"Hoje","Programada")))))))</f>
        <v/>
      </c>
      <c r="C507" s="38"/>
      <c r="D507" s="38"/>
      <c r="E507" s="38"/>
      <c r="F507" s="38"/>
      <c r="G507" s="39"/>
      <c r="H507" s="39"/>
      <c r="I507" s="40"/>
      <c r="J507" s="40"/>
      <c r="K507" s="40"/>
      <c r="L507" s="41"/>
      <c r="M507" s="42"/>
      <c r="N507" s="43" t="str">
        <f aca="false">IF(OR($L507="",$M507=""),"",$L507+MATCH($M507,Listas!$F$5:$F$11,0)-1)</f>
        <v/>
      </c>
      <c r="O507" s="44"/>
      <c r="P507" s="39"/>
      <c r="Q507" s="44"/>
      <c r="R507" s="38"/>
      <c r="S507" s="38"/>
      <c r="T507" s="36" t="str">
        <f aca="false">IF($F507="","",IF(ISNUMBER(SEARCH("(externo)",$I507&amp;$J507&amp;$K507)),"Terceirizada","Interna"))</f>
        <v/>
      </c>
      <c r="U507" s="43" t="str">
        <f aca="false">IF($N507="","",IF($Q507="",$N507,$Q507))</f>
        <v/>
      </c>
      <c r="V507" s="36" t="str">
        <f aca="false">IF($F507="","",IF(OR($O507="",$N507=""),0,IF($O507&lt;=$N507,1,0)))</f>
        <v/>
      </c>
      <c r="W507" s="36" t="str">
        <f aca="false">IF($F507="","",IF(OR($O507="",$U507=""),0,IF($O507&lt;=$U507,1,0)))</f>
        <v/>
      </c>
      <c r="X507" s="37" t="str">
        <f aca="false">IF(OR($O507="",$N507=""),"",MAX(0,$O507-$N507))</f>
        <v/>
      </c>
      <c r="Y507" s="36" t="str">
        <f aca="false">IF($F507="","",IF(AND($Q507&lt;&gt;"",$N507&lt;&gt;"",$Q507&lt;&gt;$N507),1,0))</f>
        <v/>
      </c>
      <c r="Z507" s="36" t="str">
        <f aca="false">IF($F507="","",IF($P507="Cancelada",0,IF(OR($O507&lt;&gt;"",$P507="Concluída"),1,0)))</f>
        <v/>
      </c>
    </row>
    <row r="508" customFormat="false" ht="16.5" hidden="false" customHeight="true" outlineLevel="0" collapsed="false">
      <c r="A508" s="36" t="str">
        <f aca="false">IF($F508="","",COUNTA($F$5:$F508))</f>
        <v/>
      </c>
      <c r="B508" s="37" t="str">
        <f aca="true">IF($F508="","",IF($P508="Cancelada","Cancelada",IF(OR($O508&lt;&gt;"",$P508="Concluída"),IF(OR($N508="",$O508="",$O508&lt;=$N508),"Concluída","Concluída com atraso"),IF($N508="","Na carteira",IF($N508&lt;TODAY(),"VENCIDA",IF($P508="Em execução","Em execução",IF($N508=TODAY(),"Hoje","Programada")))))))</f>
        <v/>
      </c>
      <c r="C508" s="38"/>
      <c r="D508" s="38"/>
      <c r="E508" s="38"/>
      <c r="F508" s="38"/>
      <c r="G508" s="39"/>
      <c r="H508" s="39"/>
      <c r="I508" s="40"/>
      <c r="J508" s="40"/>
      <c r="K508" s="40"/>
      <c r="L508" s="41"/>
      <c r="M508" s="42"/>
      <c r="N508" s="43" t="str">
        <f aca="false">IF(OR($L508="",$M508=""),"",$L508+MATCH($M508,Listas!$F$5:$F$11,0)-1)</f>
        <v/>
      </c>
      <c r="O508" s="44"/>
      <c r="P508" s="39"/>
      <c r="Q508" s="44"/>
      <c r="R508" s="38"/>
      <c r="S508" s="38"/>
      <c r="T508" s="36" t="str">
        <f aca="false">IF($F508="","",IF(ISNUMBER(SEARCH("(externo)",$I508&amp;$J508&amp;$K508)),"Terceirizada","Interna"))</f>
        <v/>
      </c>
      <c r="U508" s="43" t="str">
        <f aca="false">IF($N508="","",IF($Q508="",$N508,$Q508))</f>
        <v/>
      </c>
      <c r="V508" s="36" t="str">
        <f aca="false">IF($F508="","",IF(OR($O508="",$N508=""),0,IF($O508&lt;=$N508,1,0)))</f>
        <v/>
      </c>
      <c r="W508" s="36" t="str">
        <f aca="false">IF($F508="","",IF(OR($O508="",$U508=""),0,IF($O508&lt;=$U508,1,0)))</f>
        <v/>
      </c>
      <c r="X508" s="37" t="str">
        <f aca="false">IF(OR($O508="",$N508=""),"",MAX(0,$O508-$N508))</f>
        <v/>
      </c>
      <c r="Y508" s="36" t="str">
        <f aca="false">IF($F508="","",IF(AND($Q508&lt;&gt;"",$N508&lt;&gt;"",$Q508&lt;&gt;$N508),1,0))</f>
        <v/>
      </c>
      <c r="Z508" s="36" t="str">
        <f aca="false">IF($F508="","",IF($P508="Cancelada",0,IF(OR($O508&lt;&gt;"",$P508="Concluída"),1,0)))</f>
        <v/>
      </c>
    </row>
    <row r="509" customFormat="false" ht="16.5" hidden="false" customHeight="true" outlineLevel="0" collapsed="false">
      <c r="A509" s="36" t="str">
        <f aca="false">IF($F509="","",COUNTA($F$5:$F509))</f>
        <v/>
      </c>
      <c r="B509" s="37" t="str">
        <f aca="true">IF($F509="","",IF($P509="Cancelada","Cancelada",IF(OR($O509&lt;&gt;"",$P509="Concluída"),IF(OR($N509="",$O509="",$O509&lt;=$N509),"Concluída","Concluída com atraso"),IF($N509="","Na carteira",IF($N509&lt;TODAY(),"VENCIDA",IF($P509="Em execução","Em execução",IF($N509=TODAY(),"Hoje","Programada")))))))</f>
        <v/>
      </c>
      <c r="C509" s="38"/>
      <c r="D509" s="38"/>
      <c r="E509" s="38"/>
      <c r="F509" s="38"/>
      <c r="G509" s="39"/>
      <c r="H509" s="39"/>
      <c r="I509" s="40"/>
      <c r="J509" s="40"/>
      <c r="K509" s="40"/>
      <c r="L509" s="41"/>
      <c r="M509" s="42"/>
      <c r="N509" s="43" t="str">
        <f aca="false">IF(OR($L509="",$M509=""),"",$L509+MATCH($M509,Listas!$F$5:$F$11,0)-1)</f>
        <v/>
      </c>
      <c r="O509" s="44"/>
      <c r="P509" s="39"/>
      <c r="Q509" s="44"/>
      <c r="R509" s="38"/>
      <c r="S509" s="38"/>
      <c r="T509" s="36" t="str">
        <f aca="false">IF($F509="","",IF(ISNUMBER(SEARCH("(externo)",$I509&amp;$J509&amp;$K509)),"Terceirizada","Interna"))</f>
        <v/>
      </c>
      <c r="U509" s="43" t="str">
        <f aca="false">IF($N509="","",IF($Q509="",$N509,$Q509))</f>
        <v/>
      </c>
      <c r="V509" s="36" t="str">
        <f aca="false">IF($F509="","",IF(OR($O509="",$N509=""),0,IF($O509&lt;=$N509,1,0)))</f>
        <v/>
      </c>
      <c r="W509" s="36" t="str">
        <f aca="false">IF($F509="","",IF(OR($O509="",$U509=""),0,IF($O509&lt;=$U509,1,0)))</f>
        <v/>
      </c>
      <c r="X509" s="37" t="str">
        <f aca="false">IF(OR($O509="",$N509=""),"",MAX(0,$O509-$N509))</f>
        <v/>
      </c>
      <c r="Y509" s="36" t="str">
        <f aca="false">IF($F509="","",IF(AND($Q509&lt;&gt;"",$N509&lt;&gt;"",$Q509&lt;&gt;$N509),1,0))</f>
        <v/>
      </c>
      <c r="Z509" s="36" t="str">
        <f aca="false">IF($F509="","",IF($P509="Cancelada",0,IF(OR($O509&lt;&gt;"",$P509="Concluída"),1,0)))</f>
        <v/>
      </c>
    </row>
    <row r="510" customFormat="false" ht="16.5" hidden="false" customHeight="true" outlineLevel="0" collapsed="false">
      <c r="A510" s="36" t="str">
        <f aca="false">IF($F510="","",COUNTA($F$5:$F510))</f>
        <v/>
      </c>
      <c r="B510" s="37" t="str">
        <f aca="true">IF($F510="","",IF($P510="Cancelada","Cancelada",IF(OR($O510&lt;&gt;"",$P510="Concluída"),IF(OR($N510="",$O510="",$O510&lt;=$N510),"Concluída","Concluída com atraso"),IF($N510="","Na carteira",IF($N510&lt;TODAY(),"VENCIDA",IF($P510="Em execução","Em execução",IF($N510=TODAY(),"Hoje","Programada")))))))</f>
        <v/>
      </c>
      <c r="C510" s="38"/>
      <c r="D510" s="38"/>
      <c r="E510" s="38"/>
      <c r="F510" s="38"/>
      <c r="G510" s="39"/>
      <c r="H510" s="39"/>
      <c r="I510" s="40"/>
      <c r="J510" s="40"/>
      <c r="K510" s="40"/>
      <c r="L510" s="41"/>
      <c r="M510" s="42"/>
      <c r="N510" s="43" t="str">
        <f aca="false">IF(OR($L510="",$M510=""),"",$L510+MATCH($M510,Listas!$F$5:$F$11,0)-1)</f>
        <v/>
      </c>
      <c r="O510" s="44"/>
      <c r="P510" s="39"/>
      <c r="Q510" s="44"/>
      <c r="R510" s="38"/>
      <c r="S510" s="38"/>
      <c r="T510" s="36" t="str">
        <f aca="false">IF($F510="","",IF(ISNUMBER(SEARCH("(externo)",$I510&amp;$J510&amp;$K510)),"Terceirizada","Interna"))</f>
        <v/>
      </c>
      <c r="U510" s="43" t="str">
        <f aca="false">IF($N510="","",IF($Q510="",$N510,$Q510))</f>
        <v/>
      </c>
      <c r="V510" s="36" t="str">
        <f aca="false">IF($F510="","",IF(OR($O510="",$N510=""),0,IF($O510&lt;=$N510,1,0)))</f>
        <v/>
      </c>
      <c r="W510" s="36" t="str">
        <f aca="false">IF($F510="","",IF(OR($O510="",$U510=""),0,IF($O510&lt;=$U510,1,0)))</f>
        <v/>
      </c>
      <c r="X510" s="37" t="str">
        <f aca="false">IF(OR($O510="",$N510=""),"",MAX(0,$O510-$N510))</f>
        <v/>
      </c>
      <c r="Y510" s="36" t="str">
        <f aca="false">IF($F510="","",IF(AND($Q510&lt;&gt;"",$N510&lt;&gt;"",$Q510&lt;&gt;$N510),1,0))</f>
        <v/>
      </c>
      <c r="Z510" s="36" t="str">
        <f aca="false">IF($F510="","",IF($P510="Cancelada",0,IF(OR($O510&lt;&gt;"",$P510="Concluída"),1,0)))</f>
        <v/>
      </c>
    </row>
    <row r="511" customFormat="false" ht="16.5" hidden="false" customHeight="true" outlineLevel="0" collapsed="false">
      <c r="A511" s="36" t="str">
        <f aca="false">IF($F511="","",COUNTA($F$5:$F511))</f>
        <v/>
      </c>
      <c r="B511" s="37" t="str">
        <f aca="true">IF($F511="","",IF($P511="Cancelada","Cancelada",IF(OR($O511&lt;&gt;"",$P511="Concluída"),IF(OR($N511="",$O511="",$O511&lt;=$N511),"Concluída","Concluída com atraso"),IF($N511="","Na carteira",IF($N511&lt;TODAY(),"VENCIDA",IF($P511="Em execução","Em execução",IF($N511=TODAY(),"Hoje","Programada")))))))</f>
        <v/>
      </c>
      <c r="C511" s="38"/>
      <c r="D511" s="38"/>
      <c r="E511" s="38"/>
      <c r="F511" s="38"/>
      <c r="G511" s="39"/>
      <c r="H511" s="39"/>
      <c r="I511" s="40"/>
      <c r="J511" s="40"/>
      <c r="K511" s="40"/>
      <c r="L511" s="41"/>
      <c r="M511" s="42"/>
      <c r="N511" s="43" t="str">
        <f aca="false">IF(OR($L511="",$M511=""),"",$L511+MATCH($M511,Listas!$F$5:$F$11,0)-1)</f>
        <v/>
      </c>
      <c r="O511" s="44"/>
      <c r="P511" s="39"/>
      <c r="Q511" s="44"/>
      <c r="R511" s="38"/>
      <c r="S511" s="38"/>
      <c r="T511" s="36" t="str">
        <f aca="false">IF($F511="","",IF(ISNUMBER(SEARCH("(externo)",$I511&amp;$J511&amp;$K511)),"Terceirizada","Interna"))</f>
        <v/>
      </c>
      <c r="U511" s="43" t="str">
        <f aca="false">IF($N511="","",IF($Q511="",$N511,$Q511))</f>
        <v/>
      </c>
      <c r="V511" s="36" t="str">
        <f aca="false">IF($F511="","",IF(OR($O511="",$N511=""),0,IF($O511&lt;=$N511,1,0)))</f>
        <v/>
      </c>
      <c r="W511" s="36" t="str">
        <f aca="false">IF($F511="","",IF(OR($O511="",$U511=""),0,IF($O511&lt;=$U511,1,0)))</f>
        <v/>
      </c>
      <c r="X511" s="37" t="str">
        <f aca="false">IF(OR($O511="",$N511=""),"",MAX(0,$O511-$N511))</f>
        <v/>
      </c>
      <c r="Y511" s="36" t="str">
        <f aca="false">IF($F511="","",IF(AND($Q511&lt;&gt;"",$N511&lt;&gt;"",$Q511&lt;&gt;$N511),1,0))</f>
        <v/>
      </c>
      <c r="Z511" s="36" t="str">
        <f aca="false">IF($F511="","",IF($P511="Cancelada",0,IF(OR($O511&lt;&gt;"",$P511="Concluída"),1,0)))</f>
        <v/>
      </c>
    </row>
    <row r="512" customFormat="false" ht="16.5" hidden="false" customHeight="true" outlineLevel="0" collapsed="false">
      <c r="A512" s="36" t="str">
        <f aca="false">IF($F512="","",COUNTA($F$5:$F512))</f>
        <v/>
      </c>
      <c r="B512" s="37" t="str">
        <f aca="true">IF($F512="","",IF($P512="Cancelada","Cancelada",IF(OR($O512&lt;&gt;"",$P512="Concluída"),IF(OR($N512="",$O512="",$O512&lt;=$N512),"Concluída","Concluída com atraso"),IF($N512="","Na carteira",IF($N512&lt;TODAY(),"VENCIDA",IF($P512="Em execução","Em execução",IF($N512=TODAY(),"Hoje","Programada")))))))</f>
        <v/>
      </c>
      <c r="C512" s="38"/>
      <c r="D512" s="38"/>
      <c r="E512" s="38"/>
      <c r="F512" s="38"/>
      <c r="G512" s="39"/>
      <c r="H512" s="39"/>
      <c r="I512" s="40"/>
      <c r="J512" s="40"/>
      <c r="K512" s="40"/>
      <c r="L512" s="41"/>
      <c r="M512" s="42"/>
      <c r="N512" s="43" t="str">
        <f aca="false">IF(OR($L512="",$M512=""),"",$L512+MATCH($M512,Listas!$F$5:$F$11,0)-1)</f>
        <v/>
      </c>
      <c r="O512" s="44"/>
      <c r="P512" s="39"/>
      <c r="Q512" s="44"/>
      <c r="R512" s="38"/>
      <c r="S512" s="38"/>
      <c r="T512" s="36" t="str">
        <f aca="false">IF($F512="","",IF(ISNUMBER(SEARCH("(externo)",$I512&amp;$J512&amp;$K512)),"Terceirizada","Interna"))</f>
        <v/>
      </c>
      <c r="U512" s="43" t="str">
        <f aca="false">IF($N512="","",IF($Q512="",$N512,$Q512))</f>
        <v/>
      </c>
      <c r="V512" s="36" t="str">
        <f aca="false">IF($F512="","",IF(OR($O512="",$N512=""),0,IF($O512&lt;=$N512,1,0)))</f>
        <v/>
      </c>
      <c r="W512" s="36" t="str">
        <f aca="false">IF($F512="","",IF(OR($O512="",$U512=""),0,IF($O512&lt;=$U512,1,0)))</f>
        <v/>
      </c>
      <c r="X512" s="37" t="str">
        <f aca="false">IF(OR($O512="",$N512=""),"",MAX(0,$O512-$N512))</f>
        <v/>
      </c>
      <c r="Y512" s="36" t="str">
        <f aca="false">IF($F512="","",IF(AND($Q512&lt;&gt;"",$N512&lt;&gt;"",$Q512&lt;&gt;$N512),1,0))</f>
        <v/>
      </c>
      <c r="Z512" s="36" t="str">
        <f aca="false">IF($F512="","",IF($P512="Cancelada",0,IF(OR($O512&lt;&gt;"",$P512="Concluída"),1,0)))</f>
        <v/>
      </c>
    </row>
    <row r="513" customFormat="false" ht="16.5" hidden="false" customHeight="true" outlineLevel="0" collapsed="false">
      <c r="A513" s="36" t="str">
        <f aca="false">IF($F513="","",COUNTA($F$5:$F513))</f>
        <v/>
      </c>
      <c r="B513" s="37" t="str">
        <f aca="true">IF($F513="","",IF($P513="Cancelada","Cancelada",IF(OR($O513&lt;&gt;"",$P513="Concluída"),IF(OR($N513="",$O513="",$O513&lt;=$N513),"Concluída","Concluída com atraso"),IF($N513="","Na carteira",IF($N513&lt;TODAY(),"VENCIDA",IF($P513="Em execução","Em execução",IF($N513=TODAY(),"Hoje","Programada")))))))</f>
        <v/>
      </c>
      <c r="C513" s="38"/>
      <c r="D513" s="38"/>
      <c r="E513" s="38"/>
      <c r="F513" s="38"/>
      <c r="G513" s="39"/>
      <c r="H513" s="39"/>
      <c r="I513" s="40"/>
      <c r="J513" s="40"/>
      <c r="K513" s="40"/>
      <c r="L513" s="41"/>
      <c r="M513" s="42"/>
      <c r="N513" s="43" t="str">
        <f aca="false">IF(OR($L513="",$M513=""),"",$L513+MATCH($M513,Listas!$F$5:$F$11,0)-1)</f>
        <v/>
      </c>
      <c r="O513" s="44"/>
      <c r="P513" s="39"/>
      <c r="Q513" s="44"/>
      <c r="R513" s="38"/>
      <c r="S513" s="38"/>
      <c r="T513" s="36" t="str">
        <f aca="false">IF($F513="","",IF(ISNUMBER(SEARCH("(externo)",$I513&amp;$J513&amp;$K513)),"Terceirizada","Interna"))</f>
        <v/>
      </c>
      <c r="U513" s="43" t="str">
        <f aca="false">IF($N513="","",IF($Q513="",$N513,$Q513))</f>
        <v/>
      </c>
      <c r="V513" s="36" t="str">
        <f aca="false">IF($F513="","",IF(OR($O513="",$N513=""),0,IF($O513&lt;=$N513,1,0)))</f>
        <v/>
      </c>
      <c r="W513" s="36" t="str">
        <f aca="false">IF($F513="","",IF(OR($O513="",$U513=""),0,IF($O513&lt;=$U513,1,0)))</f>
        <v/>
      </c>
      <c r="X513" s="37" t="str">
        <f aca="false">IF(OR($O513="",$N513=""),"",MAX(0,$O513-$N513))</f>
        <v/>
      </c>
      <c r="Y513" s="36" t="str">
        <f aca="false">IF($F513="","",IF(AND($Q513&lt;&gt;"",$N513&lt;&gt;"",$Q513&lt;&gt;$N513),1,0))</f>
        <v/>
      </c>
      <c r="Z513" s="36" t="str">
        <f aca="false">IF($F513="","",IF($P513="Cancelada",0,IF(OR($O513&lt;&gt;"",$P513="Concluída"),1,0)))</f>
        <v/>
      </c>
    </row>
    <row r="514" customFormat="false" ht="16.5" hidden="false" customHeight="true" outlineLevel="0" collapsed="false">
      <c r="A514" s="36" t="str">
        <f aca="false">IF($F514="","",COUNTA($F$5:$F514))</f>
        <v/>
      </c>
      <c r="B514" s="37" t="str">
        <f aca="true">IF($F514="","",IF($P514="Cancelada","Cancelada",IF(OR($O514&lt;&gt;"",$P514="Concluída"),IF(OR($N514="",$O514="",$O514&lt;=$N514),"Concluída","Concluída com atraso"),IF($N514="","Na carteira",IF($N514&lt;TODAY(),"VENCIDA",IF($P514="Em execução","Em execução",IF($N514=TODAY(),"Hoje","Programada")))))))</f>
        <v/>
      </c>
      <c r="C514" s="38"/>
      <c r="D514" s="38"/>
      <c r="E514" s="38"/>
      <c r="F514" s="38"/>
      <c r="G514" s="39"/>
      <c r="H514" s="39"/>
      <c r="I514" s="40"/>
      <c r="J514" s="40"/>
      <c r="K514" s="40"/>
      <c r="L514" s="41"/>
      <c r="M514" s="42"/>
      <c r="N514" s="43" t="str">
        <f aca="false">IF(OR($L514="",$M514=""),"",$L514+MATCH($M514,Listas!$F$5:$F$11,0)-1)</f>
        <v/>
      </c>
      <c r="O514" s="44"/>
      <c r="P514" s="39"/>
      <c r="Q514" s="44"/>
      <c r="R514" s="38"/>
      <c r="S514" s="38"/>
      <c r="T514" s="36" t="str">
        <f aca="false">IF($F514="","",IF(ISNUMBER(SEARCH("(externo)",$I514&amp;$J514&amp;$K514)),"Terceirizada","Interna"))</f>
        <v/>
      </c>
      <c r="U514" s="43" t="str">
        <f aca="false">IF($N514="","",IF($Q514="",$N514,$Q514))</f>
        <v/>
      </c>
      <c r="V514" s="36" t="str">
        <f aca="false">IF($F514="","",IF(OR($O514="",$N514=""),0,IF($O514&lt;=$N514,1,0)))</f>
        <v/>
      </c>
      <c r="W514" s="36" t="str">
        <f aca="false">IF($F514="","",IF(OR($O514="",$U514=""),0,IF($O514&lt;=$U514,1,0)))</f>
        <v/>
      </c>
      <c r="X514" s="37" t="str">
        <f aca="false">IF(OR($O514="",$N514=""),"",MAX(0,$O514-$N514))</f>
        <v/>
      </c>
      <c r="Y514" s="36" t="str">
        <f aca="false">IF($F514="","",IF(AND($Q514&lt;&gt;"",$N514&lt;&gt;"",$Q514&lt;&gt;$N514),1,0))</f>
        <v/>
      </c>
      <c r="Z514" s="36" t="str">
        <f aca="false">IF($F514="","",IF($P514="Cancelada",0,IF(OR($O514&lt;&gt;"",$P514="Concluída"),1,0)))</f>
        <v/>
      </c>
    </row>
    <row r="515" customFormat="false" ht="16.5" hidden="false" customHeight="true" outlineLevel="0" collapsed="false">
      <c r="A515" s="36" t="str">
        <f aca="false">IF($F515="","",COUNTA($F$5:$F515))</f>
        <v/>
      </c>
      <c r="B515" s="37" t="str">
        <f aca="true">IF($F515="","",IF($P515="Cancelada","Cancelada",IF(OR($O515&lt;&gt;"",$P515="Concluída"),IF(OR($N515="",$O515="",$O515&lt;=$N515),"Concluída","Concluída com atraso"),IF($N515="","Na carteira",IF($N515&lt;TODAY(),"VENCIDA",IF($P515="Em execução","Em execução",IF($N515=TODAY(),"Hoje","Programada")))))))</f>
        <v/>
      </c>
      <c r="C515" s="38"/>
      <c r="D515" s="38"/>
      <c r="E515" s="38"/>
      <c r="F515" s="38"/>
      <c r="G515" s="39"/>
      <c r="H515" s="39"/>
      <c r="I515" s="40"/>
      <c r="J515" s="40"/>
      <c r="K515" s="40"/>
      <c r="L515" s="41"/>
      <c r="M515" s="42"/>
      <c r="N515" s="43" t="str">
        <f aca="false">IF(OR($L515="",$M515=""),"",$L515+MATCH($M515,Listas!$F$5:$F$11,0)-1)</f>
        <v/>
      </c>
      <c r="O515" s="44"/>
      <c r="P515" s="39"/>
      <c r="Q515" s="44"/>
      <c r="R515" s="38"/>
      <c r="S515" s="38"/>
      <c r="T515" s="36" t="str">
        <f aca="false">IF($F515="","",IF(ISNUMBER(SEARCH("(externo)",$I515&amp;$J515&amp;$K515)),"Terceirizada","Interna"))</f>
        <v/>
      </c>
      <c r="U515" s="43" t="str">
        <f aca="false">IF($N515="","",IF($Q515="",$N515,$Q515))</f>
        <v/>
      </c>
      <c r="V515" s="36" t="str">
        <f aca="false">IF($F515="","",IF(OR($O515="",$N515=""),0,IF($O515&lt;=$N515,1,0)))</f>
        <v/>
      </c>
      <c r="W515" s="36" t="str">
        <f aca="false">IF($F515="","",IF(OR($O515="",$U515=""),0,IF($O515&lt;=$U515,1,0)))</f>
        <v/>
      </c>
      <c r="X515" s="37" t="str">
        <f aca="false">IF(OR($O515="",$N515=""),"",MAX(0,$O515-$N515))</f>
        <v/>
      </c>
      <c r="Y515" s="36" t="str">
        <f aca="false">IF($F515="","",IF(AND($Q515&lt;&gt;"",$N515&lt;&gt;"",$Q515&lt;&gt;$N515),1,0))</f>
        <v/>
      </c>
      <c r="Z515" s="36" t="str">
        <f aca="false">IF($F515="","",IF($P515="Cancelada",0,IF(OR($O515&lt;&gt;"",$P515="Concluída"),1,0)))</f>
        <v/>
      </c>
    </row>
    <row r="516" customFormat="false" ht="16.5" hidden="false" customHeight="true" outlineLevel="0" collapsed="false">
      <c r="A516" s="36" t="str">
        <f aca="false">IF($F516="","",COUNTA($F$5:$F516))</f>
        <v/>
      </c>
      <c r="B516" s="37" t="str">
        <f aca="true">IF($F516="","",IF($P516="Cancelada","Cancelada",IF(OR($O516&lt;&gt;"",$P516="Concluída"),IF(OR($N516="",$O516="",$O516&lt;=$N516),"Concluída","Concluída com atraso"),IF($N516="","Na carteira",IF($N516&lt;TODAY(),"VENCIDA",IF($P516="Em execução","Em execução",IF($N516=TODAY(),"Hoje","Programada")))))))</f>
        <v/>
      </c>
      <c r="C516" s="38"/>
      <c r="D516" s="38"/>
      <c r="E516" s="38"/>
      <c r="F516" s="38"/>
      <c r="G516" s="39"/>
      <c r="H516" s="39"/>
      <c r="I516" s="40"/>
      <c r="J516" s="40"/>
      <c r="K516" s="40"/>
      <c r="L516" s="41"/>
      <c r="M516" s="42"/>
      <c r="N516" s="43" t="str">
        <f aca="false">IF(OR($L516="",$M516=""),"",$L516+MATCH($M516,Listas!$F$5:$F$11,0)-1)</f>
        <v/>
      </c>
      <c r="O516" s="44"/>
      <c r="P516" s="39"/>
      <c r="Q516" s="44"/>
      <c r="R516" s="38"/>
      <c r="S516" s="38"/>
      <c r="T516" s="36" t="str">
        <f aca="false">IF($F516="","",IF(ISNUMBER(SEARCH("(externo)",$I516&amp;$J516&amp;$K516)),"Terceirizada","Interna"))</f>
        <v/>
      </c>
      <c r="U516" s="43" t="str">
        <f aca="false">IF($N516="","",IF($Q516="",$N516,$Q516))</f>
        <v/>
      </c>
      <c r="V516" s="36" t="str">
        <f aca="false">IF($F516="","",IF(OR($O516="",$N516=""),0,IF($O516&lt;=$N516,1,0)))</f>
        <v/>
      </c>
      <c r="W516" s="36" t="str">
        <f aca="false">IF($F516="","",IF(OR($O516="",$U516=""),0,IF($O516&lt;=$U516,1,0)))</f>
        <v/>
      </c>
      <c r="X516" s="37" t="str">
        <f aca="false">IF(OR($O516="",$N516=""),"",MAX(0,$O516-$N516))</f>
        <v/>
      </c>
      <c r="Y516" s="36" t="str">
        <f aca="false">IF($F516="","",IF(AND($Q516&lt;&gt;"",$N516&lt;&gt;"",$Q516&lt;&gt;$N516),1,0))</f>
        <v/>
      </c>
      <c r="Z516" s="36" t="str">
        <f aca="false">IF($F516="","",IF($P516="Cancelada",0,IF(OR($O516&lt;&gt;"",$P516="Concluída"),1,0)))</f>
        <v/>
      </c>
    </row>
    <row r="517" customFormat="false" ht="16.5" hidden="false" customHeight="true" outlineLevel="0" collapsed="false">
      <c r="A517" s="36" t="str">
        <f aca="false">IF($F517="","",COUNTA($F$5:$F517))</f>
        <v/>
      </c>
      <c r="B517" s="37" t="str">
        <f aca="true">IF($F517="","",IF($P517="Cancelada","Cancelada",IF(OR($O517&lt;&gt;"",$P517="Concluída"),IF(OR($N517="",$O517="",$O517&lt;=$N517),"Concluída","Concluída com atraso"),IF($N517="","Na carteira",IF($N517&lt;TODAY(),"VENCIDA",IF($P517="Em execução","Em execução",IF($N517=TODAY(),"Hoje","Programada")))))))</f>
        <v/>
      </c>
      <c r="C517" s="38"/>
      <c r="D517" s="38"/>
      <c r="E517" s="38"/>
      <c r="F517" s="38"/>
      <c r="G517" s="39"/>
      <c r="H517" s="39"/>
      <c r="I517" s="40"/>
      <c r="J517" s="40"/>
      <c r="K517" s="40"/>
      <c r="L517" s="41"/>
      <c r="M517" s="42"/>
      <c r="N517" s="43" t="str">
        <f aca="false">IF(OR($L517="",$M517=""),"",$L517+MATCH($M517,Listas!$F$5:$F$11,0)-1)</f>
        <v/>
      </c>
      <c r="O517" s="44"/>
      <c r="P517" s="39"/>
      <c r="Q517" s="44"/>
      <c r="R517" s="38"/>
      <c r="S517" s="38"/>
      <c r="T517" s="36" t="str">
        <f aca="false">IF($F517="","",IF(ISNUMBER(SEARCH("(externo)",$I517&amp;$J517&amp;$K517)),"Terceirizada","Interna"))</f>
        <v/>
      </c>
      <c r="U517" s="43" t="str">
        <f aca="false">IF($N517="","",IF($Q517="",$N517,$Q517))</f>
        <v/>
      </c>
      <c r="V517" s="36" t="str">
        <f aca="false">IF($F517="","",IF(OR($O517="",$N517=""),0,IF($O517&lt;=$N517,1,0)))</f>
        <v/>
      </c>
      <c r="W517" s="36" t="str">
        <f aca="false">IF($F517="","",IF(OR($O517="",$U517=""),0,IF($O517&lt;=$U517,1,0)))</f>
        <v/>
      </c>
      <c r="X517" s="37" t="str">
        <f aca="false">IF(OR($O517="",$N517=""),"",MAX(0,$O517-$N517))</f>
        <v/>
      </c>
      <c r="Y517" s="36" t="str">
        <f aca="false">IF($F517="","",IF(AND($Q517&lt;&gt;"",$N517&lt;&gt;"",$Q517&lt;&gt;$N517),1,0))</f>
        <v/>
      </c>
      <c r="Z517" s="36" t="str">
        <f aca="false">IF($F517="","",IF($P517="Cancelada",0,IF(OR($O517&lt;&gt;"",$P517="Concluída"),1,0)))</f>
        <v/>
      </c>
    </row>
    <row r="518" customFormat="false" ht="16.5" hidden="false" customHeight="true" outlineLevel="0" collapsed="false">
      <c r="A518" s="36" t="str">
        <f aca="false">IF($F518="","",COUNTA($F$5:$F518))</f>
        <v/>
      </c>
      <c r="B518" s="37" t="str">
        <f aca="true">IF($F518="","",IF($P518="Cancelada","Cancelada",IF(OR($O518&lt;&gt;"",$P518="Concluída"),IF(OR($N518="",$O518="",$O518&lt;=$N518),"Concluída","Concluída com atraso"),IF($N518="","Na carteira",IF($N518&lt;TODAY(),"VENCIDA",IF($P518="Em execução","Em execução",IF($N518=TODAY(),"Hoje","Programada")))))))</f>
        <v/>
      </c>
      <c r="C518" s="38"/>
      <c r="D518" s="38"/>
      <c r="E518" s="38"/>
      <c r="F518" s="38"/>
      <c r="G518" s="39"/>
      <c r="H518" s="39"/>
      <c r="I518" s="40"/>
      <c r="J518" s="40"/>
      <c r="K518" s="40"/>
      <c r="L518" s="41"/>
      <c r="M518" s="42"/>
      <c r="N518" s="43" t="str">
        <f aca="false">IF(OR($L518="",$M518=""),"",$L518+MATCH($M518,Listas!$F$5:$F$11,0)-1)</f>
        <v/>
      </c>
      <c r="O518" s="44"/>
      <c r="P518" s="39"/>
      <c r="Q518" s="44"/>
      <c r="R518" s="38"/>
      <c r="S518" s="38"/>
      <c r="T518" s="36" t="str">
        <f aca="false">IF($F518="","",IF(ISNUMBER(SEARCH("(externo)",$I518&amp;$J518&amp;$K518)),"Terceirizada","Interna"))</f>
        <v/>
      </c>
      <c r="U518" s="43" t="str">
        <f aca="false">IF($N518="","",IF($Q518="",$N518,$Q518))</f>
        <v/>
      </c>
      <c r="V518" s="36" t="str">
        <f aca="false">IF($F518="","",IF(OR($O518="",$N518=""),0,IF($O518&lt;=$N518,1,0)))</f>
        <v/>
      </c>
      <c r="W518" s="36" t="str">
        <f aca="false">IF($F518="","",IF(OR($O518="",$U518=""),0,IF($O518&lt;=$U518,1,0)))</f>
        <v/>
      </c>
      <c r="X518" s="37" t="str">
        <f aca="false">IF(OR($O518="",$N518=""),"",MAX(0,$O518-$N518))</f>
        <v/>
      </c>
      <c r="Y518" s="36" t="str">
        <f aca="false">IF($F518="","",IF(AND($Q518&lt;&gt;"",$N518&lt;&gt;"",$Q518&lt;&gt;$N518),1,0))</f>
        <v/>
      </c>
      <c r="Z518" s="36" t="str">
        <f aca="false">IF($F518="","",IF($P518="Cancelada",0,IF(OR($O518&lt;&gt;"",$P518="Concluída"),1,0)))</f>
        <v/>
      </c>
    </row>
    <row r="519" customFormat="false" ht="16.5" hidden="false" customHeight="true" outlineLevel="0" collapsed="false">
      <c r="A519" s="36" t="str">
        <f aca="false">IF($F519="","",COUNTA($F$5:$F519))</f>
        <v/>
      </c>
      <c r="B519" s="37" t="str">
        <f aca="true">IF($F519="","",IF($P519="Cancelada","Cancelada",IF(OR($O519&lt;&gt;"",$P519="Concluída"),IF(OR($N519="",$O519="",$O519&lt;=$N519),"Concluída","Concluída com atraso"),IF($N519="","Na carteira",IF($N519&lt;TODAY(),"VENCIDA",IF($P519="Em execução","Em execução",IF($N519=TODAY(),"Hoje","Programada")))))))</f>
        <v/>
      </c>
      <c r="C519" s="38"/>
      <c r="D519" s="38"/>
      <c r="E519" s="38"/>
      <c r="F519" s="38"/>
      <c r="G519" s="39"/>
      <c r="H519" s="39"/>
      <c r="I519" s="40"/>
      <c r="J519" s="40"/>
      <c r="K519" s="40"/>
      <c r="L519" s="41"/>
      <c r="M519" s="42"/>
      <c r="N519" s="43" t="str">
        <f aca="false">IF(OR($L519="",$M519=""),"",$L519+MATCH($M519,Listas!$F$5:$F$11,0)-1)</f>
        <v/>
      </c>
      <c r="O519" s="44"/>
      <c r="P519" s="39"/>
      <c r="Q519" s="44"/>
      <c r="R519" s="38"/>
      <c r="S519" s="38"/>
      <c r="T519" s="36" t="str">
        <f aca="false">IF($F519="","",IF(ISNUMBER(SEARCH("(externo)",$I519&amp;$J519&amp;$K519)),"Terceirizada","Interna"))</f>
        <v/>
      </c>
      <c r="U519" s="43" t="str">
        <f aca="false">IF($N519="","",IF($Q519="",$N519,$Q519))</f>
        <v/>
      </c>
      <c r="V519" s="36" t="str">
        <f aca="false">IF($F519="","",IF(OR($O519="",$N519=""),0,IF($O519&lt;=$N519,1,0)))</f>
        <v/>
      </c>
      <c r="W519" s="36" t="str">
        <f aca="false">IF($F519="","",IF(OR($O519="",$U519=""),0,IF($O519&lt;=$U519,1,0)))</f>
        <v/>
      </c>
      <c r="X519" s="37" t="str">
        <f aca="false">IF(OR($O519="",$N519=""),"",MAX(0,$O519-$N519))</f>
        <v/>
      </c>
      <c r="Y519" s="36" t="str">
        <f aca="false">IF($F519="","",IF(AND($Q519&lt;&gt;"",$N519&lt;&gt;"",$Q519&lt;&gt;$N519),1,0))</f>
        <v/>
      </c>
      <c r="Z519" s="36" t="str">
        <f aca="false">IF($F519="","",IF($P519="Cancelada",0,IF(OR($O519&lt;&gt;"",$P519="Concluída"),1,0)))</f>
        <v/>
      </c>
    </row>
    <row r="520" customFormat="false" ht="16.5" hidden="false" customHeight="true" outlineLevel="0" collapsed="false">
      <c r="A520" s="36" t="str">
        <f aca="false">IF($F520="","",COUNTA($F$5:$F520))</f>
        <v/>
      </c>
      <c r="B520" s="37" t="str">
        <f aca="true">IF($F520="","",IF($P520="Cancelada","Cancelada",IF(OR($O520&lt;&gt;"",$P520="Concluída"),IF(OR($N520="",$O520="",$O520&lt;=$N520),"Concluída","Concluída com atraso"),IF($N520="","Na carteira",IF($N520&lt;TODAY(),"VENCIDA",IF($P520="Em execução","Em execução",IF($N520=TODAY(),"Hoje","Programada")))))))</f>
        <v/>
      </c>
      <c r="C520" s="38"/>
      <c r="D520" s="38"/>
      <c r="E520" s="38"/>
      <c r="F520" s="38"/>
      <c r="G520" s="39"/>
      <c r="H520" s="39"/>
      <c r="I520" s="40"/>
      <c r="J520" s="40"/>
      <c r="K520" s="40"/>
      <c r="L520" s="41"/>
      <c r="M520" s="42"/>
      <c r="N520" s="43" t="str">
        <f aca="false">IF(OR($L520="",$M520=""),"",$L520+MATCH($M520,Listas!$F$5:$F$11,0)-1)</f>
        <v/>
      </c>
      <c r="O520" s="44"/>
      <c r="P520" s="39"/>
      <c r="Q520" s="44"/>
      <c r="R520" s="38"/>
      <c r="S520" s="38"/>
      <c r="T520" s="36" t="str">
        <f aca="false">IF($F520="","",IF(ISNUMBER(SEARCH("(externo)",$I520&amp;$J520&amp;$K520)),"Terceirizada","Interna"))</f>
        <v/>
      </c>
      <c r="U520" s="43" t="str">
        <f aca="false">IF($N520="","",IF($Q520="",$N520,$Q520))</f>
        <v/>
      </c>
      <c r="V520" s="36" t="str">
        <f aca="false">IF($F520="","",IF(OR($O520="",$N520=""),0,IF($O520&lt;=$N520,1,0)))</f>
        <v/>
      </c>
      <c r="W520" s="36" t="str">
        <f aca="false">IF($F520="","",IF(OR($O520="",$U520=""),0,IF($O520&lt;=$U520,1,0)))</f>
        <v/>
      </c>
      <c r="X520" s="37" t="str">
        <f aca="false">IF(OR($O520="",$N520=""),"",MAX(0,$O520-$N520))</f>
        <v/>
      </c>
      <c r="Y520" s="36" t="str">
        <f aca="false">IF($F520="","",IF(AND($Q520&lt;&gt;"",$N520&lt;&gt;"",$Q520&lt;&gt;$N520),1,0))</f>
        <v/>
      </c>
      <c r="Z520" s="36" t="str">
        <f aca="false">IF($F520="","",IF($P520="Cancelada",0,IF(OR($O520&lt;&gt;"",$P520="Concluída"),1,0)))</f>
        <v/>
      </c>
    </row>
    <row r="521" customFormat="false" ht="16.5" hidden="false" customHeight="true" outlineLevel="0" collapsed="false">
      <c r="A521" s="36" t="str">
        <f aca="false">IF($F521="","",COUNTA($F$5:$F521))</f>
        <v/>
      </c>
      <c r="B521" s="37" t="str">
        <f aca="true">IF($F521="","",IF($P521="Cancelada","Cancelada",IF(OR($O521&lt;&gt;"",$P521="Concluída"),IF(OR($N521="",$O521="",$O521&lt;=$N521),"Concluída","Concluída com atraso"),IF($N521="","Na carteira",IF($N521&lt;TODAY(),"VENCIDA",IF($P521="Em execução","Em execução",IF($N521=TODAY(),"Hoje","Programada")))))))</f>
        <v/>
      </c>
      <c r="C521" s="38"/>
      <c r="D521" s="38"/>
      <c r="E521" s="38"/>
      <c r="F521" s="38"/>
      <c r="G521" s="39"/>
      <c r="H521" s="39"/>
      <c r="I521" s="40"/>
      <c r="J521" s="40"/>
      <c r="K521" s="40"/>
      <c r="L521" s="41"/>
      <c r="M521" s="42"/>
      <c r="N521" s="43" t="str">
        <f aca="false">IF(OR($L521="",$M521=""),"",$L521+MATCH($M521,Listas!$F$5:$F$11,0)-1)</f>
        <v/>
      </c>
      <c r="O521" s="44"/>
      <c r="P521" s="39"/>
      <c r="Q521" s="44"/>
      <c r="R521" s="38"/>
      <c r="S521" s="38"/>
      <c r="T521" s="36" t="str">
        <f aca="false">IF($F521="","",IF(ISNUMBER(SEARCH("(externo)",$I521&amp;$J521&amp;$K521)),"Terceirizada","Interna"))</f>
        <v/>
      </c>
      <c r="U521" s="43" t="str">
        <f aca="false">IF($N521="","",IF($Q521="",$N521,$Q521))</f>
        <v/>
      </c>
      <c r="V521" s="36" t="str">
        <f aca="false">IF($F521="","",IF(OR($O521="",$N521=""),0,IF($O521&lt;=$N521,1,0)))</f>
        <v/>
      </c>
      <c r="W521" s="36" t="str">
        <f aca="false">IF($F521="","",IF(OR($O521="",$U521=""),0,IF($O521&lt;=$U521,1,0)))</f>
        <v/>
      </c>
      <c r="X521" s="37" t="str">
        <f aca="false">IF(OR($O521="",$N521=""),"",MAX(0,$O521-$N521))</f>
        <v/>
      </c>
      <c r="Y521" s="36" t="str">
        <f aca="false">IF($F521="","",IF(AND($Q521&lt;&gt;"",$N521&lt;&gt;"",$Q521&lt;&gt;$N521),1,0))</f>
        <v/>
      </c>
      <c r="Z521" s="36" t="str">
        <f aca="false">IF($F521="","",IF($P521="Cancelada",0,IF(OR($O521&lt;&gt;"",$P521="Concluída"),1,0)))</f>
        <v/>
      </c>
    </row>
    <row r="522" customFormat="false" ht="16.5" hidden="false" customHeight="true" outlineLevel="0" collapsed="false">
      <c r="A522" s="36" t="str">
        <f aca="false">IF($F522="","",COUNTA($F$5:$F522))</f>
        <v/>
      </c>
      <c r="B522" s="37" t="str">
        <f aca="true">IF($F522="","",IF($P522="Cancelada","Cancelada",IF(OR($O522&lt;&gt;"",$P522="Concluída"),IF(OR($N522="",$O522="",$O522&lt;=$N522),"Concluída","Concluída com atraso"),IF($N522="","Na carteira",IF($N522&lt;TODAY(),"VENCIDA",IF($P522="Em execução","Em execução",IF($N522=TODAY(),"Hoje","Programada")))))))</f>
        <v/>
      </c>
      <c r="C522" s="38"/>
      <c r="D522" s="38"/>
      <c r="E522" s="38"/>
      <c r="F522" s="38"/>
      <c r="G522" s="39"/>
      <c r="H522" s="39"/>
      <c r="I522" s="40"/>
      <c r="J522" s="40"/>
      <c r="K522" s="40"/>
      <c r="L522" s="41"/>
      <c r="M522" s="42"/>
      <c r="N522" s="43" t="str">
        <f aca="false">IF(OR($L522="",$M522=""),"",$L522+MATCH($M522,Listas!$F$5:$F$11,0)-1)</f>
        <v/>
      </c>
      <c r="O522" s="44"/>
      <c r="P522" s="39"/>
      <c r="Q522" s="44"/>
      <c r="R522" s="38"/>
      <c r="S522" s="38"/>
      <c r="T522" s="36" t="str">
        <f aca="false">IF($F522="","",IF(ISNUMBER(SEARCH("(externo)",$I522&amp;$J522&amp;$K522)),"Terceirizada","Interna"))</f>
        <v/>
      </c>
      <c r="U522" s="43" t="str">
        <f aca="false">IF($N522="","",IF($Q522="",$N522,$Q522))</f>
        <v/>
      </c>
      <c r="V522" s="36" t="str">
        <f aca="false">IF($F522="","",IF(OR($O522="",$N522=""),0,IF($O522&lt;=$N522,1,0)))</f>
        <v/>
      </c>
      <c r="W522" s="36" t="str">
        <f aca="false">IF($F522="","",IF(OR($O522="",$U522=""),0,IF($O522&lt;=$U522,1,0)))</f>
        <v/>
      </c>
      <c r="X522" s="37" t="str">
        <f aca="false">IF(OR($O522="",$N522=""),"",MAX(0,$O522-$N522))</f>
        <v/>
      </c>
      <c r="Y522" s="36" t="str">
        <f aca="false">IF($F522="","",IF(AND($Q522&lt;&gt;"",$N522&lt;&gt;"",$Q522&lt;&gt;$N522),1,0))</f>
        <v/>
      </c>
      <c r="Z522" s="36" t="str">
        <f aca="false">IF($F522="","",IF($P522="Cancelada",0,IF(OR($O522&lt;&gt;"",$P522="Concluída"),1,0)))</f>
        <v/>
      </c>
    </row>
    <row r="523" customFormat="false" ht="16.5" hidden="false" customHeight="true" outlineLevel="0" collapsed="false">
      <c r="A523" s="36" t="str">
        <f aca="false">IF($F523="","",COUNTA($F$5:$F523))</f>
        <v/>
      </c>
      <c r="B523" s="37" t="str">
        <f aca="true">IF($F523="","",IF($P523="Cancelada","Cancelada",IF(OR($O523&lt;&gt;"",$P523="Concluída"),IF(OR($N523="",$O523="",$O523&lt;=$N523),"Concluída","Concluída com atraso"),IF($N523="","Na carteira",IF($N523&lt;TODAY(),"VENCIDA",IF($P523="Em execução","Em execução",IF($N523=TODAY(),"Hoje","Programada")))))))</f>
        <v/>
      </c>
      <c r="C523" s="38"/>
      <c r="D523" s="38"/>
      <c r="E523" s="38"/>
      <c r="F523" s="38"/>
      <c r="G523" s="39"/>
      <c r="H523" s="39"/>
      <c r="I523" s="40"/>
      <c r="J523" s="40"/>
      <c r="K523" s="40"/>
      <c r="L523" s="41"/>
      <c r="M523" s="42"/>
      <c r="N523" s="43" t="str">
        <f aca="false">IF(OR($L523="",$M523=""),"",$L523+MATCH($M523,Listas!$F$5:$F$11,0)-1)</f>
        <v/>
      </c>
      <c r="O523" s="44"/>
      <c r="P523" s="39"/>
      <c r="Q523" s="44"/>
      <c r="R523" s="38"/>
      <c r="S523" s="38"/>
      <c r="T523" s="36" t="str">
        <f aca="false">IF($F523="","",IF(ISNUMBER(SEARCH("(externo)",$I523&amp;$J523&amp;$K523)),"Terceirizada","Interna"))</f>
        <v/>
      </c>
      <c r="U523" s="43" t="str">
        <f aca="false">IF($N523="","",IF($Q523="",$N523,$Q523))</f>
        <v/>
      </c>
      <c r="V523" s="36" t="str">
        <f aca="false">IF($F523="","",IF(OR($O523="",$N523=""),0,IF($O523&lt;=$N523,1,0)))</f>
        <v/>
      </c>
      <c r="W523" s="36" t="str">
        <f aca="false">IF($F523="","",IF(OR($O523="",$U523=""),0,IF($O523&lt;=$U523,1,0)))</f>
        <v/>
      </c>
      <c r="X523" s="37" t="str">
        <f aca="false">IF(OR($O523="",$N523=""),"",MAX(0,$O523-$N523))</f>
        <v/>
      </c>
      <c r="Y523" s="36" t="str">
        <f aca="false">IF($F523="","",IF(AND($Q523&lt;&gt;"",$N523&lt;&gt;"",$Q523&lt;&gt;$N523),1,0))</f>
        <v/>
      </c>
      <c r="Z523" s="36" t="str">
        <f aca="false">IF($F523="","",IF($P523="Cancelada",0,IF(OR($O523&lt;&gt;"",$P523="Concluída"),1,0)))</f>
        <v/>
      </c>
    </row>
    <row r="524" customFormat="false" ht="16.5" hidden="false" customHeight="true" outlineLevel="0" collapsed="false">
      <c r="A524" s="36" t="str">
        <f aca="false">IF($F524="","",COUNTA($F$5:$F524))</f>
        <v/>
      </c>
      <c r="B524" s="37" t="str">
        <f aca="true">IF($F524="","",IF($P524="Cancelada","Cancelada",IF(OR($O524&lt;&gt;"",$P524="Concluída"),IF(OR($N524="",$O524="",$O524&lt;=$N524),"Concluída","Concluída com atraso"),IF($N524="","Na carteira",IF($N524&lt;TODAY(),"VENCIDA",IF($P524="Em execução","Em execução",IF($N524=TODAY(),"Hoje","Programada")))))))</f>
        <v/>
      </c>
      <c r="C524" s="38"/>
      <c r="D524" s="38"/>
      <c r="E524" s="38"/>
      <c r="F524" s="38"/>
      <c r="G524" s="39"/>
      <c r="H524" s="39"/>
      <c r="I524" s="40"/>
      <c r="J524" s="40"/>
      <c r="K524" s="40"/>
      <c r="L524" s="41"/>
      <c r="M524" s="42"/>
      <c r="N524" s="43" t="str">
        <f aca="false">IF(OR($L524="",$M524=""),"",$L524+MATCH($M524,Listas!$F$5:$F$11,0)-1)</f>
        <v/>
      </c>
      <c r="O524" s="44"/>
      <c r="P524" s="39"/>
      <c r="Q524" s="44"/>
      <c r="R524" s="38"/>
      <c r="S524" s="38"/>
      <c r="T524" s="36" t="str">
        <f aca="false">IF($F524="","",IF(ISNUMBER(SEARCH("(externo)",$I524&amp;$J524&amp;$K524)),"Terceirizada","Interna"))</f>
        <v/>
      </c>
      <c r="U524" s="43" t="str">
        <f aca="false">IF($N524="","",IF($Q524="",$N524,$Q524))</f>
        <v/>
      </c>
      <c r="V524" s="36" t="str">
        <f aca="false">IF($F524="","",IF(OR($O524="",$N524=""),0,IF($O524&lt;=$N524,1,0)))</f>
        <v/>
      </c>
      <c r="W524" s="36" t="str">
        <f aca="false">IF($F524="","",IF(OR($O524="",$U524=""),0,IF($O524&lt;=$U524,1,0)))</f>
        <v/>
      </c>
      <c r="X524" s="37" t="str">
        <f aca="false">IF(OR($O524="",$N524=""),"",MAX(0,$O524-$N524))</f>
        <v/>
      </c>
      <c r="Y524" s="36" t="str">
        <f aca="false">IF($F524="","",IF(AND($Q524&lt;&gt;"",$N524&lt;&gt;"",$Q524&lt;&gt;$N524),1,0))</f>
        <v/>
      </c>
      <c r="Z524" s="36" t="str">
        <f aca="false">IF($F524="","",IF($P524="Cancelada",0,IF(OR($O524&lt;&gt;"",$P524="Concluída"),1,0)))</f>
        <v/>
      </c>
    </row>
    <row r="525" customFormat="false" ht="16.5" hidden="false" customHeight="true" outlineLevel="0" collapsed="false">
      <c r="A525" s="36" t="str">
        <f aca="false">IF($F525="","",COUNTA($F$5:$F525))</f>
        <v/>
      </c>
      <c r="B525" s="37" t="str">
        <f aca="true">IF($F525="","",IF($P525="Cancelada","Cancelada",IF(OR($O525&lt;&gt;"",$P525="Concluída"),IF(OR($N525="",$O525="",$O525&lt;=$N525),"Concluída","Concluída com atraso"),IF($N525="","Na carteira",IF($N525&lt;TODAY(),"VENCIDA",IF($P525="Em execução","Em execução",IF($N525=TODAY(),"Hoje","Programada")))))))</f>
        <v/>
      </c>
      <c r="C525" s="38"/>
      <c r="D525" s="38"/>
      <c r="E525" s="38"/>
      <c r="F525" s="38"/>
      <c r="G525" s="39"/>
      <c r="H525" s="39"/>
      <c r="I525" s="40"/>
      <c r="J525" s="40"/>
      <c r="K525" s="40"/>
      <c r="L525" s="41"/>
      <c r="M525" s="42"/>
      <c r="N525" s="43" t="str">
        <f aca="false">IF(OR($L525="",$M525=""),"",$L525+MATCH($M525,Listas!$F$5:$F$11,0)-1)</f>
        <v/>
      </c>
      <c r="O525" s="44"/>
      <c r="P525" s="39"/>
      <c r="Q525" s="44"/>
      <c r="R525" s="38"/>
      <c r="S525" s="38"/>
      <c r="T525" s="36" t="str">
        <f aca="false">IF($F525="","",IF(ISNUMBER(SEARCH("(externo)",$I525&amp;$J525&amp;$K525)),"Terceirizada","Interna"))</f>
        <v/>
      </c>
      <c r="U525" s="43" t="str">
        <f aca="false">IF($N525="","",IF($Q525="",$N525,$Q525))</f>
        <v/>
      </c>
      <c r="V525" s="36" t="str">
        <f aca="false">IF($F525="","",IF(OR($O525="",$N525=""),0,IF($O525&lt;=$N525,1,0)))</f>
        <v/>
      </c>
      <c r="W525" s="36" t="str">
        <f aca="false">IF($F525="","",IF(OR($O525="",$U525=""),0,IF($O525&lt;=$U525,1,0)))</f>
        <v/>
      </c>
      <c r="X525" s="37" t="str">
        <f aca="false">IF(OR($O525="",$N525=""),"",MAX(0,$O525-$N525))</f>
        <v/>
      </c>
      <c r="Y525" s="36" t="str">
        <f aca="false">IF($F525="","",IF(AND($Q525&lt;&gt;"",$N525&lt;&gt;"",$Q525&lt;&gt;$N525),1,0))</f>
        <v/>
      </c>
      <c r="Z525" s="36" t="str">
        <f aca="false">IF($F525="","",IF($P525="Cancelada",0,IF(OR($O525&lt;&gt;"",$P525="Concluída"),1,0)))</f>
        <v/>
      </c>
    </row>
    <row r="526" customFormat="false" ht="16.5" hidden="false" customHeight="true" outlineLevel="0" collapsed="false">
      <c r="A526" s="36" t="str">
        <f aca="false">IF($F526="","",COUNTA($F$5:$F526))</f>
        <v/>
      </c>
      <c r="B526" s="37" t="str">
        <f aca="true">IF($F526="","",IF($P526="Cancelada","Cancelada",IF(OR($O526&lt;&gt;"",$P526="Concluída"),IF(OR($N526="",$O526="",$O526&lt;=$N526),"Concluída","Concluída com atraso"),IF($N526="","Na carteira",IF($N526&lt;TODAY(),"VENCIDA",IF($P526="Em execução","Em execução",IF($N526=TODAY(),"Hoje","Programada")))))))</f>
        <v/>
      </c>
      <c r="C526" s="38"/>
      <c r="D526" s="38"/>
      <c r="E526" s="38"/>
      <c r="F526" s="38"/>
      <c r="G526" s="39"/>
      <c r="H526" s="39"/>
      <c r="I526" s="40"/>
      <c r="J526" s="40"/>
      <c r="K526" s="40"/>
      <c r="L526" s="41"/>
      <c r="M526" s="42"/>
      <c r="N526" s="43" t="str">
        <f aca="false">IF(OR($L526="",$M526=""),"",$L526+MATCH($M526,Listas!$F$5:$F$11,0)-1)</f>
        <v/>
      </c>
      <c r="O526" s="44"/>
      <c r="P526" s="39"/>
      <c r="Q526" s="44"/>
      <c r="R526" s="38"/>
      <c r="S526" s="38"/>
      <c r="T526" s="36" t="str">
        <f aca="false">IF($F526="","",IF(ISNUMBER(SEARCH("(externo)",$I526&amp;$J526&amp;$K526)),"Terceirizada","Interna"))</f>
        <v/>
      </c>
      <c r="U526" s="43" t="str">
        <f aca="false">IF($N526="","",IF($Q526="",$N526,$Q526))</f>
        <v/>
      </c>
      <c r="V526" s="36" t="str">
        <f aca="false">IF($F526="","",IF(OR($O526="",$N526=""),0,IF($O526&lt;=$N526,1,0)))</f>
        <v/>
      </c>
      <c r="W526" s="36" t="str">
        <f aca="false">IF($F526="","",IF(OR($O526="",$U526=""),0,IF($O526&lt;=$U526,1,0)))</f>
        <v/>
      </c>
      <c r="X526" s="37" t="str">
        <f aca="false">IF(OR($O526="",$N526=""),"",MAX(0,$O526-$N526))</f>
        <v/>
      </c>
      <c r="Y526" s="36" t="str">
        <f aca="false">IF($F526="","",IF(AND($Q526&lt;&gt;"",$N526&lt;&gt;"",$Q526&lt;&gt;$N526),1,0))</f>
        <v/>
      </c>
      <c r="Z526" s="36" t="str">
        <f aca="false">IF($F526="","",IF($P526="Cancelada",0,IF(OR($O526&lt;&gt;"",$P526="Concluída"),1,0)))</f>
        <v/>
      </c>
    </row>
    <row r="527" customFormat="false" ht="16.5" hidden="false" customHeight="true" outlineLevel="0" collapsed="false">
      <c r="A527" s="36" t="str">
        <f aca="false">IF($F527="","",COUNTA($F$5:$F527))</f>
        <v/>
      </c>
      <c r="B527" s="37" t="str">
        <f aca="true">IF($F527="","",IF($P527="Cancelada","Cancelada",IF(OR($O527&lt;&gt;"",$P527="Concluída"),IF(OR($N527="",$O527="",$O527&lt;=$N527),"Concluída","Concluída com atraso"),IF($N527="","Na carteira",IF($N527&lt;TODAY(),"VENCIDA",IF($P527="Em execução","Em execução",IF($N527=TODAY(),"Hoje","Programada")))))))</f>
        <v/>
      </c>
      <c r="C527" s="38"/>
      <c r="D527" s="38"/>
      <c r="E527" s="38"/>
      <c r="F527" s="38"/>
      <c r="G527" s="39"/>
      <c r="H527" s="39"/>
      <c r="I527" s="40"/>
      <c r="J527" s="40"/>
      <c r="K527" s="40"/>
      <c r="L527" s="41"/>
      <c r="M527" s="42"/>
      <c r="N527" s="43" t="str">
        <f aca="false">IF(OR($L527="",$M527=""),"",$L527+MATCH($M527,Listas!$F$5:$F$11,0)-1)</f>
        <v/>
      </c>
      <c r="O527" s="44"/>
      <c r="P527" s="39"/>
      <c r="Q527" s="44"/>
      <c r="R527" s="38"/>
      <c r="S527" s="38"/>
      <c r="T527" s="36" t="str">
        <f aca="false">IF($F527="","",IF(ISNUMBER(SEARCH("(externo)",$I527&amp;$J527&amp;$K527)),"Terceirizada","Interna"))</f>
        <v/>
      </c>
      <c r="U527" s="43" t="str">
        <f aca="false">IF($N527="","",IF($Q527="",$N527,$Q527))</f>
        <v/>
      </c>
      <c r="V527" s="36" t="str">
        <f aca="false">IF($F527="","",IF(OR($O527="",$N527=""),0,IF($O527&lt;=$N527,1,0)))</f>
        <v/>
      </c>
      <c r="W527" s="36" t="str">
        <f aca="false">IF($F527="","",IF(OR($O527="",$U527=""),0,IF($O527&lt;=$U527,1,0)))</f>
        <v/>
      </c>
      <c r="X527" s="37" t="str">
        <f aca="false">IF(OR($O527="",$N527=""),"",MAX(0,$O527-$N527))</f>
        <v/>
      </c>
      <c r="Y527" s="36" t="str">
        <f aca="false">IF($F527="","",IF(AND($Q527&lt;&gt;"",$N527&lt;&gt;"",$Q527&lt;&gt;$N527),1,0))</f>
        <v/>
      </c>
      <c r="Z527" s="36" t="str">
        <f aca="false">IF($F527="","",IF($P527="Cancelada",0,IF(OR($O527&lt;&gt;"",$P527="Concluída"),1,0)))</f>
        <v/>
      </c>
    </row>
    <row r="528" customFormat="false" ht="16.5" hidden="false" customHeight="true" outlineLevel="0" collapsed="false">
      <c r="A528" s="36" t="str">
        <f aca="false">IF($F528="","",COUNTA($F$5:$F528))</f>
        <v/>
      </c>
      <c r="B528" s="37" t="str">
        <f aca="true">IF($F528="","",IF($P528="Cancelada","Cancelada",IF(OR($O528&lt;&gt;"",$P528="Concluída"),IF(OR($N528="",$O528="",$O528&lt;=$N528),"Concluída","Concluída com atraso"),IF($N528="","Na carteira",IF($N528&lt;TODAY(),"VENCIDA",IF($P528="Em execução","Em execução",IF($N528=TODAY(),"Hoje","Programada")))))))</f>
        <v/>
      </c>
      <c r="C528" s="38"/>
      <c r="D528" s="38"/>
      <c r="E528" s="38"/>
      <c r="F528" s="38"/>
      <c r="G528" s="39"/>
      <c r="H528" s="39"/>
      <c r="I528" s="40"/>
      <c r="J528" s="40"/>
      <c r="K528" s="40"/>
      <c r="L528" s="41"/>
      <c r="M528" s="42"/>
      <c r="N528" s="43" t="str">
        <f aca="false">IF(OR($L528="",$M528=""),"",$L528+MATCH($M528,Listas!$F$5:$F$11,0)-1)</f>
        <v/>
      </c>
      <c r="O528" s="44"/>
      <c r="P528" s="39"/>
      <c r="Q528" s="44"/>
      <c r="R528" s="38"/>
      <c r="S528" s="38"/>
      <c r="T528" s="36" t="str">
        <f aca="false">IF($F528="","",IF(ISNUMBER(SEARCH("(externo)",$I528&amp;$J528&amp;$K528)),"Terceirizada","Interna"))</f>
        <v/>
      </c>
      <c r="U528" s="43" t="str">
        <f aca="false">IF($N528="","",IF($Q528="",$N528,$Q528))</f>
        <v/>
      </c>
      <c r="V528" s="36" t="str">
        <f aca="false">IF($F528="","",IF(OR($O528="",$N528=""),0,IF($O528&lt;=$N528,1,0)))</f>
        <v/>
      </c>
      <c r="W528" s="36" t="str">
        <f aca="false">IF($F528="","",IF(OR($O528="",$U528=""),0,IF($O528&lt;=$U528,1,0)))</f>
        <v/>
      </c>
      <c r="X528" s="37" t="str">
        <f aca="false">IF(OR($O528="",$N528=""),"",MAX(0,$O528-$N528))</f>
        <v/>
      </c>
      <c r="Y528" s="36" t="str">
        <f aca="false">IF($F528="","",IF(AND($Q528&lt;&gt;"",$N528&lt;&gt;"",$Q528&lt;&gt;$N528),1,0))</f>
        <v/>
      </c>
      <c r="Z528" s="36" t="str">
        <f aca="false">IF($F528="","",IF($P528="Cancelada",0,IF(OR($O528&lt;&gt;"",$P528="Concluída"),1,0)))</f>
        <v/>
      </c>
    </row>
    <row r="529" customFormat="false" ht="16.5" hidden="false" customHeight="true" outlineLevel="0" collapsed="false">
      <c r="A529" s="36" t="str">
        <f aca="false">IF($F529="","",COUNTA($F$5:$F529))</f>
        <v/>
      </c>
      <c r="B529" s="37" t="str">
        <f aca="true">IF($F529="","",IF($P529="Cancelada","Cancelada",IF(OR($O529&lt;&gt;"",$P529="Concluída"),IF(OR($N529="",$O529="",$O529&lt;=$N529),"Concluída","Concluída com atraso"),IF($N529="","Na carteira",IF($N529&lt;TODAY(),"VENCIDA",IF($P529="Em execução","Em execução",IF($N529=TODAY(),"Hoje","Programada")))))))</f>
        <v/>
      </c>
      <c r="C529" s="38"/>
      <c r="D529" s="38"/>
      <c r="E529" s="38"/>
      <c r="F529" s="38"/>
      <c r="G529" s="39"/>
      <c r="H529" s="39"/>
      <c r="I529" s="40"/>
      <c r="J529" s="40"/>
      <c r="K529" s="40"/>
      <c r="L529" s="41"/>
      <c r="M529" s="42"/>
      <c r="N529" s="43" t="str">
        <f aca="false">IF(OR($L529="",$M529=""),"",$L529+MATCH($M529,Listas!$F$5:$F$11,0)-1)</f>
        <v/>
      </c>
      <c r="O529" s="44"/>
      <c r="P529" s="39"/>
      <c r="Q529" s="44"/>
      <c r="R529" s="38"/>
      <c r="S529" s="38"/>
      <c r="T529" s="36" t="str">
        <f aca="false">IF($F529="","",IF(ISNUMBER(SEARCH("(externo)",$I529&amp;$J529&amp;$K529)),"Terceirizada","Interna"))</f>
        <v/>
      </c>
      <c r="U529" s="43" t="str">
        <f aca="false">IF($N529="","",IF($Q529="",$N529,$Q529))</f>
        <v/>
      </c>
      <c r="V529" s="36" t="str">
        <f aca="false">IF($F529="","",IF(OR($O529="",$N529=""),0,IF($O529&lt;=$N529,1,0)))</f>
        <v/>
      </c>
      <c r="W529" s="36" t="str">
        <f aca="false">IF($F529="","",IF(OR($O529="",$U529=""),0,IF($O529&lt;=$U529,1,0)))</f>
        <v/>
      </c>
      <c r="X529" s="37" t="str">
        <f aca="false">IF(OR($O529="",$N529=""),"",MAX(0,$O529-$N529))</f>
        <v/>
      </c>
      <c r="Y529" s="36" t="str">
        <f aca="false">IF($F529="","",IF(AND($Q529&lt;&gt;"",$N529&lt;&gt;"",$Q529&lt;&gt;$N529),1,0))</f>
        <v/>
      </c>
      <c r="Z529" s="36" t="str">
        <f aca="false">IF($F529="","",IF($P529="Cancelada",0,IF(OR($O529&lt;&gt;"",$P529="Concluída"),1,0)))</f>
        <v/>
      </c>
    </row>
    <row r="530" customFormat="false" ht="16.5" hidden="false" customHeight="true" outlineLevel="0" collapsed="false">
      <c r="A530" s="36" t="str">
        <f aca="false">IF($F530="","",COUNTA($F$5:$F530))</f>
        <v/>
      </c>
      <c r="B530" s="37" t="str">
        <f aca="true">IF($F530="","",IF($P530="Cancelada","Cancelada",IF(OR($O530&lt;&gt;"",$P530="Concluída"),IF(OR($N530="",$O530="",$O530&lt;=$N530),"Concluída","Concluída com atraso"),IF($N530="","Na carteira",IF($N530&lt;TODAY(),"VENCIDA",IF($P530="Em execução","Em execução",IF($N530=TODAY(),"Hoje","Programada")))))))</f>
        <v/>
      </c>
      <c r="C530" s="38"/>
      <c r="D530" s="38"/>
      <c r="E530" s="38"/>
      <c r="F530" s="38"/>
      <c r="G530" s="39"/>
      <c r="H530" s="39"/>
      <c r="I530" s="40"/>
      <c r="J530" s="40"/>
      <c r="K530" s="40"/>
      <c r="L530" s="41"/>
      <c r="M530" s="42"/>
      <c r="N530" s="43" t="str">
        <f aca="false">IF(OR($L530="",$M530=""),"",$L530+MATCH($M530,Listas!$F$5:$F$11,0)-1)</f>
        <v/>
      </c>
      <c r="O530" s="44"/>
      <c r="P530" s="39"/>
      <c r="Q530" s="44"/>
      <c r="R530" s="38"/>
      <c r="S530" s="38"/>
      <c r="T530" s="36" t="str">
        <f aca="false">IF($F530="","",IF(ISNUMBER(SEARCH("(externo)",$I530&amp;$J530&amp;$K530)),"Terceirizada","Interna"))</f>
        <v/>
      </c>
      <c r="U530" s="43" t="str">
        <f aca="false">IF($N530="","",IF($Q530="",$N530,$Q530))</f>
        <v/>
      </c>
      <c r="V530" s="36" t="str">
        <f aca="false">IF($F530="","",IF(OR($O530="",$N530=""),0,IF($O530&lt;=$N530,1,0)))</f>
        <v/>
      </c>
      <c r="W530" s="36" t="str">
        <f aca="false">IF($F530="","",IF(OR($O530="",$U530=""),0,IF($O530&lt;=$U530,1,0)))</f>
        <v/>
      </c>
      <c r="X530" s="37" t="str">
        <f aca="false">IF(OR($O530="",$N530=""),"",MAX(0,$O530-$N530))</f>
        <v/>
      </c>
      <c r="Y530" s="36" t="str">
        <f aca="false">IF($F530="","",IF(AND($Q530&lt;&gt;"",$N530&lt;&gt;"",$Q530&lt;&gt;$N530),1,0))</f>
        <v/>
      </c>
      <c r="Z530" s="36" t="str">
        <f aca="false">IF($F530="","",IF($P530="Cancelada",0,IF(OR($O530&lt;&gt;"",$P530="Concluída"),1,0)))</f>
        <v/>
      </c>
    </row>
    <row r="531" customFormat="false" ht="16.5" hidden="false" customHeight="true" outlineLevel="0" collapsed="false">
      <c r="A531" s="36" t="str">
        <f aca="false">IF($F531="","",COUNTA($F$5:$F531))</f>
        <v/>
      </c>
      <c r="B531" s="37" t="str">
        <f aca="true">IF($F531="","",IF($P531="Cancelada","Cancelada",IF(OR($O531&lt;&gt;"",$P531="Concluída"),IF(OR($N531="",$O531="",$O531&lt;=$N531),"Concluída","Concluída com atraso"),IF($N531="","Na carteira",IF($N531&lt;TODAY(),"VENCIDA",IF($P531="Em execução","Em execução",IF($N531=TODAY(),"Hoje","Programada")))))))</f>
        <v/>
      </c>
      <c r="C531" s="38"/>
      <c r="D531" s="38"/>
      <c r="E531" s="38"/>
      <c r="F531" s="38"/>
      <c r="G531" s="39"/>
      <c r="H531" s="39"/>
      <c r="I531" s="40"/>
      <c r="J531" s="40"/>
      <c r="K531" s="40"/>
      <c r="L531" s="41"/>
      <c r="M531" s="42"/>
      <c r="N531" s="43" t="str">
        <f aca="false">IF(OR($L531="",$M531=""),"",$L531+MATCH($M531,Listas!$F$5:$F$11,0)-1)</f>
        <v/>
      </c>
      <c r="O531" s="44"/>
      <c r="P531" s="39"/>
      <c r="Q531" s="44"/>
      <c r="R531" s="38"/>
      <c r="S531" s="38"/>
      <c r="T531" s="36" t="str">
        <f aca="false">IF($F531="","",IF(ISNUMBER(SEARCH("(externo)",$I531&amp;$J531&amp;$K531)),"Terceirizada","Interna"))</f>
        <v/>
      </c>
      <c r="U531" s="43" t="str">
        <f aca="false">IF($N531="","",IF($Q531="",$N531,$Q531))</f>
        <v/>
      </c>
      <c r="V531" s="36" t="str">
        <f aca="false">IF($F531="","",IF(OR($O531="",$N531=""),0,IF($O531&lt;=$N531,1,0)))</f>
        <v/>
      </c>
      <c r="W531" s="36" t="str">
        <f aca="false">IF($F531="","",IF(OR($O531="",$U531=""),0,IF($O531&lt;=$U531,1,0)))</f>
        <v/>
      </c>
      <c r="X531" s="37" t="str">
        <f aca="false">IF(OR($O531="",$N531=""),"",MAX(0,$O531-$N531))</f>
        <v/>
      </c>
      <c r="Y531" s="36" t="str">
        <f aca="false">IF($F531="","",IF(AND($Q531&lt;&gt;"",$N531&lt;&gt;"",$Q531&lt;&gt;$N531),1,0))</f>
        <v/>
      </c>
      <c r="Z531" s="36" t="str">
        <f aca="false">IF($F531="","",IF($P531="Cancelada",0,IF(OR($O531&lt;&gt;"",$P531="Concluída"),1,0)))</f>
        <v/>
      </c>
    </row>
    <row r="532" customFormat="false" ht="16.5" hidden="false" customHeight="true" outlineLevel="0" collapsed="false">
      <c r="A532" s="36" t="str">
        <f aca="false">IF($F532="","",COUNTA($F$5:$F532))</f>
        <v/>
      </c>
      <c r="B532" s="37" t="str">
        <f aca="true">IF($F532="","",IF($P532="Cancelada","Cancelada",IF(OR($O532&lt;&gt;"",$P532="Concluída"),IF(OR($N532="",$O532="",$O532&lt;=$N532),"Concluída","Concluída com atraso"),IF($N532="","Na carteira",IF($N532&lt;TODAY(),"VENCIDA",IF($P532="Em execução","Em execução",IF($N532=TODAY(),"Hoje","Programada")))))))</f>
        <v/>
      </c>
      <c r="C532" s="38"/>
      <c r="D532" s="38"/>
      <c r="E532" s="38"/>
      <c r="F532" s="38"/>
      <c r="G532" s="39"/>
      <c r="H532" s="39"/>
      <c r="I532" s="40"/>
      <c r="J532" s="40"/>
      <c r="K532" s="40"/>
      <c r="L532" s="41"/>
      <c r="M532" s="42"/>
      <c r="N532" s="43" t="str">
        <f aca="false">IF(OR($L532="",$M532=""),"",$L532+MATCH($M532,Listas!$F$5:$F$11,0)-1)</f>
        <v/>
      </c>
      <c r="O532" s="44"/>
      <c r="P532" s="39"/>
      <c r="Q532" s="44"/>
      <c r="R532" s="38"/>
      <c r="S532" s="38"/>
      <c r="T532" s="36" t="str">
        <f aca="false">IF($F532="","",IF(ISNUMBER(SEARCH("(externo)",$I532&amp;$J532&amp;$K532)),"Terceirizada","Interna"))</f>
        <v/>
      </c>
      <c r="U532" s="43" t="str">
        <f aca="false">IF($N532="","",IF($Q532="",$N532,$Q532))</f>
        <v/>
      </c>
      <c r="V532" s="36" t="str">
        <f aca="false">IF($F532="","",IF(OR($O532="",$N532=""),0,IF($O532&lt;=$N532,1,0)))</f>
        <v/>
      </c>
      <c r="W532" s="36" t="str">
        <f aca="false">IF($F532="","",IF(OR($O532="",$U532=""),0,IF($O532&lt;=$U532,1,0)))</f>
        <v/>
      </c>
      <c r="X532" s="37" t="str">
        <f aca="false">IF(OR($O532="",$N532=""),"",MAX(0,$O532-$N532))</f>
        <v/>
      </c>
      <c r="Y532" s="36" t="str">
        <f aca="false">IF($F532="","",IF(AND($Q532&lt;&gt;"",$N532&lt;&gt;"",$Q532&lt;&gt;$N532),1,0))</f>
        <v/>
      </c>
      <c r="Z532" s="36" t="str">
        <f aca="false">IF($F532="","",IF($P532="Cancelada",0,IF(OR($O532&lt;&gt;"",$P532="Concluída"),1,0)))</f>
        <v/>
      </c>
    </row>
    <row r="533" customFormat="false" ht="16.5" hidden="false" customHeight="true" outlineLevel="0" collapsed="false">
      <c r="A533" s="36" t="str">
        <f aca="false">IF($F533="","",COUNTA($F$5:$F533))</f>
        <v/>
      </c>
      <c r="B533" s="37" t="str">
        <f aca="true">IF($F533="","",IF($P533="Cancelada","Cancelada",IF(OR($O533&lt;&gt;"",$P533="Concluída"),IF(OR($N533="",$O533="",$O533&lt;=$N533),"Concluída","Concluída com atraso"),IF($N533="","Na carteira",IF($N533&lt;TODAY(),"VENCIDA",IF($P533="Em execução","Em execução",IF($N533=TODAY(),"Hoje","Programada")))))))</f>
        <v/>
      </c>
      <c r="C533" s="38"/>
      <c r="D533" s="38"/>
      <c r="E533" s="38"/>
      <c r="F533" s="38"/>
      <c r="G533" s="39"/>
      <c r="H533" s="39"/>
      <c r="I533" s="40"/>
      <c r="J533" s="40"/>
      <c r="K533" s="40"/>
      <c r="L533" s="41"/>
      <c r="M533" s="42"/>
      <c r="N533" s="43" t="str">
        <f aca="false">IF(OR($L533="",$M533=""),"",$L533+MATCH($M533,Listas!$F$5:$F$11,0)-1)</f>
        <v/>
      </c>
      <c r="O533" s="44"/>
      <c r="P533" s="39"/>
      <c r="Q533" s="44"/>
      <c r="R533" s="38"/>
      <c r="S533" s="38"/>
      <c r="T533" s="36" t="str">
        <f aca="false">IF($F533="","",IF(ISNUMBER(SEARCH("(externo)",$I533&amp;$J533&amp;$K533)),"Terceirizada","Interna"))</f>
        <v/>
      </c>
      <c r="U533" s="43" t="str">
        <f aca="false">IF($N533="","",IF($Q533="",$N533,$Q533))</f>
        <v/>
      </c>
      <c r="V533" s="36" t="str">
        <f aca="false">IF($F533="","",IF(OR($O533="",$N533=""),0,IF($O533&lt;=$N533,1,0)))</f>
        <v/>
      </c>
      <c r="W533" s="36" t="str">
        <f aca="false">IF($F533="","",IF(OR($O533="",$U533=""),0,IF($O533&lt;=$U533,1,0)))</f>
        <v/>
      </c>
      <c r="X533" s="37" t="str">
        <f aca="false">IF(OR($O533="",$N533=""),"",MAX(0,$O533-$N533))</f>
        <v/>
      </c>
      <c r="Y533" s="36" t="str">
        <f aca="false">IF($F533="","",IF(AND($Q533&lt;&gt;"",$N533&lt;&gt;"",$Q533&lt;&gt;$N533),1,0))</f>
        <v/>
      </c>
      <c r="Z533" s="36" t="str">
        <f aca="false">IF($F533="","",IF($P533="Cancelada",0,IF(OR($O533&lt;&gt;"",$P533="Concluída"),1,0)))</f>
        <v/>
      </c>
    </row>
    <row r="534" customFormat="false" ht="16.5" hidden="false" customHeight="true" outlineLevel="0" collapsed="false">
      <c r="A534" s="36" t="str">
        <f aca="false">IF($F534="","",COUNTA($F$5:$F534))</f>
        <v/>
      </c>
      <c r="B534" s="37" t="str">
        <f aca="true">IF($F534="","",IF($P534="Cancelada","Cancelada",IF(OR($O534&lt;&gt;"",$P534="Concluída"),IF(OR($N534="",$O534="",$O534&lt;=$N534),"Concluída","Concluída com atraso"),IF($N534="","Na carteira",IF($N534&lt;TODAY(),"VENCIDA",IF($P534="Em execução","Em execução",IF($N534=TODAY(),"Hoje","Programada")))))))</f>
        <v/>
      </c>
      <c r="C534" s="38"/>
      <c r="D534" s="38"/>
      <c r="E534" s="38"/>
      <c r="F534" s="38"/>
      <c r="G534" s="39"/>
      <c r="H534" s="39"/>
      <c r="I534" s="40"/>
      <c r="J534" s="40"/>
      <c r="K534" s="40"/>
      <c r="L534" s="41"/>
      <c r="M534" s="42"/>
      <c r="N534" s="43" t="str">
        <f aca="false">IF(OR($L534="",$M534=""),"",$L534+MATCH($M534,Listas!$F$5:$F$11,0)-1)</f>
        <v/>
      </c>
      <c r="O534" s="44"/>
      <c r="P534" s="39"/>
      <c r="Q534" s="44"/>
      <c r="R534" s="38"/>
      <c r="S534" s="38"/>
      <c r="T534" s="36" t="str">
        <f aca="false">IF($F534="","",IF(ISNUMBER(SEARCH("(externo)",$I534&amp;$J534&amp;$K534)),"Terceirizada","Interna"))</f>
        <v/>
      </c>
      <c r="U534" s="43" t="str">
        <f aca="false">IF($N534="","",IF($Q534="",$N534,$Q534))</f>
        <v/>
      </c>
      <c r="V534" s="36" t="str">
        <f aca="false">IF($F534="","",IF(OR($O534="",$N534=""),0,IF($O534&lt;=$N534,1,0)))</f>
        <v/>
      </c>
      <c r="W534" s="36" t="str">
        <f aca="false">IF($F534="","",IF(OR($O534="",$U534=""),0,IF($O534&lt;=$U534,1,0)))</f>
        <v/>
      </c>
      <c r="X534" s="37" t="str">
        <f aca="false">IF(OR($O534="",$N534=""),"",MAX(0,$O534-$N534))</f>
        <v/>
      </c>
      <c r="Y534" s="36" t="str">
        <f aca="false">IF($F534="","",IF(AND($Q534&lt;&gt;"",$N534&lt;&gt;"",$Q534&lt;&gt;$N534),1,0))</f>
        <v/>
      </c>
      <c r="Z534" s="36" t="str">
        <f aca="false">IF($F534="","",IF($P534="Cancelada",0,IF(OR($O534&lt;&gt;"",$P534="Concluída"),1,0)))</f>
        <v/>
      </c>
    </row>
    <row r="535" customFormat="false" ht="16.5" hidden="false" customHeight="true" outlineLevel="0" collapsed="false">
      <c r="A535" s="36" t="str">
        <f aca="false">IF($F535="","",COUNTA($F$5:$F535))</f>
        <v/>
      </c>
      <c r="B535" s="37" t="str">
        <f aca="true">IF($F535="","",IF($P535="Cancelada","Cancelada",IF(OR($O535&lt;&gt;"",$P535="Concluída"),IF(OR($N535="",$O535="",$O535&lt;=$N535),"Concluída","Concluída com atraso"),IF($N535="","Na carteira",IF($N535&lt;TODAY(),"VENCIDA",IF($P535="Em execução","Em execução",IF($N535=TODAY(),"Hoje","Programada")))))))</f>
        <v/>
      </c>
      <c r="C535" s="38"/>
      <c r="D535" s="38"/>
      <c r="E535" s="38"/>
      <c r="F535" s="38"/>
      <c r="G535" s="39"/>
      <c r="H535" s="39"/>
      <c r="I535" s="40"/>
      <c r="J535" s="40"/>
      <c r="K535" s="40"/>
      <c r="L535" s="41"/>
      <c r="M535" s="42"/>
      <c r="N535" s="43" t="str">
        <f aca="false">IF(OR($L535="",$M535=""),"",$L535+MATCH($M535,Listas!$F$5:$F$11,0)-1)</f>
        <v/>
      </c>
      <c r="O535" s="44"/>
      <c r="P535" s="39"/>
      <c r="Q535" s="44"/>
      <c r="R535" s="38"/>
      <c r="S535" s="38"/>
      <c r="T535" s="36" t="str">
        <f aca="false">IF($F535="","",IF(ISNUMBER(SEARCH("(externo)",$I535&amp;$J535&amp;$K535)),"Terceirizada","Interna"))</f>
        <v/>
      </c>
      <c r="U535" s="43" t="str">
        <f aca="false">IF($N535="","",IF($Q535="",$N535,$Q535))</f>
        <v/>
      </c>
      <c r="V535" s="36" t="str">
        <f aca="false">IF($F535="","",IF(OR($O535="",$N535=""),0,IF($O535&lt;=$N535,1,0)))</f>
        <v/>
      </c>
      <c r="W535" s="36" t="str">
        <f aca="false">IF($F535="","",IF(OR($O535="",$U535=""),0,IF($O535&lt;=$U535,1,0)))</f>
        <v/>
      </c>
      <c r="X535" s="37" t="str">
        <f aca="false">IF(OR($O535="",$N535=""),"",MAX(0,$O535-$N535))</f>
        <v/>
      </c>
      <c r="Y535" s="36" t="str">
        <f aca="false">IF($F535="","",IF(AND($Q535&lt;&gt;"",$N535&lt;&gt;"",$Q535&lt;&gt;$N535),1,0))</f>
        <v/>
      </c>
      <c r="Z535" s="36" t="str">
        <f aca="false">IF($F535="","",IF($P535="Cancelada",0,IF(OR($O535&lt;&gt;"",$P535="Concluída"),1,0)))</f>
        <v/>
      </c>
    </row>
    <row r="536" customFormat="false" ht="16.5" hidden="false" customHeight="true" outlineLevel="0" collapsed="false">
      <c r="A536" s="36" t="str">
        <f aca="false">IF($F536="","",COUNTA($F$5:$F536))</f>
        <v/>
      </c>
      <c r="B536" s="37" t="str">
        <f aca="true">IF($F536="","",IF($P536="Cancelada","Cancelada",IF(OR($O536&lt;&gt;"",$P536="Concluída"),IF(OR($N536="",$O536="",$O536&lt;=$N536),"Concluída","Concluída com atraso"),IF($N536="","Na carteira",IF($N536&lt;TODAY(),"VENCIDA",IF($P536="Em execução","Em execução",IF($N536=TODAY(),"Hoje","Programada")))))))</f>
        <v/>
      </c>
      <c r="C536" s="38"/>
      <c r="D536" s="38"/>
      <c r="E536" s="38"/>
      <c r="F536" s="38"/>
      <c r="G536" s="39"/>
      <c r="H536" s="39"/>
      <c r="I536" s="40"/>
      <c r="J536" s="40"/>
      <c r="K536" s="40"/>
      <c r="L536" s="41"/>
      <c r="M536" s="42"/>
      <c r="N536" s="43" t="str">
        <f aca="false">IF(OR($L536="",$M536=""),"",$L536+MATCH($M536,Listas!$F$5:$F$11,0)-1)</f>
        <v/>
      </c>
      <c r="O536" s="44"/>
      <c r="P536" s="39"/>
      <c r="Q536" s="44"/>
      <c r="R536" s="38"/>
      <c r="S536" s="38"/>
      <c r="T536" s="36" t="str">
        <f aca="false">IF($F536="","",IF(ISNUMBER(SEARCH("(externo)",$I536&amp;$J536&amp;$K536)),"Terceirizada","Interna"))</f>
        <v/>
      </c>
      <c r="U536" s="43" t="str">
        <f aca="false">IF($N536="","",IF($Q536="",$N536,$Q536))</f>
        <v/>
      </c>
      <c r="V536" s="36" t="str">
        <f aca="false">IF($F536="","",IF(OR($O536="",$N536=""),0,IF($O536&lt;=$N536,1,0)))</f>
        <v/>
      </c>
      <c r="W536" s="36" t="str">
        <f aca="false">IF($F536="","",IF(OR($O536="",$U536=""),0,IF($O536&lt;=$U536,1,0)))</f>
        <v/>
      </c>
      <c r="X536" s="37" t="str">
        <f aca="false">IF(OR($O536="",$N536=""),"",MAX(0,$O536-$N536))</f>
        <v/>
      </c>
      <c r="Y536" s="36" t="str">
        <f aca="false">IF($F536="","",IF(AND($Q536&lt;&gt;"",$N536&lt;&gt;"",$Q536&lt;&gt;$N536),1,0))</f>
        <v/>
      </c>
      <c r="Z536" s="36" t="str">
        <f aca="false">IF($F536="","",IF($P536="Cancelada",0,IF(OR($O536&lt;&gt;"",$P536="Concluída"),1,0)))</f>
        <v/>
      </c>
    </row>
    <row r="537" customFormat="false" ht="16.5" hidden="false" customHeight="true" outlineLevel="0" collapsed="false">
      <c r="A537" s="36" t="str">
        <f aca="false">IF($F537="","",COUNTA($F$5:$F537))</f>
        <v/>
      </c>
      <c r="B537" s="37" t="str">
        <f aca="true">IF($F537="","",IF($P537="Cancelada","Cancelada",IF(OR($O537&lt;&gt;"",$P537="Concluída"),IF(OR($N537="",$O537="",$O537&lt;=$N537),"Concluída","Concluída com atraso"),IF($N537="","Na carteira",IF($N537&lt;TODAY(),"VENCIDA",IF($P537="Em execução","Em execução",IF($N537=TODAY(),"Hoje","Programada")))))))</f>
        <v/>
      </c>
      <c r="C537" s="38"/>
      <c r="D537" s="38"/>
      <c r="E537" s="38"/>
      <c r="F537" s="38"/>
      <c r="G537" s="39"/>
      <c r="H537" s="39"/>
      <c r="I537" s="40"/>
      <c r="J537" s="40"/>
      <c r="K537" s="40"/>
      <c r="L537" s="41"/>
      <c r="M537" s="42"/>
      <c r="N537" s="43" t="str">
        <f aca="false">IF(OR($L537="",$M537=""),"",$L537+MATCH($M537,Listas!$F$5:$F$11,0)-1)</f>
        <v/>
      </c>
      <c r="O537" s="44"/>
      <c r="P537" s="39"/>
      <c r="Q537" s="44"/>
      <c r="R537" s="38"/>
      <c r="S537" s="38"/>
      <c r="T537" s="36" t="str">
        <f aca="false">IF($F537="","",IF(ISNUMBER(SEARCH("(externo)",$I537&amp;$J537&amp;$K537)),"Terceirizada","Interna"))</f>
        <v/>
      </c>
      <c r="U537" s="43" t="str">
        <f aca="false">IF($N537="","",IF($Q537="",$N537,$Q537))</f>
        <v/>
      </c>
      <c r="V537" s="36" t="str">
        <f aca="false">IF($F537="","",IF(OR($O537="",$N537=""),0,IF($O537&lt;=$N537,1,0)))</f>
        <v/>
      </c>
      <c r="W537" s="36" t="str">
        <f aca="false">IF($F537="","",IF(OR($O537="",$U537=""),0,IF($O537&lt;=$U537,1,0)))</f>
        <v/>
      </c>
      <c r="X537" s="37" t="str">
        <f aca="false">IF(OR($O537="",$N537=""),"",MAX(0,$O537-$N537))</f>
        <v/>
      </c>
      <c r="Y537" s="36" t="str">
        <f aca="false">IF($F537="","",IF(AND($Q537&lt;&gt;"",$N537&lt;&gt;"",$Q537&lt;&gt;$N537),1,0))</f>
        <v/>
      </c>
      <c r="Z537" s="36" t="str">
        <f aca="false">IF($F537="","",IF($P537="Cancelada",0,IF(OR($O537&lt;&gt;"",$P537="Concluída"),1,0)))</f>
        <v/>
      </c>
    </row>
    <row r="538" customFormat="false" ht="16.5" hidden="false" customHeight="true" outlineLevel="0" collapsed="false">
      <c r="A538" s="36" t="str">
        <f aca="false">IF($F538="","",COUNTA($F$5:$F538))</f>
        <v/>
      </c>
      <c r="B538" s="37" t="str">
        <f aca="true">IF($F538="","",IF($P538="Cancelada","Cancelada",IF(OR($O538&lt;&gt;"",$P538="Concluída"),IF(OR($N538="",$O538="",$O538&lt;=$N538),"Concluída","Concluída com atraso"),IF($N538="","Na carteira",IF($N538&lt;TODAY(),"VENCIDA",IF($P538="Em execução","Em execução",IF($N538=TODAY(),"Hoje","Programada")))))))</f>
        <v/>
      </c>
      <c r="C538" s="38"/>
      <c r="D538" s="38"/>
      <c r="E538" s="38"/>
      <c r="F538" s="38"/>
      <c r="G538" s="39"/>
      <c r="H538" s="39"/>
      <c r="I538" s="40"/>
      <c r="J538" s="40"/>
      <c r="K538" s="40"/>
      <c r="L538" s="41"/>
      <c r="M538" s="42"/>
      <c r="N538" s="43" t="str">
        <f aca="false">IF(OR($L538="",$M538=""),"",$L538+MATCH($M538,Listas!$F$5:$F$11,0)-1)</f>
        <v/>
      </c>
      <c r="O538" s="44"/>
      <c r="P538" s="39"/>
      <c r="Q538" s="44"/>
      <c r="R538" s="38"/>
      <c r="S538" s="38"/>
      <c r="T538" s="36" t="str">
        <f aca="false">IF($F538="","",IF(ISNUMBER(SEARCH("(externo)",$I538&amp;$J538&amp;$K538)),"Terceirizada","Interna"))</f>
        <v/>
      </c>
      <c r="U538" s="43" t="str">
        <f aca="false">IF($N538="","",IF($Q538="",$N538,$Q538))</f>
        <v/>
      </c>
      <c r="V538" s="36" t="str">
        <f aca="false">IF($F538="","",IF(OR($O538="",$N538=""),0,IF($O538&lt;=$N538,1,0)))</f>
        <v/>
      </c>
      <c r="W538" s="36" t="str">
        <f aca="false">IF($F538="","",IF(OR($O538="",$U538=""),0,IF($O538&lt;=$U538,1,0)))</f>
        <v/>
      </c>
      <c r="X538" s="37" t="str">
        <f aca="false">IF(OR($O538="",$N538=""),"",MAX(0,$O538-$N538))</f>
        <v/>
      </c>
      <c r="Y538" s="36" t="str">
        <f aca="false">IF($F538="","",IF(AND($Q538&lt;&gt;"",$N538&lt;&gt;"",$Q538&lt;&gt;$N538),1,0))</f>
        <v/>
      </c>
      <c r="Z538" s="36" t="str">
        <f aca="false">IF($F538="","",IF($P538="Cancelada",0,IF(OR($O538&lt;&gt;"",$P538="Concluída"),1,0)))</f>
        <v/>
      </c>
    </row>
    <row r="539" customFormat="false" ht="16.5" hidden="false" customHeight="true" outlineLevel="0" collapsed="false">
      <c r="A539" s="36" t="str">
        <f aca="false">IF($F539="","",COUNTA($F$5:$F539))</f>
        <v/>
      </c>
      <c r="B539" s="37" t="str">
        <f aca="true">IF($F539="","",IF($P539="Cancelada","Cancelada",IF(OR($O539&lt;&gt;"",$P539="Concluída"),IF(OR($N539="",$O539="",$O539&lt;=$N539),"Concluída","Concluída com atraso"),IF($N539="","Na carteira",IF($N539&lt;TODAY(),"VENCIDA",IF($P539="Em execução","Em execução",IF($N539=TODAY(),"Hoje","Programada")))))))</f>
        <v/>
      </c>
      <c r="C539" s="38"/>
      <c r="D539" s="38"/>
      <c r="E539" s="38"/>
      <c r="F539" s="38"/>
      <c r="G539" s="39"/>
      <c r="H539" s="39"/>
      <c r="I539" s="40"/>
      <c r="J539" s="40"/>
      <c r="K539" s="40"/>
      <c r="L539" s="41"/>
      <c r="M539" s="42"/>
      <c r="N539" s="43" t="str">
        <f aca="false">IF(OR($L539="",$M539=""),"",$L539+MATCH($M539,Listas!$F$5:$F$11,0)-1)</f>
        <v/>
      </c>
      <c r="O539" s="44"/>
      <c r="P539" s="39"/>
      <c r="Q539" s="44"/>
      <c r="R539" s="38"/>
      <c r="S539" s="38"/>
      <c r="T539" s="36" t="str">
        <f aca="false">IF($F539="","",IF(ISNUMBER(SEARCH("(externo)",$I539&amp;$J539&amp;$K539)),"Terceirizada","Interna"))</f>
        <v/>
      </c>
      <c r="U539" s="43" t="str">
        <f aca="false">IF($N539="","",IF($Q539="",$N539,$Q539))</f>
        <v/>
      </c>
      <c r="V539" s="36" t="str">
        <f aca="false">IF($F539="","",IF(OR($O539="",$N539=""),0,IF($O539&lt;=$N539,1,0)))</f>
        <v/>
      </c>
      <c r="W539" s="36" t="str">
        <f aca="false">IF($F539="","",IF(OR($O539="",$U539=""),0,IF($O539&lt;=$U539,1,0)))</f>
        <v/>
      </c>
      <c r="X539" s="37" t="str">
        <f aca="false">IF(OR($O539="",$N539=""),"",MAX(0,$O539-$N539))</f>
        <v/>
      </c>
      <c r="Y539" s="36" t="str">
        <f aca="false">IF($F539="","",IF(AND($Q539&lt;&gt;"",$N539&lt;&gt;"",$Q539&lt;&gt;$N539),1,0))</f>
        <v/>
      </c>
      <c r="Z539" s="36" t="str">
        <f aca="false">IF($F539="","",IF($P539="Cancelada",0,IF(OR($O539&lt;&gt;"",$P539="Concluída"),1,0)))</f>
        <v/>
      </c>
    </row>
    <row r="540" customFormat="false" ht="16.5" hidden="false" customHeight="true" outlineLevel="0" collapsed="false">
      <c r="A540" s="36" t="str">
        <f aca="false">IF($F540="","",COUNTA($F$5:$F540))</f>
        <v/>
      </c>
      <c r="B540" s="37" t="str">
        <f aca="true">IF($F540="","",IF($P540="Cancelada","Cancelada",IF(OR($O540&lt;&gt;"",$P540="Concluída"),IF(OR($N540="",$O540="",$O540&lt;=$N540),"Concluída","Concluída com atraso"),IF($N540="","Na carteira",IF($N540&lt;TODAY(),"VENCIDA",IF($P540="Em execução","Em execução",IF($N540=TODAY(),"Hoje","Programada")))))))</f>
        <v/>
      </c>
      <c r="C540" s="38"/>
      <c r="D540" s="38"/>
      <c r="E540" s="38"/>
      <c r="F540" s="38"/>
      <c r="G540" s="39"/>
      <c r="H540" s="39"/>
      <c r="I540" s="40"/>
      <c r="J540" s="40"/>
      <c r="K540" s="40"/>
      <c r="L540" s="41"/>
      <c r="M540" s="42"/>
      <c r="N540" s="43" t="str">
        <f aca="false">IF(OR($L540="",$M540=""),"",$L540+MATCH($M540,Listas!$F$5:$F$11,0)-1)</f>
        <v/>
      </c>
      <c r="O540" s="44"/>
      <c r="P540" s="39"/>
      <c r="Q540" s="44"/>
      <c r="R540" s="38"/>
      <c r="S540" s="38"/>
      <c r="T540" s="36" t="str">
        <f aca="false">IF($F540="","",IF(ISNUMBER(SEARCH("(externo)",$I540&amp;$J540&amp;$K540)),"Terceirizada","Interna"))</f>
        <v/>
      </c>
      <c r="U540" s="43" t="str">
        <f aca="false">IF($N540="","",IF($Q540="",$N540,$Q540))</f>
        <v/>
      </c>
      <c r="V540" s="36" t="str">
        <f aca="false">IF($F540="","",IF(OR($O540="",$N540=""),0,IF($O540&lt;=$N540,1,0)))</f>
        <v/>
      </c>
      <c r="W540" s="36" t="str">
        <f aca="false">IF($F540="","",IF(OR($O540="",$U540=""),0,IF($O540&lt;=$U540,1,0)))</f>
        <v/>
      </c>
      <c r="X540" s="37" t="str">
        <f aca="false">IF(OR($O540="",$N540=""),"",MAX(0,$O540-$N540))</f>
        <v/>
      </c>
      <c r="Y540" s="36" t="str">
        <f aca="false">IF($F540="","",IF(AND($Q540&lt;&gt;"",$N540&lt;&gt;"",$Q540&lt;&gt;$N540),1,0))</f>
        <v/>
      </c>
      <c r="Z540" s="36" t="str">
        <f aca="false">IF($F540="","",IF($P540="Cancelada",0,IF(OR($O540&lt;&gt;"",$P540="Concluída"),1,0)))</f>
        <v/>
      </c>
    </row>
    <row r="541" customFormat="false" ht="16.5" hidden="false" customHeight="true" outlineLevel="0" collapsed="false">
      <c r="A541" s="36" t="str">
        <f aca="false">IF($F541="","",COUNTA($F$5:$F541))</f>
        <v/>
      </c>
      <c r="B541" s="37" t="str">
        <f aca="true">IF($F541="","",IF($P541="Cancelada","Cancelada",IF(OR($O541&lt;&gt;"",$P541="Concluída"),IF(OR($N541="",$O541="",$O541&lt;=$N541),"Concluída","Concluída com atraso"),IF($N541="","Na carteira",IF($N541&lt;TODAY(),"VENCIDA",IF($P541="Em execução","Em execução",IF($N541=TODAY(),"Hoje","Programada")))))))</f>
        <v/>
      </c>
      <c r="C541" s="38"/>
      <c r="D541" s="38"/>
      <c r="E541" s="38"/>
      <c r="F541" s="38"/>
      <c r="G541" s="39"/>
      <c r="H541" s="39"/>
      <c r="I541" s="40"/>
      <c r="J541" s="40"/>
      <c r="K541" s="40"/>
      <c r="L541" s="41"/>
      <c r="M541" s="42"/>
      <c r="N541" s="43" t="str">
        <f aca="false">IF(OR($L541="",$M541=""),"",$L541+MATCH($M541,Listas!$F$5:$F$11,0)-1)</f>
        <v/>
      </c>
      <c r="O541" s="44"/>
      <c r="P541" s="39"/>
      <c r="Q541" s="44"/>
      <c r="R541" s="38"/>
      <c r="S541" s="38"/>
      <c r="T541" s="36" t="str">
        <f aca="false">IF($F541="","",IF(ISNUMBER(SEARCH("(externo)",$I541&amp;$J541&amp;$K541)),"Terceirizada","Interna"))</f>
        <v/>
      </c>
      <c r="U541" s="43" t="str">
        <f aca="false">IF($N541="","",IF($Q541="",$N541,$Q541))</f>
        <v/>
      </c>
      <c r="V541" s="36" t="str">
        <f aca="false">IF($F541="","",IF(OR($O541="",$N541=""),0,IF($O541&lt;=$N541,1,0)))</f>
        <v/>
      </c>
      <c r="W541" s="36" t="str">
        <f aca="false">IF($F541="","",IF(OR($O541="",$U541=""),0,IF($O541&lt;=$U541,1,0)))</f>
        <v/>
      </c>
      <c r="X541" s="37" t="str">
        <f aca="false">IF(OR($O541="",$N541=""),"",MAX(0,$O541-$N541))</f>
        <v/>
      </c>
      <c r="Y541" s="36" t="str">
        <f aca="false">IF($F541="","",IF(AND($Q541&lt;&gt;"",$N541&lt;&gt;"",$Q541&lt;&gt;$N541),1,0))</f>
        <v/>
      </c>
      <c r="Z541" s="36" t="str">
        <f aca="false">IF($F541="","",IF($P541="Cancelada",0,IF(OR($O541&lt;&gt;"",$P541="Concluída"),1,0)))</f>
        <v/>
      </c>
    </row>
    <row r="542" customFormat="false" ht="16.5" hidden="false" customHeight="true" outlineLevel="0" collapsed="false">
      <c r="A542" s="36" t="str">
        <f aca="false">IF($F542="","",COUNTA($F$5:$F542))</f>
        <v/>
      </c>
      <c r="B542" s="37" t="str">
        <f aca="true">IF($F542="","",IF($P542="Cancelada","Cancelada",IF(OR($O542&lt;&gt;"",$P542="Concluída"),IF(OR($N542="",$O542="",$O542&lt;=$N542),"Concluída","Concluída com atraso"),IF($N542="","Na carteira",IF($N542&lt;TODAY(),"VENCIDA",IF($P542="Em execução","Em execução",IF($N542=TODAY(),"Hoje","Programada")))))))</f>
        <v/>
      </c>
      <c r="C542" s="38"/>
      <c r="D542" s="38"/>
      <c r="E542" s="38"/>
      <c r="F542" s="38"/>
      <c r="G542" s="39"/>
      <c r="H542" s="39"/>
      <c r="I542" s="40"/>
      <c r="J542" s="40"/>
      <c r="K542" s="40"/>
      <c r="L542" s="41"/>
      <c r="M542" s="42"/>
      <c r="N542" s="43" t="str">
        <f aca="false">IF(OR($L542="",$M542=""),"",$L542+MATCH($M542,Listas!$F$5:$F$11,0)-1)</f>
        <v/>
      </c>
      <c r="O542" s="44"/>
      <c r="P542" s="39"/>
      <c r="Q542" s="44"/>
      <c r="R542" s="38"/>
      <c r="S542" s="38"/>
      <c r="T542" s="36" t="str">
        <f aca="false">IF($F542="","",IF(ISNUMBER(SEARCH("(externo)",$I542&amp;$J542&amp;$K542)),"Terceirizada","Interna"))</f>
        <v/>
      </c>
      <c r="U542" s="43" t="str">
        <f aca="false">IF($N542="","",IF($Q542="",$N542,$Q542))</f>
        <v/>
      </c>
      <c r="V542" s="36" t="str">
        <f aca="false">IF($F542="","",IF(OR($O542="",$N542=""),0,IF($O542&lt;=$N542,1,0)))</f>
        <v/>
      </c>
      <c r="W542" s="36" t="str">
        <f aca="false">IF($F542="","",IF(OR($O542="",$U542=""),0,IF($O542&lt;=$U542,1,0)))</f>
        <v/>
      </c>
      <c r="X542" s="37" t="str">
        <f aca="false">IF(OR($O542="",$N542=""),"",MAX(0,$O542-$N542))</f>
        <v/>
      </c>
      <c r="Y542" s="36" t="str">
        <f aca="false">IF($F542="","",IF(AND($Q542&lt;&gt;"",$N542&lt;&gt;"",$Q542&lt;&gt;$N542),1,0))</f>
        <v/>
      </c>
      <c r="Z542" s="36" t="str">
        <f aca="false">IF($F542="","",IF($P542="Cancelada",0,IF(OR($O542&lt;&gt;"",$P542="Concluída"),1,0)))</f>
        <v/>
      </c>
    </row>
    <row r="543" customFormat="false" ht="16.5" hidden="false" customHeight="true" outlineLevel="0" collapsed="false">
      <c r="A543" s="36" t="str">
        <f aca="false">IF($F543="","",COUNTA($F$5:$F543))</f>
        <v/>
      </c>
      <c r="B543" s="37" t="str">
        <f aca="true">IF($F543="","",IF($P543="Cancelada","Cancelada",IF(OR($O543&lt;&gt;"",$P543="Concluída"),IF(OR($N543="",$O543="",$O543&lt;=$N543),"Concluída","Concluída com atraso"),IF($N543="","Na carteira",IF($N543&lt;TODAY(),"VENCIDA",IF($P543="Em execução","Em execução",IF($N543=TODAY(),"Hoje","Programada")))))))</f>
        <v/>
      </c>
      <c r="C543" s="38"/>
      <c r="D543" s="38"/>
      <c r="E543" s="38"/>
      <c r="F543" s="38"/>
      <c r="G543" s="39"/>
      <c r="H543" s="39"/>
      <c r="I543" s="40"/>
      <c r="J543" s="40"/>
      <c r="K543" s="40"/>
      <c r="L543" s="41"/>
      <c r="M543" s="42"/>
      <c r="N543" s="43" t="str">
        <f aca="false">IF(OR($L543="",$M543=""),"",$L543+MATCH($M543,Listas!$F$5:$F$11,0)-1)</f>
        <v/>
      </c>
      <c r="O543" s="44"/>
      <c r="P543" s="39"/>
      <c r="Q543" s="44"/>
      <c r="R543" s="38"/>
      <c r="S543" s="38"/>
      <c r="T543" s="36" t="str">
        <f aca="false">IF($F543="","",IF(ISNUMBER(SEARCH("(externo)",$I543&amp;$J543&amp;$K543)),"Terceirizada","Interna"))</f>
        <v/>
      </c>
      <c r="U543" s="43" t="str">
        <f aca="false">IF($N543="","",IF($Q543="",$N543,$Q543))</f>
        <v/>
      </c>
      <c r="V543" s="36" t="str">
        <f aca="false">IF($F543="","",IF(OR($O543="",$N543=""),0,IF($O543&lt;=$N543,1,0)))</f>
        <v/>
      </c>
      <c r="W543" s="36" t="str">
        <f aca="false">IF($F543="","",IF(OR($O543="",$U543=""),0,IF($O543&lt;=$U543,1,0)))</f>
        <v/>
      </c>
      <c r="X543" s="37" t="str">
        <f aca="false">IF(OR($O543="",$N543=""),"",MAX(0,$O543-$N543))</f>
        <v/>
      </c>
      <c r="Y543" s="36" t="str">
        <f aca="false">IF($F543="","",IF(AND($Q543&lt;&gt;"",$N543&lt;&gt;"",$Q543&lt;&gt;$N543),1,0))</f>
        <v/>
      </c>
      <c r="Z543" s="36" t="str">
        <f aca="false">IF($F543="","",IF($P543="Cancelada",0,IF(OR($O543&lt;&gt;"",$P543="Concluída"),1,0)))</f>
        <v/>
      </c>
    </row>
    <row r="544" customFormat="false" ht="16.5" hidden="false" customHeight="true" outlineLevel="0" collapsed="false">
      <c r="A544" s="36" t="str">
        <f aca="false">IF($F544="","",COUNTA($F$5:$F544))</f>
        <v/>
      </c>
      <c r="B544" s="37" t="str">
        <f aca="true">IF($F544="","",IF($P544="Cancelada","Cancelada",IF(OR($O544&lt;&gt;"",$P544="Concluída"),IF(OR($N544="",$O544="",$O544&lt;=$N544),"Concluída","Concluída com atraso"),IF($N544="","Na carteira",IF($N544&lt;TODAY(),"VENCIDA",IF($P544="Em execução","Em execução",IF($N544=TODAY(),"Hoje","Programada")))))))</f>
        <v/>
      </c>
      <c r="C544" s="38"/>
      <c r="D544" s="38"/>
      <c r="E544" s="38"/>
      <c r="F544" s="38"/>
      <c r="G544" s="39"/>
      <c r="H544" s="39"/>
      <c r="I544" s="40"/>
      <c r="J544" s="40"/>
      <c r="K544" s="40"/>
      <c r="L544" s="41"/>
      <c r="M544" s="42"/>
      <c r="N544" s="43" t="str">
        <f aca="false">IF(OR($L544="",$M544=""),"",$L544+MATCH($M544,Listas!$F$5:$F$11,0)-1)</f>
        <v/>
      </c>
      <c r="O544" s="44"/>
      <c r="P544" s="39"/>
      <c r="Q544" s="44"/>
      <c r="R544" s="38"/>
      <c r="S544" s="38"/>
      <c r="T544" s="36" t="str">
        <f aca="false">IF($F544="","",IF(ISNUMBER(SEARCH("(externo)",$I544&amp;$J544&amp;$K544)),"Terceirizada","Interna"))</f>
        <v/>
      </c>
      <c r="U544" s="43" t="str">
        <f aca="false">IF($N544="","",IF($Q544="",$N544,$Q544))</f>
        <v/>
      </c>
      <c r="V544" s="36" t="str">
        <f aca="false">IF($F544="","",IF(OR($O544="",$N544=""),0,IF($O544&lt;=$N544,1,0)))</f>
        <v/>
      </c>
      <c r="W544" s="36" t="str">
        <f aca="false">IF($F544="","",IF(OR($O544="",$U544=""),0,IF($O544&lt;=$U544,1,0)))</f>
        <v/>
      </c>
      <c r="X544" s="37" t="str">
        <f aca="false">IF(OR($O544="",$N544=""),"",MAX(0,$O544-$N544))</f>
        <v/>
      </c>
      <c r="Y544" s="36" t="str">
        <f aca="false">IF($F544="","",IF(AND($Q544&lt;&gt;"",$N544&lt;&gt;"",$Q544&lt;&gt;$N544),1,0))</f>
        <v/>
      </c>
      <c r="Z544" s="36" t="str">
        <f aca="false">IF($F544="","",IF($P544="Cancelada",0,IF(OR($O544&lt;&gt;"",$P544="Concluída"),1,0)))</f>
        <v/>
      </c>
    </row>
    <row r="545" customFormat="false" ht="16.5" hidden="false" customHeight="true" outlineLevel="0" collapsed="false">
      <c r="A545" s="36" t="str">
        <f aca="false">IF($F545="","",COUNTA($F$5:$F545))</f>
        <v/>
      </c>
      <c r="B545" s="37" t="str">
        <f aca="true">IF($F545="","",IF($P545="Cancelada","Cancelada",IF(OR($O545&lt;&gt;"",$P545="Concluída"),IF(OR($N545="",$O545="",$O545&lt;=$N545),"Concluída","Concluída com atraso"),IF($N545="","Na carteira",IF($N545&lt;TODAY(),"VENCIDA",IF($P545="Em execução","Em execução",IF($N545=TODAY(),"Hoje","Programada")))))))</f>
        <v/>
      </c>
      <c r="C545" s="38"/>
      <c r="D545" s="38"/>
      <c r="E545" s="38"/>
      <c r="F545" s="38"/>
      <c r="G545" s="39"/>
      <c r="H545" s="39"/>
      <c r="I545" s="40"/>
      <c r="J545" s="40"/>
      <c r="K545" s="40"/>
      <c r="L545" s="41"/>
      <c r="M545" s="42"/>
      <c r="N545" s="43" t="str">
        <f aca="false">IF(OR($L545="",$M545=""),"",$L545+MATCH($M545,Listas!$F$5:$F$11,0)-1)</f>
        <v/>
      </c>
      <c r="O545" s="44"/>
      <c r="P545" s="39"/>
      <c r="Q545" s="44"/>
      <c r="R545" s="38"/>
      <c r="S545" s="38"/>
      <c r="T545" s="36" t="str">
        <f aca="false">IF($F545="","",IF(ISNUMBER(SEARCH("(externo)",$I545&amp;$J545&amp;$K545)),"Terceirizada","Interna"))</f>
        <v/>
      </c>
      <c r="U545" s="43" t="str">
        <f aca="false">IF($N545="","",IF($Q545="",$N545,$Q545))</f>
        <v/>
      </c>
      <c r="V545" s="36" t="str">
        <f aca="false">IF($F545="","",IF(OR($O545="",$N545=""),0,IF($O545&lt;=$N545,1,0)))</f>
        <v/>
      </c>
      <c r="W545" s="36" t="str">
        <f aca="false">IF($F545="","",IF(OR($O545="",$U545=""),0,IF($O545&lt;=$U545,1,0)))</f>
        <v/>
      </c>
      <c r="X545" s="37" t="str">
        <f aca="false">IF(OR($O545="",$N545=""),"",MAX(0,$O545-$N545))</f>
        <v/>
      </c>
      <c r="Y545" s="36" t="str">
        <f aca="false">IF($F545="","",IF(AND($Q545&lt;&gt;"",$N545&lt;&gt;"",$Q545&lt;&gt;$N545),1,0))</f>
        <v/>
      </c>
      <c r="Z545" s="36" t="str">
        <f aca="false">IF($F545="","",IF($P545="Cancelada",0,IF(OR($O545&lt;&gt;"",$P545="Concluída"),1,0)))</f>
        <v/>
      </c>
    </row>
    <row r="546" customFormat="false" ht="16.5" hidden="false" customHeight="true" outlineLevel="0" collapsed="false">
      <c r="A546" s="36" t="str">
        <f aca="false">IF($F546="","",COUNTA($F$5:$F546))</f>
        <v/>
      </c>
      <c r="B546" s="37" t="str">
        <f aca="true">IF($F546="","",IF($P546="Cancelada","Cancelada",IF(OR($O546&lt;&gt;"",$P546="Concluída"),IF(OR($N546="",$O546="",$O546&lt;=$N546),"Concluída","Concluída com atraso"),IF($N546="","Na carteira",IF($N546&lt;TODAY(),"VENCIDA",IF($P546="Em execução","Em execução",IF($N546=TODAY(),"Hoje","Programada")))))))</f>
        <v/>
      </c>
      <c r="C546" s="38"/>
      <c r="D546" s="38"/>
      <c r="E546" s="38"/>
      <c r="F546" s="38"/>
      <c r="G546" s="39"/>
      <c r="H546" s="39"/>
      <c r="I546" s="40"/>
      <c r="J546" s="40"/>
      <c r="K546" s="40"/>
      <c r="L546" s="41"/>
      <c r="M546" s="42"/>
      <c r="N546" s="43" t="str">
        <f aca="false">IF(OR($L546="",$M546=""),"",$L546+MATCH($M546,Listas!$F$5:$F$11,0)-1)</f>
        <v/>
      </c>
      <c r="O546" s="44"/>
      <c r="P546" s="39"/>
      <c r="Q546" s="44"/>
      <c r="R546" s="38"/>
      <c r="S546" s="38"/>
      <c r="T546" s="36" t="str">
        <f aca="false">IF($F546="","",IF(ISNUMBER(SEARCH("(externo)",$I546&amp;$J546&amp;$K546)),"Terceirizada","Interna"))</f>
        <v/>
      </c>
      <c r="U546" s="43" t="str">
        <f aca="false">IF($N546="","",IF($Q546="",$N546,$Q546))</f>
        <v/>
      </c>
      <c r="V546" s="36" t="str">
        <f aca="false">IF($F546="","",IF(OR($O546="",$N546=""),0,IF($O546&lt;=$N546,1,0)))</f>
        <v/>
      </c>
      <c r="W546" s="36" t="str">
        <f aca="false">IF($F546="","",IF(OR($O546="",$U546=""),0,IF($O546&lt;=$U546,1,0)))</f>
        <v/>
      </c>
      <c r="X546" s="37" t="str">
        <f aca="false">IF(OR($O546="",$N546=""),"",MAX(0,$O546-$N546))</f>
        <v/>
      </c>
      <c r="Y546" s="36" t="str">
        <f aca="false">IF($F546="","",IF(AND($Q546&lt;&gt;"",$N546&lt;&gt;"",$Q546&lt;&gt;$N546),1,0))</f>
        <v/>
      </c>
      <c r="Z546" s="36" t="str">
        <f aca="false">IF($F546="","",IF($P546="Cancelada",0,IF(OR($O546&lt;&gt;"",$P546="Concluída"),1,0)))</f>
        <v/>
      </c>
    </row>
    <row r="547" customFormat="false" ht="16.5" hidden="false" customHeight="true" outlineLevel="0" collapsed="false">
      <c r="A547" s="36" t="str">
        <f aca="false">IF($F547="","",COUNTA($F$5:$F547))</f>
        <v/>
      </c>
      <c r="B547" s="37" t="str">
        <f aca="true">IF($F547="","",IF($P547="Cancelada","Cancelada",IF(OR($O547&lt;&gt;"",$P547="Concluída"),IF(OR($N547="",$O547="",$O547&lt;=$N547),"Concluída","Concluída com atraso"),IF($N547="","Na carteira",IF($N547&lt;TODAY(),"VENCIDA",IF($P547="Em execução","Em execução",IF($N547=TODAY(),"Hoje","Programada")))))))</f>
        <v/>
      </c>
      <c r="C547" s="38"/>
      <c r="D547" s="38"/>
      <c r="E547" s="38"/>
      <c r="F547" s="38"/>
      <c r="G547" s="39"/>
      <c r="H547" s="39"/>
      <c r="I547" s="40"/>
      <c r="J547" s="40"/>
      <c r="K547" s="40"/>
      <c r="L547" s="41"/>
      <c r="M547" s="42"/>
      <c r="N547" s="43" t="str">
        <f aca="false">IF(OR($L547="",$M547=""),"",$L547+MATCH($M547,Listas!$F$5:$F$11,0)-1)</f>
        <v/>
      </c>
      <c r="O547" s="44"/>
      <c r="P547" s="39"/>
      <c r="Q547" s="44"/>
      <c r="R547" s="38"/>
      <c r="S547" s="38"/>
      <c r="T547" s="36" t="str">
        <f aca="false">IF($F547="","",IF(ISNUMBER(SEARCH("(externo)",$I547&amp;$J547&amp;$K547)),"Terceirizada","Interna"))</f>
        <v/>
      </c>
      <c r="U547" s="43" t="str">
        <f aca="false">IF($N547="","",IF($Q547="",$N547,$Q547))</f>
        <v/>
      </c>
      <c r="V547" s="36" t="str">
        <f aca="false">IF($F547="","",IF(OR($O547="",$N547=""),0,IF($O547&lt;=$N547,1,0)))</f>
        <v/>
      </c>
      <c r="W547" s="36" t="str">
        <f aca="false">IF($F547="","",IF(OR($O547="",$U547=""),0,IF($O547&lt;=$U547,1,0)))</f>
        <v/>
      </c>
      <c r="X547" s="37" t="str">
        <f aca="false">IF(OR($O547="",$N547=""),"",MAX(0,$O547-$N547))</f>
        <v/>
      </c>
      <c r="Y547" s="36" t="str">
        <f aca="false">IF($F547="","",IF(AND($Q547&lt;&gt;"",$N547&lt;&gt;"",$Q547&lt;&gt;$N547),1,0))</f>
        <v/>
      </c>
      <c r="Z547" s="36" t="str">
        <f aca="false">IF($F547="","",IF($P547="Cancelada",0,IF(OR($O547&lt;&gt;"",$P547="Concluída"),1,0)))</f>
        <v/>
      </c>
    </row>
    <row r="548" customFormat="false" ht="16.5" hidden="false" customHeight="true" outlineLevel="0" collapsed="false">
      <c r="A548" s="36" t="str">
        <f aca="false">IF($F548="","",COUNTA($F$5:$F548))</f>
        <v/>
      </c>
      <c r="B548" s="37" t="str">
        <f aca="true">IF($F548="","",IF($P548="Cancelada","Cancelada",IF(OR($O548&lt;&gt;"",$P548="Concluída"),IF(OR($N548="",$O548="",$O548&lt;=$N548),"Concluída","Concluída com atraso"),IF($N548="","Na carteira",IF($N548&lt;TODAY(),"VENCIDA",IF($P548="Em execução","Em execução",IF($N548=TODAY(),"Hoje","Programada")))))))</f>
        <v/>
      </c>
      <c r="C548" s="38"/>
      <c r="D548" s="38"/>
      <c r="E548" s="38"/>
      <c r="F548" s="38"/>
      <c r="G548" s="39"/>
      <c r="H548" s="39"/>
      <c r="I548" s="40"/>
      <c r="J548" s="40"/>
      <c r="K548" s="40"/>
      <c r="L548" s="41"/>
      <c r="M548" s="42"/>
      <c r="N548" s="43" t="str">
        <f aca="false">IF(OR($L548="",$M548=""),"",$L548+MATCH($M548,Listas!$F$5:$F$11,0)-1)</f>
        <v/>
      </c>
      <c r="O548" s="44"/>
      <c r="P548" s="39"/>
      <c r="Q548" s="44"/>
      <c r="R548" s="38"/>
      <c r="S548" s="38"/>
      <c r="T548" s="36" t="str">
        <f aca="false">IF($F548="","",IF(ISNUMBER(SEARCH("(externo)",$I548&amp;$J548&amp;$K548)),"Terceirizada","Interna"))</f>
        <v/>
      </c>
      <c r="U548" s="43" t="str">
        <f aca="false">IF($N548="","",IF($Q548="",$N548,$Q548))</f>
        <v/>
      </c>
      <c r="V548" s="36" t="str">
        <f aca="false">IF($F548="","",IF(OR($O548="",$N548=""),0,IF($O548&lt;=$N548,1,0)))</f>
        <v/>
      </c>
      <c r="W548" s="36" t="str">
        <f aca="false">IF($F548="","",IF(OR($O548="",$U548=""),0,IF($O548&lt;=$U548,1,0)))</f>
        <v/>
      </c>
      <c r="X548" s="37" t="str">
        <f aca="false">IF(OR($O548="",$N548=""),"",MAX(0,$O548-$N548))</f>
        <v/>
      </c>
      <c r="Y548" s="36" t="str">
        <f aca="false">IF($F548="","",IF(AND($Q548&lt;&gt;"",$N548&lt;&gt;"",$Q548&lt;&gt;$N548),1,0))</f>
        <v/>
      </c>
      <c r="Z548" s="36" t="str">
        <f aca="false">IF($F548="","",IF($P548="Cancelada",0,IF(OR($O548&lt;&gt;"",$P548="Concluída"),1,0)))</f>
        <v/>
      </c>
    </row>
    <row r="549" customFormat="false" ht="16.5" hidden="false" customHeight="true" outlineLevel="0" collapsed="false">
      <c r="A549" s="36" t="str">
        <f aca="false">IF($F549="","",COUNTA($F$5:$F549))</f>
        <v/>
      </c>
      <c r="B549" s="37" t="str">
        <f aca="true">IF($F549="","",IF($P549="Cancelada","Cancelada",IF(OR($O549&lt;&gt;"",$P549="Concluída"),IF(OR($N549="",$O549="",$O549&lt;=$N549),"Concluída","Concluída com atraso"),IF($N549="","Na carteira",IF($N549&lt;TODAY(),"VENCIDA",IF($P549="Em execução","Em execução",IF($N549=TODAY(),"Hoje","Programada")))))))</f>
        <v/>
      </c>
      <c r="C549" s="38"/>
      <c r="D549" s="38"/>
      <c r="E549" s="38"/>
      <c r="F549" s="38"/>
      <c r="G549" s="39"/>
      <c r="H549" s="39"/>
      <c r="I549" s="40"/>
      <c r="J549" s="40"/>
      <c r="K549" s="40"/>
      <c r="L549" s="41"/>
      <c r="M549" s="42"/>
      <c r="N549" s="43" t="str">
        <f aca="false">IF(OR($L549="",$M549=""),"",$L549+MATCH($M549,Listas!$F$5:$F$11,0)-1)</f>
        <v/>
      </c>
      <c r="O549" s="44"/>
      <c r="P549" s="39"/>
      <c r="Q549" s="44"/>
      <c r="R549" s="38"/>
      <c r="S549" s="38"/>
      <c r="T549" s="36" t="str">
        <f aca="false">IF($F549="","",IF(ISNUMBER(SEARCH("(externo)",$I549&amp;$J549&amp;$K549)),"Terceirizada","Interna"))</f>
        <v/>
      </c>
      <c r="U549" s="43" t="str">
        <f aca="false">IF($N549="","",IF($Q549="",$N549,$Q549))</f>
        <v/>
      </c>
      <c r="V549" s="36" t="str">
        <f aca="false">IF($F549="","",IF(OR($O549="",$N549=""),0,IF($O549&lt;=$N549,1,0)))</f>
        <v/>
      </c>
      <c r="W549" s="36" t="str">
        <f aca="false">IF($F549="","",IF(OR($O549="",$U549=""),0,IF($O549&lt;=$U549,1,0)))</f>
        <v/>
      </c>
      <c r="X549" s="37" t="str">
        <f aca="false">IF(OR($O549="",$N549=""),"",MAX(0,$O549-$N549))</f>
        <v/>
      </c>
      <c r="Y549" s="36" t="str">
        <f aca="false">IF($F549="","",IF(AND($Q549&lt;&gt;"",$N549&lt;&gt;"",$Q549&lt;&gt;$N549),1,0))</f>
        <v/>
      </c>
      <c r="Z549" s="36" t="str">
        <f aca="false">IF($F549="","",IF($P549="Cancelada",0,IF(OR($O549&lt;&gt;"",$P549="Concluída"),1,0)))</f>
        <v/>
      </c>
    </row>
    <row r="550" customFormat="false" ht="16.5" hidden="false" customHeight="true" outlineLevel="0" collapsed="false">
      <c r="A550" s="36" t="str">
        <f aca="false">IF($F550="","",COUNTA($F$5:$F550))</f>
        <v/>
      </c>
      <c r="B550" s="37" t="str">
        <f aca="true">IF($F550="","",IF($P550="Cancelada","Cancelada",IF(OR($O550&lt;&gt;"",$P550="Concluída"),IF(OR($N550="",$O550="",$O550&lt;=$N550),"Concluída","Concluída com atraso"),IF($N550="","Na carteira",IF($N550&lt;TODAY(),"VENCIDA",IF($P550="Em execução","Em execução",IF($N550=TODAY(),"Hoje","Programada")))))))</f>
        <v/>
      </c>
      <c r="C550" s="38"/>
      <c r="D550" s="38"/>
      <c r="E550" s="38"/>
      <c r="F550" s="38"/>
      <c r="G550" s="39"/>
      <c r="H550" s="39"/>
      <c r="I550" s="40"/>
      <c r="J550" s="40"/>
      <c r="K550" s="40"/>
      <c r="L550" s="41"/>
      <c r="M550" s="42"/>
      <c r="N550" s="43" t="str">
        <f aca="false">IF(OR($L550="",$M550=""),"",$L550+MATCH($M550,Listas!$F$5:$F$11,0)-1)</f>
        <v/>
      </c>
      <c r="O550" s="44"/>
      <c r="P550" s="39"/>
      <c r="Q550" s="44"/>
      <c r="R550" s="38"/>
      <c r="S550" s="38"/>
      <c r="T550" s="36" t="str">
        <f aca="false">IF($F550="","",IF(ISNUMBER(SEARCH("(externo)",$I550&amp;$J550&amp;$K550)),"Terceirizada","Interna"))</f>
        <v/>
      </c>
      <c r="U550" s="43" t="str">
        <f aca="false">IF($N550="","",IF($Q550="",$N550,$Q550))</f>
        <v/>
      </c>
      <c r="V550" s="36" t="str">
        <f aca="false">IF($F550="","",IF(OR($O550="",$N550=""),0,IF($O550&lt;=$N550,1,0)))</f>
        <v/>
      </c>
      <c r="W550" s="36" t="str">
        <f aca="false">IF($F550="","",IF(OR($O550="",$U550=""),0,IF($O550&lt;=$U550,1,0)))</f>
        <v/>
      </c>
      <c r="X550" s="37" t="str">
        <f aca="false">IF(OR($O550="",$N550=""),"",MAX(0,$O550-$N550))</f>
        <v/>
      </c>
      <c r="Y550" s="36" t="str">
        <f aca="false">IF($F550="","",IF(AND($Q550&lt;&gt;"",$N550&lt;&gt;"",$Q550&lt;&gt;$N550),1,0))</f>
        <v/>
      </c>
      <c r="Z550" s="36" t="str">
        <f aca="false">IF($F550="","",IF($P550="Cancelada",0,IF(OR($O550&lt;&gt;"",$P550="Concluída"),1,0)))</f>
        <v/>
      </c>
    </row>
    <row r="551" customFormat="false" ht="16.5" hidden="false" customHeight="true" outlineLevel="0" collapsed="false">
      <c r="A551" s="36" t="str">
        <f aca="false">IF($F551="","",COUNTA($F$5:$F551))</f>
        <v/>
      </c>
      <c r="B551" s="37" t="str">
        <f aca="true">IF($F551="","",IF($P551="Cancelada","Cancelada",IF(OR($O551&lt;&gt;"",$P551="Concluída"),IF(OR($N551="",$O551="",$O551&lt;=$N551),"Concluída","Concluída com atraso"),IF($N551="","Na carteira",IF($N551&lt;TODAY(),"VENCIDA",IF($P551="Em execução","Em execução",IF($N551=TODAY(),"Hoje","Programada")))))))</f>
        <v/>
      </c>
      <c r="C551" s="38"/>
      <c r="D551" s="38"/>
      <c r="E551" s="38"/>
      <c r="F551" s="38"/>
      <c r="G551" s="39"/>
      <c r="H551" s="39"/>
      <c r="I551" s="40"/>
      <c r="J551" s="40"/>
      <c r="K551" s="40"/>
      <c r="L551" s="41"/>
      <c r="M551" s="42"/>
      <c r="N551" s="43" t="str">
        <f aca="false">IF(OR($L551="",$M551=""),"",$L551+MATCH($M551,Listas!$F$5:$F$11,0)-1)</f>
        <v/>
      </c>
      <c r="O551" s="44"/>
      <c r="P551" s="39"/>
      <c r="Q551" s="44"/>
      <c r="R551" s="38"/>
      <c r="S551" s="38"/>
      <c r="T551" s="36" t="str">
        <f aca="false">IF($F551="","",IF(ISNUMBER(SEARCH("(externo)",$I551&amp;$J551&amp;$K551)),"Terceirizada","Interna"))</f>
        <v/>
      </c>
      <c r="U551" s="43" t="str">
        <f aca="false">IF($N551="","",IF($Q551="",$N551,$Q551))</f>
        <v/>
      </c>
      <c r="V551" s="36" t="str">
        <f aca="false">IF($F551="","",IF(OR($O551="",$N551=""),0,IF($O551&lt;=$N551,1,0)))</f>
        <v/>
      </c>
      <c r="W551" s="36" t="str">
        <f aca="false">IF($F551="","",IF(OR($O551="",$U551=""),0,IF($O551&lt;=$U551,1,0)))</f>
        <v/>
      </c>
      <c r="X551" s="37" t="str">
        <f aca="false">IF(OR($O551="",$N551=""),"",MAX(0,$O551-$N551))</f>
        <v/>
      </c>
      <c r="Y551" s="36" t="str">
        <f aca="false">IF($F551="","",IF(AND($Q551&lt;&gt;"",$N551&lt;&gt;"",$Q551&lt;&gt;$N551),1,0))</f>
        <v/>
      </c>
      <c r="Z551" s="36" t="str">
        <f aca="false">IF($F551="","",IF($P551="Cancelada",0,IF(OR($O551&lt;&gt;"",$P551="Concluída"),1,0)))</f>
        <v/>
      </c>
    </row>
    <row r="552" customFormat="false" ht="16.5" hidden="false" customHeight="true" outlineLevel="0" collapsed="false">
      <c r="A552" s="36" t="str">
        <f aca="false">IF($F552="","",COUNTA($F$5:$F552))</f>
        <v/>
      </c>
      <c r="B552" s="37" t="str">
        <f aca="true">IF($F552="","",IF($P552="Cancelada","Cancelada",IF(OR($O552&lt;&gt;"",$P552="Concluída"),IF(OR($N552="",$O552="",$O552&lt;=$N552),"Concluída","Concluída com atraso"),IF($N552="","Na carteira",IF($N552&lt;TODAY(),"VENCIDA",IF($P552="Em execução","Em execução",IF($N552=TODAY(),"Hoje","Programada")))))))</f>
        <v/>
      </c>
      <c r="C552" s="38"/>
      <c r="D552" s="38"/>
      <c r="E552" s="38"/>
      <c r="F552" s="38"/>
      <c r="G552" s="39"/>
      <c r="H552" s="39"/>
      <c r="I552" s="40"/>
      <c r="J552" s="40"/>
      <c r="K552" s="40"/>
      <c r="L552" s="41"/>
      <c r="M552" s="42"/>
      <c r="N552" s="43" t="str">
        <f aca="false">IF(OR($L552="",$M552=""),"",$L552+MATCH($M552,Listas!$F$5:$F$11,0)-1)</f>
        <v/>
      </c>
      <c r="O552" s="44"/>
      <c r="P552" s="39"/>
      <c r="Q552" s="44"/>
      <c r="R552" s="38"/>
      <c r="S552" s="38"/>
      <c r="T552" s="36" t="str">
        <f aca="false">IF($F552="","",IF(ISNUMBER(SEARCH("(externo)",$I552&amp;$J552&amp;$K552)),"Terceirizada","Interna"))</f>
        <v/>
      </c>
      <c r="U552" s="43" t="str">
        <f aca="false">IF($N552="","",IF($Q552="",$N552,$Q552))</f>
        <v/>
      </c>
      <c r="V552" s="36" t="str">
        <f aca="false">IF($F552="","",IF(OR($O552="",$N552=""),0,IF($O552&lt;=$N552,1,0)))</f>
        <v/>
      </c>
      <c r="W552" s="36" t="str">
        <f aca="false">IF($F552="","",IF(OR($O552="",$U552=""),0,IF($O552&lt;=$U552,1,0)))</f>
        <v/>
      </c>
      <c r="X552" s="37" t="str">
        <f aca="false">IF(OR($O552="",$N552=""),"",MAX(0,$O552-$N552))</f>
        <v/>
      </c>
      <c r="Y552" s="36" t="str">
        <f aca="false">IF($F552="","",IF(AND($Q552&lt;&gt;"",$N552&lt;&gt;"",$Q552&lt;&gt;$N552),1,0))</f>
        <v/>
      </c>
      <c r="Z552" s="36" t="str">
        <f aca="false">IF($F552="","",IF($P552="Cancelada",0,IF(OR($O552&lt;&gt;"",$P552="Concluída"),1,0)))</f>
        <v/>
      </c>
    </row>
    <row r="553" customFormat="false" ht="16.5" hidden="false" customHeight="true" outlineLevel="0" collapsed="false">
      <c r="A553" s="36" t="str">
        <f aca="false">IF($F553="","",COUNTA($F$5:$F553))</f>
        <v/>
      </c>
      <c r="B553" s="37" t="str">
        <f aca="true">IF($F553="","",IF($P553="Cancelada","Cancelada",IF(OR($O553&lt;&gt;"",$P553="Concluída"),IF(OR($N553="",$O553="",$O553&lt;=$N553),"Concluída","Concluída com atraso"),IF($N553="","Na carteira",IF($N553&lt;TODAY(),"VENCIDA",IF($P553="Em execução","Em execução",IF($N553=TODAY(),"Hoje","Programada")))))))</f>
        <v/>
      </c>
      <c r="C553" s="38"/>
      <c r="D553" s="38"/>
      <c r="E553" s="38"/>
      <c r="F553" s="38"/>
      <c r="G553" s="39"/>
      <c r="H553" s="39"/>
      <c r="I553" s="40"/>
      <c r="J553" s="40"/>
      <c r="K553" s="40"/>
      <c r="L553" s="41"/>
      <c r="M553" s="42"/>
      <c r="N553" s="43" t="str">
        <f aca="false">IF(OR($L553="",$M553=""),"",$L553+MATCH($M553,Listas!$F$5:$F$11,0)-1)</f>
        <v/>
      </c>
      <c r="O553" s="44"/>
      <c r="P553" s="39"/>
      <c r="Q553" s="44"/>
      <c r="R553" s="38"/>
      <c r="S553" s="38"/>
      <c r="T553" s="36" t="str">
        <f aca="false">IF($F553="","",IF(ISNUMBER(SEARCH("(externo)",$I553&amp;$J553&amp;$K553)),"Terceirizada","Interna"))</f>
        <v/>
      </c>
      <c r="U553" s="43" t="str">
        <f aca="false">IF($N553="","",IF($Q553="",$N553,$Q553))</f>
        <v/>
      </c>
      <c r="V553" s="36" t="str">
        <f aca="false">IF($F553="","",IF(OR($O553="",$N553=""),0,IF($O553&lt;=$N553,1,0)))</f>
        <v/>
      </c>
      <c r="W553" s="36" t="str">
        <f aca="false">IF($F553="","",IF(OR($O553="",$U553=""),0,IF($O553&lt;=$U553,1,0)))</f>
        <v/>
      </c>
      <c r="X553" s="37" t="str">
        <f aca="false">IF(OR($O553="",$N553=""),"",MAX(0,$O553-$N553))</f>
        <v/>
      </c>
      <c r="Y553" s="36" t="str">
        <f aca="false">IF($F553="","",IF(AND($Q553&lt;&gt;"",$N553&lt;&gt;"",$Q553&lt;&gt;$N553),1,0))</f>
        <v/>
      </c>
      <c r="Z553" s="36" t="str">
        <f aca="false">IF($F553="","",IF($P553="Cancelada",0,IF(OR($O553&lt;&gt;"",$P553="Concluída"),1,0)))</f>
        <v/>
      </c>
    </row>
    <row r="554" customFormat="false" ht="16.5" hidden="false" customHeight="true" outlineLevel="0" collapsed="false">
      <c r="A554" s="36" t="str">
        <f aca="false">IF($F554="","",COUNTA($F$5:$F554))</f>
        <v/>
      </c>
      <c r="B554" s="37" t="str">
        <f aca="true">IF($F554="","",IF($P554="Cancelada","Cancelada",IF(OR($O554&lt;&gt;"",$P554="Concluída"),IF(OR($N554="",$O554="",$O554&lt;=$N554),"Concluída","Concluída com atraso"),IF($N554="","Na carteira",IF($N554&lt;TODAY(),"VENCIDA",IF($P554="Em execução","Em execução",IF($N554=TODAY(),"Hoje","Programada")))))))</f>
        <v/>
      </c>
      <c r="C554" s="38"/>
      <c r="D554" s="38"/>
      <c r="E554" s="38"/>
      <c r="F554" s="38"/>
      <c r="G554" s="39"/>
      <c r="H554" s="39"/>
      <c r="I554" s="40"/>
      <c r="J554" s="40"/>
      <c r="K554" s="40"/>
      <c r="L554" s="41"/>
      <c r="M554" s="42"/>
      <c r="N554" s="43" t="str">
        <f aca="false">IF(OR($L554="",$M554=""),"",$L554+MATCH($M554,Listas!$F$5:$F$11,0)-1)</f>
        <v/>
      </c>
      <c r="O554" s="44"/>
      <c r="P554" s="39"/>
      <c r="Q554" s="44"/>
      <c r="R554" s="38"/>
      <c r="S554" s="38"/>
      <c r="T554" s="36" t="str">
        <f aca="false">IF($F554="","",IF(ISNUMBER(SEARCH("(externo)",$I554&amp;$J554&amp;$K554)),"Terceirizada","Interna"))</f>
        <v/>
      </c>
      <c r="U554" s="43" t="str">
        <f aca="false">IF($N554="","",IF($Q554="",$N554,$Q554))</f>
        <v/>
      </c>
      <c r="V554" s="36" t="str">
        <f aca="false">IF($F554="","",IF(OR($O554="",$N554=""),0,IF($O554&lt;=$N554,1,0)))</f>
        <v/>
      </c>
      <c r="W554" s="36" t="str">
        <f aca="false">IF($F554="","",IF(OR($O554="",$U554=""),0,IF($O554&lt;=$U554,1,0)))</f>
        <v/>
      </c>
      <c r="X554" s="37" t="str">
        <f aca="false">IF(OR($O554="",$N554=""),"",MAX(0,$O554-$N554))</f>
        <v/>
      </c>
      <c r="Y554" s="36" t="str">
        <f aca="false">IF($F554="","",IF(AND($Q554&lt;&gt;"",$N554&lt;&gt;"",$Q554&lt;&gt;$N554),1,0))</f>
        <v/>
      </c>
      <c r="Z554" s="36" t="str">
        <f aca="false">IF($F554="","",IF($P554="Cancelada",0,IF(OR($O554&lt;&gt;"",$P554="Concluída"),1,0)))</f>
        <v/>
      </c>
    </row>
    <row r="555" customFormat="false" ht="16.5" hidden="false" customHeight="true" outlineLevel="0" collapsed="false">
      <c r="A555" s="36" t="str">
        <f aca="false">IF($F555="","",COUNTA($F$5:$F555))</f>
        <v/>
      </c>
      <c r="B555" s="37" t="str">
        <f aca="true">IF($F555="","",IF($P555="Cancelada","Cancelada",IF(OR($O555&lt;&gt;"",$P555="Concluída"),IF(OR($N555="",$O555="",$O555&lt;=$N555),"Concluída","Concluída com atraso"),IF($N555="","Na carteira",IF($N555&lt;TODAY(),"VENCIDA",IF($P555="Em execução","Em execução",IF($N555=TODAY(),"Hoje","Programada")))))))</f>
        <v/>
      </c>
      <c r="C555" s="38"/>
      <c r="D555" s="38"/>
      <c r="E555" s="38"/>
      <c r="F555" s="38"/>
      <c r="G555" s="39"/>
      <c r="H555" s="39"/>
      <c r="I555" s="40"/>
      <c r="J555" s="40"/>
      <c r="K555" s="40"/>
      <c r="L555" s="41"/>
      <c r="M555" s="42"/>
      <c r="N555" s="43" t="str">
        <f aca="false">IF(OR($L555="",$M555=""),"",$L555+MATCH($M555,Listas!$F$5:$F$11,0)-1)</f>
        <v/>
      </c>
      <c r="O555" s="44"/>
      <c r="P555" s="39"/>
      <c r="Q555" s="44"/>
      <c r="R555" s="38"/>
      <c r="S555" s="38"/>
      <c r="T555" s="36" t="str">
        <f aca="false">IF($F555="","",IF(ISNUMBER(SEARCH("(externo)",$I555&amp;$J555&amp;$K555)),"Terceirizada","Interna"))</f>
        <v/>
      </c>
      <c r="U555" s="43" t="str">
        <f aca="false">IF($N555="","",IF($Q555="",$N555,$Q555))</f>
        <v/>
      </c>
      <c r="V555" s="36" t="str">
        <f aca="false">IF($F555="","",IF(OR($O555="",$N555=""),0,IF($O555&lt;=$N555,1,0)))</f>
        <v/>
      </c>
      <c r="W555" s="36" t="str">
        <f aca="false">IF($F555="","",IF(OR($O555="",$U555=""),0,IF($O555&lt;=$U555,1,0)))</f>
        <v/>
      </c>
      <c r="X555" s="37" t="str">
        <f aca="false">IF(OR($O555="",$N555=""),"",MAX(0,$O555-$N555))</f>
        <v/>
      </c>
      <c r="Y555" s="36" t="str">
        <f aca="false">IF($F555="","",IF(AND($Q555&lt;&gt;"",$N555&lt;&gt;"",$Q555&lt;&gt;$N555),1,0))</f>
        <v/>
      </c>
      <c r="Z555" s="36" t="str">
        <f aca="false">IF($F555="","",IF($P555="Cancelada",0,IF(OR($O555&lt;&gt;"",$P555="Concluída"),1,0)))</f>
        <v/>
      </c>
    </row>
    <row r="556" customFormat="false" ht="16.5" hidden="false" customHeight="true" outlineLevel="0" collapsed="false">
      <c r="A556" s="36" t="str">
        <f aca="false">IF($F556="","",COUNTA($F$5:$F556))</f>
        <v/>
      </c>
      <c r="B556" s="37" t="str">
        <f aca="true">IF($F556="","",IF($P556="Cancelada","Cancelada",IF(OR($O556&lt;&gt;"",$P556="Concluída"),IF(OR($N556="",$O556="",$O556&lt;=$N556),"Concluída","Concluída com atraso"),IF($N556="","Na carteira",IF($N556&lt;TODAY(),"VENCIDA",IF($P556="Em execução","Em execução",IF($N556=TODAY(),"Hoje","Programada")))))))</f>
        <v/>
      </c>
      <c r="C556" s="38"/>
      <c r="D556" s="38"/>
      <c r="E556" s="38"/>
      <c r="F556" s="38"/>
      <c r="G556" s="39"/>
      <c r="H556" s="39"/>
      <c r="I556" s="40"/>
      <c r="J556" s="40"/>
      <c r="K556" s="40"/>
      <c r="L556" s="41"/>
      <c r="M556" s="42"/>
      <c r="N556" s="43" t="str">
        <f aca="false">IF(OR($L556="",$M556=""),"",$L556+MATCH($M556,Listas!$F$5:$F$11,0)-1)</f>
        <v/>
      </c>
      <c r="O556" s="44"/>
      <c r="P556" s="39"/>
      <c r="Q556" s="44"/>
      <c r="R556" s="38"/>
      <c r="S556" s="38"/>
      <c r="T556" s="36" t="str">
        <f aca="false">IF($F556="","",IF(ISNUMBER(SEARCH("(externo)",$I556&amp;$J556&amp;$K556)),"Terceirizada","Interna"))</f>
        <v/>
      </c>
      <c r="U556" s="43" t="str">
        <f aca="false">IF($N556="","",IF($Q556="",$N556,$Q556))</f>
        <v/>
      </c>
      <c r="V556" s="36" t="str">
        <f aca="false">IF($F556="","",IF(OR($O556="",$N556=""),0,IF($O556&lt;=$N556,1,0)))</f>
        <v/>
      </c>
      <c r="W556" s="36" t="str">
        <f aca="false">IF($F556="","",IF(OR($O556="",$U556=""),0,IF($O556&lt;=$U556,1,0)))</f>
        <v/>
      </c>
      <c r="X556" s="37" t="str">
        <f aca="false">IF(OR($O556="",$N556=""),"",MAX(0,$O556-$N556))</f>
        <v/>
      </c>
      <c r="Y556" s="36" t="str">
        <f aca="false">IF($F556="","",IF(AND($Q556&lt;&gt;"",$N556&lt;&gt;"",$Q556&lt;&gt;$N556),1,0))</f>
        <v/>
      </c>
      <c r="Z556" s="36" t="str">
        <f aca="false">IF($F556="","",IF($P556="Cancelada",0,IF(OR($O556&lt;&gt;"",$P556="Concluída"),1,0)))</f>
        <v/>
      </c>
    </row>
    <row r="557" customFormat="false" ht="16.5" hidden="false" customHeight="true" outlineLevel="0" collapsed="false">
      <c r="A557" s="36" t="str">
        <f aca="false">IF($F557="","",COUNTA($F$5:$F557))</f>
        <v/>
      </c>
      <c r="B557" s="37" t="str">
        <f aca="true">IF($F557="","",IF($P557="Cancelada","Cancelada",IF(OR($O557&lt;&gt;"",$P557="Concluída"),IF(OR($N557="",$O557="",$O557&lt;=$N557),"Concluída","Concluída com atraso"),IF($N557="","Na carteira",IF($N557&lt;TODAY(),"VENCIDA",IF($P557="Em execução","Em execução",IF($N557=TODAY(),"Hoje","Programada")))))))</f>
        <v/>
      </c>
      <c r="C557" s="38"/>
      <c r="D557" s="38"/>
      <c r="E557" s="38"/>
      <c r="F557" s="38"/>
      <c r="G557" s="39"/>
      <c r="H557" s="39"/>
      <c r="I557" s="40"/>
      <c r="J557" s="40"/>
      <c r="K557" s="40"/>
      <c r="L557" s="41"/>
      <c r="M557" s="42"/>
      <c r="N557" s="43" t="str">
        <f aca="false">IF(OR($L557="",$M557=""),"",$L557+MATCH($M557,Listas!$F$5:$F$11,0)-1)</f>
        <v/>
      </c>
      <c r="O557" s="44"/>
      <c r="P557" s="39"/>
      <c r="Q557" s="44"/>
      <c r="R557" s="38"/>
      <c r="S557" s="38"/>
      <c r="T557" s="36" t="str">
        <f aca="false">IF($F557="","",IF(ISNUMBER(SEARCH("(externo)",$I557&amp;$J557&amp;$K557)),"Terceirizada","Interna"))</f>
        <v/>
      </c>
      <c r="U557" s="43" t="str">
        <f aca="false">IF($N557="","",IF($Q557="",$N557,$Q557))</f>
        <v/>
      </c>
      <c r="V557" s="36" t="str">
        <f aca="false">IF($F557="","",IF(OR($O557="",$N557=""),0,IF($O557&lt;=$N557,1,0)))</f>
        <v/>
      </c>
      <c r="W557" s="36" t="str">
        <f aca="false">IF($F557="","",IF(OR($O557="",$U557=""),0,IF($O557&lt;=$U557,1,0)))</f>
        <v/>
      </c>
      <c r="X557" s="37" t="str">
        <f aca="false">IF(OR($O557="",$N557=""),"",MAX(0,$O557-$N557))</f>
        <v/>
      </c>
      <c r="Y557" s="36" t="str">
        <f aca="false">IF($F557="","",IF(AND($Q557&lt;&gt;"",$N557&lt;&gt;"",$Q557&lt;&gt;$N557),1,0))</f>
        <v/>
      </c>
      <c r="Z557" s="36" t="str">
        <f aca="false">IF($F557="","",IF($P557="Cancelada",0,IF(OR($O557&lt;&gt;"",$P557="Concluída"),1,0)))</f>
        <v/>
      </c>
    </row>
    <row r="558" customFormat="false" ht="16.5" hidden="false" customHeight="true" outlineLevel="0" collapsed="false">
      <c r="A558" s="36" t="str">
        <f aca="false">IF($F558="","",COUNTA($F$5:$F558))</f>
        <v/>
      </c>
      <c r="B558" s="37" t="str">
        <f aca="true">IF($F558="","",IF($P558="Cancelada","Cancelada",IF(OR($O558&lt;&gt;"",$P558="Concluída"),IF(OR($N558="",$O558="",$O558&lt;=$N558),"Concluída","Concluída com atraso"),IF($N558="","Na carteira",IF($N558&lt;TODAY(),"VENCIDA",IF($P558="Em execução","Em execução",IF($N558=TODAY(),"Hoje","Programada")))))))</f>
        <v/>
      </c>
      <c r="C558" s="38"/>
      <c r="D558" s="38"/>
      <c r="E558" s="38"/>
      <c r="F558" s="38"/>
      <c r="G558" s="39"/>
      <c r="H558" s="39"/>
      <c r="I558" s="40"/>
      <c r="J558" s="40"/>
      <c r="K558" s="40"/>
      <c r="L558" s="41"/>
      <c r="M558" s="42"/>
      <c r="N558" s="43" t="str">
        <f aca="false">IF(OR($L558="",$M558=""),"",$L558+MATCH($M558,Listas!$F$5:$F$11,0)-1)</f>
        <v/>
      </c>
      <c r="O558" s="44"/>
      <c r="P558" s="39"/>
      <c r="Q558" s="44"/>
      <c r="R558" s="38"/>
      <c r="S558" s="38"/>
      <c r="T558" s="36" t="str">
        <f aca="false">IF($F558="","",IF(ISNUMBER(SEARCH("(externo)",$I558&amp;$J558&amp;$K558)),"Terceirizada","Interna"))</f>
        <v/>
      </c>
      <c r="U558" s="43" t="str">
        <f aca="false">IF($N558="","",IF($Q558="",$N558,$Q558))</f>
        <v/>
      </c>
      <c r="V558" s="36" t="str">
        <f aca="false">IF($F558="","",IF(OR($O558="",$N558=""),0,IF($O558&lt;=$N558,1,0)))</f>
        <v/>
      </c>
      <c r="W558" s="36" t="str">
        <f aca="false">IF($F558="","",IF(OR($O558="",$U558=""),0,IF($O558&lt;=$U558,1,0)))</f>
        <v/>
      </c>
      <c r="X558" s="37" t="str">
        <f aca="false">IF(OR($O558="",$N558=""),"",MAX(0,$O558-$N558))</f>
        <v/>
      </c>
      <c r="Y558" s="36" t="str">
        <f aca="false">IF($F558="","",IF(AND($Q558&lt;&gt;"",$N558&lt;&gt;"",$Q558&lt;&gt;$N558),1,0))</f>
        <v/>
      </c>
      <c r="Z558" s="36" t="str">
        <f aca="false">IF($F558="","",IF($P558="Cancelada",0,IF(OR($O558&lt;&gt;"",$P558="Concluída"),1,0)))</f>
        <v/>
      </c>
    </row>
    <row r="559" customFormat="false" ht="16.5" hidden="false" customHeight="true" outlineLevel="0" collapsed="false">
      <c r="A559" s="36" t="str">
        <f aca="false">IF($F559="","",COUNTA($F$5:$F559))</f>
        <v/>
      </c>
      <c r="B559" s="37" t="str">
        <f aca="true">IF($F559="","",IF($P559="Cancelada","Cancelada",IF(OR($O559&lt;&gt;"",$P559="Concluída"),IF(OR($N559="",$O559="",$O559&lt;=$N559),"Concluída","Concluída com atraso"),IF($N559="","Na carteira",IF($N559&lt;TODAY(),"VENCIDA",IF($P559="Em execução","Em execução",IF($N559=TODAY(),"Hoje","Programada")))))))</f>
        <v/>
      </c>
      <c r="C559" s="38"/>
      <c r="D559" s="38"/>
      <c r="E559" s="38"/>
      <c r="F559" s="38"/>
      <c r="G559" s="39"/>
      <c r="H559" s="39"/>
      <c r="I559" s="40"/>
      <c r="J559" s="40"/>
      <c r="K559" s="40"/>
      <c r="L559" s="41"/>
      <c r="M559" s="42"/>
      <c r="N559" s="43" t="str">
        <f aca="false">IF(OR($L559="",$M559=""),"",$L559+MATCH($M559,Listas!$F$5:$F$11,0)-1)</f>
        <v/>
      </c>
      <c r="O559" s="44"/>
      <c r="P559" s="39"/>
      <c r="Q559" s="44"/>
      <c r="R559" s="38"/>
      <c r="S559" s="38"/>
      <c r="T559" s="36" t="str">
        <f aca="false">IF($F559="","",IF(ISNUMBER(SEARCH("(externo)",$I559&amp;$J559&amp;$K559)),"Terceirizada","Interna"))</f>
        <v/>
      </c>
      <c r="U559" s="43" t="str">
        <f aca="false">IF($N559="","",IF($Q559="",$N559,$Q559))</f>
        <v/>
      </c>
      <c r="V559" s="36" t="str">
        <f aca="false">IF($F559="","",IF(OR($O559="",$N559=""),0,IF($O559&lt;=$N559,1,0)))</f>
        <v/>
      </c>
      <c r="W559" s="36" t="str">
        <f aca="false">IF($F559="","",IF(OR($O559="",$U559=""),0,IF($O559&lt;=$U559,1,0)))</f>
        <v/>
      </c>
      <c r="X559" s="37" t="str">
        <f aca="false">IF(OR($O559="",$N559=""),"",MAX(0,$O559-$N559))</f>
        <v/>
      </c>
      <c r="Y559" s="36" t="str">
        <f aca="false">IF($F559="","",IF(AND($Q559&lt;&gt;"",$N559&lt;&gt;"",$Q559&lt;&gt;$N559),1,0))</f>
        <v/>
      </c>
      <c r="Z559" s="36" t="str">
        <f aca="false">IF($F559="","",IF($P559="Cancelada",0,IF(OR($O559&lt;&gt;"",$P559="Concluída"),1,0)))</f>
        <v/>
      </c>
    </row>
    <row r="560" customFormat="false" ht="16.5" hidden="false" customHeight="true" outlineLevel="0" collapsed="false">
      <c r="A560" s="36" t="str">
        <f aca="false">IF($F560="","",COUNTA($F$5:$F560))</f>
        <v/>
      </c>
      <c r="B560" s="37" t="str">
        <f aca="true">IF($F560="","",IF($P560="Cancelada","Cancelada",IF(OR($O560&lt;&gt;"",$P560="Concluída"),IF(OR($N560="",$O560="",$O560&lt;=$N560),"Concluída","Concluída com atraso"),IF($N560="","Na carteira",IF($N560&lt;TODAY(),"VENCIDA",IF($P560="Em execução","Em execução",IF($N560=TODAY(),"Hoje","Programada")))))))</f>
        <v/>
      </c>
      <c r="C560" s="38"/>
      <c r="D560" s="38"/>
      <c r="E560" s="38"/>
      <c r="F560" s="38"/>
      <c r="G560" s="39"/>
      <c r="H560" s="39"/>
      <c r="I560" s="40"/>
      <c r="J560" s="40"/>
      <c r="K560" s="40"/>
      <c r="L560" s="41"/>
      <c r="M560" s="42"/>
      <c r="N560" s="43" t="str">
        <f aca="false">IF(OR($L560="",$M560=""),"",$L560+MATCH($M560,Listas!$F$5:$F$11,0)-1)</f>
        <v/>
      </c>
      <c r="O560" s="44"/>
      <c r="P560" s="39"/>
      <c r="Q560" s="44"/>
      <c r="R560" s="38"/>
      <c r="S560" s="38"/>
      <c r="T560" s="36" t="str">
        <f aca="false">IF($F560="","",IF(ISNUMBER(SEARCH("(externo)",$I560&amp;$J560&amp;$K560)),"Terceirizada","Interna"))</f>
        <v/>
      </c>
      <c r="U560" s="43" t="str">
        <f aca="false">IF($N560="","",IF($Q560="",$N560,$Q560))</f>
        <v/>
      </c>
      <c r="V560" s="36" t="str">
        <f aca="false">IF($F560="","",IF(OR($O560="",$N560=""),0,IF($O560&lt;=$N560,1,0)))</f>
        <v/>
      </c>
      <c r="W560" s="36" t="str">
        <f aca="false">IF($F560="","",IF(OR($O560="",$U560=""),0,IF($O560&lt;=$U560,1,0)))</f>
        <v/>
      </c>
      <c r="X560" s="37" t="str">
        <f aca="false">IF(OR($O560="",$N560=""),"",MAX(0,$O560-$N560))</f>
        <v/>
      </c>
      <c r="Y560" s="36" t="str">
        <f aca="false">IF($F560="","",IF(AND($Q560&lt;&gt;"",$N560&lt;&gt;"",$Q560&lt;&gt;$N560),1,0))</f>
        <v/>
      </c>
      <c r="Z560" s="36" t="str">
        <f aca="false">IF($F560="","",IF($P560="Cancelada",0,IF(OR($O560&lt;&gt;"",$P560="Concluída"),1,0)))</f>
        <v/>
      </c>
    </row>
    <row r="561" customFormat="false" ht="16.5" hidden="false" customHeight="true" outlineLevel="0" collapsed="false">
      <c r="A561" s="36" t="str">
        <f aca="false">IF($F561="","",COUNTA($F$5:$F561))</f>
        <v/>
      </c>
      <c r="B561" s="37" t="str">
        <f aca="true">IF($F561="","",IF($P561="Cancelada","Cancelada",IF(OR($O561&lt;&gt;"",$P561="Concluída"),IF(OR($N561="",$O561="",$O561&lt;=$N561),"Concluída","Concluída com atraso"),IF($N561="","Na carteira",IF($N561&lt;TODAY(),"VENCIDA",IF($P561="Em execução","Em execução",IF($N561=TODAY(),"Hoje","Programada")))))))</f>
        <v/>
      </c>
      <c r="C561" s="38"/>
      <c r="D561" s="38"/>
      <c r="E561" s="38"/>
      <c r="F561" s="38"/>
      <c r="G561" s="39"/>
      <c r="H561" s="39"/>
      <c r="I561" s="40"/>
      <c r="J561" s="40"/>
      <c r="K561" s="40"/>
      <c r="L561" s="41"/>
      <c r="M561" s="42"/>
      <c r="N561" s="43" t="str">
        <f aca="false">IF(OR($L561="",$M561=""),"",$L561+MATCH($M561,Listas!$F$5:$F$11,0)-1)</f>
        <v/>
      </c>
      <c r="O561" s="44"/>
      <c r="P561" s="39"/>
      <c r="Q561" s="44"/>
      <c r="R561" s="38"/>
      <c r="S561" s="38"/>
      <c r="T561" s="36" t="str">
        <f aca="false">IF($F561="","",IF(ISNUMBER(SEARCH("(externo)",$I561&amp;$J561&amp;$K561)),"Terceirizada","Interna"))</f>
        <v/>
      </c>
      <c r="U561" s="43" t="str">
        <f aca="false">IF($N561="","",IF($Q561="",$N561,$Q561))</f>
        <v/>
      </c>
      <c r="V561" s="36" t="str">
        <f aca="false">IF($F561="","",IF(OR($O561="",$N561=""),0,IF($O561&lt;=$N561,1,0)))</f>
        <v/>
      </c>
      <c r="W561" s="36" t="str">
        <f aca="false">IF($F561="","",IF(OR($O561="",$U561=""),0,IF($O561&lt;=$U561,1,0)))</f>
        <v/>
      </c>
      <c r="X561" s="37" t="str">
        <f aca="false">IF(OR($O561="",$N561=""),"",MAX(0,$O561-$N561))</f>
        <v/>
      </c>
      <c r="Y561" s="36" t="str">
        <f aca="false">IF($F561="","",IF(AND($Q561&lt;&gt;"",$N561&lt;&gt;"",$Q561&lt;&gt;$N561),1,0))</f>
        <v/>
      </c>
      <c r="Z561" s="36" t="str">
        <f aca="false">IF($F561="","",IF($P561="Cancelada",0,IF(OR($O561&lt;&gt;"",$P561="Concluída"),1,0)))</f>
        <v/>
      </c>
    </row>
    <row r="562" customFormat="false" ht="16.5" hidden="false" customHeight="true" outlineLevel="0" collapsed="false">
      <c r="A562" s="36" t="str">
        <f aca="false">IF($F562="","",COUNTA($F$5:$F562))</f>
        <v/>
      </c>
      <c r="B562" s="37" t="str">
        <f aca="true">IF($F562="","",IF($P562="Cancelada","Cancelada",IF(OR($O562&lt;&gt;"",$P562="Concluída"),IF(OR($N562="",$O562="",$O562&lt;=$N562),"Concluída","Concluída com atraso"),IF($N562="","Na carteira",IF($N562&lt;TODAY(),"VENCIDA",IF($P562="Em execução","Em execução",IF($N562=TODAY(),"Hoje","Programada")))))))</f>
        <v/>
      </c>
      <c r="C562" s="38"/>
      <c r="D562" s="38"/>
      <c r="E562" s="38"/>
      <c r="F562" s="38"/>
      <c r="G562" s="39"/>
      <c r="H562" s="39"/>
      <c r="I562" s="40"/>
      <c r="J562" s="40"/>
      <c r="K562" s="40"/>
      <c r="L562" s="41"/>
      <c r="M562" s="42"/>
      <c r="N562" s="43" t="str">
        <f aca="false">IF(OR($L562="",$M562=""),"",$L562+MATCH($M562,Listas!$F$5:$F$11,0)-1)</f>
        <v/>
      </c>
      <c r="O562" s="44"/>
      <c r="P562" s="39"/>
      <c r="Q562" s="44"/>
      <c r="R562" s="38"/>
      <c r="S562" s="38"/>
      <c r="T562" s="36" t="str">
        <f aca="false">IF($F562="","",IF(ISNUMBER(SEARCH("(externo)",$I562&amp;$J562&amp;$K562)),"Terceirizada","Interna"))</f>
        <v/>
      </c>
      <c r="U562" s="43" t="str">
        <f aca="false">IF($N562="","",IF($Q562="",$N562,$Q562))</f>
        <v/>
      </c>
      <c r="V562" s="36" t="str">
        <f aca="false">IF($F562="","",IF(OR($O562="",$N562=""),0,IF($O562&lt;=$N562,1,0)))</f>
        <v/>
      </c>
      <c r="W562" s="36" t="str">
        <f aca="false">IF($F562="","",IF(OR($O562="",$U562=""),0,IF($O562&lt;=$U562,1,0)))</f>
        <v/>
      </c>
      <c r="X562" s="37" t="str">
        <f aca="false">IF(OR($O562="",$N562=""),"",MAX(0,$O562-$N562))</f>
        <v/>
      </c>
      <c r="Y562" s="36" t="str">
        <f aca="false">IF($F562="","",IF(AND($Q562&lt;&gt;"",$N562&lt;&gt;"",$Q562&lt;&gt;$N562),1,0))</f>
        <v/>
      </c>
      <c r="Z562" s="36" t="str">
        <f aca="false">IF($F562="","",IF($P562="Cancelada",0,IF(OR($O562&lt;&gt;"",$P562="Concluída"),1,0)))</f>
        <v/>
      </c>
    </row>
    <row r="563" customFormat="false" ht="16.5" hidden="false" customHeight="true" outlineLevel="0" collapsed="false">
      <c r="A563" s="36" t="str">
        <f aca="false">IF($F563="","",COUNTA($F$5:$F563))</f>
        <v/>
      </c>
      <c r="B563" s="37" t="str">
        <f aca="true">IF($F563="","",IF($P563="Cancelada","Cancelada",IF(OR($O563&lt;&gt;"",$P563="Concluída"),IF(OR($N563="",$O563="",$O563&lt;=$N563),"Concluída","Concluída com atraso"),IF($N563="","Na carteira",IF($N563&lt;TODAY(),"VENCIDA",IF($P563="Em execução","Em execução",IF($N563=TODAY(),"Hoje","Programada")))))))</f>
        <v/>
      </c>
      <c r="C563" s="38"/>
      <c r="D563" s="38"/>
      <c r="E563" s="38"/>
      <c r="F563" s="38"/>
      <c r="G563" s="39"/>
      <c r="H563" s="39"/>
      <c r="I563" s="40"/>
      <c r="J563" s="40"/>
      <c r="K563" s="40"/>
      <c r="L563" s="41"/>
      <c r="M563" s="42"/>
      <c r="N563" s="43" t="str">
        <f aca="false">IF(OR($L563="",$M563=""),"",$L563+MATCH($M563,Listas!$F$5:$F$11,0)-1)</f>
        <v/>
      </c>
      <c r="O563" s="44"/>
      <c r="P563" s="39"/>
      <c r="Q563" s="44"/>
      <c r="R563" s="38"/>
      <c r="S563" s="38"/>
      <c r="T563" s="36" t="str">
        <f aca="false">IF($F563="","",IF(ISNUMBER(SEARCH("(externo)",$I563&amp;$J563&amp;$K563)),"Terceirizada","Interna"))</f>
        <v/>
      </c>
      <c r="U563" s="43" t="str">
        <f aca="false">IF($N563="","",IF($Q563="",$N563,$Q563))</f>
        <v/>
      </c>
      <c r="V563" s="36" t="str">
        <f aca="false">IF($F563="","",IF(OR($O563="",$N563=""),0,IF($O563&lt;=$N563,1,0)))</f>
        <v/>
      </c>
      <c r="W563" s="36" t="str">
        <f aca="false">IF($F563="","",IF(OR($O563="",$U563=""),0,IF($O563&lt;=$U563,1,0)))</f>
        <v/>
      </c>
      <c r="X563" s="37" t="str">
        <f aca="false">IF(OR($O563="",$N563=""),"",MAX(0,$O563-$N563))</f>
        <v/>
      </c>
      <c r="Y563" s="36" t="str">
        <f aca="false">IF($F563="","",IF(AND($Q563&lt;&gt;"",$N563&lt;&gt;"",$Q563&lt;&gt;$N563),1,0))</f>
        <v/>
      </c>
      <c r="Z563" s="36" t="str">
        <f aca="false">IF($F563="","",IF($P563="Cancelada",0,IF(OR($O563&lt;&gt;"",$P563="Concluída"),1,0)))</f>
        <v/>
      </c>
    </row>
    <row r="564" customFormat="false" ht="16.5" hidden="false" customHeight="true" outlineLevel="0" collapsed="false">
      <c r="A564" s="36" t="str">
        <f aca="false">IF($F564="","",COUNTA($F$5:$F564))</f>
        <v/>
      </c>
      <c r="B564" s="37" t="str">
        <f aca="true">IF($F564="","",IF($P564="Cancelada","Cancelada",IF(OR($O564&lt;&gt;"",$P564="Concluída"),IF(OR($N564="",$O564="",$O564&lt;=$N564),"Concluída","Concluída com atraso"),IF($N564="","Na carteira",IF($N564&lt;TODAY(),"VENCIDA",IF($P564="Em execução","Em execução",IF($N564=TODAY(),"Hoje","Programada")))))))</f>
        <v/>
      </c>
      <c r="C564" s="38"/>
      <c r="D564" s="38"/>
      <c r="E564" s="38"/>
      <c r="F564" s="38"/>
      <c r="G564" s="39"/>
      <c r="H564" s="39"/>
      <c r="I564" s="40"/>
      <c r="J564" s="40"/>
      <c r="K564" s="40"/>
      <c r="L564" s="41"/>
      <c r="M564" s="42"/>
      <c r="N564" s="43" t="str">
        <f aca="false">IF(OR($L564="",$M564=""),"",$L564+MATCH($M564,Listas!$F$5:$F$11,0)-1)</f>
        <v/>
      </c>
      <c r="O564" s="44"/>
      <c r="P564" s="39"/>
      <c r="Q564" s="44"/>
      <c r="R564" s="38"/>
      <c r="S564" s="38"/>
      <c r="T564" s="36" t="str">
        <f aca="false">IF($F564="","",IF(ISNUMBER(SEARCH("(externo)",$I564&amp;$J564&amp;$K564)),"Terceirizada","Interna"))</f>
        <v/>
      </c>
      <c r="U564" s="43" t="str">
        <f aca="false">IF($N564="","",IF($Q564="",$N564,$Q564))</f>
        <v/>
      </c>
      <c r="V564" s="36" t="str">
        <f aca="false">IF($F564="","",IF(OR($O564="",$N564=""),0,IF($O564&lt;=$N564,1,0)))</f>
        <v/>
      </c>
      <c r="W564" s="36" t="str">
        <f aca="false">IF($F564="","",IF(OR($O564="",$U564=""),0,IF($O564&lt;=$U564,1,0)))</f>
        <v/>
      </c>
      <c r="X564" s="37" t="str">
        <f aca="false">IF(OR($O564="",$N564=""),"",MAX(0,$O564-$N564))</f>
        <v/>
      </c>
      <c r="Y564" s="36" t="str">
        <f aca="false">IF($F564="","",IF(AND($Q564&lt;&gt;"",$N564&lt;&gt;"",$Q564&lt;&gt;$N564),1,0))</f>
        <v/>
      </c>
      <c r="Z564" s="36" t="str">
        <f aca="false">IF($F564="","",IF($P564="Cancelada",0,IF(OR($O564&lt;&gt;"",$P564="Concluída"),1,0)))</f>
        <v/>
      </c>
    </row>
    <row r="565" customFormat="false" ht="16.5" hidden="false" customHeight="true" outlineLevel="0" collapsed="false">
      <c r="A565" s="36" t="str">
        <f aca="false">IF($F565="","",COUNTA($F$5:$F565))</f>
        <v/>
      </c>
      <c r="B565" s="37" t="str">
        <f aca="true">IF($F565="","",IF($P565="Cancelada","Cancelada",IF(OR($O565&lt;&gt;"",$P565="Concluída"),IF(OR($N565="",$O565="",$O565&lt;=$N565),"Concluída","Concluída com atraso"),IF($N565="","Na carteira",IF($N565&lt;TODAY(),"VENCIDA",IF($P565="Em execução","Em execução",IF($N565=TODAY(),"Hoje","Programada")))))))</f>
        <v/>
      </c>
      <c r="C565" s="38"/>
      <c r="D565" s="38"/>
      <c r="E565" s="38"/>
      <c r="F565" s="38"/>
      <c r="G565" s="39"/>
      <c r="H565" s="39"/>
      <c r="I565" s="40"/>
      <c r="J565" s="40"/>
      <c r="K565" s="40"/>
      <c r="L565" s="41"/>
      <c r="M565" s="42"/>
      <c r="N565" s="43" t="str">
        <f aca="false">IF(OR($L565="",$M565=""),"",$L565+MATCH($M565,Listas!$F$5:$F$11,0)-1)</f>
        <v/>
      </c>
      <c r="O565" s="44"/>
      <c r="P565" s="39"/>
      <c r="Q565" s="44"/>
      <c r="R565" s="38"/>
      <c r="S565" s="38"/>
      <c r="T565" s="36" t="str">
        <f aca="false">IF($F565="","",IF(ISNUMBER(SEARCH("(externo)",$I565&amp;$J565&amp;$K565)),"Terceirizada","Interna"))</f>
        <v/>
      </c>
      <c r="U565" s="43" t="str">
        <f aca="false">IF($N565="","",IF($Q565="",$N565,$Q565))</f>
        <v/>
      </c>
      <c r="V565" s="36" t="str">
        <f aca="false">IF($F565="","",IF(OR($O565="",$N565=""),0,IF($O565&lt;=$N565,1,0)))</f>
        <v/>
      </c>
      <c r="W565" s="36" t="str">
        <f aca="false">IF($F565="","",IF(OR($O565="",$U565=""),0,IF($O565&lt;=$U565,1,0)))</f>
        <v/>
      </c>
      <c r="X565" s="37" t="str">
        <f aca="false">IF(OR($O565="",$N565=""),"",MAX(0,$O565-$N565))</f>
        <v/>
      </c>
      <c r="Y565" s="36" t="str">
        <f aca="false">IF($F565="","",IF(AND($Q565&lt;&gt;"",$N565&lt;&gt;"",$Q565&lt;&gt;$N565),1,0))</f>
        <v/>
      </c>
      <c r="Z565" s="36" t="str">
        <f aca="false">IF($F565="","",IF($P565="Cancelada",0,IF(OR($O565&lt;&gt;"",$P565="Concluída"),1,0)))</f>
        <v/>
      </c>
    </row>
    <row r="566" customFormat="false" ht="16.5" hidden="false" customHeight="true" outlineLevel="0" collapsed="false">
      <c r="A566" s="36" t="str">
        <f aca="false">IF($F566="","",COUNTA($F$5:$F566))</f>
        <v/>
      </c>
      <c r="B566" s="37" t="str">
        <f aca="true">IF($F566="","",IF($P566="Cancelada","Cancelada",IF(OR($O566&lt;&gt;"",$P566="Concluída"),IF(OR($N566="",$O566="",$O566&lt;=$N566),"Concluída","Concluída com atraso"),IF($N566="","Na carteira",IF($N566&lt;TODAY(),"VENCIDA",IF($P566="Em execução","Em execução",IF($N566=TODAY(),"Hoje","Programada")))))))</f>
        <v/>
      </c>
      <c r="C566" s="38"/>
      <c r="D566" s="38"/>
      <c r="E566" s="38"/>
      <c r="F566" s="38"/>
      <c r="G566" s="39"/>
      <c r="H566" s="39"/>
      <c r="I566" s="40"/>
      <c r="J566" s="40"/>
      <c r="K566" s="40"/>
      <c r="L566" s="41"/>
      <c r="M566" s="42"/>
      <c r="N566" s="43" t="str">
        <f aca="false">IF(OR($L566="",$M566=""),"",$L566+MATCH($M566,Listas!$F$5:$F$11,0)-1)</f>
        <v/>
      </c>
      <c r="O566" s="44"/>
      <c r="P566" s="39"/>
      <c r="Q566" s="44"/>
      <c r="R566" s="38"/>
      <c r="S566" s="38"/>
      <c r="T566" s="36" t="str">
        <f aca="false">IF($F566="","",IF(ISNUMBER(SEARCH("(externo)",$I566&amp;$J566&amp;$K566)),"Terceirizada","Interna"))</f>
        <v/>
      </c>
      <c r="U566" s="43" t="str">
        <f aca="false">IF($N566="","",IF($Q566="",$N566,$Q566))</f>
        <v/>
      </c>
      <c r="V566" s="36" t="str">
        <f aca="false">IF($F566="","",IF(OR($O566="",$N566=""),0,IF($O566&lt;=$N566,1,0)))</f>
        <v/>
      </c>
      <c r="W566" s="36" t="str">
        <f aca="false">IF($F566="","",IF(OR($O566="",$U566=""),0,IF($O566&lt;=$U566,1,0)))</f>
        <v/>
      </c>
      <c r="X566" s="37" t="str">
        <f aca="false">IF(OR($O566="",$N566=""),"",MAX(0,$O566-$N566))</f>
        <v/>
      </c>
      <c r="Y566" s="36" t="str">
        <f aca="false">IF($F566="","",IF(AND($Q566&lt;&gt;"",$N566&lt;&gt;"",$Q566&lt;&gt;$N566),1,0))</f>
        <v/>
      </c>
      <c r="Z566" s="36" t="str">
        <f aca="false">IF($F566="","",IF($P566="Cancelada",0,IF(OR($O566&lt;&gt;"",$P566="Concluída"),1,0)))</f>
        <v/>
      </c>
    </row>
    <row r="567" customFormat="false" ht="16.5" hidden="false" customHeight="true" outlineLevel="0" collapsed="false">
      <c r="A567" s="36" t="str">
        <f aca="false">IF($F567="","",COUNTA($F$5:$F567))</f>
        <v/>
      </c>
      <c r="B567" s="37" t="str">
        <f aca="true">IF($F567="","",IF($P567="Cancelada","Cancelada",IF(OR($O567&lt;&gt;"",$P567="Concluída"),IF(OR($N567="",$O567="",$O567&lt;=$N567),"Concluída","Concluída com atraso"),IF($N567="","Na carteira",IF($N567&lt;TODAY(),"VENCIDA",IF($P567="Em execução","Em execução",IF($N567=TODAY(),"Hoje","Programada")))))))</f>
        <v/>
      </c>
      <c r="C567" s="38"/>
      <c r="D567" s="38"/>
      <c r="E567" s="38"/>
      <c r="F567" s="38"/>
      <c r="G567" s="39"/>
      <c r="H567" s="39"/>
      <c r="I567" s="40"/>
      <c r="J567" s="40"/>
      <c r="K567" s="40"/>
      <c r="L567" s="41"/>
      <c r="M567" s="42"/>
      <c r="N567" s="43" t="str">
        <f aca="false">IF(OR($L567="",$M567=""),"",$L567+MATCH($M567,Listas!$F$5:$F$11,0)-1)</f>
        <v/>
      </c>
      <c r="O567" s="44"/>
      <c r="P567" s="39"/>
      <c r="Q567" s="44"/>
      <c r="R567" s="38"/>
      <c r="S567" s="38"/>
      <c r="T567" s="36" t="str">
        <f aca="false">IF($F567="","",IF(ISNUMBER(SEARCH("(externo)",$I567&amp;$J567&amp;$K567)),"Terceirizada","Interna"))</f>
        <v/>
      </c>
      <c r="U567" s="43" t="str">
        <f aca="false">IF($N567="","",IF($Q567="",$N567,$Q567))</f>
        <v/>
      </c>
      <c r="V567" s="36" t="str">
        <f aca="false">IF($F567="","",IF(OR($O567="",$N567=""),0,IF($O567&lt;=$N567,1,0)))</f>
        <v/>
      </c>
      <c r="W567" s="36" t="str">
        <f aca="false">IF($F567="","",IF(OR($O567="",$U567=""),0,IF($O567&lt;=$U567,1,0)))</f>
        <v/>
      </c>
      <c r="X567" s="37" t="str">
        <f aca="false">IF(OR($O567="",$N567=""),"",MAX(0,$O567-$N567))</f>
        <v/>
      </c>
      <c r="Y567" s="36" t="str">
        <f aca="false">IF($F567="","",IF(AND($Q567&lt;&gt;"",$N567&lt;&gt;"",$Q567&lt;&gt;$N567),1,0))</f>
        <v/>
      </c>
      <c r="Z567" s="36" t="str">
        <f aca="false">IF($F567="","",IF($P567="Cancelada",0,IF(OR($O567&lt;&gt;"",$P567="Concluída"),1,0)))</f>
        <v/>
      </c>
    </row>
    <row r="568" customFormat="false" ht="16.5" hidden="false" customHeight="true" outlineLevel="0" collapsed="false">
      <c r="A568" s="36" t="str">
        <f aca="false">IF($F568="","",COUNTA($F$5:$F568))</f>
        <v/>
      </c>
      <c r="B568" s="37" t="str">
        <f aca="true">IF($F568="","",IF($P568="Cancelada","Cancelada",IF(OR($O568&lt;&gt;"",$P568="Concluída"),IF(OR($N568="",$O568="",$O568&lt;=$N568),"Concluída","Concluída com atraso"),IF($N568="","Na carteira",IF($N568&lt;TODAY(),"VENCIDA",IF($P568="Em execução","Em execução",IF($N568=TODAY(),"Hoje","Programada")))))))</f>
        <v/>
      </c>
      <c r="C568" s="38"/>
      <c r="D568" s="38"/>
      <c r="E568" s="38"/>
      <c r="F568" s="38"/>
      <c r="G568" s="39"/>
      <c r="H568" s="39"/>
      <c r="I568" s="40"/>
      <c r="J568" s="40"/>
      <c r="K568" s="40"/>
      <c r="L568" s="41"/>
      <c r="M568" s="42"/>
      <c r="N568" s="43" t="str">
        <f aca="false">IF(OR($L568="",$M568=""),"",$L568+MATCH($M568,Listas!$F$5:$F$11,0)-1)</f>
        <v/>
      </c>
      <c r="O568" s="44"/>
      <c r="P568" s="39"/>
      <c r="Q568" s="44"/>
      <c r="R568" s="38"/>
      <c r="S568" s="38"/>
      <c r="T568" s="36" t="str">
        <f aca="false">IF($F568="","",IF(ISNUMBER(SEARCH("(externo)",$I568&amp;$J568&amp;$K568)),"Terceirizada","Interna"))</f>
        <v/>
      </c>
      <c r="U568" s="43" t="str">
        <f aca="false">IF($N568="","",IF($Q568="",$N568,$Q568))</f>
        <v/>
      </c>
      <c r="V568" s="36" t="str">
        <f aca="false">IF($F568="","",IF(OR($O568="",$N568=""),0,IF($O568&lt;=$N568,1,0)))</f>
        <v/>
      </c>
      <c r="W568" s="36" t="str">
        <f aca="false">IF($F568="","",IF(OR($O568="",$U568=""),0,IF($O568&lt;=$U568,1,0)))</f>
        <v/>
      </c>
      <c r="X568" s="37" t="str">
        <f aca="false">IF(OR($O568="",$N568=""),"",MAX(0,$O568-$N568))</f>
        <v/>
      </c>
      <c r="Y568" s="36" t="str">
        <f aca="false">IF($F568="","",IF(AND($Q568&lt;&gt;"",$N568&lt;&gt;"",$Q568&lt;&gt;$N568),1,0))</f>
        <v/>
      </c>
      <c r="Z568" s="36" t="str">
        <f aca="false">IF($F568="","",IF($P568="Cancelada",0,IF(OR($O568&lt;&gt;"",$P568="Concluída"),1,0)))</f>
        <v/>
      </c>
    </row>
    <row r="569" customFormat="false" ht="16.5" hidden="false" customHeight="true" outlineLevel="0" collapsed="false">
      <c r="A569" s="36" t="str">
        <f aca="false">IF($F569="","",COUNTA($F$5:$F569))</f>
        <v/>
      </c>
      <c r="B569" s="37" t="str">
        <f aca="true">IF($F569="","",IF($P569="Cancelada","Cancelada",IF(OR($O569&lt;&gt;"",$P569="Concluída"),IF(OR($N569="",$O569="",$O569&lt;=$N569),"Concluída","Concluída com atraso"),IF($N569="","Na carteira",IF($N569&lt;TODAY(),"VENCIDA",IF($P569="Em execução","Em execução",IF($N569=TODAY(),"Hoje","Programada")))))))</f>
        <v/>
      </c>
      <c r="C569" s="38"/>
      <c r="D569" s="38"/>
      <c r="E569" s="38"/>
      <c r="F569" s="38"/>
      <c r="G569" s="39"/>
      <c r="H569" s="39"/>
      <c r="I569" s="40"/>
      <c r="J569" s="40"/>
      <c r="K569" s="40"/>
      <c r="L569" s="41"/>
      <c r="M569" s="42"/>
      <c r="N569" s="43" t="str">
        <f aca="false">IF(OR($L569="",$M569=""),"",$L569+MATCH($M569,Listas!$F$5:$F$11,0)-1)</f>
        <v/>
      </c>
      <c r="O569" s="44"/>
      <c r="P569" s="39"/>
      <c r="Q569" s="44"/>
      <c r="R569" s="38"/>
      <c r="S569" s="38"/>
      <c r="T569" s="36" t="str">
        <f aca="false">IF($F569="","",IF(ISNUMBER(SEARCH("(externo)",$I569&amp;$J569&amp;$K569)),"Terceirizada","Interna"))</f>
        <v/>
      </c>
      <c r="U569" s="43" t="str">
        <f aca="false">IF($N569="","",IF($Q569="",$N569,$Q569))</f>
        <v/>
      </c>
      <c r="V569" s="36" t="str">
        <f aca="false">IF($F569="","",IF(OR($O569="",$N569=""),0,IF($O569&lt;=$N569,1,0)))</f>
        <v/>
      </c>
      <c r="W569" s="36" t="str">
        <f aca="false">IF($F569="","",IF(OR($O569="",$U569=""),0,IF($O569&lt;=$U569,1,0)))</f>
        <v/>
      </c>
      <c r="X569" s="37" t="str">
        <f aca="false">IF(OR($O569="",$N569=""),"",MAX(0,$O569-$N569))</f>
        <v/>
      </c>
      <c r="Y569" s="36" t="str">
        <f aca="false">IF($F569="","",IF(AND($Q569&lt;&gt;"",$N569&lt;&gt;"",$Q569&lt;&gt;$N569),1,0))</f>
        <v/>
      </c>
      <c r="Z569" s="36" t="str">
        <f aca="false">IF($F569="","",IF($P569="Cancelada",0,IF(OR($O569&lt;&gt;"",$P569="Concluída"),1,0)))</f>
        <v/>
      </c>
    </row>
    <row r="570" customFormat="false" ht="16.5" hidden="false" customHeight="true" outlineLevel="0" collapsed="false">
      <c r="A570" s="36" t="str">
        <f aca="false">IF($F570="","",COUNTA($F$5:$F570))</f>
        <v/>
      </c>
      <c r="B570" s="37" t="str">
        <f aca="true">IF($F570="","",IF($P570="Cancelada","Cancelada",IF(OR($O570&lt;&gt;"",$P570="Concluída"),IF(OR($N570="",$O570="",$O570&lt;=$N570),"Concluída","Concluída com atraso"),IF($N570="","Na carteira",IF($N570&lt;TODAY(),"VENCIDA",IF($P570="Em execução","Em execução",IF($N570=TODAY(),"Hoje","Programada")))))))</f>
        <v/>
      </c>
      <c r="C570" s="38"/>
      <c r="D570" s="38"/>
      <c r="E570" s="38"/>
      <c r="F570" s="38"/>
      <c r="G570" s="39"/>
      <c r="H570" s="39"/>
      <c r="I570" s="40"/>
      <c r="J570" s="40"/>
      <c r="K570" s="40"/>
      <c r="L570" s="41"/>
      <c r="M570" s="42"/>
      <c r="N570" s="43" t="str">
        <f aca="false">IF(OR($L570="",$M570=""),"",$L570+MATCH($M570,Listas!$F$5:$F$11,0)-1)</f>
        <v/>
      </c>
      <c r="O570" s="44"/>
      <c r="P570" s="39"/>
      <c r="Q570" s="44"/>
      <c r="R570" s="38"/>
      <c r="S570" s="38"/>
      <c r="T570" s="36" t="str">
        <f aca="false">IF($F570="","",IF(ISNUMBER(SEARCH("(externo)",$I570&amp;$J570&amp;$K570)),"Terceirizada","Interna"))</f>
        <v/>
      </c>
      <c r="U570" s="43" t="str">
        <f aca="false">IF($N570="","",IF($Q570="",$N570,$Q570))</f>
        <v/>
      </c>
      <c r="V570" s="36" t="str">
        <f aca="false">IF($F570="","",IF(OR($O570="",$N570=""),0,IF($O570&lt;=$N570,1,0)))</f>
        <v/>
      </c>
      <c r="W570" s="36" t="str">
        <f aca="false">IF($F570="","",IF(OR($O570="",$U570=""),0,IF($O570&lt;=$U570,1,0)))</f>
        <v/>
      </c>
      <c r="X570" s="37" t="str">
        <f aca="false">IF(OR($O570="",$N570=""),"",MAX(0,$O570-$N570))</f>
        <v/>
      </c>
      <c r="Y570" s="36" t="str">
        <f aca="false">IF($F570="","",IF(AND($Q570&lt;&gt;"",$N570&lt;&gt;"",$Q570&lt;&gt;$N570),1,0))</f>
        <v/>
      </c>
      <c r="Z570" s="36" t="str">
        <f aca="false">IF($F570="","",IF($P570="Cancelada",0,IF(OR($O570&lt;&gt;"",$P570="Concluída"),1,0)))</f>
        <v/>
      </c>
    </row>
    <row r="571" customFormat="false" ht="16.5" hidden="false" customHeight="true" outlineLevel="0" collapsed="false">
      <c r="A571" s="36" t="str">
        <f aca="false">IF($F571="","",COUNTA($F$5:$F571))</f>
        <v/>
      </c>
      <c r="B571" s="37" t="str">
        <f aca="true">IF($F571="","",IF($P571="Cancelada","Cancelada",IF(OR($O571&lt;&gt;"",$P571="Concluída"),IF(OR($N571="",$O571="",$O571&lt;=$N571),"Concluída","Concluída com atraso"),IF($N571="","Na carteira",IF($N571&lt;TODAY(),"VENCIDA",IF($P571="Em execução","Em execução",IF($N571=TODAY(),"Hoje","Programada")))))))</f>
        <v/>
      </c>
      <c r="C571" s="38"/>
      <c r="D571" s="38"/>
      <c r="E571" s="38"/>
      <c r="F571" s="38"/>
      <c r="G571" s="39"/>
      <c r="H571" s="39"/>
      <c r="I571" s="40"/>
      <c r="J571" s="40"/>
      <c r="K571" s="40"/>
      <c r="L571" s="41"/>
      <c r="M571" s="42"/>
      <c r="N571" s="43" t="str">
        <f aca="false">IF(OR($L571="",$M571=""),"",$L571+MATCH($M571,Listas!$F$5:$F$11,0)-1)</f>
        <v/>
      </c>
      <c r="O571" s="44"/>
      <c r="P571" s="39"/>
      <c r="Q571" s="44"/>
      <c r="R571" s="38"/>
      <c r="S571" s="38"/>
      <c r="T571" s="36" t="str">
        <f aca="false">IF($F571="","",IF(ISNUMBER(SEARCH("(externo)",$I571&amp;$J571&amp;$K571)),"Terceirizada","Interna"))</f>
        <v/>
      </c>
      <c r="U571" s="43" t="str">
        <f aca="false">IF($N571="","",IF($Q571="",$N571,$Q571))</f>
        <v/>
      </c>
      <c r="V571" s="36" t="str">
        <f aca="false">IF($F571="","",IF(OR($O571="",$N571=""),0,IF($O571&lt;=$N571,1,0)))</f>
        <v/>
      </c>
      <c r="W571" s="36" t="str">
        <f aca="false">IF($F571="","",IF(OR($O571="",$U571=""),0,IF($O571&lt;=$U571,1,0)))</f>
        <v/>
      </c>
      <c r="X571" s="37" t="str">
        <f aca="false">IF(OR($O571="",$N571=""),"",MAX(0,$O571-$N571))</f>
        <v/>
      </c>
      <c r="Y571" s="36" t="str">
        <f aca="false">IF($F571="","",IF(AND($Q571&lt;&gt;"",$N571&lt;&gt;"",$Q571&lt;&gt;$N571),1,0))</f>
        <v/>
      </c>
      <c r="Z571" s="36" t="str">
        <f aca="false">IF($F571="","",IF($P571="Cancelada",0,IF(OR($O571&lt;&gt;"",$P571="Concluída"),1,0)))</f>
        <v/>
      </c>
    </row>
    <row r="572" customFormat="false" ht="16.5" hidden="false" customHeight="true" outlineLevel="0" collapsed="false">
      <c r="A572" s="36" t="str">
        <f aca="false">IF($F572="","",COUNTA($F$5:$F572))</f>
        <v/>
      </c>
      <c r="B572" s="37" t="str">
        <f aca="true">IF($F572="","",IF($P572="Cancelada","Cancelada",IF(OR($O572&lt;&gt;"",$P572="Concluída"),IF(OR($N572="",$O572="",$O572&lt;=$N572),"Concluída","Concluída com atraso"),IF($N572="","Na carteira",IF($N572&lt;TODAY(),"VENCIDA",IF($P572="Em execução","Em execução",IF($N572=TODAY(),"Hoje","Programada")))))))</f>
        <v/>
      </c>
      <c r="C572" s="38"/>
      <c r="D572" s="38"/>
      <c r="E572" s="38"/>
      <c r="F572" s="38"/>
      <c r="G572" s="39"/>
      <c r="H572" s="39"/>
      <c r="I572" s="40"/>
      <c r="J572" s="40"/>
      <c r="K572" s="40"/>
      <c r="L572" s="41"/>
      <c r="M572" s="42"/>
      <c r="N572" s="43" t="str">
        <f aca="false">IF(OR($L572="",$M572=""),"",$L572+MATCH($M572,Listas!$F$5:$F$11,0)-1)</f>
        <v/>
      </c>
      <c r="O572" s="44"/>
      <c r="P572" s="39"/>
      <c r="Q572" s="44"/>
      <c r="R572" s="38"/>
      <c r="S572" s="38"/>
      <c r="T572" s="36" t="str">
        <f aca="false">IF($F572="","",IF(ISNUMBER(SEARCH("(externo)",$I572&amp;$J572&amp;$K572)),"Terceirizada","Interna"))</f>
        <v/>
      </c>
      <c r="U572" s="43" t="str">
        <f aca="false">IF($N572="","",IF($Q572="",$N572,$Q572))</f>
        <v/>
      </c>
      <c r="V572" s="36" t="str">
        <f aca="false">IF($F572="","",IF(OR($O572="",$N572=""),0,IF($O572&lt;=$N572,1,0)))</f>
        <v/>
      </c>
      <c r="W572" s="36" t="str">
        <f aca="false">IF($F572="","",IF(OR($O572="",$U572=""),0,IF($O572&lt;=$U572,1,0)))</f>
        <v/>
      </c>
      <c r="X572" s="37" t="str">
        <f aca="false">IF(OR($O572="",$N572=""),"",MAX(0,$O572-$N572))</f>
        <v/>
      </c>
      <c r="Y572" s="36" t="str">
        <f aca="false">IF($F572="","",IF(AND($Q572&lt;&gt;"",$N572&lt;&gt;"",$Q572&lt;&gt;$N572),1,0))</f>
        <v/>
      </c>
      <c r="Z572" s="36" t="str">
        <f aca="false">IF($F572="","",IF($P572="Cancelada",0,IF(OR($O572&lt;&gt;"",$P572="Concluída"),1,0)))</f>
        <v/>
      </c>
    </row>
    <row r="573" customFormat="false" ht="16.5" hidden="false" customHeight="true" outlineLevel="0" collapsed="false">
      <c r="A573" s="36" t="str">
        <f aca="false">IF($F573="","",COUNTA($F$5:$F573))</f>
        <v/>
      </c>
      <c r="B573" s="37" t="str">
        <f aca="true">IF($F573="","",IF($P573="Cancelada","Cancelada",IF(OR($O573&lt;&gt;"",$P573="Concluída"),IF(OR($N573="",$O573="",$O573&lt;=$N573),"Concluída","Concluída com atraso"),IF($N573="","Na carteira",IF($N573&lt;TODAY(),"VENCIDA",IF($P573="Em execução","Em execução",IF($N573=TODAY(),"Hoje","Programada")))))))</f>
        <v/>
      </c>
      <c r="C573" s="38"/>
      <c r="D573" s="38"/>
      <c r="E573" s="38"/>
      <c r="F573" s="38"/>
      <c r="G573" s="39"/>
      <c r="H573" s="39"/>
      <c r="I573" s="40"/>
      <c r="J573" s="40"/>
      <c r="K573" s="40"/>
      <c r="L573" s="41"/>
      <c r="M573" s="42"/>
      <c r="N573" s="43" t="str">
        <f aca="false">IF(OR($L573="",$M573=""),"",$L573+MATCH($M573,Listas!$F$5:$F$11,0)-1)</f>
        <v/>
      </c>
      <c r="O573" s="44"/>
      <c r="P573" s="39"/>
      <c r="Q573" s="44"/>
      <c r="R573" s="38"/>
      <c r="S573" s="38"/>
      <c r="T573" s="36" t="str">
        <f aca="false">IF($F573="","",IF(ISNUMBER(SEARCH("(externo)",$I573&amp;$J573&amp;$K573)),"Terceirizada","Interna"))</f>
        <v/>
      </c>
      <c r="U573" s="43" t="str">
        <f aca="false">IF($N573="","",IF($Q573="",$N573,$Q573))</f>
        <v/>
      </c>
      <c r="V573" s="36" t="str">
        <f aca="false">IF($F573="","",IF(OR($O573="",$N573=""),0,IF($O573&lt;=$N573,1,0)))</f>
        <v/>
      </c>
      <c r="W573" s="36" t="str">
        <f aca="false">IF($F573="","",IF(OR($O573="",$U573=""),0,IF($O573&lt;=$U573,1,0)))</f>
        <v/>
      </c>
      <c r="X573" s="37" t="str">
        <f aca="false">IF(OR($O573="",$N573=""),"",MAX(0,$O573-$N573))</f>
        <v/>
      </c>
      <c r="Y573" s="36" t="str">
        <f aca="false">IF($F573="","",IF(AND($Q573&lt;&gt;"",$N573&lt;&gt;"",$Q573&lt;&gt;$N573),1,0))</f>
        <v/>
      </c>
      <c r="Z573" s="36" t="str">
        <f aca="false">IF($F573="","",IF($P573="Cancelada",0,IF(OR($O573&lt;&gt;"",$P573="Concluída"),1,0)))</f>
        <v/>
      </c>
    </row>
    <row r="574" customFormat="false" ht="16.5" hidden="false" customHeight="true" outlineLevel="0" collapsed="false">
      <c r="A574" s="36" t="str">
        <f aca="false">IF($F574="","",COUNTA($F$5:$F574))</f>
        <v/>
      </c>
      <c r="B574" s="37" t="str">
        <f aca="true">IF($F574="","",IF($P574="Cancelada","Cancelada",IF(OR($O574&lt;&gt;"",$P574="Concluída"),IF(OR($N574="",$O574="",$O574&lt;=$N574),"Concluída","Concluída com atraso"),IF($N574="","Na carteira",IF($N574&lt;TODAY(),"VENCIDA",IF($P574="Em execução","Em execução",IF($N574=TODAY(),"Hoje","Programada")))))))</f>
        <v/>
      </c>
      <c r="C574" s="38"/>
      <c r="D574" s="38"/>
      <c r="E574" s="38"/>
      <c r="F574" s="38"/>
      <c r="G574" s="39"/>
      <c r="H574" s="39"/>
      <c r="I574" s="40"/>
      <c r="J574" s="40"/>
      <c r="K574" s="40"/>
      <c r="L574" s="41"/>
      <c r="M574" s="42"/>
      <c r="N574" s="43" t="str">
        <f aca="false">IF(OR($L574="",$M574=""),"",$L574+MATCH($M574,Listas!$F$5:$F$11,0)-1)</f>
        <v/>
      </c>
      <c r="O574" s="44"/>
      <c r="P574" s="39"/>
      <c r="Q574" s="44"/>
      <c r="R574" s="38"/>
      <c r="S574" s="38"/>
      <c r="T574" s="36" t="str">
        <f aca="false">IF($F574="","",IF(ISNUMBER(SEARCH("(externo)",$I574&amp;$J574&amp;$K574)),"Terceirizada","Interna"))</f>
        <v/>
      </c>
      <c r="U574" s="43" t="str">
        <f aca="false">IF($N574="","",IF($Q574="",$N574,$Q574))</f>
        <v/>
      </c>
      <c r="V574" s="36" t="str">
        <f aca="false">IF($F574="","",IF(OR($O574="",$N574=""),0,IF($O574&lt;=$N574,1,0)))</f>
        <v/>
      </c>
      <c r="W574" s="36" t="str">
        <f aca="false">IF($F574="","",IF(OR($O574="",$U574=""),0,IF($O574&lt;=$U574,1,0)))</f>
        <v/>
      </c>
      <c r="X574" s="37" t="str">
        <f aca="false">IF(OR($O574="",$N574=""),"",MAX(0,$O574-$N574))</f>
        <v/>
      </c>
      <c r="Y574" s="36" t="str">
        <f aca="false">IF($F574="","",IF(AND($Q574&lt;&gt;"",$N574&lt;&gt;"",$Q574&lt;&gt;$N574),1,0))</f>
        <v/>
      </c>
      <c r="Z574" s="36" t="str">
        <f aca="false">IF($F574="","",IF($P574="Cancelada",0,IF(OR($O574&lt;&gt;"",$P574="Concluída"),1,0)))</f>
        <v/>
      </c>
    </row>
    <row r="575" customFormat="false" ht="16.5" hidden="false" customHeight="true" outlineLevel="0" collapsed="false">
      <c r="A575" s="36" t="str">
        <f aca="false">IF($F575="","",COUNTA($F$5:$F575))</f>
        <v/>
      </c>
      <c r="B575" s="37" t="str">
        <f aca="true">IF($F575="","",IF($P575="Cancelada","Cancelada",IF(OR($O575&lt;&gt;"",$P575="Concluída"),IF(OR($N575="",$O575="",$O575&lt;=$N575),"Concluída","Concluída com atraso"),IF($N575="","Na carteira",IF($N575&lt;TODAY(),"VENCIDA",IF($P575="Em execução","Em execução",IF($N575=TODAY(),"Hoje","Programada")))))))</f>
        <v/>
      </c>
      <c r="C575" s="38"/>
      <c r="D575" s="38"/>
      <c r="E575" s="38"/>
      <c r="F575" s="38"/>
      <c r="G575" s="39"/>
      <c r="H575" s="39"/>
      <c r="I575" s="40"/>
      <c r="J575" s="40"/>
      <c r="K575" s="40"/>
      <c r="L575" s="41"/>
      <c r="M575" s="42"/>
      <c r="N575" s="43" t="str">
        <f aca="false">IF(OR($L575="",$M575=""),"",$L575+MATCH($M575,Listas!$F$5:$F$11,0)-1)</f>
        <v/>
      </c>
      <c r="O575" s="44"/>
      <c r="P575" s="39"/>
      <c r="Q575" s="44"/>
      <c r="R575" s="38"/>
      <c r="S575" s="38"/>
      <c r="T575" s="36" t="str">
        <f aca="false">IF($F575="","",IF(ISNUMBER(SEARCH("(externo)",$I575&amp;$J575&amp;$K575)),"Terceirizada","Interna"))</f>
        <v/>
      </c>
      <c r="U575" s="43" t="str">
        <f aca="false">IF($N575="","",IF($Q575="",$N575,$Q575))</f>
        <v/>
      </c>
      <c r="V575" s="36" t="str">
        <f aca="false">IF($F575="","",IF(OR($O575="",$N575=""),0,IF($O575&lt;=$N575,1,0)))</f>
        <v/>
      </c>
      <c r="W575" s="36" t="str">
        <f aca="false">IF($F575="","",IF(OR($O575="",$U575=""),0,IF($O575&lt;=$U575,1,0)))</f>
        <v/>
      </c>
      <c r="X575" s="37" t="str">
        <f aca="false">IF(OR($O575="",$N575=""),"",MAX(0,$O575-$N575))</f>
        <v/>
      </c>
      <c r="Y575" s="36" t="str">
        <f aca="false">IF($F575="","",IF(AND($Q575&lt;&gt;"",$N575&lt;&gt;"",$Q575&lt;&gt;$N575),1,0))</f>
        <v/>
      </c>
      <c r="Z575" s="36" t="str">
        <f aca="false">IF($F575="","",IF($P575="Cancelada",0,IF(OR($O575&lt;&gt;"",$P575="Concluída"),1,0)))</f>
        <v/>
      </c>
    </row>
    <row r="576" customFormat="false" ht="16.5" hidden="false" customHeight="true" outlineLevel="0" collapsed="false">
      <c r="A576" s="36" t="str">
        <f aca="false">IF($F576="","",COUNTA($F$5:$F576))</f>
        <v/>
      </c>
      <c r="B576" s="37" t="str">
        <f aca="true">IF($F576="","",IF($P576="Cancelada","Cancelada",IF(OR($O576&lt;&gt;"",$P576="Concluída"),IF(OR($N576="",$O576="",$O576&lt;=$N576),"Concluída","Concluída com atraso"),IF($N576="","Na carteira",IF($N576&lt;TODAY(),"VENCIDA",IF($P576="Em execução","Em execução",IF($N576=TODAY(),"Hoje","Programada")))))))</f>
        <v/>
      </c>
      <c r="C576" s="38"/>
      <c r="D576" s="38"/>
      <c r="E576" s="38"/>
      <c r="F576" s="38"/>
      <c r="G576" s="39"/>
      <c r="H576" s="39"/>
      <c r="I576" s="40"/>
      <c r="J576" s="40"/>
      <c r="K576" s="40"/>
      <c r="L576" s="41"/>
      <c r="M576" s="42"/>
      <c r="N576" s="43" t="str">
        <f aca="false">IF(OR($L576="",$M576=""),"",$L576+MATCH($M576,Listas!$F$5:$F$11,0)-1)</f>
        <v/>
      </c>
      <c r="O576" s="44"/>
      <c r="P576" s="39"/>
      <c r="Q576" s="44"/>
      <c r="R576" s="38"/>
      <c r="S576" s="38"/>
      <c r="T576" s="36" t="str">
        <f aca="false">IF($F576="","",IF(ISNUMBER(SEARCH("(externo)",$I576&amp;$J576&amp;$K576)),"Terceirizada","Interna"))</f>
        <v/>
      </c>
      <c r="U576" s="43" t="str">
        <f aca="false">IF($N576="","",IF($Q576="",$N576,$Q576))</f>
        <v/>
      </c>
      <c r="V576" s="36" t="str">
        <f aca="false">IF($F576="","",IF(OR($O576="",$N576=""),0,IF($O576&lt;=$N576,1,0)))</f>
        <v/>
      </c>
      <c r="W576" s="36" t="str">
        <f aca="false">IF($F576="","",IF(OR($O576="",$U576=""),0,IF($O576&lt;=$U576,1,0)))</f>
        <v/>
      </c>
      <c r="X576" s="37" t="str">
        <f aca="false">IF(OR($O576="",$N576=""),"",MAX(0,$O576-$N576))</f>
        <v/>
      </c>
      <c r="Y576" s="36" t="str">
        <f aca="false">IF($F576="","",IF(AND($Q576&lt;&gt;"",$N576&lt;&gt;"",$Q576&lt;&gt;$N576),1,0))</f>
        <v/>
      </c>
      <c r="Z576" s="36" t="str">
        <f aca="false">IF($F576="","",IF($P576="Cancelada",0,IF(OR($O576&lt;&gt;"",$P576="Concluída"),1,0)))</f>
        <v/>
      </c>
    </row>
    <row r="577" customFormat="false" ht="16.5" hidden="false" customHeight="true" outlineLevel="0" collapsed="false">
      <c r="A577" s="36" t="str">
        <f aca="false">IF($F577="","",COUNTA($F$5:$F577))</f>
        <v/>
      </c>
      <c r="B577" s="37" t="str">
        <f aca="true">IF($F577="","",IF($P577="Cancelada","Cancelada",IF(OR($O577&lt;&gt;"",$P577="Concluída"),IF(OR($N577="",$O577="",$O577&lt;=$N577),"Concluída","Concluída com atraso"),IF($N577="","Na carteira",IF($N577&lt;TODAY(),"VENCIDA",IF($P577="Em execução","Em execução",IF($N577=TODAY(),"Hoje","Programada")))))))</f>
        <v/>
      </c>
      <c r="C577" s="38"/>
      <c r="D577" s="38"/>
      <c r="E577" s="38"/>
      <c r="F577" s="38"/>
      <c r="G577" s="39"/>
      <c r="H577" s="39"/>
      <c r="I577" s="40"/>
      <c r="J577" s="40"/>
      <c r="K577" s="40"/>
      <c r="L577" s="41"/>
      <c r="M577" s="42"/>
      <c r="N577" s="43" t="str">
        <f aca="false">IF(OR($L577="",$M577=""),"",$L577+MATCH($M577,Listas!$F$5:$F$11,0)-1)</f>
        <v/>
      </c>
      <c r="O577" s="44"/>
      <c r="P577" s="39"/>
      <c r="Q577" s="44"/>
      <c r="R577" s="38"/>
      <c r="S577" s="38"/>
      <c r="T577" s="36" t="str">
        <f aca="false">IF($F577="","",IF(ISNUMBER(SEARCH("(externo)",$I577&amp;$J577&amp;$K577)),"Terceirizada","Interna"))</f>
        <v/>
      </c>
      <c r="U577" s="43" t="str">
        <f aca="false">IF($N577="","",IF($Q577="",$N577,$Q577))</f>
        <v/>
      </c>
      <c r="V577" s="36" t="str">
        <f aca="false">IF($F577="","",IF(OR($O577="",$N577=""),0,IF($O577&lt;=$N577,1,0)))</f>
        <v/>
      </c>
      <c r="W577" s="36" t="str">
        <f aca="false">IF($F577="","",IF(OR($O577="",$U577=""),0,IF($O577&lt;=$U577,1,0)))</f>
        <v/>
      </c>
      <c r="X577" s="37" t="str">
        <f aca="false">IF(OR($O577="",$N577=""),"",MAX(0,$O577-$N577))</f>
        <v/>
      </c>
      <c r="Y577" s="36" t="str">
        <f aca="false">IF($F577="","",IF(AND($Q577&lt;&gt;"",$N577&lt;&gt;"",$Q577&lt;&gt;$N577),1,0))</f>
        <v/>
      </c>
      <c r="Z577" s="36" t="str">
        <f aca="false">IF($F577="","",IF($P577="Cancelada",0,IF(OR($O577&lt;&gt;"",$P577="Concluída"),1,0)))</f>
        <v/>
      </c>
    </row>
    <row r="578" customFormat="false" ht="16.5" hidden="false" customHeight="true" outlineLevel="0" collapsed="false">
      <c r="A578" s="36" t="str">
        <f aca="false">IF($F578="","",COUNTA($F$5:$F578))</f>
        <v/>
      </c>
      <c r="B578" s="37" t="str">
        <f aca="true">IF($F578="","",IF($P578="Cancelada","Cancelada",IF(OR($O578&lt;&gt;"",$P578="Concluída"),IF(OR($N578="",$O578="",$O578&lt;=$N578),"Concluída","Concluída com atraso"),IF($N578="","Na carteira",IF($N578&lt;TODAY(),"VENCIDA",IF($P578="Em execução","Em execução",IF($N578=TODAY(),"Hoje","Programada")))))))</f>
        <v/>
      </c>
      <c r="C578" s="38"/>
      <c r="D578" s="38"/>
      <c r="E578" s="38"/>
      <c r="F578" s="38"/>
      <c r="G578" s="39"/>
      <c r="H578" s="39"/>
      <c r="I578" s="40"/>
      <c r="J578" s="40"/>
      <c r="K578" s="40"/>
      <c r="L578" s="41"/>
      <c r="M578" s="42"/>
      <c r="N578" s="43" t="str">
        <f aca="false">IF(OR($L578="",$M578=""),"",$L578+MATCH($M578,Listas!$F$5:$F$11,0)-1)</f>
        <v/>
      </c>
      <c r="O578" s="44"/>
      <c r="P578" s="39"/>
      <c r="Q578" s="44"/>
      <c r="R578" s="38"/>
      <c r="S578" s="38"/>
      <c r="T578" s="36" t="str">
        <f aca="false">IF($F578="","",IF(ISNUMBER(SEARCH("(externo)",$I578&amp;$J578&amp;$K578)),"Terceirizada","Interna"))</f>
        <v/>
      </c>
      <c r="U578" s="43" t="str">
        <f aca="false">IF($N578="","",IF($Q578="",$N578,$Q578))</f>
        <v/>
      </c>
      <c r="V578" s="36" t="str">
        <f aca="false">IF($F578="","",IF(OR($O578="",$N578=""),0,IF($O578&lt;=$N578,1,0)))</f>
        <v/>
      </c>
      <c r="W578" s="36" t="str">
        <f aca="false">IF($F578="","",IF(OR($O578="",$U578=""),0,IF($O578&lt;=$U578,1,0)))</f>
        <v/>
      </c>
      <c r="X578" s="37" t="str">
        <f aca="false">IF(OR($O578="",$N578=""),"",MAX(0,$O578-$N578))</f>
        <v/>
      </c>
      <c r="Y578" s="36" t="str">
        <f aca="false">IF($F578="","",IF(AND($Q578&lt;&gt;"",$N578&lt;&gt;"",$Q578&lt;&gt;$N578),1,0))</f>
        <v/>
      </c>
      <c r="Z578" s="36" t="str">
        <f aca="false">IF($F578="","",IF($P578="Cancelada",0,IF(OR($O578&lt;&gt;"",$P578="Concluída"),1,0)))</f>
        <v/>
      </c>
    </row>
    <row r="579" customFormat="false" ht="16.5" hidden="false" customHeight="true" outlineLevel="0" collapsed="false">
      <c r="A579" s="36" t="str">
        <f aca="false">IF($F579="","",COUNTA($F$5:$F579))</f>
        <v/>
      </c>
      <c r="B579" s="37" t="str">
        <f aca="true">IF($F579="","",IF($P579="Cancelada","Cancelada",IF(OR($O579&lt;&gt;"",$P579="Concluída"),IF(OR($N579="",$O579="",$O579&lt;=$N579),"Concluída","Concluída com atraso"),IF($N579="","Na carteira",IF($N579&lt;TODAY(),"VENCIDA",IF($P579="Em execução","Em execução",IF($N579=TODAY(),"Hoje","Programada")))))))</f>
        <v/>
      </c>
      <c r="C579" s="38"/>
      <c r="D579" s="38"/>
      <c r="E579" s="38"/>
      <c r="F579" s="38"/>
      <c r="G579" s="39"/>
      <c r="H579" s="39"/>
      <c r="I579" s="40"/>
      <c r="J579" s="40"/>
      <c r="K579" s="40"/>
      <c r="L579" s="41"/>
      <c r="M579" s="42"/>
      <c r="N579" s="43" t="str">
        <f aca="false">IF(OR($L579="",$M579=""),"",$L579+MATCH($M579,Listas!$F$5:$F$11,0)-1)</f>
        <v/>
      </c>
      <c r="O579" s="44"/>
      <c r="P579" s="39"/>
      <c r="Q579" s="44"/>
      <c r="R579" s="38"/>
      <c r="S579" s="38"/>
      <c r="T579" s="36" t="str">
        <f aca="false">IF($F579="","",IF(ISNUMBER(SEARCH("(externo)",$I579&amp;$J579&amp;$K579)),"Terceirizada","Interna"))</f>
        <v/>
      </c>
      <c r="U579" s="43" t="str">
        <f aca="false">IF($N579="","",IF($Q579="",$N579,$Q579))</f>
        <v/>
      </c>
      <c r="V579" s="36" t="str">
        <f aca="false">IF($F579="","",IF(OR($O579="",$N579=""),0,IF($O579&lt;=$N579,1,0)))</f>
        <v/>
      </c>
      <c r="W579" s="36" t="str">
        <f aca="false">IF($F579="","",IF(OR($O579="",$U579=""),0,IF($O579&lt;=$U579,1,0)))</f>
        <v/>
      </c>
      <c r="X579" s="37" t="str">
        <f aca="false">IF(OR($O579="",$N579=""),"",MAX(0,$O579-$N579))</f>
        <v/>
      </c>
      <c r="Y579" s="36" t="str">
        <f aca="false">IF($F579="","",IF(AND($Q579&lt;&gt;"",$N579&lt;&gt;"",$Q579&lt;&gt;$N579),1,0))</f>
        <v/>
      </c>
      <c r="Z579" s="36" t="str">
        <f aca="false">IF($F579="","",IF($P579="Cancelada",0,IF(OR($O579&lt;&gt;"",$P579="Concluída"),1,0)))</f>
        <v/>
      </c>
    </row>
    <row r="580" customFormat="false" ht="16.5" hidden="false" customHeight="true" outlineLevel="0" collapsed="false">
      <c r="A580" s="36" t="str">
        <f aca="false">IF($F580="","",COUNTA($F$5:$F580))</f>
        <v/>
      </c>
      <c r="B580" s="37" t="str">
        <f aca="true">IF($F580="","",IF($P580="Cancelada","Cancelada",IF(OR($O580&lt;&gt;"",$P580="Concluída"),IF(OR($N580="",$O580="",$O580&lt;=$N580),"Concluída","Concluída com atraso"),IF($N580="","Na carteira",IF($N580&lt;TODAY(),"VENCIDA",IF($P580="Em execução","Em execução",IF($N580=TODAY(),"Hoje","Programada")))))))</f>
        <v/>
      </c>
      <c r="C580" s="38"/>
      <c r="D580" s="38"/>
      <c r="E580" s="38"/>
      <c r="F580" s="38"/>
      <c r="G580" s="39"/>
      <c r="H580" s="39"/>
      <c r="I580" s="40"/>
      <c r="J580" s="40"/>
      <c r="K580" s="40"/>
      <c r="L580" s="41"/>
      <c r="M580" s="42"/>
      <c r="N580" s="43" t="str">
        <f aca="false">IF(OR($L580="",$M580=""),"",$L580+MATCH($M580,Listas!$F$5:$F$11,0)-1)</f>
        <v/>
      </c>
      <c r="O580" s="44"/>
      <c r="P580" s="39"/>
      <c r="Q580" s="44"/>
      <c r="R580" s="38"/>
      <c r="S580" s="38"/>
      <c r="T580" s="36" t="str">
        <f aca="false">IF($F580="","",IF(ISNUMBER(SEARCH("(externo)",$I580&amp;$J580&amp;$K580)),"Terceirizada","Interna"))</f>
        <v/>
      </c>
      <c r="U580" s="43" t="str">
        <f aca="false">IF($N580="","",IF($Q580="",$N580,$Q580))</f>
        <v/>
      </c>
      <c r="V580" s="36" t="str">
        <f aca="false">IF($F580="","",IF(OR($O580="",$N580=""),0,IF($O580&lt;=$N580,1,0)))</f>
        <v/>
      </c>
      <c r="W580" s="36" t="str">
        <f aca="false">IF($F580="","",IF(OR($O580="",$U580=""),0,IF($O580&lt;=$U580,1,0)))</f>
        <v/>
      </c>
      <c r="X580" s="37" t="str">
        <f aca="false">IF(OR($O580="",$N580=""),"",MAX(0,$O580-$N580))</f>
        <v/>
      </c>
      <c r="Y580" s="36" t="str">
        <f aca="false">IF($F580="","",IF(AND($Q580&lt;&gt;"",$N580&lt;&gt;"",$Q580&lt;&gt;$N580),1,0))</f>
        <v/>
      </c>
      <c r="Z580" s="36" t="str">
        <f aca="false">IF($F580="","",IF($P580="Cancelada",0,IF(OR($O580&lt;&gt;"",$P580="Concluída"),1,0)))</f>
        <v/>
      </c>
    </row>
    <row r="581" customFormat="false" ht="16.5" hidden="false" customHeight="true" outlineLevel="0" collapsed="false">
      <c r="A581" s="36" t="str">
        <f aca="false">IF($F581="","",COUNTA($F$5:$F581))</f>
        <v/>
      </c>
      <c r="B581" s="37" t="str">
        <f aca="true">IF($F581="","",IF($P581="Cancelada","Cancelada",IF(OR($O581&lt;&gt;"",$P581="Concluída"),IF(OR($N581="",$O581="",$O581&lt;=$N581),"Concluída","Concluída com atraso"),IF($N581="","Na carteira",IF($N581&lt;TODAY(),"VENCIDA",IF($P581="Em execução","Em execução",IF($N581=TODAY(),"Hoje","Programada")))))))</f>
        <v/>
      </c>
      <c r="C581" s="38"/>
      <c r="D581" s="38"/>
      <c r="E581" s="38"/>
      <c r="F581" s="38"/>
      <c r="G581" s="39"/>
      <c r="H581" s="39"/>
      <c r="I581" s="40"/>
      <c r="J581" s="40"/>
      <c r="K581" s="40"/>
      <c r="L581" s="41"/>
      <c r="M581" s="42"/>
      <c r="N581" s="43" t="str">
        <f aca="false">IF(OR($L581="",$M581=""),"",$L581+MATCH($M581,Listas!$F$5:$F$11,0)-1)</f>
        <v/>
      </c>
      <c r="O581" s="44"/>
      <c r="P581" s="39"/>
      <c r="Q581" s="44"/>
      <c r="R581" s="38"/>
      <c r="S581" s="38"/>
      <c r="T581" s="36" t="str">
        <f aca="false">IF($F581="","",IF(ISNUMBER(SEARCH("(externo)",$I581&amp;$J581&amp;$K581)),"Terceirizada","Interna"))</f>
        <v/>
      </c>
      <c r="U581" s="43" t="str">
        <f aca="false">IF($N581="","",IF($Q581="",$N581,$Q581))</f>
        <v/>
      </c>
      <c r="V581" s="36" t="str">
        <f aca="false">IF($F581="","",IF(OR($O581="",$N581=""),0,IF($O581&lt;=$N581,1,0)))</f>
        <v/>
      </c>
      <c r="W581" s="36" t="str">
        <f aca="false">IF($F581="","",IF(OR($O581="",$U581=""),0,IF($O581&lt;=$U581,1,0)))</f>
        <v/>
      </c>
      <c r="X581" s="37" t="str">
        <f aca="false">IF(OR($O581="",$N581=""),"",MAX(0,$O581-$N581))</f>
        <v/>
      </c>
      <c r="Y581" s="36" t="str">
        <f aca="false">IF($F581="","",IF(AND($Q581&lt;&gt;"",$N581&lt;&gt;"",$Q581&lt;&gt;$N581),1,0))</f>
        <v/>
      </c>
      <c r="Z581" s="36" t="str">
        <f aca="false">IF($F581="","",IF($P581="Cancelada",0,IF(OR($O581&lt;&gt;"",$P581="Concluída"),1,0)))</f>
        <v/>
      </c>
    </row>
    <row r="582" customFormat="false" ht="16.5" hidden="false" customHeight="true" outlineLevel="0" collapsed="false">
      <c r="A582" s="36" t="str">
        <f aca="false">IF($F582="","",COUNTA($F$5:$F582))</f>
        <v/>
      </c>
      <c r="B582" s="37" t="str">
        <f aca="true">IF($F582="","",IF($P582="Cancelada","Cancelada",IF(OR($O582&lt;&gt;"",$P582="Concluída"),IF(OR($N582="",$O582="",$O582&lt;=$N582),"Concluída","Concluída com atraso"),IF($N582="","Na carteira",IF($N582&lt;TODAY(),"VENCIDA",IF($P582="Em execução","Em execução",IF($N582=TODAY(),"Hoje","Programada")))))))</f>
        <v/>
      </c>
      <c r="C582" s="38"/>
      <c r="D582" s="38"/>
      <c r="E582" s="38"/>
      <c r="F582" s="38"/>
      <c r="G582" s="39"/>
      <c r="H582" s="39"/>
      <c r="I582" s="40"/>
      <c r="J582" s="40"/>
      <c r="K582" s="40"/>
      <c r="L582" s="41"/>
      <c r="M582" s="42"/>
      <c r="N582" s="43" t="str">
        <f aca="false">IF(OR($L582="",$M582=""),"",$L582+MATCH($M582,Listas!$F$5:$F$11,0)-1)</f>
        <v/>
      </c>
      <c r="O582" s="44"/>
      <c r="P582" s="39"/>
      <c r="Q582" s="44"/>
      <c r="R582" s="38"/>
      <c r="S582" s="38"/>
      <c r="T582" s="36" t="str">
        <f aca="false">IF($F582="","",IF(ISNUMBER(SEARCH("(externo)",$I582&amp;$J582&amp;$K582)),"Terceirizada","Interna"))</f>
        <v/>
      </c>
      <c r="U582" s="43" t="str">
        <f aca="false">IF($N582="","",IF($Q582="",$N582,$Q582))</f>
        <v/>
      </c>
      <c r="V582" s="36" t="str">
        <f aca="false">IF($F582="","",IF(OR($O582="",$N582=""),0,IF($O582&lt;=$N582,1,0)))</f>
        <v/>
      </c>
      <c r="W582" s="36" t="str">
        <f aca="false">IF($F582="","",IF(OR($O582="",$U582=""),0,IF($O582&lt;=$U582,1,0)))</f>
        <v/>
      </c>
      <c r="X582" s="37" t="str">
        <f aca="false">IF(OR($O582="",$N582=""),"",MAX(0,$O582-$N582))</f>
        <v/>
      </c>
      <c r="Y582" s="36" t="str">
        <f aca="false">IF($F582="","",IF(AND($Q582&lt;&gt;"",$N582&lt;&gt;"",$Q582&lt;&gt;$N582),1,0))</f>
        <v/>
      </c>
      <c r="Z582" s="36" t="str">
        <f aca="false">IF($F582="","",IF($P582="Cancelada",0,IF(OR($O582&lt;&gt;"",$P582="Concluída"),1,0)))</f>
        <v/>
      </c>
    </row>
    <row r="583" customFormat="false" ht="16.5" hidden="false" customHeight="true" outlineLevel="0" collapsed="false">
      <c r="A583" s="36" t="str">
        <f aca="false">IF($F583="","",COUNTA($F$5:$F583))</f>
        <v/>
      </c>
      <c r="B583" s="37" t="str">
        <f aca="true">IF($F583="","",IF($P583="Cancelada","Cancelada",IF(OR($O583&lt;&gt;"",$P583="Concluída"),IF(OR($N583="",$O583="",$O583&lt;=$N583),"Concluída","Concluída com atraso"),IF($N583="","Na carteira",IF($N583&lt;TODAY(),"VENCIDA",IF($P583="Em execução","Em execução",IF($N583=TODAY(),"Hoje","Programada")))))))</f>
        <v/>
      </c>
      <c r="C583" s="38"/>
      <c r="D583" s="38"/>
      <c r="E583" s="38"/>
      <c r="F583" s="38"/>
      <c r="G583" s="39"/>
      <c r="H583" s="39"/>
      <c r="I583" s="40"/>
      <c r="J583" s="40"/>
      <c r="K583" s="40"/>
      <c r="L583" s="41"/>
      <c r="M583" s="42"/>
      <c r="N583" s="43" t="str">
        <f aca="false">IF(OR($L583="",$M583=""),"",$L583+MATCH($M583,Listas!$F$5:$F$11,0)-1)</f>
        <v/>
      </c>
      <c r="O583" s="44"/>
      <c r="P583" s="39"/>
      <c r="Q583" s="44"/>
      <c r="R583" s="38"/>
      <c r="S583" s="38"/>
      <c r="T583" s="36" t="str">
        <f aca="false">IF($F583="","",IF(ISNUMBER(SEARCH("(externo)",$I583&amp;$J583&amp;$K583)),"Terceirizada","Interna"))</f>
        <v/>
      </c>
      <c r="U583" s="43" t="str">
        <f aca="false">IF($N583="","",IF($Q583="",$N583,$Q583))</f>
        <v/>
      </c>
      <c r="V583" s="36" t="str">
        <f aca="false">IF($F583="","",IF(OR($O583="",$N583=""),0,IF($O583&lt;=$N583,1,0)))</f>
        <v/>
      </c>
      <c r="W583" s="36" t="str">
        <f aca="false">IF($F583="","",IF(OR($O583="",$U583=""),0,IF($O583&lt;=$U583,1,0)))</f>
        <v/>
      </c>
      <c r="X583" s="37" t="str">
        <f aca="false">IF(OR($O583="",$N583=""),"",MAX(0,$O583-$N583))</f>
        <v/>
      </c>
      <c r="Y583" s="36" t="str">
        <f aca="false">IF($F583="","",IF(AND($Q583&lt;&gt;"",$N583&lt;&gt;"",$Q583&lt;&gt;$N583),1,0))</f>
        <v/>
      </c>
      <c r="Z583" s="36" t="str">
        <f aca="false">IF($F583="","",IF($P583="Cancelada",0,IF(OR($O583&lt;&gt;"",$P583="Concluída"),1,0)))</f>
        <v/>
      </c>
    </row>
    <row r="584" customFormat="false" ht="16.5" hidden="false" customHeight="true" outlineLevel="0" collapsed="false">
      <c r="A584" s="36" t="str">
        <f aca="false">IF($F584="","",COUNTA($F$5:$F584))</f>
        <v/>
      </c>
      <c r="B584" s="37" t="str">
        <f aca="true">IF($F584="","",IF($P584="Cancelada","Cancelada",IF(OR($O584&lt;&gt;"",$P584="Concluída"),IF(OR($N584="",$O584="",$O584&lt;=$N584),"Concluída","Concluída com atraso"),IF($N584="","Na carteira",IF($N584&lt;TODAY(),"VENCIDA",IF($P584="Em execução","Em execução",IF($N584=TODAY(),"Hoje","Programada")))))))</f>
        <v/>
      </c>
      <c r="C584" s="38"/>
      <c r="D584" s="38"/>
      <c r="E584" s="38"/>
      <c r="F584" s="38"/>
      <c r="G584" s="39"/>
      <c r="H584" s="39"/>
      <c r="I584" s="40"/>
      <c r="J584" s="40"/>
      <c r="K584" s="40"/>
      <c r="L584" s="41"/>
      <c r="M584" s="42"/>
      <c r="N584" s="43" t="str">
        <f aca="false">IF(OR($L584="",$M584=""),"",$L584+MATCH($M584,Listas!$F$5:$F$11,0)-1)</f>
        <v/>
      </c>
      <c r="O584" s="44"/>
      <c r="P584" s="39"/>
      <c r="Q584" s="44"/>
      <c r="R584" s="38"/>
      <c r="S584" s="38"/>
      <c r="T584" s="36" t="str">
        <f aca="false">IF($F584="","",IF(ISNUMBER(SEARCH("(externo)",$I584&amp;$J584&amp;$K584)),"Terceirizada","Interna"))</f>
        <v/>
      </c>
      <c r="U584" s="43" t="str">
        <f aca="false">IF($N584="","",IF($Q584="",$N584,$Q584))</f>
        <v/>
      </c>
      <c r="V584" s="36" t="str">
        <f aca="false">IF($F584="","",IF(OR($O584="",$N584=""),0,IF($O584&lt;=$N584,1,0)))</f>
        <v/>
      </c>
      <c r="W584" s="36" t="str">
        <f aca="false">IF($F584="","",IF(OR($O584="",$U584=""),0,IF($O584&lt;=$U584,1,0)))</f>
        <v/>
      </c>
      <c r="X584" s="37" t="str">
        <f aca="false">IF(OR($O584="",$N584=""),"",MAX(0,$O584-$N584))</f>
        <v/>
      </c>
      <c r="Y584" s="36" t="str">
        <f aca="false">IF($F584="","",IF(AND($Q584&lt;&gt;"",$N584&lt;&gt;"",$Q584&lt;&gt;$N584),1,0))</f>
        <v/>
      </c>
      <c r="Z584" s="36" t="str">
        <f aca="false">IF($F584="","",IF($P584="Cancelada",0,IF(OR($O584&lt;&gt;"",$P584="Concluída"),1,0)))</f>
        <v/>
      </c>
    </row>
    <row r="585" customFormat="false" ht="16.5" hidden="false" customHeight="true" outlineLevel="0" collapsed="false">
      <c r="A585" s="36" t="str">
        <f aca="false">IF($F585="","",COUNTA($F$5:$F585))</f>
        <v/>
      </c>
      <c r="B585" s="37" t="str">
        <f aca="true">IF($F585="","",IF($P585="Cancelada","Cancelada",IF(OR($O585&lt;&gt;"",$P585="Concluída"),IF(OR($N585="",$O585="",$O585&lt;=$N585),"Concluída","Concluída com atraso"),IF($N585="","Na carteira",IF($N585&lt;TODAY(),"VENCIDA",IF($P585="Em execução","Em execução",IF($N585=TODAY(),"Hoje","Programada")))))))</f>
        <v/>
      </c>
      <c r="C585" s="38"/>
      <c r="D585" s="38"/>
      <c r="E585" s="38"/>
      <c r="F585" s="38"/>
      <c r="G585" s="39"/>
      <c r="H585" s="39"/>
      <c r="I585" s="40"/>
      <c r="J585" s="40"/>
      <c r="K585" s="40"/>
      <c r="L585" s="41"/>
      <c r="M585" s="42"/>
      <c r="N585" s="43" t="str">
        <f aca="false">IF(OR($L585="",$M585=""),"",$L585+MATCH($M585,Listas!$F$5:$F$11,0)-1)</f>
        <v/>
      </c>
      <c r="O585" s="44"/>
      <c r="P585" s="39"/>
      <c r="Q585" s="44"/>
      <c r="R585" s="38"/>
      <c r="S585" s="38"/>
      <c r="T585" s="36" t="str">
        <f aca="false">IF($F585="","",IF(ISNUMBER(SEARCH("(externo)",$I585&amp;$J585&amp;$K585)),"Terceirizada","Interna"))</f>
        <v/>
      </c>
      <c r="U585" s="43" t="str">
        <f aca="false">IF($N585="","",IF($Q585="",$N585,$Q585))</f>
        <v/>
      </c>
      <c r="V585" s="36" t="str">
        <f aca="false">IF($F585="","",IF(OR($O585="",$N585=""),0,IF($O585&lt;=$N585,1,0)))</f>
        <v/>
      </c>
      <c r="W585" s="36" t="str">
        <f aca="false">IF($F585="","",IF(OR($O585="",$U585=""),0,IF($O585&lt;=$U585,1,0)))</f>
        <v/>
      </c>
      <c r="X585" s="37" t="str">
        <f aca="false">IF(OR($O585="",$N585=""),"",MAX(0,$O585-$N585))</f>
        <v/>
      </c>
      <c r="Y585" s="36" t="str">
        <f aca="false">IF($F585="","",IF(AND($Q585&lt;&gt;"",$N585&lt;&gt;"",$Q585&lt;&gt;$N585),1,0))</f>
        <v/>
      </c>
      <c r="Z585" s="36" t="str">
        <f aca="false">IF($F585="","",IF($P585="Cancelada",0,IF(OR($O585&lt;&gt;"",$P585="Concluída"),1,0)))</f>
        <v/>
      </c>
    </row>
    <row r="586" customFormat="false" ht="16.5" hidden="false" customHeight="true" outlineLevel="0" collapsed="false">
      <c r="A586" s="36" t="str">
        <f aca="false">IF($F586="","",COUNTA($F$5:$F586))</f>
        <v/>
      </c>
      <c r="B586" s="37" t="str">
        <f aca="true">IF($F586="","",IF($P586="Cancelada","Cancelada",IF(OR($O586&lt;&gt;"",$P586="Concluída"),IF(OR($N586="",$O586="",$O586&lt;=$N586),"Concluída","Concluída com atraso"),IF($N586="","Na carteira",IF($N586&lt;TODAY(),"VENCIDA",IF($P586="Em execução","Em execução",IF($N586=TODAY(),"Hoje","Programada")))))))</f>
        <v/>
      </c>
      <c r="C586" s="38"/>
      <c r="D586" s="38"/>
      <c r="E586" s="38"/>
      <c r="F586" s="38"/>
      <c r="G586" s="39"/>
      <c r="H586" s="39"/>
      <c r="I586" s="40"/>
      <c r="J586" s="40"/>
      <c r="K586" s="40"/>
      <c r="L586" s="41"/>
      <c r="M586" s="42"/>
      <c r="N586" s="43" t="str">
        <f aca="false">IF(OR($L586="",$M586=""),"",$L586+MATCH($M586,Listas!$F$5:$F$11,0)-1)</f>
        <v/>
      </c>
      <c r="O586" s="44"/>
      <c r="P586" s="39"/>
      <c r="Q586" s="44"/>
      <c r="R586" s="38"/>
      <c r="S586" s="38"/>
      <c r="T586" s="36" t="str">
        <f aca="false">IF($F586="","",IF(ISNUMBER(SEARCH("(externo)",$I586&amp;$J586&amp;$K586)),"Terceirizada","Interna"))</f>
        <v/>
      </c>
      <c r="U586" s="43" t="str">
        <f aca="false">IF($N586="","",IF($Q586="",$N586,$Q586))</f>
        <v/>
      </c>
      <c r="V586" s="36" t="str">
        <f aca="false">IF($F586="","",IF(OR($O586="",$N586=""),0,IF($O586&lt;=$N586,1,0)))</f>
        <v/>
      </c>
      <c r="W586" s="36" t="str">
        <f aca="false">IF($F586="","",IF(OR($O586="",$U586=""),0,IF($O586&lt;=$U586,1,0)))</f>
        <v/>
      </c>
      <c r="X586" s="37" t="str">
        <f aca="false">IF(OR($O586="",$N586=""),"",MAX(0,$O586-$N586))</f>
        <v/>
      </c>
      <c r="Y586" s="36" t="str">
        <f aca="false">IF($F586="","",IF(AND($Q586&lt;&gt;"",$N586&lt;&gt;"",$Q586&lt;&gt;$N586),1,0))</f>
        <v/>
      </c>
      <c r="Z586" s="36" t="str">
        <f aca="false">IF($F586="","",IF($P586="Cancelada",0,IF(OR($O586&lt;&gt;"",$P586="Concluída"),1,0)))</f>
        <v/>
      </c>
    </row>
    <row r="587" customFormat="false" ht="16.5" hidden="false" customHeight="true" outlineLevel="0" collapsed="false">
      <c r="A587" s="36" t="str">
        <f aca="false">IF($F587="","",COUNTA($F$5:$F587))</f>
        <v/>
      </c>
      <c r="B587" s="37" t="str">
        <f aca="true">IF($F587="","",IF($P587="Cancelada","Cancelada",IF(OR($O587&lt;&gt;"",$P587="Concluída"),IF(OR($N587="",$O587="",$O587&lt;=$N587),"Concluída","Concluída com atraso"),IF($N587="","Na carteira",IF($N587&lt;TODAY(),"VENCIDA",IF($P587="Em execução","Em execução",IF($N587=TODAY(),"Hoje","Programada")))))))</f>
        <v/>
      </c>
      <c r="C587" s="38"/>
      <c r="D587" s="38"/>
      <c r="E587" s="38"/>
      <c r="F587" s="38"/>
      <c r="G587" s="39"/>
      <c r="H587" s="39"/>
      <c r="I587" s="40"/>
      <c r="J587" s="40"/>
      <c r="K587" s="40"/>
      <c r="L587" s="41"/>
      <c r="M587" s="42"/>
      <c r="N587" s="43" t="str">
        <f aca="false">IF(OR($L587="",$M587=""),"",$L587+MATCH($M587,Listas!$F$5:$F$11,0)-1)</f>
        <v/>
      </c>
      <c r="O587" s="44"/>
      <c r="P587" s="39"/>
      <c r="Q587" s="44"/>
      <c r="R587" s="38"/>
      <c r="S587" s="38"/>
      <c r="T587" s="36" t="str">
        <f aca="false">IF($F587="","",IF(ISNUMBER(SEARCH("(externo)",$I587&amp;$J587&amp;$K587)),"Terceirizada","Interna"))</f>
        <v/>
      </c>
      <c r="U587" s="43" t="str">
        <f aca="false">IF($N587="","",IF($Q587="",$N587,$Q587))</f>
        <v/>
      </c>
      <c r="V587" s="36" t="str">
        <f aca="false">IF($F587="","",IF(OR($O587="",$N587=""),0,IF($O587&lt;=$N587,1,0)))</f>
        <v/>
      </c>
      <c r="W587" s="36" t="str">
        <f aca="false">IF($F587="","",IF(OR($O587="",$U587=""),0,IF($O587&lt;=$U587,1,0)))</f>
        <v/>
      </c>
      <c r="X587" s="37" t="str">
        <f aca="false">IF(OR($O587="",$N587=""),"",MAX(0,$O587-$N587))</f>
        <v/>
      </c>
      <c r="Y587" s="36" t="str">
        <f aca="false">IF($F587="","",IF(AND($Q587&lt;&gt;"",$N587&lt;&gt;"",$Q587&lt;&gt;$N587),1,0))</f>
        <v/>
      </c>
      <c r="Z587" s="36" t="str">
        <f aca="false">IF($F587="","",IF($P587="Cancelada",0,IF(OR($O587&lt;&gt;"",$P587="Concluída"),1,0)))</f>
        <v/>
      </c>
    </row>
    <row r="588" customFormat="false" ht="16.5" hidden="false" customHeight="true" outlineLevel="0" collapsed="false">
      <c r="A588" s="36" t="str">
        <f aca="false">IF($F588="","",COUNTA($F$5:$F588))</f>
        <v/>
      </c>
      <c r="B588" s="37" t="str">
        <f aca="true">IF($F588="","",IF($P588="Cancelada","Cancelada",IF(OR($O588&lt;&gt;"",$P588="Concluída"),IF(OR($N588="",$O588="",$O588&lt;=$N588),"Concluída","Concluída com atraso"),IF($N588="","Na carteira",IF($N588&lt;TODAY(),"VENCIDA",IF($P588="Em execução","Em execução",IF($N588=TODAY(),"Hoje","Programada")))))))</f>
        <v/>
      </c>
      <c r="C588" s="38"/>
      <c r="D588" s="38"/>
      <c r="E588" s="38"/>
      <c r="F588" s="38"/>
      <c r="G588" s="39"/>
      <c r="H588" s="39"/>
      <c r="I588" s="40"/>
      <c r="J588" s="40"/>
      <c r="K588" s="40"/>
      <c r="L588" s="41"/>
      <c r="M588" s="42"/>
      <c r="N588" s="43" t="str">
        <f aca="false">IF(OR($L588="",$M588=""),"",$L588+MATCH($M588,Listas!$F$5:$F$11,0)-1)</f>
        <v/>
      </c>
      <c r="O588" s="44"/>
      <c r="P588" s="39"/>
      <c r="Q588" s="44"/>
      <c r="R588" s="38"/>
      <c r="S588" s="38"/>
      <c r="T588" s="36" t="str">
        <f aca="false">IF($F588="","",IF(ISNUMBER(SEARCH("(externo)",$I588&amp;$J588&amp;$K588)),"Terceirizada","Interna"))</f>
        <v/>
      </c>
      <c r="U588" s="43" t="str">
        <f aca="false">IF($N588="","",IF($Q588="",$N588,$Q588))</f>
        <v/>
      </c>
      <c r="V588" s="36" t="str">
        <f aca="false">IF($F588="","",IF(OR($O588="",$N588=""),0,IF($O588&lt;=$N588,1,0)))</f>
        <v/>
      </c>
      <c r="W588" s="36" t="str">
        <f aca="false">IF($F588="","",IF(OR($O588="",$U588=""),0,IF($O588&lt;=$U588,1,0)))</f>
        <v/>
      </c>
      <c r="X588" s="37" t="str">
        <f aca="false">IF(OR($O588="",$N588=""),"",MAX(0,$O588-$N588))</f>
        <v/>
      </c>
      <c r="Y588" s="36" t="str">
        <f aca="false">IF($F588="","",IF(AND($Q588&lt;&gt;"",$N588&lt;&gt;"",$Q588&lt;&gt;$N588),1,0))</f>
        <v/>
      </c>
      <c r="Z588" s="36" t="str">
        <f aca="false">IF($F588="","",IF($P588="Cancelada",0,IF(OR($O588&lt;&gt;"",$P588="Concluída"),1,0)))</f>
        <v/>
      </c>
    </row>
    <row r="589" customFormat="false" ht="16.5" hidden="false" customHeight="true" outlineLevel="0" collapsed="false">
      <c r="A589" s="36" t="str">
        <f aca="false">IF($F589="","",COUNTA($F$5:$F589))</f>
        <v/>
      </c>
      <c r="B589" s="37" t="str">
        <f aca="true">IF($F589="","",IF($P589="Cancelada","Cancelada",IF(OR($O589&lt;&gt;"",$P589="Concluída"),IF(OR($N589="",$O589="",$O589&lt;=$N589),"Concluída","Concluída com atraso"),IF($N589="","Na carteira",IF($N589&lt;TODAY(),"VENCIDA",IF($P589="Em execução","Em execução",IF($N589=TODAY(),"Hoje","Programada")))))))</f>
        <v/>
      </c>
      <c r="C589" s="38"/>
      <c r="D589" s="38"/>
      <c r="E589" s="38"/>
      <c r="F589" s="38"/>
      <c r="G589" s="39"/>
      <c r="H589" s="39"/>
      <c r="I589" s="40"/>
      <c r="J589" s="40"/>
      <c r="K589" s="40"/>
      <c r="L589" s="41"/>
      <c r="M589" s="42"/>
      <c r="N589" s="43" t="str">
        <f aca="false">IF(OR($L589="",$M589=""),"",$L589+MATCH($M589,Listas!$F$5:$F$11,0)-1)</f>
        <v/>
      </c>
      <c r="O589" s="44"/>
      <c r="P589" s="39"/>
      <c r="Q589" s="44"/>
      <c r="R589" s="38"/>
      <c r="S589" s="38"/>
      <c r="T589" s="36" t="str">
        <f aca="false">IF($F589="","",IF(ISNUMBER(SEARCH("(externo)",$I589&amp;$J589&amp;$K589)),"Terceirizada","Interna"))</f>
        <v/>
      </c>
      <c r="U589" s="43" t="str">
        <f aca="false">IF($N589="","",IF($Q589="",$N589,$Q589))</f>
        <v/>
      </c>
      <c r="V589" s="36" t="str">
        <f aca="false">IF($F589="","",IF(OR($O589="",$N589=""),0,IF($O589&lt;=$N589,1,0)))</f>
        <v/>
      </c>
      <c r="W589" s="36" t="str">
        <f aca="false">IF($F589="","",IF(OR($O589="",$U589=""),0,IF($O589&lt;=$U589,1,0)))</f>
        <v/>
      </c>
      <c r="X589" s="37" t="str">
        <f aca="false">IF(OR($O589="",$N589=""),"",MAX(0,$O589-$N589))</f>
        <v/>
      </c>
      <c r="Y589" s="36" t="str">
        <f aca="false">IF($F589="","",IF(AND($Q589&lt;&gt;"",$N589&lt;&gt;"",$Q589&lt;&gt;$N589),1,0))</f>
        <v/>
      </c>
      <c r="Z589" s="36" t="str">
        <f aca="false">IF($F589="","",IF($P589="Cancelada",0,IF(OR($O589&lt;&gt;"",$P589="Concluída"),1,0)))</f>
        <v/>
      </c>
    </row>
    <row r="590" customFormat="false" ht="16.5" hidden="false" customHeight="true" outlineLevel="0" collapsed="false">
      <c r="A590" s="36" t="str">
        <f aca="false">IF($F590="","",COUNTA($F$5:$F590))</f>
        <v/>
      </c>
      <c r="B590" s="37" t="str">
        <f aca="true">IF($F590="","",IF($P590="Cancelada","Cancelada",IF(OR($O590&lt;&gt;"",$P590="Concluída"),IF(OR($N590="",$O590="",$O590&lt;=$N590),"Concluída","Concluída com atraso"),IF($N590="","Na carteira",IF($N590&lt;TODAY(),"VENCIDA",IF($P590="Em execução","Em execução",IF($N590=TODAY(),"Hoje","Programada")))))))</f>
        <v/>
      </c>
      <c r="C590" s="38"/>
      <c r="D590" s="38"/>
      <c r="E590" s="38"/>
      <c r="F590" s="38"/>
      <c r="G590" s="39"/>
      <c r="H590" s="39"/>
      <c r="I590" s="40"/>
      <c r="J590" s="40"/>
      <c r="K590" s="40"/>
      <c r="L590" s="41"/>
      <c r="M590" s="42"/>
      <c r="N590" s="43" t="str">
        <f aca="false">IF(OR($L590="",$M590=""),"",$L590+MATCH($M590,Listas!$F$5:$F$11,0)-1)</f>
        <v/>
      </c>
      <c r="O590" s="44"/>
      <c r="P590" s="39"/>
      <c r="Q590" s="44"/>
      <c r="R590" s="38"/>
      <c r="S590" s="38"/>
      <c r="T590" s="36" t="str">
        <f aca="false">IF($F590="","",IF(ISNUMBER(SEARCH("(externo)",$I590&amp;$J590&amp;$K590)),"Terceirizada","Interna"))</f>
        <v/>
      </c>
      <c r="U590" s="43" t="str">
        <f aca="false">IF($N590="","",IF($Q590="",$N590,$Q590))</f>
        <v/>
      </c>
      <c r="V590" s="36" t="str">
        <f aca="false">IF($F590="","",IF(OR($O590="",$N590=""),0,IF($O590&lt;=$N590,1,0)))</f>
        <v/>
      </c>
      <c r="W590" s="36" t="str">
        <f aca="false">IF($F590="","",IF(OR($O590="",$U590=""),0,IF($O590&lt;=$U590,1,0)))</f>
        <v/>
      </c>
      <c r="X590" s="37" t="str">
        <f aca="false">IF(OR($O590="",$N590=""),"",MAX(0,$O590-$N590))</f>
        <v/>
      </c>
      <c r="Y590" s="36" t="str">
        <f aca="false">IF($F590="","",IF(AND($Q590&lt;&gt;"",$N590&lt;&gt;"",$Q590&lt;&gt;$N590),1,0))</f>
        <v/>
      </c>
      <c r="Z590" s="36" t="str">
        <f aca="false">IF($F590="","",IF($P590="Cancelada",0,IF(OR($O590&lt;&gt;"",$P590="Concluída"),1,0)))</f>
        <v/>
      </c>
    </row>
    <row r="591" customFormat="false" ht="16.5" hidden="false" customHeight="true" outlineLevel="0" collapsed="false">
      <c r="A591" s="36" t="str">
        <f aca="false">IF($F591="","",COUNTA($F$5:$F591))</f>
        <v/>
      </c>
      <c r="B591" s="37" t="str">
        <f aca="true">IF($F591="","",IF($P591="Cancelada","Cancelada",IF(OR($O591&lt;&gt;"",$P591="Concluída"),IF(OR($N591="",$O591="",$O591&lt;=$N591),"Concluída","Concluída com atraso"),IF($N591="","Na carteira",IF($N591&lt;TODAY(),"VENCIDA",IF($P591="Em execução","Em execução",IF($N591=TODAY(),"Hoje","Programada")))))))</f>
        <v/>
      </c>
      <c r="C591" s="38"/>
      <c r="D591" s="38"/>
      <c r="E591" s="38"/>
      <c r="F591" s="38"/>
      <c r="G591" s="39"/>
      <c r="H591" s="39"/>
      <c r="I591" s="40"/>
      <c r="J591" s="40"/>
      <c r="K591" s="40"/>
      <c r="L591" s="41"/>
      <c r="M591" s="42"/>
      <c r="N591" s="43" t="str">
        <f aca="false">IF(OR($L591="",$M591=""),"",$L591+MATCH($M591,Listas!$F$5:$F$11,0)-1)</f>
        <v/>
      </c>
      <c r="O591" s="44"/>
      <c r="P591" s="39"/>
      <c r="Q591" s="44"/>
      <c r="R591" s="38"/>
      <c r="S591" s="38"/>
      <c r="T591" s="36" t="str">
        <f aca="false">IF($F591="","",IF(ISNUMBER(SEARCH("(externo)",$I591&amp;$J591&amp;$K591)),"Terceirizada","Interna"))</f>
        <v/>
      </c>
      <c r="U591" s="43" t="str">
        <f aca="false">IF($N591="","",IF($Q591="",$N591,$Q591))</f>
        <v/>
      </c>
      <c r="V591" s="36" t="str">
        <f aca="false">IF($F591="","",IF(OR($O591="",$N591=""),0,IF($O591&lt;=$N591,1,0)))</f>
        <v/>
      </c>
      <c r="W591" s="36" t="str">
        <f aca="false">IF($F591="","",IF(OR($O591="",$U591=""),0,IF($O591&lt;=$U591,1,0)))</f>
        <v/>
      </c>
      <c r="X591" s="37" t="str">
        <f aca="false">IF(OR($O591="",$N591=""),"",MAX(0,$O591-$N591))</f>
        <v/>
      </c>
      <c r="Y591" s="36" t="str">
        <f aca="false">IF($F591="","",IF(AND($Q591&lt;&gt;"",$N591&lt;&gt;"",$Q591&lt;&gt;$N591),1,0))</f>
        <v/>
      </c>
      <c r="Z591" s="36" t="str">
        <f aca="false">IF($F591="","",IF($P591="Cancelada",0,IF(OR($O591&lt;&gt;"",$P591="Concluída"),1,0)))</f>
        <v/>
      </c>
    </row>
    <row r="592" customFormat="false" ht="16.5" hidden="false" customHeight="true" outlineLevel="0" collapsed="false">
      <c r="A592" s="36" t="str">
        <f aca="false">IF($F592="","",COUNTA($F$5:$F592))</f>
        <v/>
      </c>
      <c r="B592" s="37" t="str">
        <f aca="true">IF($F592="","",IF($P592="Cancelada","Cancelada",IF(OR($O592&lt;&gt;"",$P592="Concluída"),IF(OR($N592="",$O592="",$O592&lt;=$N592),"Concluída","Concluída com atraso"),IF($N592="","Na carteira",IF($N592&lt;TODAY(),"VENCIDA",IF($P592="Em execução","Em execução",IF($N592=TODAY(),"Hoje","Programada")))))))</f>
        <v/>
      </c>
      <c r="C592" s="38"/>
      <c r="D592" s="38"/>
      <c r="E592" s="38"/>
      <c r="F592" s="38"/>
      <c r="G592" s="39"/>
      <c r="H592" s="39"/>
      <c r="I592" s="40"/>
      <c r="J592" s="40"/>
      <c r="K592" s="40"/>
      <c r="L592" s="41"/>
      <c r="M592" s="42"/>
      <c r="N592" s="43" t="str">
        <f aca="false">IF(OR($L592="",$M592=""),"",$L592+MATCH($M592,Listas!$F$5:$F$11,0)-1)</f>
        <v/>
      </c>
      <c r="O592" s="44"/>
      <c r="P592" s="39"/>
      <c r="Q592" s="44"/>
      <c r="R592" s="38"/>
      <c r="S592" s="38"/>
      <c r="T592" s="36" t="str">
        <f aca="false">IF($F592="","",IF(ISNUMBER(SEARCH("(externo)",$I592&amp;$J592&amp;$K592)),"Terceirizada","Interna"))</f>
        <v/>
      </c>
      <c r="U592" s="43" t="str">
        <f aca="false">IF($N592="","",IF($Q592="",$N592,$Q592))</f>
        <v/>
      </c>
      <c r="V592" s="36" t="str">
        <f aca="false">IF($F592="","",IF(OR($O592="",$N592=""),0,IF($O592&lt;=$N592,1,0)))</f>
        <v/>
      </c>
      <c r="W592" s="36" t="str">
        <f aca="false">IF($F592="","",IF(OR($O592="",$U592=""),0,IF($O592&lt;=$U592,1,0)))</f>
        <v/>
      </c>
      <c r="X592" s="37" t="str">
        <f aca="false">IF(OR($O592="",$N592=""),"",MAX(0,$O592-$N592))</f>
        <v/>
      </c>
      <c r="Y592" s="36" t="str">
        <f aca="false">IF($F592="","",IF(AND($Q592&lt;&gt;"",$N592&lt;&gt;"",$Q592&lt;&gt;$N592),1,0))</f>
        <v/>
      </c>
      <c r="Z592" s="36" t="str">
        <f aca="false">IF($F592="","",IF($P592="Cancelada",0,IF(OR($O592&lt;&gt;"",$P592="Concluída"),1,0)))</f>
        <v/>
      </c>
    </row>
    <row r="593" customFormat="false" ht="16.5" hidden="false" customHeight="true" outlineLevel="0" collapsed="false">
      <c r="A593" s="36" t="str">
        <f aca="false">IF($F593="","",COUNTA($F$5:$F593))</f>
        <v/>
      </c>
      <c r="B593" s="37" t="str">
        <f aca="true">IF($F593="","",IF($P593="Cancelada","Cancelada",IF(OR($O593&lt;&gt;"",$P593="Concluída"),IF(OR($N593="",$O593="",$O593&lt;=$N593),"Concluída","Concluída com atraso"),IF($N593="","Na carteira",IF($N593&lt;TODAY(),"VENCIDA",IF($P593="Em execução","Em execução",IF($N593=TODAY(),"Hoje","Programada")))))))</f>
        <v/>
      </c>
      <c r="C593" s="38"/>
      <c r="D593" s="38"/>
      <c r="E593" s="38"/>
      <c r="F593" s="38"/>
      <c r="G593" s="39"/>
      <c r="H593" s="39"/>
      <c r="I593" s="40"/>
      <c r="J593" s="40"/>
      <c r="K593" s="40"/>
      <c r="L593" s="41"/>
      <c r="M593" s="42"/>
      <c r="N593" s="43" t="str">
        <f aca="false">IF(OR($L593="",$M593=""),"",$L593+MATCH($M593,Listas!$F$5:$F$11,0)-1)</f>
        <v/>
      </c>
      <c r="O593" s="44"/>
      <c r="P593" s="39"/>
      <c r="Q593" s="44"/>
      <c r="R593" s="38"/>
      <c r="S593" s="38"/>
      <c r="T593" s="36" t="str">
        <f aca="false">IF($F593="","",IF(ISNUMBER(SEARCH("(externo)",$I593&amp;$J593&amp;$K593)),"Terceirizada","Interna"))</f>
        <v/>
      </c>
      <c r="U593" s="43" t="str">
        <f aca="false">IF($N593="","",IF($Q593="",$N593,$Q593))</f>
        <v/>
      </c>
      <c r="V593" s="36" t="str">
        <f aca="false">IF($F593="","",IF(OR($O593="",$N593=""),0,IF($O593&lt;=$N593,1,0)))</f>
        <v/>
      </c>
      <c r="W593" s="36" t="str">
        <f aca="false">IF($F593="","",IF(OR($O593="",$U593=""),0,IF($O593&lt;=$U593,1,0)))</f>
        <v/>
      </c>
      <c r="X593" s="37" t="str">
        <f aca="false">IF(OR($O593="",$N593=""),"",MAX(0,$O593-$N593))</f>
        <v/>
      </c>
      <c r="Y593" s="36" t="str">
        <f aca="false">IF($F593="","",IF(AND($Q593&lt;&gt;"",$N593&lt;&gt;"",$Q593&lt;&gt;$N593),1,0))</f>
        <v/>
      </c>
      <c r="Z593" s="36" t="str">
        <f aca="false">IF($F593="","",IF($P593="Cancelada",0,IF(OR($O593&lt;&gt;"",$P593="Concluída"),1,0)))</f>
        <v/>
      </c>
    </row>
    <row r="594" customFormat="false" ht="16.5" hidden="false" customHeight="true" outlineLevel="0" collapsed="false">
      <c r="A594" s="36" t="str">
        <f aca="false">IF($F594="","",COUNTA($F$5:$F594))</f>
        <v/>
      </c>
      <c r="B594" s="37" t="str">
        <f aca="true">IF($F594="","",IF($P594="Cancelada","Cancelada",IF(OR($O594&lt;&gt;"",$P594="Concluída"),IF(OR($N594="",$O594="",$O594&lt;=$N594),"Concluída","Concluída com atraso"),IF($N594="","Na carteira",IF($N594&lt;TODAY(),"VENCIDA",IF($P594="Em execução","Em execução",IF($N594=TODAY(),"Hoje","Programada")))))))</f>
        <v/>
      </c>
      <c r="C594" s="38"/>
      <c r="D594" s="38"/>
      <c r="E594" s="38"/>
      <c r="F594" s="38"/>
      <c r="G594" s="39"/>
      <c r="H594" s="39"/>
      <c r="I594" s="40"/>
      <c r="J594" s="40"/>
      <c r="K594" s="40"/>
      <c r="L594" s="41"/>
      <c r="M594" s="42"/>
      <c r="N594" s="43" t="str">
        <f aca="false">IF(OR($L594="",$M594=""),"",$L594+MATCH($M594,Listas!$F$5:$F$11,0)-1)</f>
        <v/>
      </c>
      <c r="O594" s="44"/>
      <c r="P594" s="39"/>
      <c r="Q594" s="44"/>
      <c r="R594" s="38"/>
      <c r="S594" s="38"/>
      <c r="T594" s="36" t="str">
        <f aca="false">IF($F594="","",IF(ISNUMBER(SEARCH("(externo)",$I594&amp;$J594&amp;$K594)),"Terceirizada","Interna"))</f>
        <v/>
      </c>
      <c r="U594" s="43" t="str">
        <f aca="false">IF($N594="","",IF($Q594="",$N594,$Q594))</f>
        <v/>
      </c>
      <c r="V594" s="36" t="str">
        <f aca="false">IF($F594="","",IF(OR($O594="",$N594=""),0,IF($O594&lt;=$N594,1,0)))</f>
        <v/>
      </c>
      <c r="W594" s="36" t="str">
        <f aca="false">IF($F594="","",IF(OR($O594="",$U594=""),0,IF($O594&lt;=$U594,1,0)))</f>
        <v/>
      </c>
      <c r="X594" s="37" t="str">
        <f aca="false">IF(OR($O594="",$N594=""),"",MAX(0,$O594-$N594))</f>
        <v/>
      </c>
      <c r="Y594" s="36" t="str">
        <f aca="false">IF($F594="","",IF(AND($Q594&lt;&gt;"",$N594&lt;&gt;"",$Q594&lt;&gt;$N594),1,0))</f>
        <v/>
      </c>
      <c r="Z594" s="36" t="str">
        <f aca="false">IF($F594="","",IF($P594="Cancelada",0,IF(OR($O594&lt;&gt;"",$P594="Concluída"),1,0)))</f>
        <v/>
      </c>
    </row>
    <row r="595" customFormat="false" ht="16.5" hidden="false" customHeight="true" outlineLevel="0" collapsed="false">
      <c r="A595" s="36" t="str">
        <f aca="false">IF($F595="","",COUNTA($F$5:$F595))</f>
        <v/>
      </c>
      <c r="B595" s="37" t="str">
        <f aca="true">IF($F595="","",IF($P595="Cancelada","Cancelada",IF(OR($O595&lt;&gt;"",$P595="Concluída"),IF(OR($N595="",$O595="",$O595&lt;=$N595),"Concluída","Concluída com atraso"),IF($N595="","Na carteira",IF($N595&lt;TODAY(),"VENCIDA",IF($P595="Em execução","Em execução",IF($N595=TODAY(),"Hoje","Programada")))))))</f>
        <v/>
      </c>
      <c r="C595" s="38"/>
      <c r="D595" s="38"/>
      <c r="E595" s="38"/>
      <c r="F595" s="38"/>
      <c r="G595" s="39"/>
      <c r="H595" s="39"/>
      <c r="I595" s="40"/>
      <c r="J595" s="40"/>
      <c r="K595" s="40"/>
      <c r="L595" s="41"/>
      <c r="M595" s="42"/>
      <c r="N595" s="43" t="str">
        <f aca="false">IF(OR($L595="",$M595=""),"",$L595+MATCH($M595,Listas!$F$5:$F$11,0)-1)</f>
        <v/>
      </c>
      <c r="O595" s="44"/>
      <c r="P595" s="39"/>
      <c r="Q595" s="44"/>
      <c r="R595" s="38"/>
      <c r="S595" s="38"/>
      <c r="T595" s="36" t="str">
        <f aca="false">IF($F595="","",IF(ISNUMBER(SEARCH("(externo)",$I595&amp;$J595&amp;$K595)),"Terceirizada","Interna"))</f>
        <v/>
      </c>
      <c r="U595" s="43" t="str">
        <f aca="false">IF($N595="","",IF($Q595="",$N595,$Q595))</f>
        <v/>
      </c>
      <c r="V595" s="36" t="str">
        <f aca="false">IF($F595="","",IF(OR($O595="",$N595=""),0,IF($O595&lt;=$N595,1,0)))</f>
        <v/>
      </c>
      <c r="W595" s="36" t="str">
        <f aca="false">IF($F595="","",IF(OR($O595="",$U595=""),0,IF($O595&lt;=$U595,1,0)))</f>
        <v/>
      </c>
      <c r="X595" s="37" t="str">
        <f aca="false">IF(OR($O595="",$N595=""),"",MAX(0,$O595-$N595))</f>
        <v/>
      </c>
      <c r="Y595" s="36" t="str">
        <f aca="false">IF($F595="","",IF(AND($Q595&lt;&gt;"",$N595&lt;&gt;"",$Q595&lt;&gt;$N595),1,0))</f>
        <v/>
      </c>
      <c r="Z595" s="36" t="str">
        <f aca="false">IF($F595="","",IF($P595="Cancelada",0,IF(OR($O595&lt;&gt;"",$P595="Concluída"),1,0)))</f>
        <v/>
      </c>
    </row>
    <row r="596" customFormat="false" ht="16.5" hidden="false" customHeight="true" outlineLevel="0" collapsed="false">
      <c r="A596" s="36" t="str">
        <f aca="false">IF($F596="","",COUNTA($F$5:$F596))</f>
        <v/>
      </c>
      <c r="B596" s="37" t="str">
        <f aca="true">IF($F596="","",IF($P596="Cancelada","Cancelada",IF(OR($O596&lt;&gt;"",$P596="Concluída"),IF(OR($N596="",$O596="",$O596&lt;=$N596),"Concluída","Concluída com atraso"),IF($N596="","Na carteira",IF($N596&lt;TODAY(),"VENCIDA",IF($P596="Em execução","Em execução",IF($N596=TODAY(),"Hoje","Programada")))))))</f>
        <v/>
      </c>
      <c r="C596" s="38"/>
      <c r="D596" s="38"/>
      <c r="E596" s="38"/>
      <c r="F596" s="38"/>
      <c r="G596" s="39"/>
      <c r="H596" s="39"/>
      <c r="I596" s="40"/>
      <c r="J596" s="40"/>
      <c r="K596" s="40"/>
      <c r="L596" s="41"/>
      <c r="M596" s="42"/>
      <c r="N596" s="43" t="str">
        <f aca="false">IF(OR($L596="",$M596=""),"",$L596+MATCH($M596,Listas!$F$5:$F$11,0)-1)</f>
        <v/>
      </c>
      <c r="O596" s="44"/>
      <c r="P596" s="39"/>
      <c r="Q596" s="44"/>
      <c r="R596" s="38"/>
      <c r="S596" s="38"/>
      <c r="T596" s="36" t="str">
        <f aca="false">IF($F596="","",IF(ISNUMBER(SEARCH("(externo)",$I596&amp;$J596&amp;$K596)),"Terceirizada","Interna"))</f>
        <v/>
      </c>
      <c r="U596" s="43" t="str">
        <f aca="false">IF($N596="","",IF($Q596="",$N596,$Q596))</f>
        <v/>
      </c>
      <c r="V596" s="36" t="str">
        <f aca="false">IF($F596="","",IF(OR($O596="",$N596=""),0,IF($O596&lt;=$N596,1,0)))</f>
        <v/>
      </c>
      <c r="W596" s="36" t="str">
        <f aca="false">IF($F596="","",IF(OR($O596="",$U596=""),0,IF($O596&lt;=$U596,1,0)))</f>
        <v/>
      </c>
      <c r="X596" s="37" t="str">
        <f aca="false">IF(OR($O596="",$N596=""),"",MAX(0,$O596-$N596))</f>
        <v/>
      </c>
      <c r="Y596" s="36" t="str">
        <f aca="false">IF($F596="","",IF(AND($Q596&lt;&gt;"",$N596&lt;&gt;"",$Q596&lt;&gt;$N596),1,0))</f>
        <v/>
      </c>
      <c r="Z596" s="36" t="str">
        <f aca="false">IF($F596="","",IF($P596="Cancelada",0,IF(OR($O596&lt;&gt;"",$P596="Concluída"),1,0)))</f>
        <v/>
      </c>
    </row>
    <row r="597" customFormat="false" ht="16.5" hidden="false" customHeight="true" outlineLevel="0" collapsed="false">
      <c r="A597" s="36" t="str">
        <f aca="false">IF($F597="","",COUNTA($F$5:$F597))</f>
        <v/>
      </c>
      <c r="B597" s="37" t="str">
        <f aca="true">IF($F597="","",IF($P597="Cancelada","Cancelada",IF(OR($O597&lt;&gt;"",$P597="Concluída"),IF(OR($N597="",$O597="",$O597&lt;=$N597),"Concluída","Concluída com atraso"),IF($N597="","Na carteira",IF($N597&lt;TODAY(),"VENCIDA",IF($P597="Em execução","Em execução",IF($N597=TODAY(),"Hoje","Programada")))))))</f>
        <v/>
      </c>
      <c r="C597" s="38"/>
      <c r="D597" s="38"/>
      <c r="E597" s="38"/>
      <c r="F597" s="38"/>
      <c r="G597" s="39"/>
      <c r="H597" s="39"/>
      <c r="I597" s="40"/>
      <c r="J597" s="40"/>
      <c r="K597" s="40"/>
      <c r="L597" s="41"/>
      <c r="M597" s="42"/>
      <c r="N597" s="43" t="str">
        <f aca="false">IF(OR($L597="",$M597=""),"",$L597+MATCH($M597,Listas!$F$5:$F$11,0)-1)</f>
        <v/>
      </c>
      <c r="O597" s="44"/>
      <c r="P597" s="39"/>
      <c r="Q597" s="44"/>
      <c r="R597" s="38"/>
      <c r="S597" s="38"/>
      <c r="T597" s="36" t="str">
        <f aca="false">IF($F597="","",IF(ISNUMBER(SEARCH("(externo)",$I597&amp;$J597&amp;$K597)),"Terceirizada","Interna"))</f>
        <v/>
      </c>
      <c r="U597" s="43" t="str">
        <f aca="false">IF($N597="","",IF($Q597="",$N597,$Q597))</f>
        <v/>
      </c>
      <c r="V597" s="36" t="str">
        <f aca="false">IF($F597="","",IF(OR($O597="",$N597=""),0,IF($O597&lt;=$N597,1,0)))</f>
        <v/>
      </c>
      <c r="W597" s="36" t="str">
        <f aca="false">IF($F597="","",IF(OR($O597="",$U597=""),0,IF($O597&lt;=$U597,1,0)))</f>
        <v/>
      </c>
      <c r="X597" s="37" t="str">
        <f aca="false">IF(OR($O597="",$N597=""),"",MAX(0,$O597-$N597))</f>
        <v/>
      </c>
      <c r="Y597" s="36" t="str">
        <f aca="false">IF($F597="","",IF(AND($Q597&lt;&gt;"",$N597&lt;&gt;"",$Q597&lt;&gt;$N597),1,0))</f>
        <v/>
      </c>
      <c r="Z597" s="36" t="str">
        <f aca="false">IF($F597="","",IF($P597="Cancelada",0,IF(OR($O597&lt;&gt;"",$P597="Concluída"),1,0)))</f>
        <v/>
      </c>
    </row>
    <row r="598" customFormat="false" ht="16.5" hidden="false" customHeight="true" outlineLevel="0" collapsed="false">
      <c r="A598" s="36" t="str">
        <f aca="false">IF($F598="","",COUNTA($F$5:$F598))</f>
        <v/>
      </c>
      <c r="B598" s="37" t="str">
        <f aca="true">IF($F598="","",IF($P598="Cancelada","Cancelada",IF(OR($O598&lt;&gt;"",$P598="Concluída"),IF(OR($N598="",$O598="",$O598&lt;=$N598),"Concluída","Concluída com atraso"),IF($N598="","Na carteira",IF($N598&lt;TODAY(),"VENCIDA",IF($P598="Em execução","Em execução",IF($N598=TODAY(),"Hoje","Programada")))))))</f>
        <v/>
      </c>
      <c r="C598" s="38"/>
      <c r="D598" s="38"/>
      <c r="E598" s="38"/>
      <c r="F598" s="38"/>
      <c r="G598" s="39"/>
      <c r="H598" s="39"/>
      <c r="I598" s="40"/>
      <c r="J598" s="40"/>
      <c r="K598" s="40"/>
      <c r="L598" s="41"/>
      <c r="M598" s="42"/>
      <c r="N598" s="43" t="str">
        <f aca="false">IF(OR($L598="",$M598=""),"",$L598+MATCH($M598,Listas!$F$5:$F$11,0)-1)</f>
        <v/>
      </c>
      <c r="O598" s="44"/>
      <c r="P598" s="39"/>
      <c r="Q598" s="44"/>
      <c r="R598" s="38"/>
      <c r="S598" s="38"/>
      <c r="T598" s="36" t="str">
        <f aca="false">IF($F598="","",IF(ISNUMBER(SEARCH("(externo)",$I598&amp;$J598&amp;$K598)),"Terceirizada","Interna"))</f>
        <v/>
      </c>
      <c r="U598" s="43" t="str">
        <f aca="false">IF($N598="","",IF($Q598="",$N598,$Q598))</f>
        <v/>
      </c>
      <c r="V598" s="36" t="str">
        <f aca="false">IF($F598="","",IF(OR($O598="",$N598=""),0,IF($O598&lt;=$N598,1,0)))</f>
        <v/>
      </c>
      <c r="W598" s="36" t="str">
        <f aca="false">IF($F598="","",IF(OR($O598="",$U598=""),0,IF($O598&lt;=$U598,1,0)))</f>
        <v/>
      </c>
      <c r="X598" s="37" t="str">
        <f aca="false">IF(OR($O598="",$N598=""),"",MAX(0,$O598-$N598))</f>
        <v/>
      </c>
      <c r="Y598" s="36" t="str">
        <f aca="false">IF($F598="","",IF(AND($Q598&lt;&gt;"",$N598&lt;&gt;"",$Q598&lt;&gt;$N598),1,0))</f>
        <v/>
      </c>
      <c r="Z598" s="36" t="str">
        <f aca="false">IF($F598="","",IF($P598="Cancelada",0,IF(OR($O598&lt;&gt;"",$P598="Concluída"),1,0)))</f>
        <v/>
      </c>
    </row>
    <row r="599" customFormat="false" ht="16.5" hidden="false" customHeight="true" outlineLevel="0" collapsed="false">
      <c r="A599" s="36" t="str">
        <f aca="false">IF($F599="","",COUNTA($F$5:$F599))</f>
        <v/>
      </c>
      <c r="B599" s="37" t="str">
        <f aca="true">IF($F599="","",IF($P599="Cancelada","Cancelada",IF(OR($O599&lt;&gt;"",$P599="Concluída"),IF(OR($N599="",$O599="",$O599&lt;=$N599),"Concluída","Concluída com atraso"),IF($N599="","Na carteira",IF($N599&lt;TODAY(),"VENCIDA",IF($P599="Em execução","Em execução",IF($N599=TODAY(),"Hoje","Programada")))))))</f>
        <v/>
      </c>
      <c r="C599" s="38"/>
      <c r="D599" s="38"/>
      <c r="E599" s="38"/>
      <c r="F599" s="38"/>
      <c r="G599" s="39"/>
      <c r="H599" s="39"/>
      <c r="I599" s="40"/>
      <c r="J599" s="40"/>
      <c r="K599" s="40"/>
      <c r="L599" s="41"/>
      <c r="M599" s="42"/>
      <c r="N599" s="43" t="str">
        <f aca="false">IF(OR($L599="",$M599=""),"",$L599+MATCH($M599,Listas!$F$5:$F$11,0)-1)</f>
        <v/>
      </c>
      <c r="O599" s="44"/>
      <c r="P599" s="39"/>
      <c r="Q599" s="44"/>
      <c r="R599" s="38"/>
      <c r="S599" s="38"/>
      <c r="T599" s="36" t="str">
        <f aca="false">IF($F599="","",IF(ISNUMBER(SEARCH("(externo)",$I599&amp;$J599&amp;$K599)),"Terceirizada","Interna"))</f>
        <v/>
      </c>
      <c r="U599" s="43" t="str">
        <f aca="false">IF($N599="","",IF($Q599="",$N599,$Q599))</f>
        <v/>
      </c>
      <c r="V599" s="36" t="str">
        <f aca="false">IF($F599="","",IF(OR($O599="",$N599=""),0,IF($O599&lt;=$N599,1,0)))</f>
        <v/>
      </c>
      <c r="W599" s="36" t="str">
        <f aca="false">IF($F599="","",IF(OR($O599="",$U599=""),0,IF($O599&lt;=$U599,1,0)))</f>
        <v/>
      </c>
      <c r="X599" s="37" t="str">
        <f aca="false">IF(OR($O599="",$N599=""),"",MAX(0,$O599-$N599))</f>
        <v/>
      </c>
      <c r="Y599" s="36" t="str">
        <f aca="false">IF($F599="","",IF(AND($Q599&lt;&gt;"",$N599&lt;&gt;"",$Q599&lt;&gt;$N599),1,0))</f>
        <v/>
      </c>
      <c r="Z599" s="36" t="str">
        <f aca="false">IF($F599="","",IF($P599="Cancelada",0,IF(OR($O599&lt;&gt;"",$P599="Concluída"),1,0)))</f>
        <v/>
      </c>
    </row>
    <row r="600" customFormat="false" ht="16.5" hidden="false" customHeight="true" outlineLevel="0" collapsed="false">
      <c r="A600" s="36" t="str">
        <f aca="false">IF($F600="","",COUNTA($F$5:$F600))</f>
        <v/>
      </c>
      <c r="B600" s="37" t="str">
        <f aca="true">IF($F600="","",IF($P600="Cancelada","Cancelada",IF(OR($O600&lt;&gt;"",$P600="Concluída"),IF(OR($N600="",$O600="",$O600&lt;=$N600),"Concluída","Concluída com atraso"),IF($N600="","Na carteira",IF($N600&lt;TODAY(),"VENCIDA",IF($P600="Em execução","Em execução",IF($N600=TODAY(),"Hoje","Programada")))))))</f>
        <v/>
      </c>
      <c r="C600" s="38"/>
      <c r="D600" s="38"/>
      <c r="E600" s="38"/>
      <c r="F600" s="38"/>
      <c r="G600" s="39"/>
      <c r="H600" s="39"/>
      <c r="I600" s="40"/>
      <c r="J600" s="40"/>
      <c r="K600" s="40"/>
      <c r="L600" s="41"/>
      <c r="M600" s="42"/>
      <c r="N600" s="43" t="str">
        <f aca="false">IF(OR($L600="",$M600=""),"",$L600+MATCH($M600,Listas!$F$5:$F$11,0)-1)</f>
        <v/>
      </c>
      <c r="O600" s="44"/>
      <c r="P600" s="39"/>
      <c r="Q600" s="44"/>
      <c r="R600" s="38"/>
      <c r="S600" s="38"/>
      <c r="T600" s="36" t="str">
        <f aca="false">IF($F600="","",IF(ISNUMBER(SEARCH("(externo)",$I600&amp;$J600&amp;$K600)),"Terceirizada","Interna"))</f>
        <v/>
      </c>
      <c r="U600" s="43" t="str">
        <f aca="false">IF($N600="","",IF($Q600="",$N600,$Q600))</f>
        <v/>
      </c>
      <c r="V600" s="36" t="str">
        <f aca="false">IF($F600="","",IF(OR($O600="",$N600=""),0,IF($O600&lt;=$N600,1,0)))</f>
        <v/>
      </c>
      <c r="W600" s="36" t="str">
        <f aca="false">IF($F600="","",IF(OR($O600="",$U600=""),0,IF($O600&lt;=$U600,1,0)))</f>
        <v/>
      </c>
      <c r="X600" s="37" t="str">
        <f aca="false">IF(OR($O600="",$N600=""),"",MAX(0,$O600-$N600))</f>
        <v/>
      </c>
      <c r="Y600" s="36" t="str">
        <f aca="false">IF($F600="","",IF(AND($Q600&lt;&gt;"",$N600&lt;&gt;"",$Q600&lt;&gt;$N600),1,0))</f>
        <v/>
      </c>
      <c r="Z600" s="36" t="str">
        <f aca="false">IF($F600="","",IF($P600="Cancelada",0,IF(OR($O600&lt;&gt;"",$P600="Concluída"),1,0)))</f>
        <v/>
      </c>
    </row>
    <row r="601" customFormat="false" ht="16.5" hidden="false" customHeight="true" outlineLevel="0" collapsed="false">
      <c r="A601" s="36" t="str">
        <f aca="false">IF($F601="","",COUNTA($F$5:$F601))</f>
        <v/>
      </c>
      <c r="B601" s="37" t="str">
        <f aca="true">IF($F601="","",IF($P601="Cancelada","Cancelada",IF(OR($O601&lt;&gt;"",$P601="Concluída"),IF(OR($N601="",$O601="",$O601&lt;=$N601),"Concluída","Concluída com atraso"),IF($N601="","Na carteira",IF($N601&lt;TODAY(),"VENCIDA",IF($P601="Em execução","Em execução",IF($N601=TODAY(),"Hoje","Programada")))))))</f>
        <v/>
      </c>
      <c r="C601" s="38"/>
      <c r="D601" s="38"/>
      <c r="E601" s="38"/>
      <c r="F601" s="38"/>
      <c r="G601" s="39"/>
      <c r="H601" s="39"/>
      <c r="I601" s="40"/>
      <c r="J601" s="40"/>
      <c r="K601" s="40"/>
      <c r="L601" s="41"/>
      <c r="M601" s="42"/>
      <c r="N601" s="43" t="str">
        <f aca="false">IF(OR($L601="",$M601=""),"",$L601+MATCH($M601,Listas!$F$5:$F$11,0)-1)</f>
        <v/>
      </c>
      <c r="O601" s="44"/>
      <c r="P601" s="39"/>
      <c r="Q601" s="44"/>
      <c r="R601" s="38"/>
      <c r="S601" s="38"/>
      <c r="T601" s="36" t="str">
        <f aca="false">IF($F601="","",IF(ISNUMBER(SEARCH("(externo)",$I601&amp;$J601&amp;$K601)),"Terceirizada","Interna"))</f>
        <v/>
      </c>
      <c r="U601" s="43" t="str">
        <f aca="false">IF($N601="","",IF($Q601="",$N601,$Q601))</f>
        <v/>
      </c>
      <c r="V601" s="36" t="str">
        <f aca="false">IF($F601="","",IF(OR($O601="",$N601=""),0,IF($O601&lt;=$N601,1,0)))</f>
        <v/>
      </c>
      <c r="W601" s="36" t="str">
        <f aca="false">IF($F601="","",IF(OR($O601="",$U601=""),0,IF($O601&lt;=$U601,1,0)))</f>
        <v/>
      </c>
      <c r="X601" s="37" t="str">
        <f aca="false">IF(OR($O601="",$N601=""),"",MAX(0,$O601-$N601))</f>
        <v/>
      </c>
      <c r="Y601" s="36" t="str">
        <f aca="false">IF($F601="","",IF(AND($Q601&lt;&gt;"",$N601&lt;&gt;"",$Q601&lt;&gt;$N601),1,0))</f>
        <v/>
      </c>
      <c r="Z601" s="36" t="str">
        <f aca="false">IF($F601="","",IF($P601="Cancelada",0,IF(OR($O601&lt;&gt;"",$P601="Concluída"),1,0)))</f>
        <v/>
      </c>
    </row>
    <row r="602" customFormat="false" ht="16.5" hidden="false" customHeight="true" outlineLevel="0" collapsed="false">
      <c r="A602" s="36" t="str">
        <f aca="false">IF($F602="","",COUNTA($F$5:$F602))</f>
        <v/>
      </c>
      <c r="B602" s="37" t="str">
        <f aca="true">IF($F602="","",IF($P602="Cancelada","Cancelada",IF(OR($O602&lt;&gt;"",$P602="Concluída"),IF(OR($N602="",$O602="",$O602&lt;=$N602),"Concluída","Concluída com atraso"),IF($N602="","Na carteira",IF($N602&lt;TODAY(),"VENCIDA",IF($P602="Em execução","Em execução",IF($N602=TODAY(),"Hoje","Programada")))))))</f>
        <v/>
      </c>
      <c r="C602" s="38"/>
      <c r="D602" s="38"/>
      <c r="E602" s="38"/>
      <c r="F602" s="38"/>
      <c r="G602" s="39"/>
      <c r="H602" s="39"/>
      <c r="I602" s="40"/>
      <c r="J602" s="40"/>
      <c r="K602" s="40"/>
      <c r="L602" s="41"/>
      <c r="M602" s="42"/>
      <c r="N602" s="43" t="str">
        <f aca="false">IF(OR($L602="",$M602=""),"",$L602+MATCH($M602,Listas!$F$5:$F$11,0)-1)</f>
        <v/>
      </c>
      <c r="O602" s="44"/>
      <c r="P602" s="39"/>
      <c r="Q602" s="44"/>
      <c r="R602" s="38"/>
      <c r="S602" s="38"/>
      <c r="T602" s="36" t="str">
        <f aca="false">IF($F602="","",IF(ISNUMBER(SEARCH("(externo)",$I602&amp;$J602&amp;$K602)),"Terceirizada","Interna"))</f>
        <v/>
      </c>
      <c r="U602" s="43" t="str">
        <f aca="false">IF($N602="","",IF($Q602="",$N602,$Q602))</f>
        <v/>
      </c>
      <c r="V602" s="36" t="str">
        <f aca="false">IF($F602="","",IF(OR($O602="",$N602=""),0,IF($O602&lt;=$N602,1,0)))</f>
        <v/>
      </c>
      <c r="W602" s="36" t="str">
        <f aca="false">IF($F602="","",IF(OR($O602="",$U602=""),0,IF($O602&lt;=$U602,1,0)))</f>
        <v/>
      </c>
      <c r="X602" s="37" t="str">
        <f aca="false">IF(OR($O602="",$N602=""),"",MAX(0,$O602-$N602))</f>
        <v/>
      </c>
      <c r="Y602" s="36" t="str">
        <f aca="false">IF($F602="","",IF(AND($Q602&lt;&gt;"",$N602&lt;&gt;"",$Q602&lt;&gt;$N602),1,0))</f>
        <v/>
      </c>
      <c r="Z602" s="36" t="str">
        <f aca="false">IF($F602="","",IF($P602="Cancelada",0,IF(OR($O602&lt;&gt;"",$P602="Concluída"),1,0)))</f>
        <v/>
      </c>
    </row>
    <row r="603" customFormat="false" ht="16.5" hidden="false" customHeight="true" outlineLevel="0" collapsed="false">
      <c r="A603" s="36" t="str">
        <f aca="false">IF($F603="","",COUNTA($F$5:$F603))</f>
        <v/>
      </c>
      <c r="B603" s="37" t="str">
        <f aca="true">IF($F603="","",IF($P603="Cancelada","Cancelada",IF(OR($O603&lt;&gt;"",$P603="Concluída"),IF(OR($N603="",$O603="",$O603&lt;=$N603),"Concluída","Concluída com atraso"),IF($N603="","Na carteira",IF($N603&lt;TODAY(),"VENCIDA",IF($P603="Em execução","Em execução",IF($N603=TODAY(),"Hoje","Programada")))))))</f>
        <v/>
      </c>
      <c r="C603" s="38"/>
      <c r="D603" s="38"/>
      <c r="E603" s="38"/>
      <c r="F603" s="38"/>
      <c r="G603" s="39"/>
      <c r="H603" s="39"/>
      <c r="I603" s="40"/>
      <c r="J603" s="40"/>
      <c r="K603" s="40"/>
      <c r="L603" s="41"/>
      <c r="M603" s="42"/>
      <c r="N603" s="43" t="str">
        <f aca="false">IF(OR($L603="",$M603=""),"",$L603+MATCH($M603,Listas!$F$5:$F$11,0)-1)</f>
        <v/>
      </c>
      <c r="O603" s="44"/>
      <c r="P603" s="39"/>
      <c r="Q603" s="44"/>
      <c r="R603" s="38"/>
      <c r="S603" s="38"/>
      <c r="T603" s="36" t="str">
        <f aca="false">IF($F603="","",IF(ISNUMBER(SEARCH("(externo)",$I603&amp;$J603&amp;$K603)),"Terceirizada","Interna"))</f>
        <v/>
      </c>
      <c r="U603" s="43" t="str">
        <f aca="false">IF($N603="","",IF($Q603="",$N603,$Q603))</f>
        <v/>
      </c>
      <c r="V603" s="36" t="str">
        <f aca="false">IF($F603="","",IF(OR($O603="",$N603=""),0,IF($O603&lt;=$N603,1,0)))</f>
        <v/>
      </c>
      <c r="W603" s="36" t="str">
        <f aca="false">IF($F603="","",IF(OR($O603="",$U603=""),0,IF($O603&lt;=$U603,1,0)))</f>
        <v/>
      </c>
      <c r="X603" s="37" t="str">
        <f aca="false">IF(OR($O603="",$N603=""),"",MAX(0,$O603-$N603))</f>
        <v/>
      </c>
      <c r="Y603" s="36" t="str">
        <f aca="false">IF($F603="","",IF(AND($Q603&lt;&gt;"",$N603&lt;&gt;"",$Q603&lt;&gt;$N603),1,0))</f>
        <v/>
      </c>
      <c r="Z603" s="36" t="str">
        <f aca="false">IF($F603="","",IF($P603="Cancelada",0,IF(OR($O603&lt;&gt;"",$P603="Concluída"),1,0)))</f>
        <v/>
      </c>
    </row>
    <row r="604" customFormat="false" ht="16.5" hidden="false" customHeight="true" outlineLevel="0" collapsed="false">
      <c r="A604" s="36" t="str">
        <f aca="false">IF($F604="","",COUNTA($F$5:$F604))</f>
        <v/>
      </c>
      <c r="B604" s="37" t="str">
        <f aca="true">IF($F604="","",IF($P604="Cancelada","Cancelada",IF(OR($O604&lt;&gt;"",$P604="Concluída"),IF(OR($N604="",$O604="",$O604&lt;=$N604),"Concluída","Concluída com atraso"),IF($N604="","Na carteira",IF($N604&lt;TODAY(),"VENCIDA",IF($P604="Em execução","Em execução",IF($N604=TODAY(),"Hoje","Programada")))))))</f>
        <v/>
      </c>
      <c r="C604" s="38"/>
      <c r="D604" s="38"/>
      <c r="E604" s="38"/>
      <c r="F604" s="38"/>
      <c r="G604" s="39"/>
      <c r="H604" s="39"/>
      <c r="I604" s="40"/>
      <c r="J604" s="40"/>
      <c r="K604" s="40"/>
      <c r="L604" s="41"/>
      <c r="M604" s="42"/>
      <c r="N604" s="43" t="str">
        <f aca="false">IF(OR($L604="",$M604=""),"",$L604+MATCH($M604,Listas!$F$5:$F$11,0)-1)</f>
        <v/>
      </c>
      <c r="O604" s="44"/>
      <c r="P604" s="39"/>
      <c r="Q604" s="44"/>
      <c r="R604" s="38"/>
      <c r="S604" s="38"/>
      <c r="T604" s="36" t="str">
        <f aca="false">IF($F604="","",IF(ISNUMBER(SEARCH("(externo)",$I604&amp;$J604&amp;$K604)),"Terceirizada","Interna"))</f>
        <v/>
      </c>
      <c r="U604" s="43" t="str">
        <f aca="false">IF($N604="","",IF($Q604="",$N604,$Q604))</f>
        <v/>
      </c>
      <c r="V604" s="36" t="str">
        <f aca="false">IF($F604="","",IF(OR($O604="",$N604=""),0,IF($O604&lt;=$N604,1,0)))</f>
        <v/>
      </c>
      <c r="W604" s="36" t="str">
        <f aca="false">IF($F604="","",IF(OR($O604="",$U604=""),0,IF($O604&lt;=$U604,1,0)))</f>
        <v/>
      </c>
      <c r="X604" s="37" t="str">
        <f aca="false">IF(OR($O604="",$N604=""),"",MAX(0,$O604-$N604))</f>
        <v/>
      </c>
      <c r="Y604" s="36" t="str">
        <f aca="false">IF($F604="","",IF(AND($Q604&lt;&gt;"",$N604&lt;&gt;"",$Q604&lt;&gt;$N604),1,0))</f>
        <v/>
      </c>
      <c r="Z604" s="36" t="str">
        <f aca="false">IF($F604="","",IF($P604="Cancelada",0,IF(OR($O604&lt;&gt;"",$P604="Concluída"),1,0)))</f>
        <v/>
      </c>
    </row>
    <row r="605" customFormat="false" ht="16.5" hidden="false" customHeight="true" outlineLevel="0" collapsed="false">
      <c r="A605" s="36" t="str">
        <f aca="false">IF($F605="","",COUNTA($F$5:$F605))</f>
        <v/>
      </c>
      <c r="B605" s="37" t="str">
        <f aca="true">IF($F605="","",IF($P605="Cancelada","Cancelada",IF(OR($O605&lt;&gt;"",$P605="Concluída"),IF(OR($N605="",$O605="",$O605&lt;=$N605),"Concluída","Concluída com atraso"),IF($N605="","Na carteira",IF($N605&lt;TODAY(),"VENCIDA",IF($P605="Em execução","Em execução",IF($N605=TODAY(),"Hoje","Programada")))))))</f>
        <v/>
      </c>
      <c r="C605" s="38"/>
      <c r="D605" s="38"/>
      <c r="E605" s="38"/>
      <c r="F605" s="38"/>
      <c r="G605" s="39"/>
      <c r="H605" s="39"/>
      <c r="I605" s="40"/>
      <c r="J605" s="40"/>
      <c r="K605" s="40"/>
      <c r="L605" s="41"/>
      <c r="M605" s="42"/>
      <c r="N605" s="43" t="str">
        <f aca="false">IF(OR($L605="",$M605=""),"",$L605+MATCH($M605,Listas!$F$5:$F$11,0)-1)</f>
        <v/>
      </c>
      <c r="O605" s="44"/>
      <c r="P605" s="39"/>
      <c r="Q605" s="44"/>
      <c r="R605" s="38"/>
      <c r="S605" s="38"/>
      <c r="T605" s="36" t="str">
        <f aca="false">IF($F605="","",IF(ISNUMBER(SEARCH("(externo)",$I605&amp;$J605&amp;$K605)),"Terceirizada","Interna"))</f>
        <v/>
      </c>
      <c r="U605" s="43" t="str">
        <f aca="false">IF($N605="","",IF($Q605="",$N605,$Q605))</f>
        <v/>
      </c>
      <c r="V605" s="36" t="str">
        <f aca="false">IF($F605="","",IF(OR($O605="",$N605=""),0,IF($O605&lt;=$N605,1,0)))</f>
        <v/>
      </c>
      <c r="W605" s="36" t="str">
        <f aca="false">IF($F605="","",IF(OR($O605="",$U605=""),0,IF($O605&lt;=$U605,1,0)))</f>
        <v/>
      </c>
      <c r="X605" s="37" t="str">
        <f aca="false">IF(OR($O605="",$N605=""),"",MAX(0,$O605-$N605))</f>
        <v/>
      </c>
      <c r="Y605" s="36" t="str">
        <f aca="false">IF($F605="","",IF(AND($Q605&lt;&gt;"",$N605&lt;&gt;"",$Q605&lt;&gt;$N605),1,0))</f>
        <v/>
      </c>
      <c r="Z605" s="36" t="str">
        <f aca="false">IF($F605="","",IF($P605="Cancelada",0,IF(OR($O605&lt;&gt;"",$P605="Concluída"),1,0)))</f>
        <v/>
      </c>
    </row>
    <row r="606" customFormat="false" ht="16.5" hidden="false" customHeight="true" outlineLevel="0" collapsed="false">
      <c r="A606" s="36" t="str">
        <f aca="false">IF($F606="","",COUNTA($F$5:$F606))</f>
        <v/>
      </c>
      <c r="B606" s="37" t="str">
        <f aca="true">IF($F606="","",IF($P606="Cancelada","Cancelada",IF(OR($O606&lt;&gt;"",$P606="Concluída"),IF(OR($N606="",$O606="",$O606&lt;=$N606),"Concluída","Concluída com atraso"),IF($N606="","Na carteira",IF($N606&lt;TODAY(),"VENCIDA",IF($P606="Em execução","Em execução",IF($N606=TODAY(),"Hoje","Programada")))))))</f>
        <v/>
      </c>
      <c r="C606" s="38"/>
      <c r="D606" s="38"/>
      <c r="E606" s="38"/>
      <c r="F606" s="38"/>
      <c r="G606" s="39"/>
      <c r="H606" s="39"/>
      <c r="I606" s="40"/>
      <c r="J606" s="40"/>
      <c r="K606" s="40"/>
      <c r="L606" s="41"/>
      <c r="M606" s="42"/>
      <c r="N606" s="43" t="str">
        <f aca="false">IF(OR($L606="",$M606=""),"",$L606+MATCH($M606,Listas!$F$5:$F$11,0)-1)</f>
        <v/>
      </c>
      <c r="O606" s="44"/>
      <c r="P606" s="39"/>
      <c r="Q606" s="44"/>
      <c r="R606" s="38"/>
      <c r="S606" s="38"/>
      <c r="T606" s="36" t="str">
        <f aca="false">IF($F606="","",IF(ISNUMBER(SEARCH("(externo)",$I606&amp;$J606&amp;$K606)),"Terceirizada","Interna"))</f>
        <v/>
      </c>
      <c r="U606" s="43" t="str">
        <f aca="false">IF($N606="","",IF($Q606="",$N606,$Q606))</f>
        <v/>
      </c>
      <c r="V606" s="36" t="str">
        <f aca="false">IF($F606="","",IF(OR($O606="",$N606=""),0,IF($O606&lt;=$N606,1,0)))</f>
        <v/>
      </c>
      <c r="W606" s="36" t="str">
        <f aca="false">IF($F606="","",IF(OR($O606="",$U606=""),0,IF($O606&lt;=$U606,1,0)))</f>
        <v/>
      </c>
      <c r="X606" s="37" t="str">
        <f aca="false">IF(OR($O606="",$N606=""),"",MAX(0,$O606-$N606))</f>
        <v/>
      </c>
      <c r="Y606" s="36" t="str">
        <f aca="false">IF($F606="","",IF(AND($Q606&lt;&gt;"",$N606&lt;&gt;"",$Q606&lt;&gt;$N606),1,0))</f>
        <v/>
      </c>
      <c r="Z606" s="36" t="str">
        <f aca="false">IF($F606="","",IF($P606="Cancelada",0,IF(OR($O606&lt;&gt;"",$P606="Concluída"),1,0)))</f>
        <v/>
      </c>
    </row>
    <row r="607" customFormat="false" ht="16.5" hidden="false" customHeight="true" outlineLevel="0" collapsed="false">
      <c r="A607" s="36" t="str">
        <f aca="false">IF($F607="","",COUNTA($F$5:$F607))</f>
        <v/>
      </c>
      <c r="B607" s="37" t="str">
        <f aca="true">IF($F607="","",IF($P607="Cancelada","Cancelada",IF(OR($O607&lt;&gt;"",$P607="Concluída"),IF(OR($N607="",$O607="",$O607&lt;=$N607),"Concluída","Concluída com atraso"),IF($N607="","Na carteira",IF($N607&lt;TODAY(),"VENCIDA",IF($P607="Em execução","Em execução",IF($N607=TODAY(),"Hoje","Programada")))))))</f>
        <v/>
      </c>
      <c r="C607" s="38"/>
      <c r="D607" s="38"/>
      <c r="E607" s="38"/>
      <c r="F607" s="38"/>
      <c r="G607" s="39"/>
      <c r="H607" s="39"/>
      <c r="I607" s="40"/>
      <c r="J607" s="40"/>
      <c r="K607" s="40"/>
      <c r="L607" s="41"/>
      <c r="M607" s="42"/>
      <c r="N607" s="43" t="str">
        <f aca="false">IF(OR($L607="",$M607=""),"",$L607+MATCH($M607,Listas!$F$5:$F$11,0)-1)</f>
        <v/>
      </c>
      <c r="O607" s="44"/>
      <c r="P607" s="39"/>
      <c r="Q607" s="44"/>
      <c r="R607" s="38"/>
      <c r="S607" s="38"/>
      <c r="T607" s="36" t="str">
        <f aca="false">IF($F607="","",IF(ISNUMBER(SEARCH("(externo)",$I607&amp;$J607&amp;$K607)),"Terceirizada","Interna"))</f>
        <v/>
      </c>
      <c r="U607" s="43" t="str">
        <f aca="false">IF($N607="","",IF($Q607="",$N607,$Q607))</f>
        <v/>
      </c>
      <c r="V607" s="36" t="str">
        <f aca="false">IF($F607="","",IF(OR($O607="",$N607=""),0,IF($O607&lt;=$N607,1,0)))</f>
        <v/>
      </c>
      <c r="W607" s="36" t="str">
        <f aca="false">IF($F607="","",IF(OR($O607="",$U607=""),0,IF($O607&lt;=$U607,1,0)))</f>
        <v/>
      </c>
      <c r="X607" s="37" t="str">
        <f aca="false">IF(OR($O607="",$N607=""),"",MAX(0,$O607-$N607))</f>
        <v/>
      </c>
      <c r="Y607" s="36" t="str">
        <f aca="false">IF($F607="","",IF(AND($Q607&lt;&gt;"",$N607&lt;&gt;"",$Q607&lt;&gt;$N607),1,0))</f>
        <v/>
      </c>
      <c r="Z607" s="36" t="str">
        <f aca="false">IF($F607="","",IF($P607="Cancelada",0,IF(OR($O607&lt;&gt;"",$P607="Concluída"),1,0)))</f>
        <v/>
      </c>
    </row>
    <row r="608" customFormat="false" ht="16.5" hidden="false" customHeight="true" outlineLevel="0" collapsed="false">
      <c r="A608" s="36" t="str">
        <f aca="false">IF($F608="","",COUNTA($F$5:$F608))</f>
        <v/>
      </c>
      <c r="B608" s="37" t="str">
        <f aca="true">IF($F608="","",IF($P608="Cancelada","Cancelada",IF(OR($O608&lt;&gt;"",$P608="Concluída"),IF(OR($N608="",$O608="",$O608&lt;=$N608),"Concluída","Concluída com atraso"),IF($N608="","Na carteira",IF($N608&lt;TODAY(),"VENCIDA",IF($P608="Em execução","Em execução",IF($N608=TODAY(),"Hoje","Programada")))))))</f>
        <v/>
      </c>
      <c r="C608" s="38"/>
      <c r="D608" s="38"/>
      <c r="E608" s="38"/>
      <c r="F608" s="38"/>
      <c r="G608" s="39"/>
      <c r="H608" s="39"/>
      <c r="I608" s="40"/>
      <c r="J608" s="40"/>
      <c r="K608" s="40"/>
      <c r="L608" s="41"/>
      <c r="M608" s="42"/>
      <c r="N608" s="43" t="str">
        <f aca="false">IF(OR($L608="",$M608=""),"",$L608+MATCH($M608,Listas!$F$5:$F$11,0)-1)</f>
        <v/>
      </c>
      <c r="O608" s="44"/>
      <c r="P608" s="39"/>
      <c r="Q608" s="44"/>
      <c r="R608" s="38"/>
      <c r="S608" s="38"/>
      <c r="T608" s="36" t="str">
        <f aca="false">IF($F608="","",IF(ISNUMBER(SEARCH("(externo)",$I608&amp;$J608&amp;$K608)),"Terceirizada","Interna"))</f>
        <v/>
      </c>
      <c r="U608" s="43" t="str">
        <f aca="false">IF($N608="","",IF($Q608="",$N608,$Q608))</f>
        <v/>
      </c>
      <c r="V608" s="36" t="str">
        <f aca="false">IF($F608="","",IF(OR($O608="",$N608=""),0,IF($O608&lt;=$N608,1,0)))</f>
        <v/>
      </c>
      <c r="W608" s="36" t="str">
        <f aca="false">IF($F608="","",IF(OR($O608="",$U608=""),0,IF($O608&lt;=$U608,1,0)))</f>
        <v/>
      </c>
      <c r="X608" s="37" t="str">
        <f aca="false">IF(OR($O608="",$N608=""),"",MAX(0,$O608-$N608))</f>
        <v/>
      </c>
      <c r="Y608" s="36" t="str">
        <f aca="false">IF($F608="","",IF(AND($Q608&lt;&gt;"",$N608&lt;&gt;"",$Q608&lt;&gt;$N608),1,0))</f>
        <v/>
      </c>
      <c r="Z608" s="36" t="str">
        <f aca="false">IF($F608="","",IF($P608="Cancelada",0,IF(OR($O608&lt;&gt;"",$P608="Concluída"),1,0)))</f>
        <v/>
      </c>
    </row>
    <row r="609" customFormat="false" ht="16.5" hidden="false" customHeight="true" outlineLevel="0" collapsed="false">
      <c r="A609" s="36" t="str">
        <f aca="false">IF($F609="","",COUNTA($F$5:$F609))</f>
        <v/>
      </c>
      <c r="B609" s="37" t="str">
        <f aca="true">IF($F609="","",IF($P609="Cancelada","Cancelada",IF(OR($O609&lt;&gt;"",$P609="Concluída"),IF(OR($N609="",$O609="",$O609&lt;=$N609),"Concluída","Concluída com atraso"),IF($N609="","Na carteira",IF($N609&lt;TODAY(),"VENCIDA",IF($P609="Em execução","Em execução",IF($N609=TODAY(),"Hoje","Programada")))))))</f>
        <v/>
      </c>
      <c r="C609" s="38"/>
      <c r="D609" s="38"/>
      <c r="E609" s="38"/>
      <c r="F609" s="38"/>
      <c r="G609" s="39"/>
      <c r="H609" s="39"/>
      <c r="I609" s="40"/>
      <c r="J609" s="40"/>
      <c r="K609" s="40"/>
      <c r="L609" s="41"/>
      <c r="M609" s="42"/>
      <c r="N609" s="43" t="str">
        <f aca="false">IF(OR($L609="",$M609=""),"",$L609+MATCH($M609,Listas!$F$5:$F$11,0)-1)</f>
        <v/>
      </c>
      <c r="O609" s="44"/>
      <c r="P609" s="39"/>
      <c r="Q609" s="44"/>
      <c r="R609" s="38"/>
      <c r="S609" s="38"/>
      <c r="T609" s="36" t="str">
        <f aca="false">IF($F609="","",IF(ISNUMBER(SEARCH("(externo)",$I609&amp;$J609&amp;$K609)),"Terceirizada","Interna"))</f>
        <v/>
      </c>
      <c r="U609" s="43" t="str">
        <f aca="false">IF($N609="","",IF($Q609="",$N609,$Q609))</f>
        <v/>
      </c>
      <c r="V609" s="36" t="str">
        <f aca="false">IF($F609="","",IF(OR($O609="",$N609=""),0,IF($O609&lt;=$N609,1,0)))</f>
        <v/>
      </c>
      <c r="W609" s="36" t="str">
        <f aca="false">IF($F609="","",IF(OR($O609="",$U609=""),0,IF($O609&lt;=$U609,1,0)))</f>
        <v/>
      </c>
      <c r="X609" s="37" t="str">
        <f aca="false">IF(OR($O609="",$N609=""),"",MAX(0,$O609-$N609))</f>
        <v/>
      </c>
      <c r="Y609" s="36" t="str">
        <f aca="false">IF($F609="","",IF(AND($Q609&lt;&gt;"",$N609&lt;&gt;"",$Q609&lt;&gt;$N609),1,0))</f>
        <v/>
      </c>
      <c r="Z609" s="36" t="str">
        <f aca="false">IF($F609="","",IF($P609="Cancelada",0,IF(OR($O609&lt;&gt;"",$P609="Concluída"),1,0)))</f>
        <v/>
      </c>
    </row>
    <row r="610" customFormat="false" ht="16.5" hidden="false" customHeight="true" outlineLevel="0" collapsed="false">
      <c r="A610" s="36" t="str">
        <f aca="false">IF($F610="","",COUNTA($F$5:$F610))</f>
        <v/>
      </c>
      <c r="B610" s="37" t="str">
        <f aca="true">IF($F610="","",IF($P610="Cancelada","Cancelada",IF(OR($O610&lt;&gt;"",$P610="Concluída"),IF(OR($N610="",$O610="",$O610&lt;=$N610),"Concluída","Concluída com atraso"),IF($N610="","Na carteira",IF($N610&lt;TODAY(),"VENCIDA",IF($P610="Em execução","Em execução",IF($N610=TODAY(),"Hoje","Programada")))))))</f>
        <v/>
      </c>
      <c r="C610" s="38"/>
      <c r="D610" s="38"/>
      <c r="E610" s="38"/>
      <c r="F610" s="38"/>
      <c r="G610" s="39"/>
      <c r="H610" s="39"/>
      <c r="I610" s="40"/>
      <c r="J610" s="40"/>
      <c r="K610" s="40"/>
      <c r="L610" s="41"/>
      <c r="M610" s="42"/>
      <c r="N610" s="43" t="str">
        <f aca="false">IF(OR($L610="",$M610=""),"",$L610+MATCH($M610,Listas!$F$5:$F$11,0)-1)</f>
        <v/>
      </c>
      <c r="O610" s="44"/>
      <c r="P610" s="39"/>
      <c r="Q610" s="44"/>
      <c r="R610" s="38"/>
      <c r="S610" s="38"/>
      <c r="T610" s="36" t="str">
        <f aca="false">IF($F610="","",IF(ISNUMBER(SEARCH("(externo)",$I610&amp;$J610&amp;$K610)),"Terceirizada","Interna"))</f>
        <v/>
      </c>
      <c r="U610" s="43" t="str">
        <f aca="false">IF($N610="","",IF($Q610="",$N610,$Q610))</f>
        <v/>
      </c>
      <c r="V610" s="36" t="str">
        <f aca="false">IF($F610="","",IF(OR($O610="",$N610=""),0,IF($O610&lt;=$N610,1,0)))</f>
        <v/>
      </c>
      <c r="W610" s="36" t="str">
        <f aca="false">IF($F610="","",IF(OR($O610="",$U610=""),0,IF($O610&lt;=$U610,1,0)))</f>
        <v/>
      </c>
      <c r="X610" s="37" t="str">
        <f aca="false">IF(OR($O610="",$N610=""),"",MAX(0,$O610-$N610))</f>
        <v/>
      </c>
      <c r="Y610" s="36" t="str">
        <f aca="false">IF($F610="","",IF(AND($Q610&lt;&gt;"",$N610&lt;&gt;"",$Q610&lt;&gt;$N610),1,0))</f>
        <v/>
      </c>
      <c r="Z610" s="36" t="str">
        <f aca="false">IF($F610="","",IF($P610="Cancelada",0,IF(OR($O610&lt;&gt;"",$P610="Concluída"),1,0)))</f>
        <v/>
      </c>
    </row>
    <row r="611" customFormat="false" ht="16.5" hidden="false" customHeight="true" outlineLevel="0" collapsed="false">
      <c r="A611" s="36" t="str">
        <f aca="false">IF($F611="","",COUNTA($F$5:$F611))</f>
        <v/>
      </c>
      <c r="B611" s="37" t="str">
        <f aca="true">IF($F611="","",IF($P611="Cancelada","Cancelada",IF(OR($O611&lt;&gt;"",$P611="Concluída"),IF(OR($N611="",$O611="",$O611&lt;=$N611),"Concluída","Concluída com atraso"),IF($N611="","Na carteira",IF($N611&lt;TODAY(),"VENCIDA",IF($P611="Em execução","Em execução",IF($N611=TODAY(),"Hoje","Programada")))))))</f>
        <v/>
      </c>
      <c r="C611" s="38"/>
      <c r="D611" s="38"/>
      <c r="E611" s="38"/>
      <c r="F611" s="38"/>
      <c r="G611" s="39"/>
      <c r="H611" s="39"/>
      <c r="I611" s="40"/>
      <c r="J611" s="40"/>
      <c r="K611" s="40"/>
      <c r="L611" s="41"/>
      <c r="M611" s="42"/>
      <c r="N611" s="43" t="str">
        <f aca="false">IF(OR($L611="",$M611=""),"",$L611+MATCH($M611,Listas!$F$5:$F$11,0)-1)</f>
        <v/>
      </c>
      <c r="O611" s="44"/>
      <c r="P611" s="39"/>
      <c r="Q611" s="44"/>
      <c r="R611" s="38"/>
      <c r="S611" s="38"/>
      <c r="T611" s="36" t="str">
        <f aca="false">IF($F611="","",IF(ISNUMBER(SEARCH("(externo)",$I611&amp;$J611&amp;$K611)),"Terceirizada","Interna"))</f>
        <v/>
      </c>
      <c r="U611" s="43" t="str">
        <f aca="false">IF($N611="","",IF($Q611="",$N611,$Q611))</f>
        <v/>
      </c>
      <c r="V611" s="36" t="str">
        <f aca="false">IF($F611="","",IF(OR($O611="",$N611=""),0,IF($O611&lt;=$N611,1,0)))</f>
        <v/>
      </c>
      <c r="W611" s="36" t="str">
        <f aca="false">IF($F611="","",IF(OR($O611="",$U611=""),0,IF($O611&lt;=$U611,1,0)))</f>
        <v/>
      </c>
      <c r="X611" s="37" t="str">
        <f aca="false">IF(OR($O611="",$N611=""),"",MAX(0,$O611-$N611))</f>
        <v/>
      </c>
      <c r="Y611" s="36" t="str">
        <f aca="false">IF($F611="","",IF(AND($Q611&lt;&gt;"",$N611&lt;&gt;"",$Q611&lt;&gt;$N611),1,0))</f>
        <v/>
      </c>
      <c r="Z611" s="36" t="str">
        <f aca="false">IF($F611="","",IF($P611="Cancelada",0,IF(OR($O611&lt;&gt;"",$P611="Concluída"),1,0)))</f>
        <v/>
      </c>
    </row>
    <row r="612" customFormat="false" ht="16.5" hidden="false" customHeight="true" outlineLevel="0" collapsed="false">
      <c r="A612" s="36" t="str">
        <f aca="false">IF($F612="","",COUNTA($F$5:$F612))</f>
        <v/>
      </c>
      <c r="B612" s="37" t="str">
        <f aca="true">IF($F612="","",IF($P612="Cancelada","Cancelada",IF(OR($O612&lt;&gt;"",$P612="Concluída"),IF(OR($N612="",$O612="",$O612&lt;=$N612),"Concluída","Concluída com atraso"),IF($N612="","Na carteira",IF($N612&lt;TODAY(),"VENCIDA",IF($P612="Em execução","Em execução",IF($N612=TODAY(),"Hoje","Programada")))))))</f>
        <v/>
      </c>
      <c r="C612" s="38"/>
      <c r="D612" s="38"/>
      <c r="E612" s="38"/>
      <c r="F612" s="38"/>
      <c r="G612" s="39"/>
      <c r="H612" s="39"/>
      <c r="I612" s="40"/>
      <c r="J612" s="40"/>
      <c r="K612" s="40"/>
      <c r="L612" s="41"/>
      <c r="M612" s="42"/>
      <c r="N612" s="43" t="str">
        <f aca="false">IF(OR($L612="",$M612=""),"",$L612+MATCH($M612,Listas!$F$5:$F$11,0)-1)</f>
        <v/>
      </c>
      <c r="O612" s="44"/>
      <c r="P612" s="39"/>
      <c r="Q612" s="44"/>
      <c r="R612" s="38"/>
      <c r="S612" s="38"/>
      <c r="T612" s="36" t="str">
        <f aca="false">IF($F612="","",IF(ISNUMBER(SEARCH("(externo)",$I612&amp;$J612&amp;$K612)),"Terceirizada","Interna"))</f>
        <v/>
      </c>
      <c r="U612" s="43" t="str">
        <f aca="false">IF($N612="","",IF($Q612="",$N612,$Q612))</f>
        <v/>
      </c>
      <c r="V612" s="36" t="str">
        <f aca="false">IF($F612="","",IF(OR($O612="",$N612=""),0,IF($O612&lt;=$N612,1,0)))</f>
        <v/>
      </c>
      <c r="W612" s="36" t="str">
        <f aca="false">IF($F612="","",IF(OR($O612="",$U612=""),0,IF($O612&lt;=$U612,1,0)))</f>
        <v/>
      </c>
      <c r="X612" s="37" t="str">
        <f aca="false">IF(OR($O612="",$N612=""),"",MAX(0,$O612-$N612))</f>
        <v/>
      </c>
      <c r="Y612" s="36" t="str">
        <f aca="false">IF($F612="","",IF(AND($Q612&lt;&gt;"",$N612&lt;&gt;"",$Q612&lt;&gt;$N612),1,0))</f>
        <v/>
      </c>
      <c r="Z612" s="36" t="str">
        <f aca="false">IF($F612="","",IF($P612="Cancelada",0,IF(OR($O612&lt;&gt;"",$P612="Concluída"),1,0)))</f>
        <v/>
      </c>
    </row>
    <row r="613" customFormat="false" ht="16.5" hidden="false" customHeight="true" outlineLevel="0" collapsed="false">
      <c r="A613" s="36" t="str">
        <f aca="false">IF($F613="","",COUNTA($F$5:$F613))</f>
        <v/>
      </c>
      <c r="B613" s="37" t="str">
        <f aca="true">IF($F613="","",IF($P613="Cancelada","Cancelada",IF(OR($O613&lt;&gt;"",$P613="Concluída"),IF(OR($N613="",$O613="",$O613&lt;=$N613),"Concluída","Concluída com atraso"),IF($N613="","Na carteira",IF($N613&lt;TODAY(),"VENCIDA",IF($P613="Em execução","Em execução",IF($N613=TODAY(),"Hoje","Programada")))))))</f>
        <v/>
      </c>
      <c r="C613" s="38"/>
      <c r="D613" s="38"/>
      <c r="E613" s="38"/>
      <c r="F613" s="38"/>
      <c r="G613" s="39"/>
      <c r="H613" s="39"/>
      <c r="I613" s="40"/>
      <c r="J613" s="40"/>
      <c r="K613" s="40"/>
      <c r="L613" s="41"/>
      <c r="M613" s="42"/>
      <c r="N613" s="43" t="str">
        <f aca="false">IF(OR($L613="",$M613=""),"",$L613+MATCH($M613,Listas!$F$5:$F$11,0)-1)</f>
        <v/>
      </c>
      <c r="O613" s="44"/>
      <c r="P613" s="39"/>
      <c r="Q613" s="44"/>
      <c r="R613" s="38"/>
      <c r="S613" s="38"/>
      <c r="T613" s="36" t="str">
        <f aca="false">IF($F613="","",IF(ISNUMBER(SEARCH("(externo)",$I613&amp;$J613&amp;$K613)),"Terceirizada","Interna"))</f>
        <v/>
      </c>
      <c r="U613" s="43" t="str">
        <f aca="false">IF($N613="","",IF($Q613="",$N613,$Q613))</f>
        <v/>
      </c>
      <c r="V613" s="36" t="str">
        <f aca="false">IF($F613="","",IF(OR($O613="",$N613=""),0,IF($O613&lt;=$N613,1,0)))</f>
        <v/>
      </c>
      <c r="W613" s="36" t="str">
        <f aca="false">IF($F613="","",IF(OR($O613="",$U613=""),0,IF($O613&lt;=$U613,1,0)))</f>
        <v/>
      </c>
      <c r="X613" s="37" t="str">
        <f aca="false">IF(OR($O613="",$N613=""),"",MAX(0,$O613-$N613))</f>
        <v/>
      </c>
      <c r="Y613" s="36" t="str">
        <f aca="false">IF($F613="","",IF(AND($Q613&lt;&gt;"",$N613&lt;&gt;"",$Q613&lt;&gt;$N613),1,0))</f>
        <v/>
      </c>
      <c r="Z613" s="36" t="str">
        <f aca="false">IF($F613="","",IF($P613="Cancelada",0,IF(OR($O613&lt;&gt;"",$P613="Concluída"),1,0)))</f>
        <v/>
      </c>
    </row>
    <row r="614" customFormat="false" ht="16.5" hidden="false" customHeight="true" outlineLevel="0" collapsed="false">
      <c r="A614" s="36" t="str">
        <f aca="false">IF($F614="","",COUNTA($F$5:$F614))</f>
        <v/>
      </c>
      <c r="B614" s="37" t="str">
        <f aca="true">IF($F614="","",IF($P614="Cancelada","Cancelada",IF(OR($O614&lt;&gt;"",$P614="Concluída"),IF(OR($N614="",$O614="",$O614&lt;=$N614),"Concluída","Concluída com atraso"),IF($N614="","Na carteira",IF($N614&lt;TODAY(),"VENCIDA",IF($P614="Em execução","Em execução",IF($N614=TODAY(),"Hoje","Programada")))))))</f>
        <v/>
      </c>
      <c r="C614" s="38"/>
      <c r="D614" s="38"/>
      <c r="E614" s="38"/>
      <c r="F614" s="38"/>
      <c r="G614" s="39"/>
      <c r="H614" s="39"/>
      <c r="I614" s="40"/>
      <c r="J614" s="40"/>
      <c r="K614" s="40"/>
      <c r="L614" s="41"/>
      <c r="M614" s="42"/>
      <c r="N614" s="43" t="str">
        <f aca="false">IF(OR($L614="",$M614=""),"",$L614+MATCH($M614,Listas!$F$5:$F$11,0)-1)</f>
        <v/>
      </c>
      <c r="O614" s="44"/>
      <c r="P614" s="39"/>
      <c r="Q614" s="44"/>
      <c r="R614" s="38"/>
      <c r="S614" s="38"/>
      <c r="T614" s="36" t="str">
        <f aca="false">IF($F614="","",IF(ISNUMBER(SEARCH("(externo)",$I614&amp;$J614&amp;$K614)),"Terceirizada","Interna"))</f>
        <v/>
      </c>
      <c r="U614" s="43" t="str">
        <f aca="false">IF($N614="","",IF($Q614="",$N614,$Q614))</f>
        <v/>
      </c>
      <c r="V614" s="36" t="str">
        <f aca="false">IF($F614="","",IF(OR($O614="",$N614=""),0,IF($O614&lt;=$N614,1,0)))</f>
        <v/>
      </c>
      <c r="W614" s="36" t="str">
        <f aca="false">IF($F614="","",IF(OR($O614="",$U614=""),0,IF($O614&lt;=$U614,1,0)))</f>
        <v/>
      </c>
      <c r="X614" s="37" t="str">
        <f aca="false">IF(OR($O614="",$N614=""),"",MAX(0,$O614-$N614))</f>
        <v/>
      </c>
      <c r="Y614" s="36" t="str">
        <f aca="false">IF($F614="","",IF(AND($Q614&lt;&gt;"",$N614&lt;&gt;"",$Q614&lt;&gt;$N614),1,0))</f>
        <v/>
      </c>
      <c r="Z614" s="36" t="str">
        <f aca="false">IF($F614="","",IF($P614="Cancelada",0,IF(OR($O614&lt;&gt;"",$P614="Concluída"),1,0)))</f>
        <v/>
      </c>
    </row>
    <row r="615" customFormat="false" ht="16.5" hidden="false" customHeight="true" outlineLevel="0" collapsed="false">
      <c r="A615" s="36" t="str">
        <f aca="false">IF($F615="","",COUNTA($F$5:$F615))</f>
        <v/>
      </c>
      <c r="B615" s="37" t="str">
        <f aca="true">IF($F615="","",IF($P615="Cancelada","Cancelada",IF(OR($O615&lt;&gt;"",$P615="Concluída"),IF(OR($N615="",$O615="",$O615&lt;=$N615),"Concluída","Concluída com atraso"),IF($N615="","Na carteira",IF($N615&lt;TODAY(),"VENCIDA",IF($P615="Em execução","Em execução",IF($N615=TODAY(),"Hoje","Programada")))))))</f>
        <v/>
      </c>
      <c r="C615" s="38"/>
      <c r="D615" s="38"/>
      <c r="E615" s="38"/>
      <c r="F615" s="38"/>
      <c r="G615" s="39"/>
      <c r="H615" s="39"/>
      <c r="I615" s="40"/>
      <c r="J615" s="40"/>
      <c r="K615" s="40"/>
      <c r="L615" s="41"/>
      <c r="M615" s="42"/>
      <c r="N615" s="43" t="str">
        <f aca="false">IF(OR($L615="",$M615=""),"",$L615+MATCH($M615,Listas!$F$5:$F$11,0)-1)</f>
        <v/>
      </c>
      <c r="O615" s="44"/>
      <c r="P615" s="39"/>
      <c r="Q615" s="44"/>
      <c r="R615" s="38"/>
      <c r="S615" s="38"/>
      <c r="T615" s="36" t="str">
        <f aca="false">IF($F615="","",IF(ISNUMBER(SEARCH("(externo)",$I615&amp;$J615&amp;$K615)),"Terceirizada","Interna"))</f>
        <v/>
      </c>
      <c r="U615" s="43" t="str">
        <f aca="false">IF($N615="","",IF($Q615="",$N615,$Q615))</f>
        <v/>
      </c>
      <c r="V615" s="36" t="str">
        <f aca="false">IF($F615="","",IF(OR($O615="",$N615=""),0,IF($O615&lt;=$N615,1,0)))</f>
        <v/>
      </c>
      <c r="W615" s="36" t="str">
        <f aca="false">IF($F615="","",IF(OR($O615="",$U615=""),0,IF($O615&lt;=$U615,1,0)))</f>
        <v/>
      </c>
      <c r="X615" s="37" t="str">
        <f aca="false">IF(OR($O615="",$N615=""),"",MAX(0,$O615-$N615))</f>
        <v/>
      </c>
      <c r="Y615" s="36" t="str">
        <f aca="false">IF($F615="","",IF(AND($Q615&lt;&gt;"",$N615&lt;&gt;"",$Q615&lt;&gt;$N615),1,0))</f>
        <v/>
      </c>
      <c r="Z615" s="36" t="str">
        <f aca="false">IF($F615="","",IF($P615="Cancelada",0,IF(OR($O615&lt;&gt;"",$P615="Concluída"),1,0)))</f>
        <v/>
      </c>
    </row>
    <row r="616" customFormat="false" ht="16.5" hidden="false" customHeight="true" outlineLevel="0" collapsed="false">
      <c r="A616" s="36" t="str">
        <f aca="false">IF($F616="","",COUNTA($F$5:$F616))</f>
        <v/>
      </c>
      <c r="B616" s="37" t="str">
        <f aca="true">IF($F616="","",IF($P616="Cancelada","Cancelada",IF(OR($O616&lt;&gt;"",$P616="Concluída"),IF(OR($N616="",$O616="",$O616&lt;=$N616),"Concluída","Concluída com atraso"),IF($N616="","Na carteira",IF($N616&lt;TODAY(),"VENCIDA",IF($P616="Em execução","Em execução",IF($N616=TODAY(),"Hoje","Programada")))))))</f>
        <v/>
      </c>
      <c r="C616" s="38"/>
      <c r="D616" s="38"/>
      <c r="E616" s="38"/>
      <c r="F616" s="38"/>
      <c r="G616" s="39"/>
      <c r="H616" s="39"/>
      <c r="I616" s="40"/>
      <c r="J616" s="40"/>
      <c r="K616" s="40"/>
      <c r="L616" s="41"/>
      <c r="M616" s="42"/>
      <c r="N616" s="43" t="str">
        <f aca="false">IF(OR($L616="",$M616=""),"",$L616+MATCH($M616,Listas!$F$5:$F$11,0)-1)</f>
        <v/>
      </c>
      <c r="O616" s="44"/>
      <c r="P616" s="39"/>
      <c r="Q616" s="44"/>
      <c r="R616" s="38"/>
      <c r="S616" s="38"/>
      <c r="T616" s="36" t="str">
        <f aca="false">IF($F616="","",IF(ISNUMBER(SEARCH("(externo)",$I616&amp;$J616&amp;$K616)),"Terceirizada","Interna"))</f>
        <v/>
      </c>
      <c r="U616" s="43" t="str">
        <f aca="false">IF($N616="","",IF($Q616="",$N616,$Q616))</f>
        <v/>
      </c>
      <c r="V616" s="36" t="str">
        <f aca="false">IF($F616="","",IF(OR($O616="",$N616=""),0,IF($O616&lt;=$N616,1,0)))</f>
        <v/>
      </c>
      <c r="W616" s="36" t="str">
        <f aca="false">IF($F616="","",IF(OR($O616="",$U616=""),0,IF($O616&lt;=$U616,1,0)))</f>
        <v/>
      </c>
      <c r="X616" s="37" t="str">
        <f aca="false">IF(OR($O616="",$N616=""),"",MAX(0,$O616-$N616))</f>
        <v/>
      </c>
      <c r="Y616" s="36" t="str">
        <f aca="false">IF($F616="","",IF(AND($Q616&lt;&gt;"",$N616&lt;&gt;"",$Q616&lt;&gt;$N616),1,0))</f>
        <v/>
      </c>
      <c r="Z616" s="36" t="str">
        <f aca="false">IF($F616="","",IF($P616="Cancelada",0,IF(OR($O616&lt;&gt;"",$P616="Concluída"),1,0)))</f>
        <v/>
      </c>
    </row>
    <row r="617" customFormat="false" ht="16.5" hidden="false" customHeight="true" outlineLevel="0" collapsed="false">
      <c r="A617" s="36" t="str">
        <f aca="false">IF($F617="","",COUNTA($F$5:$F617))</f>
        <v/>
      </c>
      <c r="B617" s="37" t="str">
        <f aca="true">IF($F617="","",IF($P617="Cancelada","Cancelada",IF(OR($O617&lt;&gt;"",$P617="Concluída"),IF(OR($N617="",$O617="",$O617&lt;=$N617),"Concluída","Concluída com atraso"),IF($N617="","Na carteira",IF($N617&lt;TODAY(),"VENCIDA",IF($P617="Em execução","Em execução",IF($N617=TODAY(),"Hoje","Programada")))))))</f>
        <v/>
      </c>
      <c r="C617" s="38"/>
      <c r="D617" s="38"/>
      <c r="E617" s="38"/>
      <c r="F617" s="38"/>
      <c r="G617" s="39"/>
      <c r="H617" s="39"/>
      <c r="I617" s="40"/>
      <c r="J617" s="40"/>
      <c r="K617" s="40"/>
      <c r="L617" s="41"/>
      <c r="M617" s="42"/>
      <c r="N617" s="43" t="str">
        <f aca="false">IF(OR($L617="",$M617=""),"",$L617+MATCH($M617,Listas!$F$5:$F$11,0)-1)</f>
        <v/>
      </c>
      <c r="O617" s="44"/>
      <c r="P617" s="39"/>
      <c r="Q617" s="44"/>
      <c r="R617" s="38"/>
      <c r="S617" s="38"/>
      <c r="T617" s="36" t="str">
        <f aca="false">IF($F617="","",IF(ISNUMBER(SEARCH("(externo)",$I617&amp;$J617&amp;$K617)),"Terceirizada","Interna"))</f>
        <v/>
      </c>
      <c r="U617" s="43" t="str">
        <f aca="false">IF($N617="","",IF($Q617="",$N617,$Q617))</f>
        <v/>
      </c>
      <c r="V617" s="36" t="str">
        <f aca="false">IF($F617="","",IF(OR($O617="",$N617=""),0,IF($O617&lt;=$N617,1,0)))</f>
        <v/>
      </c>
      <c r="W617" s="36" t="str">
        <f aca="false">IF($F617="","",IF(OR($O617="",$U617=""),0,IF($O617&lt;=$U617,1,0)))</f>
        <v/>
      </c>
      <c r="X617" s="37" t="str">
        <f aca="false">IF(OR($O617="",$N617=""),"",MAX(0,$O617-$N617))</f>
        <v/>
      </c>
      <c r="Y617" s="36" t="str">
        <f aca="false">IF($F617="","",IF(AND($Q617&lt;&gt;"",$N617&lt;&gt;"",$Q617&lt;&gt;$N617),1,0))</f>
        <v/>
      </c>
      <c r="Z617" s="36" t="str">
        <f aca="false">IF($F617="","",IF($P617="Cancelada",0,IF(OR($O617&lt;&gt;"",$P617="Concluída"),1,0)))</f>
        <v/>
      </c>
    </row>
    <row r="618" customFormat="false" ht="16.5" hidden="false" customHeight="true" outlineLevel="0" collapsed="false">
      <c r="A618" s="36" t="str">
        <f aca="false">IF($F618="","",COUNTA($F$5:$F618))</f>
        <v/>
      </c>
      <c r="B618" s="37" t="str">
        <f aca="true">IF($F618="","",IF($P618="Cancelada","Cancelada",IF(OR($O618&lt;&gt;"",$P618="Concluída"),IF(OR($N618="",$O618="",$O618&lt;=$N618),"Concluída","Concluída com atraso"),IF($N618="","Na carteira",IF($N618&lt;TODAY(),"VENCIDA",IF($P618="Em execução","Em execução",IF($N618=TODAY(),"Hoje","Programada")))))))</f>
        <v/>
      </c>
      <c r="C618" s="38"/>
      <c r="D618" s="38"/>
      <c r="E618" s="38"/>
      <c r="F618" s="38"/>
      <c r="G618" s="39"/>
      <c r="H618" s="39"/>
      <c r="I618" s="40"/>
      <c r="J618" s="40"/>
      <c r="K618" s="40"/>
      <c r="L618" s="41"/>
      <c r="M618" s="42"/>
      <c r="N618" s="43" t="str">
        <f aca="false">IF(OR($L618="",$M618=""),"",$L618+MATCH($M618,Listas!$F$5:$F$11,0)-1)</f>
        <v/>
      </c>
      <c r="O618" s="44"/>
      <c r="P618" s="39"/>
      <c r="Q618" s="44"/>
      <c r="R618" s="38"/>
      <c r="S618" s="38"/>
      <c r="T618" s="36" t="str">
        <f aca="false">IF($F618="","",IF(ISNUMBER(SEARCH("(externo)",$I618&amp;$J618&amp;$K618)),"Terceirizada","Interna"))</f>
        <v/>
      </c>
      <c r="U618" s="43" t="str">
        <f aca="false">IF($N618="","",IF($Q618="",$N618,$Q618))</f>
        <v/>
      </c>
      <c r="V618" s="36" t="str">
        <f aca="false">IF($F618="","",IF(OR($O618="",$N618=""),0,IF($O618&lt;=$N618,1,0)))</f>
        <v/>
      </c>
      <c r="W618" s="36" t="str">
        <f aca="false">IF($F618="","",IF(OR($O618="",$U618=""),0,IF($O618&lt;=$U618,1,0)))</f>
        <v/>
      </c>
      <c r="X618" s="37" t="str">
        <f aca="false">IF(OR($O618="",$N618=""),"",MAX(0,$O618-$N618))</f>
        <v/>
      </c>
      <c r="Y618" s="36" t="str">
        <f aca="false">IF($F618="","",IF(AND($Q618&lt;&gt;"",$N618&lt;&gt;"",$Q618&lt;&gt;$N618),1,0))</f>
        <v/>
      </c>
      <c r="Z618" s="36" t="str">
        <f aca="false">IF($F618="","",IF($P618="Cancelada",0,IF(OR($O618&lt;&gt;"",$P618="Concluída"),1,0)))</f>
        <v/>
      </c>
    </row>
    <row r="619" customFormat="false" ht="16.5" hidden="false" customHeight="true" outlineLevel="0" collapsed="false">
      <c r="A619" s="36" t="str">
        <f aca="false">IF($F619="","",COUNTA($F$5:$F619))</f>
        <v/>
      </c>
      <c r="B619" s="37" t="str">
        <f aca="true">IF($F619="","",IF($P619="Cancelada","Cancelada",IF(OR($O619&lt;&gt;"",$P619="Concluída"),IF(OR($N619="",$O619="",$O619&lt;=$N619),"Concluída","Concluída com atraso"),IF($N619="","Na carteira",IF($N619&lt;TODAY(),"VENCIDA",IF($P619="Em execução","Em execução",IF($N619=TODAY(),"Hoje","Programada")))))))</f>
        <v/>
      </c>
      <c r="C619" s="38"/>
      <c r="D619" s="38"/>
      <c r="E619" s="38"/>
      <c r="F619" s="38"/>
      <c r="G619" s="39"/>
      <c r="H619" s="39"/>
      <c r="I619" s="40"/>
      <c r="J619" s="40"/>
      <c r="K619" s="40"/>
      <c r="L619" s="41"/>
      <c r="M619" s="42"/>
      <c r="N619" s="43" t="str">
        <f aca="false">IF(OR($L619="",$M619=""),"",$L619+MATCH($M619,Listas!$F$5:$F$11,0)-1)</f>
        <v/>
      </c>
      <c r="O619" s="44"/>
      <c r="P619" s="39"/>
      <c r="Q619" s="44"/>
      <c r="R619" s="38"/>
      <c r="S619" s="38"/>
      <c r="T619" s="36" t="str">
        <f aca="false">IF($F619="","",IF(ISNUMBER(SEARCH("(externo)",$I619&amp;$J619&amp;$K619)),"Terceirizada","Interna"))</f>
        <v/>
      </c>
      <c r="U619" s="43" t="str">
        <f aca="false">IF($N619="","",IF($Q619="",$N619,$Q619))</f>
        <v/>
      </c>
      <c r="V619" s="36" t="str">
        <f aca="false">IF($F619="","",IF(OR($O619="",$N619=""),0,IF($O619&lt;=$N619,1,0)))</f>
        <v/>
      </c>
      <c r="W619" s="36" t="str">
        <f aca="false">IF($F619="","",IF(OR($O619="",$U619=""),0,IF($O619&lt;=$U619,1,0)))</f>
        <v/>
      </c>
      <c r="X619" s="37" t="str">
        <f aca="false">IF(OR($O619="",$N619=""),"",MAX(0,$O619-$N619))</f>
        <v/>
      </c>
      <c r="Y619" s="36" t="str">
        <f aca="false">IF($F619="","",IF(AND($Q619&lt;&gt;"",$N619&lt;&gt;"",$Q619&lt;&gt;$N619),1,0))</f>
        <v/>
      </c>
      <c r="Z619" s="36" t="str">
        <f aca="false">IF($F619="","",IF($P619="Cancelada",0,IF(OR($O619&lt;&gt;"",$P619="Concluída"),1,0)))</f>
        <v/>
      </c>
    </row>
    <row r="620" customFormat="false" ht="16.5" hidden="false" customHeight="true" outlineLevel="0" collapsed="false">
      <c r="A620" s="36" t="str">
        <f aca="false">IF($F620="","",COUNTA($F$5:$F620))</f>
        <v/>
      </c>
      <c r="B620" s="37" t="str">
        <f aca="true">IF($F620="","",IF($P620="Cancelada","Cancelada",IF(OR($O620&lt;&gt;"",$P620="Concluída"),IF(OR($N620="",$O620="",$O620&lt;=$N620),"Concluída","Concluída com atraso"),IF($N620="","Na carteira",IF($N620&lt;TODAY(),"VENCIDA",IF($P620="Em execução","Em execução",IF($N620=TODAY(),"Hoje","Programada")))))))</f>
        <v/>
      </c>
      <c r="C620" s="38"/>
      <c r="D620" s="38"/>
      <c r="E620" s="38"/>
      <c r="F620" s="38"/>
      <c r="G620" s="39"/>
      <c r="H620" s="39"/>
      <c r="I620" s="40"/>
      <c r="J620" s="40"/>
      <c r="K620" s="40"/>
      <c r="L620" s="41"/>
      <c r="M620" s="42"/>
      <c r="N620" s="43" t="str">
        <f aca="false">IF(OR($L620="",$M620=""),"",$L620+MATCH($M620,Listas!$F$5:$F$11,0)-1)</f>
        <v/>
      </c>
      <c r="O620" s="44"/>
      <c r="P620" s="39"/>
      <c r="Q620" s="44"/>
      <c r="R620" s="38"/>
      <c r="S620" s="38"/>
      <c r="T620" s="36" t="str">
        <f aca="false">IF($F620="","",IF(ISNUMBER(SEARCH("(externo)",$I620&amp;$J620&amp;$K620)),"Terceirizada","Interna"))</f>
        <v/>
      </c>
      <c r="U620" s="43" t="str">
        <f aca="false">IF($N620="","",IF($Q620="",$N620,$Q620))</f>
        <v/>
      </c>
      <c r="V620" s="36" t="str">
        <f aca="false">IF($F620="","",IF(OR($O620="",$N620=""),0,IF($O620&lt;=$N620,1,0)))</f>
        <v/>
      </c>
      <c r="W620" s="36" t="str">
        <f aca="false">IF($F620="","",IF(OR($O620="",$U620=""),0,IF($O620&lt;=$U620,1,0)))</f>
        <v/>
      </c>
      <c r="X620" s="37" t="str">
        <f aca="false">IF(OR($O620="",$N620=""),"",MAX(0,$O620-$N620))</f>
        <v/>
      </c>
      <c r="Y620" s="36" t="str">
        <f aca="false">IF($F620="","",IF(AND($Q620&lt;&gt;"",$N620&lt;&gt;"",$Q620&lt;&gt;$N620),1,0))</f>
        <v/>
      </c>
      <c r="Z620" s="36" t="str">
        <f aca="false">IF($F620="","",IF($P620="Cancelada",0,IF(OR($O620&lt;&gt;"",$P620="Concluída"),1,0)))</f>
        <v/>
      </c>
    </row>
    <row r="621" customFormat="false" ht="16.5" hidden="false" customHeight="true" outlineLevel="0" collapsed="false">
      <c r="A621" s="36" t="str">
        <f aca="false">IF($F621="","",COUNTA($F$5:$F621))</f>
        <v/>
      </c>
      <c r="B621" s="37" t="str">
        <f aca="true">IF($F621="","",IF($P621="Cancelada","Cancelada",IF(OR($O621&lt;&gt;"",$P621="Concluída"),IF(OR($N621="",$O621="",$O621&lt;=$N621),"Concluída","Concluída com atraso"),IF($N621="","Na carteira",IF($N621&lt;TODAY(),"VENCIDA",IF($P621="Em execução","Em execução",IF($N621=TODAY(),"Hoje","Programada")))))))</f>
        <v/>
      </c>
      <c r="C621" s="38"/>
      <c r="D621" s="38"/>
      <c r="E621" s="38"/>
      <c r="F621" s="38"/>
      <c r="G621" s="39"/>
      <c r="H621" s="39"/>
      <c r="I621" s="40"/>
      <c r="J621" s="40"/>
      <c r="K621" s="40"/>
      <c r="L621" s="41"/>
      <c r="M621" s="42"/>
      <c r="N621" s="43" t="str">
        <f aca="false">IF(OR($L621="",$M621=""),"",$L621+MATCH($M621,Listas!$F$5:$F$11,0)-1)</f>
        <v/>
      </c>
      <c r="O621" s="44"/>
      <c r="P621" s="39"/>
      <c r="Q621" s="44"/>
      <c r="R621" s="38"/>
      <c r="S621" s="38"/>
      <c r="T621" s="36" t="str">
        <f aca="false">IF($F621="","",IF(ISNUMBER(SEARCH("(externo)",$I621&amp;$J621&amp;$K621)),"Terceirizada","Interna"))</f>
        <v/>
      </c>
      <c r="U621" s="43" t="str">
        <f aca="false">IF($N621="","",IF($Q621="",$N621,$Q621))</f>
        <v/>
      </c>
      <c r="V621" s="36" t="str">
        <f aca="false">IF($F621="","",IF(OR($O621="",$N621=""),0,IF($O621&lt;=$N621,1,0)))</f>
        <v/>
      </c>
      <c r="W621" s="36" t="str">
        <f aca="false">IF($F621="","",IF(OR($O621="",$U621=""),0,IF($O621&lt;=$U621,1,0)))</f>
        <v/>
      </c>
      <c r="X621" s="37" t="str">
        <f aca="false">IF(OR($O621="",$N621=""),"",MAX(0,$O621-$N621))</f>
        <v/>
      </c>
      <c r="Y621" s="36" t="str">
        <f aca="false">IF($F621="","",IF(AND($Q621&lt;&gt;"",$N621&lt;&gt;"",$Q621&lt;&gt;$N621),1,0))</f>
        <v/>
      </c>
      <c r="Z621" s="36" t="str">
        <f aca="false">IF($F621="","",IF($P621="Cancelada",0,IF(OR($O621&lt;&gt;"",$P621="Concluída"),1,0)))</f>
        <v/>
      </c>
    </row>
    <row r="622" customFormat="false" ht="16.5" hidden="false" customHeight="true" outlineLevel="0" collapsed="false">
      <c r="A622" s="36" t="str">
        <f aca="false">IF($F622="","",COUNTA($F$5:$F622))</f>
        <v/>
      </c>
      <c r="B622" s="37" t="str">
        <f aca="true">IF($F622="","",IF($P622="Cancelada","Cancelada",IF(OR($O622&lt;&gt;"",$P622="Concluída"),IF(OR($N622="",$O622="",$O622&lt;=$N622),"Concluída","Concluída com atraso"),IF($N622="","Na carteira",IF($N622&lt;TODAY(),"VENCIDA",IF($P622="Em execução","Em execução",IF($N622=TODAY(),"Hoje","Programada")))))))</f>
        <v/>
      </c>
      <c r="C622" s="38"/>
      <c r="D622" s="38"/>
      <c r="E622" s="38"/>
      <c r="F622" s="38"/>
      <c r="G622" s="39"/>
      <c r="H622" s="39"/>
      <c r="I622" s="40"/>
      <c r="J622" s="40"/>
      <c r="K622" s="40"/>
      <c r="L622" s="41"/>
      <c r="M622" s="42"/>
      <c r="N622" s="43" t="str">
        <f aca="false">IF(OR($L622="",$M622=""),"",$L622+MATCH($M622,Listas!$F$5:$F$11,0)-1)</f>
        <v/>
      </c>
      <c r="O622" s="44"/>
      <c r="P622" s="39"/>
      <c r="Q622" s="44"/>
      <c r="R622" s="38"/>
      <c r="S622" s="38"/>
      <c r="T622" s="36" t="str">
        <f aca="false">IF($F622="","",IF(ISNUMBER(SEARCH("(externo)",$I622&amp;$J622&amp;$K622)),"Terceirizada","Interna"))</f>
        <v/>
      </c>
      <c r="U622" s="43" t="str">
        <f aca="false">IF($N622="","",IF($Q622="",$N622,$Q622))</f>
        <v/>
      </c>
      <c r="V622" s="36" t="str">
        <f aca="false">IF($F622="","",IF(OR($O622="",$N622=""),0,IF($O622&lt;=$N622,1,0)))</f>
        <v/>
      </c>
      <c r="W622" s="36" t="str">
        <f aca="false">IF($F622="","",IF(OR($O622="",$U622=""),0,IF($O622&lt;=$U622,1,0)))</f>
        <v/>
      </c>
      <c r="X622" s="37" t="str">
        <f aca="false">IF(OR($O622="",$N622=""),"",MAX(0,$O622-$N622))</f>
        <v/>
      </c>
      <c r="Y622" s="36" t="str">
        <f aca="false">IF($F622="","",IF(AND($Q622&lt;&gt;"",$N622&lt;&gt;"",$Q622&lt;&gt;$N622),1,0))</f>
        <v/>
      </c>
      <c r="Z622" s="36" t="str">
        <f aca="false">IF($F622="","",IF($P622="Cancelada",0,IF(OR($O622&lt;&gt;"",$P622="Concluída"),1,0)))</f>
        <v/>
      </c>
    </row>
    <row r="623" customFormat="false" ht="16.5" hidden="false" customHeight="true" outlineLevel="0" collapsed="false">
      <c r="A623" s="36" t="str">
        <f aca="false">IF($F623="","",COUNTA($F$5:$F623))</f>
        <v/>
      </c>
      <c r="B623" s="37" t="str">
        <f aca="true">IF($F623="","",IF($P623="Cancelada","Cancelada",IF(OR($O623&lt;&gt;"",$P623="Concluída"),IF(OR($N623="",$O623="",$O623&lt;=$N623),"Concluída","Concluída com atraso"),IF($N623="","Na carteira",IF($N623&lt;TODAY(),"VENCIDA",IF($P623="Em execução","Em execução",IF($N623=TODAY(),"Hoje","Programada")))))))</f>
        <v/>
      </c>
      <c r="C623" s="38"/>
      <c r="D623" s="38"/>
      <c r="E623" s="38"/>
      <c r="F623" s="38"/>
      <c r="G623" s="39"/>
      <c r="H623" s="39"/>
      <c r="I623" s="40"/>
      <c r="J623" s="40"/>
      <c r="K623" s="40"/>
      <c r="L623" s="41"/>
      <c r="M623" s="42"/>
      <c r="N623" s="43" t="str">
        <f aca="false">IF(OR($L623="",$M623=""),"",$L623+MATCH($M623,Listas!$F$5:$F$11,0)-1)</f>
        <v/>
      </c>
      <c r="O623" s="44"/>
      <c r="P623" s="39"/>
      <c r="Q623" s="44"/>
      <c r="R623" s="38"/>
      <c r="S623" s="38"/>
      <c r="T623" s="36" t="str">
        <f aca="false">IF($F623="","",IF(ISNUMBER(SEARCH("(externo)",$I623&amp;$J623&amp;$K623)),"Terceirizada","Interna"))</f>
        <v/>
      </c>
      <c r="U623" s="43" t="str">
        <f aca="false">IF($N623="","",IF($Q623="",$N623,$Q623))</f>
        <v/>
      </c>
      <c r="V623" s="36" t="str">
        <f aca="false">IF($F623="","",IF(OR($O623="",$N623=""),0,IF($O623&lt;=$N623,1,0)))</f>
        <v/>
      </c>
      <c r="W623" s="36" t="str">
        <f aca="false">IF($F623="","",IF(OR($O623="",$U623=""),0,IF($O623&lt;=$U623,1,0)))</f>
        <v/>
      </c>
      <c r="X623" s="37" t="str">
        <f aca="false">IF(OR($O623="",$N623=""),"",MAX(0,$O623-$N623))</f>
        <v/>
      </c>
      <c r="Y623" s="36" t="str">
        <f aca="false">IF($F623="","",IF(AND($Q623&lt;&gt;"",$N623&lt;&gt;"",$Q623&lt;&gt;$N623),1,0))</f>
        <v/>
      </c>
      <c r="Z623" s="36" t="str">
        <f aca="false">IF($F623="","",IF($P623="Cancelada",0,IF(OR($O623&lt;&gt;"",$P623="Concluída"),1,0)))</f>
        <v/>
      </c>
    </row>
    <row r="624" customFormat="false" ht="16.5" hidden="false" customHeight="true" outlineLevel="0" collapsed="false">
      <c r="A624" s="36" t="str">
        <f aca="false">IF($F624="","",COUNTA($F$5:$F624))</f>
        <v/>
      </c>
      <c r="B624" s="37" t="str">
        <f aca="true">IF($F624="","",IF($P624="Cancelada","Cancelada",IF(OR($O624&lt;&gt;"",$P624="Concluída"),IF(OR($N624="",$O624="",$O624&lt;=$N624),"Concluída","Concluída com atraso"),IF($N624="","Na carteira",IF($N624&lt;TODAY(),"VENCIDA",IF($P624="Em execução","Em execução",IF($N624=TODAY(),"Hoje","Programada")))))))</f>
        <v/>
      </c>
      <c r="C624" s="38"/>
      <c r="D624" s="38"/>
      <c r="E624" s="38"/>
      <c r="F624" s="38"/>
      <c r="G624" s="39"/>
      <c r="H624" s="39"/>
      <c r="I624" s="40"/>
      <c r="J624" s="40"/>
      <c r="K624" s="40"/>
      <c r="L624" s="41"/>
      <c r="M624" s="42"/>
      <c r="N624" s="43" t="str">
        <f aca="false">IF(OR($L624="",$M624=""),"",$L624+MATCH($M624,Listas!$F$5:$F$11,0)-1)</f>
        <v/>
      </c>
      <c r="O624" s="44"/>
      <c r="P624" s="39"/>
      <c r="Q624" s="44"/>
      <c r="R624" s="38"/>
      <c r="S624" s="38"/>
      <c r="T624" s="36" t="str">
        <f aca="false">IF($F624="","",IF(ISNUMBER(SEARCH("(externo)",$I624&amp;$J624&amp;$K624)),"Terceirizada","Interna"))</f>
        <v/>
      </c>
      <c r="U624" s="43" t="str">
        <f aca="false">IF($N624="","",IF($Q624="",$N624,$Q624))</f>
        <v/>
      </c>
      <c r="V624" s="36" t="str">
        <f aca="false">IF($F624="","",IF(OR($O624="",$N624=""),0,IF($O624&lt;=$N624,1,0)))</f>
        <v/>
      </c>
      <c r="W624" s="36" t="str">
        <f aca="false">IF($F624="","",IF(OR($O624="",$U624=""),0,IF($O624&lt;=$U624,1,0)))</f>
        <v/>
      </c>
      <c r="X624" s="37" t="str">
        <f aca="false">IF(OR($O624="",$N624=""),"",MAX(0,$O624-$N624))</f>
        <v/>
      </c>
      <c r="Y624" s="36" t="str">
        <f aca="false">IF($F624="","",IF(AND($Q624&lt;&gt;"",$N624&lt;&gt;"",$Q624&lt;&gt;$N624),1,0))</f>
        <v/>
      </c>
      <c r="Z624" s="36" t="str">
        <f aca="false">IF($F624="","",IF($P624="Cancelada",0,IF(OR($O624&lt;&gt;"",$P624="Concluída"),1,0)))</f>
        <v/>
      </c>
    </row>
    <row r="625" customFormat="false" ht="16.5" hidden="false" customHeight="true" outlineLevel="0" collapsed="false">
      <c r="A625" s="36" t="str">
        <f aca="false">IF($F625="","",COUNTA($F$5:$F625))</f>
        <v/>
      </c>
      <c r="B625" s="37" t="str">
        <f aca="true">IF($F625="","",IF($P625="Cancelada","Cancelada",IF(OR($O625&lt;&gt;"",$P625="Concluída"),IF(OR($N625="",$O625="",$O625&lt;=$N625),"Concluída","Concluída com atraso"),IF($N625="","Na carteira",IF($N625&lt;TODAY(),"VENCIDA",IF($P625="Em execução","Em execução",IF($N625=TODAY(),"Hoje","Programada")))))))</f>
        <v/>
      </c>
      <c r="C625" s="38"/>
      <c r="D625" s="38"/>
      <c r="E625" s="38"/>
      <c r="F625" s="38"/>
      <c r="G625" s="39"/>
      <c r="H625" s="39"/>
      <c r="I625" s="40"/>
      <c r="J625" s="40"/>
      <c r="K625" s="40"/>
      <c r="L625" s="41"/>
      <c r="M625" s="42"/>
      <c r="N625" s="43" t="str">
        <f aca="false">IF(OR($L625="",$M625=""),"",$L625+MATCH($M625,Listas!$F$5:$F$11,0)-1)</f>
        <v/>
      </c>
      <c r="O625" s="44"/>
      <c r="P625" s="39"/>
      <c r="Q625" s="44"/>
      <c r="R625" s="38"/>
      <c r="S625" s="38"/>
      <c r="T625" s="36" t="str">
        <f aca="false">IF($F625="","",IF(ISNUMBER(SEARCH("(externo)",$I625&amp;$J625&amp;$K625)),"Terceirizada","Interna"))</f>
        <v/>
      </c>
      <c r="U625" s="43" t="str">
        <f aca="false">IF($N625="","",IF($Q625="",$N625,$Q625))</f>
        <v/>
      </c>
      <c r="V625" s="36" t="str">
        <f aca="false">IF($F625="","",IF(OR($O625="",$N625=""),0,IF($O625&lt;=$N625,1,0)))</f>
        <v/>
      </c>
      <c r="W625" s="36" t="str">
        <f aca="false">IF($F625="","",IF(OR($O625="",$U625=""),0,IF($O625&lt;=$U625,1,0)))</f>
        <v/>
      </c>
      <c r="X625" s="37" t="str">
        <f aca="false">IF(OR($O625="",$N625=""),"",MAX(0,$O625-$N625))</f>
        <v/>
      </c>
      <c r="Y625" s="36" t="str">
        <f aca="false">IF($F625="","",IF(AND($Q625&lt;&gt;"",$N625&lt;&gt;"",$Q625&lt;&gt;$N625),1,0))</f>
        <v/>
      </c>
      <c r="Z625" s="36" t="str">
        <f aca="false">IF($F625="","",IF($P625="Cancelada",0,IF(OR($O625&lt;&gt;"",$P625="Concluída"),1,0)))</f>
        <v/>
      </c>
    </row>
    <row r="626" customFormat="false" ht="16.5" hidden="false" customHeight="true" outlineLevel="0" collapsed="false">
      <c r="A626" s="36" t="str">
        <f aca="false">IF($F626="","",COUNTA($F$5:$F626))</f>
        <v/>
      </c>
      <c r="B626" s="37" t="str">
        <f aca="true">IF($F626="","",IF($P626="Cancelada","Cancelada",IF(OR($O626&lt;&gt;"",$P626="Concluída"),IF(OR($N626="",$O626="",$O626&lt;=$N626),"Concluída","Concluída com atraso"),IF($N626="","Na carteira",IF($N626&lt;TODAY(),"VENCIDA",IF($P626="Em execução","Em execução",IF($N626=TODAY(),"Hoje","Programada")))))))</f>
        <v/>
      </c>
      <c r="C626" s="38"/>
      <c r="D626" s="38"/>
      <c r="E626" s="38"/>
      <c r="F626" s="38"/>
      <c r="G626" s="39"/>
      <c r="H626" s="39"/>
      <c r="I626" s="40"/>
      <c r="J626" s="40"/>
      <c r="K626" s="40"/>
      <c r="L626" s="41"/>
      <c r="M626" s="42"/>
      <c r="N626" s="43" t="str">
        <f aca="false">IF(OR($L626="",$M626=""),"",$L626+MATCH($M626,Listas!$F$5:$F$11,0)-1)</f>
        <v/>
      </c>
      <c r="O626" s="44"/>
      <c r="P626" s="39"/>
      <c r="Q626" s="44"/>
      <c r="R626" s="38"/>
      <c r="S626" s="38"/>
      <c r="T626" s="36" t="str">
        <f aca="false">IF($F626="","",IF(ISNUMBER(SEARCH("(externo)",$I626&amp;$J626&amp;$K626)),"Terceirizada","Interna"))</f>
        <v/>
      </c>
      <c r="U626" s="43" t="str">
        <f aca="false">IF($N626="","",IF($Q626="",$N626,$Q626))</f>
        <v/>
      </c>
      <c r="V626" s="36" t="str">
        <f aca="false">IF($F626="","",IF(OR($O626="",$N626=""),0,IF($O626&lt;=$N626,1,0)))</f>
        <v/>
      </c>
      <c r="W626" s="36" t="str">
        <f aca="false">IF($F626="","",IF(OR($O626="",$U626=""),0,IF($O626&lt;=$U626,1,0)))</f>
        <v/>
      </c>
      <c r="X626" s="37" t="str">
        <f aca="false">IF(OR($O626="",$N626=""),"",MAX(0,$O626-$N626))</f>
        <v/>
      </c>
      <c r="Y626" s="36" t="str">
        <f aca="false">IF($F626="","",IF(AND($Q626&lt;&gt;"",$N626&lt;&gt;"",$Q626&lt;&gt;$N626),1,0))</f>
        <v/>
      </c>
      <c r="Z626" s="36" t="str">
        <f aca="false">IF($F626="","",IF($P626="Cancelada",0,IF(OR($O626&lt;&gt;"",$P626="Concluída"),1,0)))</f>
        <v/>
      </c>
    </row>
    <row r="627" customFormat="false" ht="16.5" hidden="false" customHeight="true" outlineLevel="0" collapsed="false">
      <c r="A627" s="36" t="str">
        <f aca="false">IF($F627="","",COUNTA($F$5:$F627))</f>
        <v/>
      </c>
      <c r="B627" s="37" t="str">
        <f aca="true">IF($F627="","",IF($P627="Cancelada","Cancelada",IF(OR($O627&lt;&gt;"",$P627="Concluída"),IF(OR($N627="",$O627="",$O627&lt;=$N627),"Concluída","Concluída com atraso"),IF($N627="","Na carteira",IF($N627&lt;TODAY(),"VENCIDA",IF($P627="Em execução","Em execução",IF($N627=TODAY(),"Hoje","Programada")))))))</f>
        <v/>
      </c>
      <c r="C627" s="38"/>
      <c r="D627" s="38"/>
      <c r="E627" s="38"/>
      <c r="F627" s="38"/>
      <c r="G627" s="39"/>
      <c r="H627" s="39"/>
      <c r="I627" s="40"/>
      <c r="J627" s="40"/>
      <c r="K627" s="40"/>
      <c r="L627" s="41"/>
      <c r="M627" s="42"/>
      <c r="N627" s="43" t="str">
        <f aca="false">IF(OR($L627="",$M627=""),"",$L627+MATCH($M627,Listas!$F$5:$F$11,0)-1)</f>
        <v/>
      </c>
      <c r="O627" s="44"/>
      <c r="P627" s="39"/>
      <c r="Q627" s="44"/>
      <c r="R627" s="38"/>
      <c r="S627" s="38"/>
      <c r="T627" s="36" t="str">
        <f aca="false">IF($F627="","",IF(ISNUMBER(SEARCH("(externo)",$I627&amp;$J627&amp;$K627)),"Terceirizada","Interna"))</f>
        <v/>
      </c>
      <c r="U627" s="43" t="str">
        <f aca="false">IF($N627="","",IF($Q627="",$N627,$Q627))</f>
        <v/>
      </c>
      <c r="V627" s="36" t="str">
        <f aca="false">IF($F627="","",IF(OR($O627="",$N627=""),0,IF($O627&lt;=$N627,1,0)))</f>
        <v/>
      </c>
      <c r="W627" s="36" t="str">
        <f aca="false">IF($F627="","",IF(OR($O627="",$U627=""),0,IF($O627&lt;=$U627,1,0)))</f>
        <v/>
      </c>
      <c r="X627" s="37" t="str">
        <f aca="false">IF(OR($O627="",$N627=""),"",MAX(0,$O627-$N627))</f>
        <v/>
      </c>
      <c r="Y627" s="36" t="str">
        <f aca="false">IF($F627="","",IF(AND($Q627&lt;&gt;"",$N627&lt;&gt;"",$Q627&lt;&gt;$N627),1,0))</f>
        <v/>
      </c>
      <c r="Z627" s="36" t="str">
        <f aca="false">IF($F627="","",IF($P627="Cancelada",0,IF(OR($O627&lt;&gt;"",$P627="Concluída"),1,0)))</f>
        <v/>
      </c>
    </row>
    <row r="628" customFormat="false" ht="16.5" hidden="false" customHeight="true" outlineLevel="0" collapsed="false">
      <c r="A628" s="36" t="str">
        <f aca="false">IF($F628="","",COUNTA($F$5:$F628))</f>
        <v/>
      </c>
      <c r="B628" s="37" t="str">
        <f aca="true">IF($F628="","",IF($P628="Cancelada","Cancelada",IF(OR($O628&lt;&gt;"",$P628="Concluída"),IF(OR($N628="",$O628="",$O628&lt;=$N628),"Concluída","Concluída com atraso"),IF($N628="","Na carteira",IF($N628&lt;TODAY(),"VENCIDA",IF($P628="Em execução","Em execução",IF($N628=TODAY(),"Hoje","Programada")))))))</f>
        <v/>
      </c>
      <c r="C628" s="38"/>
      <c r="D628" s="38"/>
      <c r="E628" s="38"/>
      <c r="F628" s="38"/>
      <c r="G628" s="39"/>
      <c r="H628" s="39"/>
      <c r="I628" s="40"/>
      <c r="J628" s="40"/>
      <c r="K628" s="40"/>
      <c r="L628" s="41"/>
      <c r="M628" s="42"/>
      <c r="N628" s="43" t="str">
        <f aca="false">IF(OR($L628="",$M628=""),"",$L628+MATCH($M628,Listas!$F$5:$F$11,0)-1)</f>
        <v/>
      </c>
      <c r="O628" s="44"/>
      <c r="P628" s="39"/>
      <c r="Q628" s="44"/>
      <c r="R628" s="38"/>
      <c r="S628" s="38"/>
      <c r="T628" s="36" t="str">
        <f aca="false">IF($F628="","",IF(ISNUMBER(SEARCH("(externo)",$I628&amp;$J628&amp;$K628)),"Terceirizada","Interna"))</f>
        <v/>
      </c>
      <c r="U628" s="43" t="str">
        <f aca="false">IF($N628="","",IF($Q628="",$N628,$Q628))</f>
        <v/>
      </c>
      <c r="V628" s="36" t="str">
        <f aca="false">IF($F628="","",IF(OR($O628="",$N628=""),0,IF($O628&lt;=$N628,1,0)))</f>
        <v/>
      </c>
      <c r="W628" s="36" t="str">
        <f aca="false">IF($F628="","",IF(OR($O628="",$U628=""),0,IF($O628&lt;=$U628,1,0)))</f>
        <v/>
      </c>
      <c r="X628" s="37" t="str">
        <f aca="false">IF(OR($O628="",$N628=""),"",MAX(0,$O628-$N628))</f>
        <v/>
      </c>
      <c r="Y628" s="36" t="str">
        <f aca="false">IF($F628="","",IF(AND($Q628&lt;&gt;"",$N628&lt;&gt;"",$Q628&lt;&gt;$N628),1,0))</f>
        <v/>
      </c>
      <c r="Z628" s="36" t="str">
        <f aca="false">IF($F628="","",IF($P628="Cancelada",0,IF(OR($O628&lt;&gt;"",$P628="Concluída"),1,0)))</f>
        <v/>
      </c>
    </row>
    <row r="629" customFormat="false" ht="16.5" hidden="false" customHeight="true" outlineLevel="0" collapsed="false">
      <c r="A629" s="36" t="str">
        <f aca="false">IF($F629="","",COUNTA($F$5:$F629))</f>
        <v/>
      </c>
      <c r="B629" s="37" t="str">
        <f aca="true">IF($F629="","",IF($P629="Cancelada","Cancelada",IF(OR($O629&lt;&gt;"",$P629="Concluída"),IF(OR($N629="",$O629="",$O629&lt;=$N629),"Concluída","Concluída com atraso"),IF($N629="","Na carteira",IF($N629&lt;TODAY(),"VENCIDA",IF($P629="Em execução","Em execução",IF($N629=TODAY(),"Hoje","Programada")))))))</f>
        <v/>
      </c>
      <c r="C629" s="38"/>
      <c r="D629" s="38"/>
      <c r="E629" s="38"/>
      <c r="F629" s="38"/>
      <c r="G629" s="39"/>
      <c r="H629" s="39"/>
      <c r="I629" s="40"/>
      <c r="J629" s="40"/>
      <c r="K629" s="40"/>
      <c r="L629" s="41"/>
      <c r="M629" s="42"/>
      <c r="N629" s="43" t="str">
        <f aca="false">IF(OR($L629="",$M629=""),"",$L629+MATCH($M629,Listas!$F$5:$F$11,0)-1)</f>
        <v/>
      </c>
      <c r="O629" s="44"/>
      <c r="P629" s="39"/>
      <c r="Q629" s="44"/>
      <c r="R629" s="38"/>
      <c r="S629" s="38"/>
      <c r="T629" s="36" t="str">
        <f aca="false">IF($F629="","",IF(ISNUMBER(SEARCH("(externo)",$I629&amp;$J629&amp;$K629)),"Terceirizada","Interna"))</f>
        <v/>
      </c>
      <c r="U629" s="43" t="str">
        <f aca="false">IF($N629="","",IF($Q629="",$N629,$Q629))</f>
        <v/>
      </c>
      <c r="V629" s="36" t="str">
        <f aca="false">IF($F629="","",IF(OR($O629="",$N629=""),0,IF($O629&lt;=$N629,1,0)))</f>
        <v/>
      </c>
      <c r="W629" s="36" t="str">
        <f aca="false">IF($F629="","",IF(OR($O629="",$U629=""),0,IF($O629&lt;=$U629,1,0)))</f>
        <v/>
      </c>
      <c r="X629" s="37" t="str">
        <f aca="false">IF(OR($O629="",$N629=""),"",MAX(0,$O629-$N629))</f>
        <v/>
      </c>
      <c r="Y629" s="36" t="str">
        <f aca="false">IF($F629="","",IF(AND($Q629&lt;&gt;"",$N629&lt;&gt;"",$Q629&lt;&gt;$N629),1,0))</f>
        <v/>
      </c>
      <c r="Z629" s="36" t="str">
        <f aca="false">IF($F629="","",IF($P629="Cancelada",0,IF(OR($O629&lt;&gt;"",$P629="Concluída"),1,0)))</f>
        <v/>
      </c>
    </row>
    <row r="630" customFormat="false" ht="16.5" hidden="false" customHeight="true" outlineLevel="0" collapsed="false">
      <c r="A630" s="36" t="str">
        <f aca="false">IF($F630="","",COUNTA($F$5:$F630))</f>
        <v/>
      </c>
      <c r="B630" s="37" t="str">
        <f aca="true">IF($F630="","",IF($P630="Cancelada","Cancelada",IF(OR($O630&lt;&gt;"",$P630="Concluída"),IF(OR($N630="",$O630="",$O630&lt;=$N630),"Concluída","Concluída com atraso"),IF($N630="","Na carteira",IF($N630&lt;TODAY(),"VENCIDA",IF($P630="Em execução","Em execução",IF($N630=TODAY(),"Hoje","Programada")))))))</f>
        <v/>
      </c>
      <c r="C630" s="38"/>
      <c r="D630" s="38"/>
      <c r="E630" s="38"/>
      <c r="F630" s="38"/>
      <c r="G630" s="39"/>
      <c r="H630" s="39"/>
      <c r="I630" s="40"/>
      <c r="J630" s="40"/>
      <c r="K630" s="40"/>
      <c r="L630" s="41"/>
      <c r="M630" s="42"/>
      <c r="N630" s="43" t="str">
        <f aca="false">IF(OR($L630="",$M630=""),"",$L630+MATCH($M630,Listas!$F$5:$F$11,0)-1)</f>
        <v/>
      </c>
      <c r="O630" s="44"/>
      <c r="P630" s="39"/>
      <c r="Q630" s="44"/>
      <c r="R630" s="38"/>
      <c r="S630" s="38"/>
      <c r="T630" s="36" t="str">
        <f aca="false">IF($F630="","",IF(ISNUMBER(SEARCH("(externo)",$I630&amp;$J630&amp;$K630)),"Terceirizada","Interna"))</f>
        <v/>
      </c>
      <c r="U630" s="43" t="str">
        <f aca="false">IF($N630="","",IF($Q630="",$N630,$Q630))</f>
        <v/>
      </c>
      <c r="V630" s="36" t="str">
        <f aca="false">IF($F630="","",IF(OR($O630="",$N630=""),0,IF($O630&lt;=$N630,1,0)))</f>
        <v/>
      </c>
      <c r="W630" s="36" t="str">
        <f aca="false">IF($F630="","",IF(OR($O630="",$U630=""),0,IF($O630&lt;=$U630,1,0)))</f>
        <v/>
      </c>
      <c r="X630" s="37" t="str">
        <f aca="false">IF(OR($O630="",$N630=""),"",MAX(0,$O630-$N630))</f>
        <v/>
      </c>
      <c r="Y630" s="36" t="str">
        <f aca="false">IF($F630="","",IF(AND($Q630&lt;&gt;"",$N630&lt;&gt;"",$Q630&lt;&gt;$N630),1,0))</f>
        <v/>
      </c>
      <c r="Z630" s="36" t="str">
        <f aca="false">IF($F630="","",IF($P630="Cancelada",0,IF(OR($O630&lt;&gt;"",$P630="Concluída"),1,0)))</f>
        <v/>
      </c>
    </row>
    <row r="631" customFormat="false" ht="16.5" hidden="false" customHeight="true" outlineLevel="0" collapsed="false">
      <c r="A631" s="36" t="str">
        <f aca="false">IF($F631="","",COUNTA($F$5:$F631))</f>
        <v/>
      </c>
      <c r="B631" s="37" t="str">
        <f aca="true">IF($F631="","",IF($P631="Cancelada","Cancelada",IF(OR($O631&lt;&gt;"",$P631="Concluída"),IF(OR($N631="",$O631="",$O631&lt;=$N631),"Concluída","Concluída com atraso"),IF($N631="","Na carteira",IF($N631&lt;TODAY(),"VENCIDA",IF($P631="Em execução","Em execução",IF($N631=TODAY(),"Hoje","Programada")))))))</f>
        <v/>
      </c>
      <c r="C631" s="38"/>
      <c r="D631" s="38"/>
      <c r="E631" s="38"/>
      <c r="F631" s="38"/>
      <c r="G631" s="39"/>
      <c r="H631" s="39"/>
      <c r="I631" s="40"/>
      <c r="J631" s="40"/>
      <c r="K631" s="40"/>
      <c r="L631" s="41"/>
      <c r="M631" s="42"/>
      <c r="N631" s="43" t="str">
        <f aca="false">IF(OR($L631="",$M631=""),"",$L631+MATCH($M631,Listas!$F$5:$F$11,0)-1)</f>
        <v/>
      </c>
      <c r="O631" s="44"/>
      <c r="P631" s="39"/>
      <c r="Q631" s="44"/>
      <c r="R631" s="38"/>
      <c r="S631" s="38"/>
      <c r="T631" s="36" t="str">
        <f aca="false">IF($F631="","",IF(ISNUMBER(SEARCH("(externo)",$I631&amp;$J631&amp;$K631)),"Terceirizada","Interna"))</f>
        <v/>
      </c>
      <c r="U631" s="43" t="str">
        <f aca="false">IF($N631="","",IF($Q631="",$N631,$Q631))</f>
        <v/>
      </c>
      <c r="V631" s="36" t="str">
        <f aca="false">IF($F631="","",IF(OR($O631="",$N631=""),0,IF($O631&lt;=$N631,1,0)))</f>
        <v/>
      </c>
      <c r="W631" s="36" t="str">
        <f aca="false">IF($F631="","",IF(OR($O631="",$U631=""),0,IF($O631&lt;=$U631,1,0)))</f>
        <v/>
      </c>
      <c r="X631" s="37" t="str">
        <f aca="false">IF(OR($O631="",$N631=""),"",MAX(0,$O631-$N631))</f>
        <v/>
      </c>
      <c r="Y631" s="36" t="str">
        <f aca="false">IF($F631="","",IF(AND($Q631&lt;&gt;"",$N631&lt;&gt;"",$Q631&lt;&gt;$N631),1,0))</f>
        <v/>
      </c>
      <c r="Z631" s="36" t="str">
        <f aca="false">IF($F631="","",IF($P631="Cancelada",0,IF(OR($O631&lt;&gt;"",$P631="Concluída"),1,0)))</f>
        <v/>
      </c>
    </row>
    <row r="632" customFormat="false" ht="16.5" hidden="false" customHeight="true" outlineLevel="0" collapsed="false">
      <c r="A632" s="36" t="str">
        <f aca="false">IF($F632="","",COUNTA($F$5:$F632))</f>
        <v/>
      </c>
      <c r="B632" s="37" t="str">
        <f aca="true">IF($F632="","",IF($P632="Cancelada","Cancelada",IF(OR($O632&lt;&gt;"",$P632="Concluída"),IF(OR($N632="",$O632="",$O632&lt;=$N632),"Concluída","Concluída com atraso"),IF($N632="","Na carteira",IF($N632&lt;TODAY(),"VENCIDA",IF($P632="Em execução","Em execução",IF($N632=TODAY(),"Hoje","Programada")))))))</f>
        <v/>
      </c>
      <c r="C632" s="38"/>
      <c r="D632" s="38"/>
      <c r="E632" s="38"/>
      <c r="F632" s="38"/>
      <c r="G632" s="39"/>
      <c r="H632" s="39"/>
      <c r="I632" s="40"/>
      <c r="J632" s="40"/>
      <c r="K632" s="40"/>
      <c r="L632" s="41"/>
      <c r="M632" s="42"/>
      <c r="N632" s="43" t="str">
        <f aca="false">IF(OR($L632="",$M632=""),"",$L632+MATCH($M632,Listas!$F$5:$F$11,0)-1)</f>
        <v/>
      </c>
      <c r="O632" s="44"/>
      <c r="P632" s="39"/>
      <c r="Q632" s="44"/>
      <c r="R632" s="38"/>
      <c r="S632" s="38"/>
      <c r="T632" s="36" t="str">
        <f aca="false">IF($F632="","",IF(ISNUMBER(SEARCH("(externo)",$I632&amp;$J632&amp;$K632)),"Terceirizada","Interna"))</f>
        <v/>
      </c>
      <c r="U632" s="43" t="str">
        <f aca="false">IF($N632="","",IF($Q632="",$N632,$Q632))</f>
        <v/>
      </c>
      <c r="V632" s="36" t="str">
        <f aca="false">IF($F632="","",IF(OR($O632="",$N632=""),0,IF($O632&lt;=$N632,1,0)))</f>
        <v/>
      </c>
      <c r="W632" s="36" t="str">
        <f aca="false">IF($F632="","",IF(OR($O632="",$U632=""),0,IF($O632&lt;=$U632,1,0)))</f>
        <v/>
      </c>
      <c r="X632" s="37" t="str">
        <f aca="false">IF(OR($O632="",$N632=""),"",MAX(0,$O632-$N632))</f>
        <v/>
      </c>
      <c r="Y632" s="36" t="str">
        <f aca="false">IF($F632="","",IF(AND($Q632&lt;&gt;"",$N632&lt;&gt;"",$Q632&lt;&gt;$N632),1,0))</f>
        <v/>
      </c>
      <c r="Z632" s="36" t="str">
        <f aca="false">IF($F632="","",IF($P632="Cancelada",0,IF(OR($O632&lt;&gt;"",$P632="Concluída"),1,0)))</f>
        <v/>
      </c>
    </row>
    <row r="633" customFormat="false" ht="16.5" hidden="false" customHeight="true" outlineLevel="0" collapsed="false">
      <c r="A633" s="36" t="str">
        <f aca="false">IF($F633="","",COUNTA($F$5:$F633))</f>
        <v/>
      </c>
      <c r="B633" s="37" t="str">
        <f aca="true">IF($F633="","",IF($P633="Cancelada","Cancelada",IF(OR($O633&lt;&gt;"",$P633="Concluída"),IF(OR($N633="",$O633="",$O633&lt;=$N633),"Concluída","Concluída com atraso"),IF($N633="","Na carteira",IF($N633&lt;TODAY(),"VENCIDA",IF($P633="Em execução","Em execução",IF($N633=TODAY(),"Hoje","Programada")))))))</f>
        <v/>
      </c>
      <c r="C633" s="38"/>
      <c r="D633" s="38"/>
      <c r="E633" s="38"/>
      <c r="F633" s="38"/>
      <c r="G633" s="39"/>
      <c r="H633" s="39"/>
      <c r="I633" s="40"/>
      <c r="J633" s="40"/>
      <c r="K633" s="40"/>
      <c r="L633" s="41"/>
      <c r="M633" s="42"/>
      <c r="N633" s="43" t="str">
        <f aca="false">IF(OR($L633="",$M633=""),"",$L633+MATCH($M633,Listas!$F$5:$F$11,0)-1)</f>
        <v/>
      </c>
      <c r="O633" s="44"/>
      <c r="P633" s="39"/>
      <c r="Q633" s="44"/>
      <c r="R633" s="38"/>
      <c r="S633" s="38"/>
      <c r="T633" s="36" t="str">
        <f aca="false">IF($F633="","",IF(ISNUMBER(SEARCH("(externo)",$I633&amp;$J633&amp;$K633)),"Terceirizada","Interna"))</f>
        <v/>
      </c>
      <c r="U633" s="43" t="str">
        <f aca="false">IF($N633="","",IF($Q633="",$N633,$Q633))</f>
        <v/>
      </c>
      <c r="V633" s="36" t="str">
        <f aca="false">IF($F633="","",IF(OR($O633="",$N633=""),0,IF($O633&lt;=$N633,1,0)))</f>
        <v/>
      </c>
      <c r="W633" s="36" t="str">
        <f aca="false">IF($F633="","",IF(OR($O633="",$U633=""),0,IF($O633&lt;=$U633,1,0)))</f>
        <v/>
      </c>
      <c r="X633" s="37" t="str">
        <f aca="false">IF(OR($O633="",$N633=""),"",MAX(0,$O633-$N633))</f>
        <v/>
      </c>
      <c r="Y633" s="36" t="str">
        <f aca="false">IF($F633="","",IF(AND($Q633&lt;&gt;"",$N633&lt;&gt;"",$Q633&lt;&gt;$N633),1,0))</f>
        <v/>
      </c>
      <c r="Z633" s="36" t="str">
        <f aca="false">IF($F633="","",IF($P633="Cancelada",0,IF(OR($O633&lt;&gt;"",$P633="Concluída"),1,0)))</f>
        <v/>
      </c>
    </row>
    <row r="634" customFormat="false" ht="16.5" hidden="false" customHeight="true" outlineLevel="0" collapsed="false">
      <c r="A634" s="36" t="str">
        <f aca="false">IF($F634="","",COUNTA($F$5:$F634))</f>
        <v/>
      </c>
      <c r="B634" s="37" t="str">
        <f aca="true">IF($F634="","",IF($P634="Cancelada","Cancelada",IF(OR($O634&lt;&gt;"",$P634="Concluída"),IF(OR($N634="",$O634="",$O634&lt;=$N634),"Concluída","Concluída com atraso"),IF($N634="","Na carteira",IF($N634&lt;TODAY(),"VENCIDA",IF($P634="Em execução","Em execução",IF($N634=TODAY(),"Hoje","Programada")))))))</f>
        <v/>
      </c>
      <c r="C634" s="38"/>
      <c r="D634" s="38"/>
      <c r="E634" s="38"/>
      <c r="F634" s="38"/>
      <c r="G634" s="39"/>
      <c r="H634" s="39"/>
      <c r="I634" s="40"/>
      <c r="J634" s="40"/>
      <c r="K634" s="40"/>
      <c r="L634" s="41"/>
      <c r="M634" s="42"/>
      <c r="N634" s="43" t="str">
        <f aca="false">IF(OR($L634="",$M634=""),"",$L634+MATCH($M634,Listas!$F$5:$F$11,0)-1)</f>
        <v/>
      </c>
      <c r="O634" s="44"/>
      <c r="P634" s="39"/>
      <c r="Q634" s="44"/>
      <c r="R634" s="38"/>
      <c r="S634" s="38"/>
      <c r="T634" s="36" t="str">
        <f aca="false">IF($F634="","",IF(ISNUMBER(SEARCH("(externo)",$I634&amp;$J634&amp;$K634)),"Terceirizada","Interna"))</f>
        <v/>
      </c>
      <c r="U634" s="43" t="str">
        <f aca="false">IF($N634="","",IF($Q634="",$N634,$Q634))</f>
        <v/>
      </c>
      <c r="V634" s="36" t="str">
        <f aca="false">IF($F634="","",IF(OR($O634="",$N634=""),0,IF($O634&lt;=$N634,1,0)))</f>
        <v/>
      </c>
      <c r="W634" s="36" t="str">
        <f aca="false">IF($F634="","",IF(OR($O634="",$U634=""),0,IF($O634&lt;=$U634,1,0)))</f>
        <v/>
      </c>
      <c r="X634" s="37" t="str">
        <f aca="false">IF(OR($O634="",$N634=""),"",MAX(0,$O634-$N634))</f>
        <v/>
      </c>
      <c r="Y634" s="36" t="str">
        <f aca="false">IF($F634="","",IF(AND($Q634&lt;&gt;"",$N634&lt;&gt;"",$Q634&lt;&gt;$N634),1,0))</f>
        <v/>
      </c>
      <c r="Z634" s="36" t="str">
        <f aca="false">IF($F634="","",IF($P634="Cancelada",0,IF(OR($O634&lt;&gt;"",$P634="Concluída"),1,0)))</f>
        <v/>
      </c>
    </row>
    <row r="635" customFormat="false" ht="16.5" hidden="false" customHeight="true" outlineLevel="0" collapsed="false">
      <c r="A635" s="36" t="str">
        <f aca="false">IF($F635="","",COUNTA($F$5:$F635))</f>
        <v/>
      </c>
      <c r="B635" s="37" t="str">
        <f aca="true">IF($F635="","",IF($P635="Cancelada","Cancelada",IF(OR($O635&lt;&gt;"",$P635="Concluída"),IF(OR($N635="",$O635="",$O635&lt;=$N635),"Concluída","Concluída com atraso"),IF($N635="","Na carteira",IF($N635&lt;TODAY(),"VENCIDA",IF($P635="Em execução","Em execução",IF($N635=TODAY(),"Hoje","Programada")))))))</f>
        <v/>
      </c>
      <c r="C635" s="38"/>
      <c r="D635" s="38"/>
      <c r="E635" s="38"/>
      <c r="F635" s="38"/>
      <c r="G635" s="39"/>
      <c r="H635" s="39"/>
      <c r="I635" s="40"/>
      <c r="J635" s="40"/>
      <c r="K635" s="40"/>
      <c r="L635" s="41"/>
      <c r="M635" s="42"/>
      <c r="N635" s="43" t="str">
        <f aca="false">IF(OR($L635="",$M635=""),"",$L635+MATCH($M635,Listas!$F$5:$F$11,0)-1)</f>
        <v/>
      </c>
      <c r="O635" s="44"/>
      <c r="P635" s="39"/>
      <c r="Q635" s="44"/>
      <c r="R635" s="38"/>
      <c r="S635" s="38"/>
      <c r="T635" s="36" t="str">
        <f aca="false">IF($F635="","",IF(ISNUMBER(SEARCH("(externo)",$I635&amp;$J635&amp;$K635)),"Terceirizada","Interna"))</f>
        <v/>
      </c>
      <c r="U635" s="43" t="str">
        <f aca="false">IF($N635="","",IF($Q635="",$N635,$Q635))</f>
        <v/>
      </c>
      <c r="V635" s="36" t="str">
        <f aca="false">IF($F635="","",IF(OR($O635="",$N635=""),0,IF($O635&lt;=$N635,1,0)))</f>
        <v/>
      </c>
      <c r="W635" s="36" t="str">
        <f aca="false">IF($F635="","",IF(OR($O635="",$U635=""),0,IF($O635&lt;=$U635,1,0)))</f>
        <v/>
      </c>
      <c r="X635" s="37" t="str">
        <f aca="false">IF(OR($O635="",$N635=""),"",MAX(0,$O635-$N635))</f>
        <v/>
      </c>
      <c r="Y635" s="36" t="str">
        <f aca="false">IF($F635="","",IF(AND($Q635&lt;&gt;"",$N635&lt;&gt;"",$Q635&lt;&gt;$N635),1,0))</f>
        <v/>
      </c>
      <c r="Z635" s="36" t="str">
        <f aca="false">IF($F635="","",IF($P635="Cancelada",0,IF(OR($O635&lt;&gt;"",$P635="Concluída"),1,0)))</f>
        <v/>
      </c>
    </row>
    <row r="636" customFormat="false" ht="16.5" hidden="false" customHeight="true" outlineLevel="0" collapsed="false">
      <c r="A636" s="36" t="str">
        <f aca="false">IF($F636="","",COUNTA($F$5:$F636))</f>
        <v/>
      </c>
      <c r="B636" s="37" t="str">
        <f aca="true">IF($F636="","",IF($P636="Cancelada","Cancelada",IF(OR($O636&lt;&gt;"",$P636="Concluída"),IF(OR($N636="",$O636="",$O636&lt;=$N636),"Concluída","Concluída com atraso"),IF($N636="","Na carteira",IF($N636&lt;TODAY(),"VENCIDA",IF($P636="Em execução","Em execução",IF($N636=TODAY(),"Hoje","Programada")))))))</f>
        <v/>
      </c>
      <c r="C636" s="38"/>
      <c r="D636" s="38"/>
      <c r="E636" s="38"/>
      <c r="F636" s="38"/>
      <c r="G636" s="39"/>
      <c r="H636" s="39"/>
      <c r="I636" s="40"/>
      <c r="J636" s="40"/>
      <c r="K636" s="40"/>
      <c r="L636" s="41"/>
      <c r="M636" s="42"/>
      <c r="N636" s="43" t="str">
        <f aca="false">IF(OR($L636="",$M636=""),"",$L636+MATCH($M636,Listas!$F$5:$F$11,0)-1)</f>
        <v/>
      </c>
      <c r="O636" s="44"/>
      <c r="P636" s="39"/>
      <c r="Q636" s="44"/>
      <c r="R636" s="38"/>
      <c r="S636" s="38"/>
      <c r="T636" s="36" t="str">
        <f aca="false">IF($F636="","",IF(ISNUMBER(SEARCH("(externo)",$I636&amp;$J636&amp;$K636)),"Terceirizada","Interna"))</f>
        <v/>
      </c>
      <c r="U636" s="43" t="str">
        <f aca="false">IF($N636="","",IF($Q636="",$N636,$Q636))</f>
        <v/>
      </c>
      <c r="V636" s="36" t="str">
        <f aca="false">IF($F636="","",IF(OR($O636="",$N636=""),0,IF($O636&lt;=$N636,1,0)))</f>
        <v/>
      </c>
      <c r="W636" s="36" t="str">
        <f aca="false">IF($F636="","",IF(OR($O636="",$U636=""),0,IF($O636&lt;=$U636,1,0)))</f>
        <v/>
      </c>
      <c r="X636" s="37" t="str">
        <f aca="false">IF(OR($O636="",$N636=""),"",MAX(0,$O636-$N636))</f>
        <v/>
      </c>
      <c r="Y636" s="36" t="str">
        <f aca="false">IF($F636="","",IF(AND($Q636&lt;&gt;"",$N636&lt;&gt;"",$Q636&lt;&gt;$N636),1,0))</f>
        <v/>
      </c>
      <c r="Z636" s="36" t="str">
        <f aca="false">IF($F636="","",IF($P636="Cancelada",0,IF(OR($O636&lt;&gt;"",$P636="Concluída"),1,0)))</f>
        <v/>
      </c>
    </row>
    <row r="637" customFormat="false" ht="16.5" hidden="false" customHeight="true" outlineLevel="0" collapsed="false">
      <c r="A637" s="36" t="str">
        <f aca="false">IF($F637="","",COUNTA($F$5:$F637))</f>
        <v/>
      </c>
      <c r="B637" s="37" t="str">
        <f aca="true">IF($F637="","",IF($P637="Cancelada","Cancelada",IF(OR($O637&lt;&gt;"",$P637="Concluída"),IF(OR($N637="",$O637="",$O637&lt;=$N637),"Concluída","Concluída com atraso"),IF($N637="","Na carteira",IF($N637&lt;TODAY(),"VENCIDA",IF($P637="Em execução","Em execução",IF($N637=TODAY(),"Hoje","Programada")))))))</f>
        <v/>
      </c>
      <c r="C637" s="38"/>
      <c r="D637" s="38"/>
      <c r="E637" s="38"/>
      <c r="F637" s="38"/>
      <c r="G637" s="39"/>
      <c r="H637" s="39"/>
      <c r="I637" s="40"/>
      <c r="J637" s="40"/>
      <c r="K637" s="40"/>
      <c r="L637" s="41"/>
      <c r="M637" s="42"/>
      <c r="N637" s="43" t="str">
        <f aca="false">IF(OR($L637="",$M637=""),"",$L637+MATCH($M637,Listas!$F$5:$F$11,0)-1)</f>
        <v/>
      </c>
      <c r="O637" s="44"/>
      <c r="P637" s="39"/>
      <c r="Q637" s="44"/>
      <c r="R637" s="38"/>
      <c r="S637" s="38"/>
      <c r="T637" s="36" t="str">
        <f aca="false">IF($F637="","",IF(ISNUMBER(SEARCH("(externo)",$I637&amp;$J637&amp;$K637)),"Terceirizada","Interna"))</f>
        <v/>
      </c>
      <c r="U637" s="43" t="str">
        <f aca="false">IF($N637="","",IF($Q637="",$N637,$Q637))</f>
        <v/>
      </c>
      <c r="V637" s="36" t="str">
        <f aca="false">IF($F637="","",IF(OR($O637="",$N637=""),0,IF($O637&lt;=$N637,1,0)))</f>
        <v/>
      </c>
      <c r="W637" s="36" t="str">
        <f aca="false">IF($F637="","",IF(OR($O637="",$U637=""),0,IF($O637&lt;=$U637,1,0)))</f>
        <v/>
      </c>
      <c r="X637" s="37" t="str">
        <f aca="false">IF(OR($O637="",$N637=""),"",MAX(0,$O637-$N637))</f>
        <v/>
      </c>
      <c r="Y637" s="36" t="str">
        <f aca="false">IF($F637="","",IF(AND($Q637&lt;&gt;"",$N637&lt;&gt;"",$Q637&lt;&gt;$N637),1,0))</f>
        <v/>
      </c>
      <c r="Z637" s="36" t="str">
        <f aca="false">IF($F637="","",IF($P637="Cancelada",0,IF(OR($O637&lt;&gt;"",$P637="Concluída"),1,0)))</f>
        <v/>
      </c>
    </row>
    <row r="638" customFormat="false" ht="16.5" hidden="false" customHeight="true" outlineLevel="0" collapsed="false">
      <c r="A638" s="36" t="str">
        <f aca="false">IF($F638="","",COUNTA($F$5:$F638))</f>
        <v/>
      </c>
      <c r="B638" s="37" t="str">
        <f aca="true">IF($F638="","",IF($P638="Cancelada","Cancelada",IF(OR($O638&lt;&gt;"",$P638="Concluída"),IF(OR($N638="",$O638="",$O638&lt;=$N638),"Concluída","Concluída com atraso"),IF($N638="","Na carteira",IF($N638&lt;TODAY(),"VENCIDA",IF($P638="Em execução","Em execução",IF($N638=TODAY(),"Hoje","Programada")))))))</f>
        <v/>
      </c>
      <c r="C638" s="38"/>
      <c r="D638" s="38"/>
      <c r="E638" s="38"/>
      <c r="F638" s="38"/>
      <c r="G638" s="39"/>
      <c r="H638" s="39"/>
      <c r="I638" s="40"/>
      <c r="J638" s="40"/>
      <c r="K638" s="40"/>
      <c r="L638" s="41"/>
      <c r="M638" s="42"/>
      <c r="N638" s="43" t="str">
        <f aca="false">IF(OR($L638="",$M638=""),"",$L638+MATCH($M638,Listas!$F$5:$F$11,0)-1)</f>
        <v/>
      </c>
      <c r="O638" s="44"/>
      <c r="P638" s="39"/>
      <c r="Q638" s="44"/>
      <c r="R638" s="38"/>
      <c r="S638" s="38"/>
      <c r="T638" s="36" t="str">
        <f aca="false">IF($F638="","",IF(ISNUMBER(SEARCH("(externo)",$I638&amp;$J638&amp;$K638)),"Terceirizada","Interna"))</f>
        <v/>
      </c>
      <c r="U638" s="43" t="str">
        <f aca="false">IF($N638="","",IF($Q638="",$N638,$Q638))</f>
        <v/>
      </c>
      <c r="V638" s="36" t="str">
        <f aca="false">IF($F638="","",IF(OR($O638="",$N638=""),0,IF($O638&lt;=$N638,1,0)))</f>
        <v/>
      </c>
      <c r="W638" s="36" t="str">
        <f aca="false">IF($F638="","",IF(OR($O638="",$U638=""),0,IF($O638&lt;=$U638,1,0)))</f>
        <v/>
      </c>
      <c r="X638" s="37" t="str">
        <f aca="false">IF(OR($O638="",$N638=""),"",MAX(0,$O638-$N638))</f>
        <v/>
      </c>
      <c r="Y638" s="36" t="str">
        <f aca="false">IF($F638="","",IF(AND($Q638&lt;&gt;"",$N638&lt;&gt;"",$Q638&lt;&gt;$N638),1,0))</f>
        <v/>
      </c>
      <c r="Z638" s="36" t="str">
        <f aca="false">IF($F638="","",IF($P638="Cancelada",0,IF(OR($O638&lt;&gt;"",$P638="Concluída"),1,0)))</f>
        <v/>
      </c>
    </row>
    <row r="639" customFormat="false" ht="16.5" hidden="false" customHeight="true" outlineLevel="0" collapsed="false">
      <c r="A639" s="36" t="str">
        <f aca="false">IF($F639="","",COUNTA($F$5:$F639))</f>
        <v/>
      </c>
      <c r="B639" s="37" t="str">
        <f aca="true">IF($F639="","",IF($P639="Cancelada","Cancelada",IF(OR($O639&lt;&gt;"",$P639="Concluída"),IF(OR($N639="",$O639="",$O639&lt;=$N639),"Concluída","Concluída com atraso"),IF($N639="","Na carteira",IF($N639&lt;TODAY(),"VENCIDA",IF($P639="Em execução","Em execução",IF($N639=TODAY(),"Hoje","Programada")))))))</f>
        <v/>
      </c>
      <c r="C639" s="38"/>
      <c r="D639" s="38"/>
      <c r="E639" s="38"/>
      <c r="F639" s="38"/>
      <c r="G639" s="39"/>
      <c r="H639" s="39"/>
      <c r="I639" s="40"/>
      <c r="J639" s="40"/>
      <c r="K639" s="40"/>
      <c r="L639" s="41"/>
      <c r="M639" s="42"/>
      <c r="N639" s="43" t="str">
        <f aca="false">IF(OR($L639="",$M639=""),"",$L639+MATCH($M639,Listas!$F$5:$F$11,0)-1)</f>
        <v/>
      </c>
      <c r="O639" s="44"/>
      <c r="P639" s="39"/>
      <c r="Q639" s="44"/>
      <c r="R639" s="38"/>
      <c r="S639" s="38"/>
      <c r="T639" s="36" t="str">
        <f aca="false">IF($F639="","",IF(ISNUMBER(SEARCH("(externo)",$I639&amp;$J639&amp;$K639)),"Terceirizada","Interna"))</f>
        <v/>
      </c>
      <c r="U639" s="43" t="str">
        <f aca="false">IF($N639="","",IF($Q639="",$N639,$Q639))</f>
        <v/>
      </c>
      <c r="V639" s="36" t="str">
        <f aca="false">IF($F639="","",IF(OR($O639="",$N639=""),0,IF($O639&lt;=$N639,1,0)))</f>
        <v/>
      </c>
      <c r="W639" s="36" t="str">
        <f aca="false">IF($F639="","",IF(OR($O639="",$U639=""),0,IF($O639&lt;=$U639,1,0)))</f>
        <v/>
      </c>
      <c r="X639" s="37" t="str">
        <f aca="false">IF(OR($O639="",$N639=""),"",MAX(0,$O639-$N639))</f>
        <v/>
      </c>
      <c r="Y639" s="36" t="str">
        <f aca="false">IF($F639="","",IF(AND($Q639&lt;&gt;"",$N639&lt;&gt;"",$Q639&lt;&gt;$N639),1,0))</f>
        <v/>
      </c>
      <c r="Z639" s="36" t="str">
        <f aca="false">IF($F639="","",IF($P639="Cancelada",0,IF(OR($O639&lt;&gt;"",$P639="Concluída"),1,0)))</f>
        <v/>
      </c>
    </row>
    <row r="640" customFormat="false" ht="16.5" hidden="false" customHeight="true" outlineLevel="0" collapsed="false">
      <c r="A640" s="36" t="str">
        <f aca="false">IF($F640="","",COUNTA($F$5:$F640))</f>
        <v/>
      </c>
      <c r="B640" s="37" t="str">
        <f aca="true">IF($F640="","",IF($P640="Cancelada","Cancelada",IF(OR($O640&lt;&gt;"",$P640="Concluída"),IF(OR($N640="",$O640="",$O640&lt;=$N640),"Concluída","Concluída com atraso"),IF($N640="","Na carteira",IF($N640&lt;TODAY(),"VENCIDA",IF($P640="Em execução","Em execução",IF($N640=TODAY(),"Hoje","Programada")))))))</f>
        <v/>
      </c>
      <c r="C640" s="38"/>
      <c r="D640" s="38"/>
      <c r="E640" s="38"/>
      <c r="F640" s="38"/>
      <c r="G640" s="39"/>
      <c r="H640" s="39"/>
      <c r="I640" s="40"/>
      <c r="J640" s="40"/>
      <c r="K640" s="40"/>
      <c r="L640" s="41"/>
      <c r="M640" s="42"/>
      <c r="N640" s="43" t="str">
        <f aca="false">IF(OR($L640="",$M640=""),"",$L640+MATCH($M640,Listas!$F$5:$F$11,0)-1)</f>
        <v/>
      </c>
      <c r="O640" s="44"/>
      <c r="P640" s="39"/>
      <c r="Q640" s="44"/>
      <c r="R640" s="38"/>
      <c r="S640" s="38"/>
      <c r="T640" s="36" t="str">
        <f aca="false">IF($F640="","",IF(ISNUMBER(SEARCH("(externo)",$I640&amp;$J640&amp;$K640)),"Terceirizada","Interna"))</f>
        <v/>
      </c>
      <c r="U640" s="43" t="str">
        <f aca="false">IF($N640="","",IF($Q640="",$N640,$Q640))</f>
        <v/>
      </c>
      <c r="V640" s="36" t="str">
        <f aca="false">IF($F640="","",IF(OR($O640="",$N640=""),0,IF($O640&lt;=$N640,1,0)))</f>
        <v/>
      </c>
      <c r="W640" s="36" t="str">
        <f aca="false">IF($F640="","",IF(OR($O640="",$U640=""),0,IF($O640&lt;=$U640,1,0)))</f>
        <v/>
      </c>
      <c r="X640" s="37" t="str">
        <f aca="false">IF(OR($O640="",$N640=""),"",MAX(0,$O640-$N640))</f>
        <v/>
      </c>
      <c r="Y640" s="36" t="str">
        <f aca="false">IF($F640="","",IF(AND($Q640&lt;&gt;"",$N640&lt;&gt;"",$Q640&lt;&gt;$N640),1,0))</f>
        <v/>
      </c>
      <c r="Z640" s="36" t="str">
        <f aca="false">IF($F640="","",IF($P640="Cancelada",0,IF(OR($O640&lt;&gt;"",$P640="Concluída"),1,0)))</f>
        <v/>
      </c>
    </row>
    <row r="641" customFormat="false" ht="16.5" hidden="false" customHeight="true" outlineLevel="0" collapsed="false">
      <c r="A641" s="36" t="str">
        <f aca="false">IF($F641="","",COUNTA($F$5:$F641))</f>
        <v/>
      </c>
      <c r="B641" s="37" t="str">
        <f aca="true">IF($F641="","",IF($P641="Cancelada","Cancelada",IF(OR($O641&lt;&gt;"",$P641="Concluída"),IF(OR($N641="",$O641="",$O641&lt;=$N641),"Concluída","Concluída com atraso"),IF($N641="","Na carteira",IF($N641&lt;TODAY(),"VENCIDA",IF($P641="Em execução","Em execução",IF($N641=TODAY(),"Hoje","Programada")))))))</f>
        <v/>
      </c>
      <c r="C641" s="38"/>
      <c r="D641" s="38"/>
      <c r="E641" s="38"/>
      <c r="F641" s="38"/>
      <c r="G641" s="39"/>
      <c r="H641" s="39"/>
      <c r="I641" s="40"/>
      <c r="J641" s="40"/>
      <c r="K641" s="40"/>
      <c r="L641" s="41"/>
      <c r="M641" s="42"/>
      <c r="N641" s="43" t="str">
        <f aca="false">IF(OR($L641="",$M641=""),"",$L641+MATCH($M641,Listas!$F$5:$F$11,0)-1)</f>
        <v/>
      </c>
      <c r="O641" s="44"/>
      <c r="P641" s="39"/>
      <c r="Q641" s="44"/>
      <c r="R641" s="38"/>
      <c r="S641" s="38"/>
      <c r="T641" s="36" t="str">
        <f aca="false">IF($F641="","",IF(ISNUMBER(SEARCH("(externo)",$I641&amp;$J641&amp;$K641)),"Terceirizada","Interna"))</f>
        <v/>
      </c>
      <c r="U641" s="43" t="str">
        <f aca="false">IF($N641="","",IF($Q641="",$N641,$Q641))</f>
        <v/>
      </c>
      <c r="V641" s="36" t="str">
        <f aca="false">IF($F641="","",IF(OR($O641="",$N641=""),0,IF($O641&lt;=$N641,1,0)))</f>
        <v/>
      </c>
      <c r="W641" s="36" t="str">
        <f aca="false">IF($F641="","",IF(OR($O641="",$U641=""),0,IF($O641&lt;=$U641,1,0)))</f>
        <v/>
      </c>
      <c r="X641" s="37" t="str">
        <f aca="false">IF(OR($O641="",$N641=""),"",MAX(0,$O641-$N641))</f>
        <v/>
      </c>
      <c r="Y641" s="36" t="str">
        <f aca="false">IF($F641="","",IF(AND($Q641&lt;&gt;"",$N641&lt;&gt;"",$Q641&lt;&gt;$N641),1,0))</f>
        <v/>
      </c>
      <c r="Z641" s="36" t="str">
        <f aca="false">IF($F641="","",IF($P641="Cancelada",0,IF(OR($O641&lt;&gt;"",$P641="Concluída"),1,0)))</f>
        <v/>
      </c>
    </row>
    <row r="642" customFormat="false" ht="16.5" hidden="false" customHeight="true" outlineLevel="0" collapsed="false">
      <c r="A642" s="36" t="str">
        <f aca="false">IF($F642="","",COUNTA($F$5:$F642))</f>
        <v/>
      </c>
      <c r="B642" s="37" t="str">
        <f aca="true">IF($F642="","",IF($P642="Cancelada","Cancelada",IF(OR($O642&lt;&gt;"",$P642="Concluída"),IF(OR($N642="",$O642="",$O642&lt;=$N642),"Concluída","Concluída com atraso"),IF($N642="","Na carteira",IF($N642&lt;TODAY(),"VENCIDA",IF($P642="Em execução","Em execução",IF($N642=TODAY(),"Hoje","Programada")))))))</f>
        <v/>
      </c>
      <c r="C642" s="38"/>
      <c r="D642" s="38"/>
      <c r="E642" s="38"/>
      <c r="F642" s="38"/>
      <c r="G642" s="39"/>
      <c r="H642" s="39"/>
      <c r="I642" s="40"/>
      <c r="J642" s="40"/>
      <c r="K642" s="40"/>
      <c r="L642" s="41"/>
      <c r="M642" s="42"/>
      <c r="N642" s="43" t="str">
        <f aca="false">IF(OR($L642="",$M642=""),"",$L642+MATCH($M642,Listas!$F$5:$F$11,0)-1)</f>
        <v/>
      </c>
      <c r="O642" s="44"/>
      <c r="P642" s="39"/>
      <c r="Q642" s="44"/>
      <c r="R642" s="38"/>
      <c r="S642" s="38"/>
      <c r="T642" s="36" t="str">
        <f aca="false">IF($F642="","",IF(ISNUMBER(SEARCH("(externo)",$I642&amp;$J642&amp;$K642)),"Terceirizada","Interna"))</f>
        <v/>
      </c>
      <c r="U642" s="43" t="str">
        <f aca="false">IF($N642="","",IF($Q642="",$N642,$Q642))</f>
        <v/>
      </c>
      <c r="V642" s="36" t="str">
        <f aca="false">IF($F642="","",IF(OR($O642="",$N642=""),0,IF($O642&lt;=$N642,1,0)))</f>
        <v/>
      </c>
      <c r="W642" s="36" t="str">
        <f aca="false">IF($F642="","",IF(OR($O642="",$U642=""),0,IF($O642&lt;=$U642,1,0)))</f>
        <v/>
      </c>
      <c r="X642" s="37" t="str">
        <f aca="false">IF(OR($O642="",$N642=""),"",MAX(0,$O642-$N642))</f>
        <v/>
      </c>
      <c r="Y642" s="36" t="str">
        <f aca="false">IF($F642="","",IF(AND($Q642&lt;&gt;"",$N642&lt;&gt;"",$Q642&lt;&gt;$N642),1,0))</f>
        <v/>
      </c>
      <c r="Z642" s="36" t="str">
        <f aca="false">IF($F642="","",IF($P642="Cancelada",0,IF(OR($O642&lt;&gt;"",$P642="Concluída"),1,0)))</f>
        <v/>
      </c>
    </row>
    <row r="643" customFormat="false" ht="16.5" hidden="false" customHeight="true" outlineLevel="0" collapsed="false">
      <c r="A643" s="36" t="str">
        <f aca="false">IF($F643="","",COUNTA($F$5:$F643))</f>
        <v/>
      </c>
      <c r="B643" s="37" t="str">
        <f aca="true">IF($F643="","",IF($P643="Cancelada","Cancelada",IF(OR($O643&lt;&gt;"",$P643="Concluída"),IF(OR($N643="",$O643="",$O643&lt;=$N643),"Concluída","Concluída com atraso"),IF($N643="","Na carteira",IF($N643&lt;TODAY(),"VENCIDA",IF($P643="Em execução","Em execução",IF($N643=TODAY(),"Hoje","Programada")))))))</f>
        <v/>
      </c>
      <c r="C643" s="38"/>
      <c r="D643" s="38"/>
      <c r="E643" s="38"/>
      <c r="F643" s="38"/>
      <c r="G643" s="39"/>
      <c r="H643" s="39"/>
      <c r="I643" s="40"/>
      <c r="J643" s="40"/>
      <c r="K643" s="40"/>
      <c r="L643" s="41"/>
      <c r="M643" s="42"/>
      <c r="N643" s="43" t="str">
        <f aca="false">IF(OR($L643="",$M643=""),"",$L643+MATCH($M643,Listas!$F$5:$F$11,0)-1)</f>
        <v/>
      </c>
      <c r="O643" s="44"/>
      <c r="P643" s="39"/>
      <c r="Q643" s="44"/>
      <c r="R643" s="38"/>
      <c r="S643" s="38"/>
      <c r="T643" s="36" t="str">
        <f aca="false">IF($F643="","",IF(ISNUMBER(SEARCH("(externo)",$I643&amp;$J643&amp;$K643)),"Terceirizada","Interna"))</f>
        <v/>
      </c>
      <c r="U643" s="43" t="str">
        <f aca="false">IF($N643="","",IF($Q643="",$N643,$Q643))</f>
        <v/>
      </c>
      <c r="V643" s="36" t="str">
        <f aca="false">IF($F643="","",IF(OR($O643="",$N643=""),0,IF($O643&lt;=$N643,1,0)))</f>
        <v/>
      </c>
      <c r="W643" s="36" t="str">
        <f aca="false">IF($F643="","",IF(OR($O643="",$U643=""),0,IF($O643&lt;=$U643,1,0)))</f>
        <v/>
      </c>
      <c r="X643" s="37" t="str">
        <f aca="false">IF(OR($O643="",$N643=""),"",MAX(0,$O643-$N643))</f>
        <v/>
      </c>
      <c r="Y643" s="36" t="str">
        <f aca="false">IF($F643="","",IF(AND($Q643&lt;&gt;"",$N643&lt;&gt;"",$Q643&lt;&gt;$N643),1,0))</f>
        <v/>
      </c>
      <c r="Z643" s="36" t="str">
        <f aca="false">IF($F643="","",IF($P643="Cancelada",0,IF(OR($O643&lt;&gt;"",$P643="Concluída"),1,0)))</f>
        <v/>
      </c>
    </row>
    <row r="644" customFormat="false" ht="16.5" hidden="false" customHeight="true" outlineLevel="0" collapsed="false">
      <c r="A644" s="36" t="str">
        <f aca="false">IF($F644="","",COUNTA($F$5:$F644))</f>
        <v/>
      </c>
      <c r="B644" s="37" t="str">
        <f aca="true">IF($F644="","",IF($P644="Cancelada","Cancelada",IF(OR($O644&lt;&gt;"",$P644="Concluída"),IF(OR($N644="",$O644="",$O644&lt;=$N644),"Concluída","Concluída com atraso"),IF($N644="","Na carteira",IF($N644&lt;TODAY(),"VENCIDA",IF($P644="Em execução","Em execução",IF($N644=TODAY(),"Hoje","Programada")))))))</f>
        <v/>
      </c>
      <c r="C644" s="38"/>
      <c r="D644" s="38"/>
      <c r="E644" s="38"/>
      <c r="F644" s="38"/>
      <c r="G644" s="39"/>
      <c r="H644" s="39"/>
      <c r="I644" s="40"/>
      <c r="J644" s="40"/>
      <c r="K644" s="40"/>
      <c r="L644" s="41"/>
      <c r="M644" s="42"/>
      <c r="N644" s="43" t="str">
        <f aca="false">IF(OR($L644="",$M644=""),"",$L644+MATCH($M644,Listas!$F$5:$F$11,0)-1)</f>
        <v/>
      </c>
      <c r="O644" s="44"/>
      <c r="P644" s="39"/>
      <c r="Q644" s="44"/>
      <c r="R644" s="38"/>
      <c r="S644" s="38"/>
      <c r="T644" s="36" t="str">
        <f aca="false">IF($F644="","",IF(ISNUMBER(SEARCH("(externo)",$I644&amp;$J644&amp;$K644)),"Terceirizada","Interna"))</f>
        <v/>
      </c>
      <c r="U644" s="43" t="str">
        <f aca="false">IF($N644="","",IF($Q644="",$N644,$Q644))</f>
        <v/>
      </c>
      <c r="V644" s="36" t="str">
        <f aca="false">IF($F644="","",IF(OR($O644="",$N644=""),0,IF($O644&lt;=$N644,1,0)))</f>
        <v/>
      </c>
      <c r="W644" s="36" t="str">
        <f aca="false">IF($F644="","",IF(OR($O644="",$U644=""),0,IF($O644&lt;=$U644,1,0)))</f>
        <v/>
      </c>
      <c r="X644" s="37" t="str">
        <f aca="false">IF(OR($O644="",$N644=""),"",MAX(0,$O644-$N644))</f>
        <v/>
      </c>
      <c r="Y644" s="36" t="str">
        <f aca="false">IF($F644="","",IF(AND($Q644&lt;&gt;"",$N644&lt;&gt;"",$Q644&lt;&gt;$N644),1,0))</f>
        <v/>
      </c>
      <c r="Z644" s="36" t="str">
        <f aca="false">IF($F644="","",IF($P644="Cancelada",0,IF(OR($O644&lt;&gt;"",$P644="Concluída"),1,0)))</f>
        <v/>
      </c>
    </row>
    <row r="645" customFormat="false" ht="16.5" hidden="false" customHeight="true" outlineLevel="0" collapsed="false">
      <c r="A645" s="36" t="str">
        <f aca="false">IF($F645="","",COUNTA($F$5:$F645))</f>
        <v/>
      </c>
      <c r="B645" s="37" t="str">
        <f aca="true">IF($F645="","",IF($P645="Cancelada","Cancelada",IF(OR($O645&lt;&gt;"",$P645="Concluída"),IF(OR($N645="",$O645="",$O645&lt;=$N645),"Concluída","Concluída com atraso"),IF($N645="","Na carteira",IF($N645&lt;TODAY(),"VENCIDA",IF($P645="Em execução","Em execução",IF($N645=TODAY(),"Hoje","Programada")))))))</f>
        <v/>
      </c>
      <c r="C645" s="38"/>
      <c r="D645" s="38"/>
      <c r="E645" s="38"/>
      <c r="F645" s="38"/>
      <c r="G645" s="39"/>
      <c r="H645" s="39"/>
      <c r="I645" s="40"/>
      <c r="J645" s="40"/>
      <c r="K645" s="40"/>
      <c r="L645" s="41"/>
      <c r="M645" s="42"/>
      <c r="N645" s="43" t="str">
        <f aca="false">IF(OR($L645="",$M645=""),"",$L645+MATCH($M645,Listas!$F$5:$F$11,0)-1)</f>
        <v/>
      </c>
      <c r="O645" s="44"/>
      <c r="P645" s="39"/>
      <c r="Q645" s="44"/>
      <c r="R645" s="38"/>
      <c r="S645" s="38"/>
      <c r="T645" s="36" t="str">
        <f aca="false">IF($F645="","",IF(ISNUMBER(SEARCH("(externo)",$I645&amp;$J645&amp;$K645)),"Terceirizada","Interna"))</f>
        <v/>
      </c>
      <c r="U645" s="43" t="str">
        <f aca="false">IF($N645="","",IF($Q645="",$N645,$Q645))</f>
        <v/>
      </c>
      <c r="V645" s="36" t="str">
        <f aca="false">IF($F645="","",IF(OR($O645="",$N645=""),0,IF($O645&lt;=$N645,1,0)))</f>
        <v/>
      </c>
      <c r="W645" s="36" t="str">
        <f aca="false">IF($F645="","",IF(OR($O645="",$U645=""),0,IF($O645&lt;=$U645,1,0)))</f>
        <v/>
      </c>
      <c r="X645" s="37" t="str">
        <f aca="false">IF(OR($O645="",$N645=""),"",MAX(0,$O645-$N645))</f>
        <v/>
      </c>
      <c r="Y645" s="36" t="str">
        <f aca="false">IF($F645="","",IF(AND($Q645&lt;&gt;"",$N645&lt;&gt;"",$Q645&lt;&gt;$N645),1,0))</f>
        <v/>
      </c>
      <c r="Z645" s="36" t="str">
        <f aca="false">IF($F645="","",IF($P645="Cancelada",0,IF(OR($O645&lt;&gt;"",$P645="Concluída"),1,0)))</f>
        <v/>
      </c>
    </row>
    <row r="646" customFormat="false" ht="16.5" hidden="false" customHeight="true" outlineLevel="0" collapsed="false">
      <c r="A646" s="36" t="str">
        <f aca="false">IF($F646="","",COUNTA($F$5:$F646))</f>
        <v/>
      </c>
      <c r="B646" s="37" t="str">
        <f aca="true">IF($F646="","",IF($P646="Cancelada","Cancelada",IF(OR($O646&lt;&gt;"",$P646="Concluída"),IF(OR($N646="",$O646="",$O646&lt;=$N646),"Concluída","Concluída com atraso"),IF($N646="","Na carteira",IF($N646&lt;TODAY(),"VENCIDA",IF($P646="Em execução","Em execução",IF($N646=TODAY(),"Hoje","Programada")))))))</f>
        <v/>
      </c>
      <c r="C646" s="38"/>
      <c r="D646" s="38"/>
      <c r="E646" s="38"/>
      <c r="F646" s="38"/>
      <c r="G646" s="39"/>
      <c r="H646" s="39"/>
      <c r="I646" s="40"/>
      <c r="J646" s="40"/>
      <c r="K646" s="40"/>
      <c r="L646" s="41"/>
      <c r="M646" s="42"/>
      <c r="N646" s="43" t="str">
        <f aca="false">IF(OR($L646="",$M646=""),"",$L646+MATCH($M646,Listas!$F$5:$F$11,0)-1)</f>
        <v/>
      </c>
      <c r="O646" s="44"/>
      <c r="P646" s="39"/>
      <c r="Q646" s="44"/>
      <c r="R646" s="38"/>
      <c r="S646" s="38"/>
      <c r="T646" s="36" t="str">
        <f aca="false">IF($F646="","",IF(ISNUMBER(SEARCH("(externo)",$I646&amp;$J646&amp;$K646)),"Terceirizada","Interna"))</f>
        <v/>
      </c>
      <c r="U646" s="43" t="str">
        <f aca="false">IF($N646="","",IF($Q646="",$N646,$Q646))</f>
        <v/>
      </c>
      <c r="V646" s="36" t="str">
        <f aca="false">IF($F646="","",IF(OR($O646="",$N646=""),0,IF($O646&lt;=$N646,1,0)))</f>
        <v/>
      </c>
      <c r="W646" s="36" t="str">
        <f aca="false">IF($F646="","",IF(OR($O646="",$U646=""),0,IF($O646&lt;=$U646,1,0)))</f>
        <v/>
      </c>
      <c r="X646" s="37" t="str">
        <f aca="false">IF(OR($O646="",$N646=""),"",MAX(0,$O646-$N646))</f>
        <v/>
      </c>
      <c r="Y646" s="36" t="str">
        <f aca="false">IF($F646="","",IF(AND($Q646&lt;&gt;"",$N646&lt;&gt;"",$Q646&lt;&gt;$N646),1,0))</f>
        <v/>
      </c>
      <c r="Z646" s="36" t="str">
        <f aca="false">IF($F646="","",IF($P646="Cancelada",0,IF(OR($O646&lt;&gt;"",$P646="Concluída"),1,0)))</f>
        <v/>
      </c>
    </row>
    <row r="647" customFormat="false" ht="16.5" hidden="false" customHeight="true" outlineLevel="0" collapsed="false">
      <c r="A647" s="36" t="str">
        <f aca="false">IF($F647="","",COUNTA($F$5:$F647))</f>
        <v/>
      </c>
      <c r="B647" s="37" t="str">
        <f aca="true">IF($F647="","",IF($P647="Cancelada","Cancelada",IF(OR($O647&lt;&gt;"",$P647="Concluída"),IF(OR($N647="",$O647="",$O647&lt;=$N647),"Concluída","Concluída com atraso"),IF($N647="","Na carteira",IF($N647&lt;TODAY(),"VENCIDA",IF($P647="Em execução","Em execução",IF($N647=TODAY(),"Hoje","Programada")))))))</f>
        <v/>
      </c>
      <c r="C647" s="38"/>
      <c r="D647" s="38"/>
      <c r="E647" s="38"/>
      <c r="F647" s="38"/>
      <c r="G647" s="39"/>
      <c r="H647" s="39"/>
      <c r="I647" s="40"/>
      <c r="J647" s="40"/>
      <c r="K647" s="40"/>
      <c r="L647" s="41"/>
      <c r="M647" s="42"/>
      <c r="N647" s="43" t="str">
        <f aca="false">IF(OR($L647="",$M647=""),"",$L647+MATCH($M647,Listas!$F$5:$F$11,0)-1)</f>
        <v/>
      </c>
      <c r="O647" s="44"/>
      <c r="P647" s="39"/>
      <c r="Q647" s="44"/>
      <c r="R647" s="38"/>
      <c r="S647" s="38"/>
      <c r="T647" s="36" t="str">
        <f aca="false">IF($F647="","",IF(ISNUMBER(SEARCH("(externo)",$I647&amp;$J647&amp;$K647)),"Terceirizada","Interna"))</f>
        <v/>
      </c>
      <c r="U647" s="43" t="str">
        <f aca="false">IF($N647="","",IF($Q647="",$N647,$Q647))</f>
        <v/>
      </c>
      <c r="V647" s="36" t="str">
        <f aca="false">IF($F647="","",IF(OR($O647="",$N647=""),0,IF($O647&lt;=$N647,1,0)))</f>
        <v/>
      </c>
      <c r="W647" s="36" t="str">
        <f aca="false">IF($F647="","",IF(OR($O647="",$U647=""),0,IF($O647&lt;=$U647,1,0)))</f>
        <v/>
      </c>
      <c r="X647" s="37" t="str">
        <f aca="false">IF(OR($O647="",$N647=""),"",MAX(0,$O647-$N647))</f>
        <v/>
      </c>
      <c r="Y647" s="36" t="str">
        <f aca="false">IF($F647="","",IF(AND($Q647&lt;&gt;"",$N647&lt;&gt;"",$Q647&lt;&gt;$N647),1,0))</f>
        <v/>
      </c>
      <c r="Z647" s="36" t="str">
        <f aca="false">IF($F647="","",IF($P647="Cancelada",0,IF(OR($O647&lt;&gt;"",$P647="Concluída"),1,0)))</f>
        <v/>
      </c>
    </row>
    <row r="648" customFormat="false" ht="16.5" hidden="false" customHeight="true" outlineLevel="0" collapsed="false">
      <c r="A648" s="36" t="str">
        <f aca="false">IF($F648="","",COUNTA($F$5:$F648))</f>
        <v/>
      </c>
      <c r="B648" s="37" t="str">
        <f aca="true">IF($F648="","",IF($P648="Cancelada","Cancelada",IF(OR($O648&lt;&gt;"",$P648="Concluída"),IF(OR($N648="",$O648="",$O648&lt;=$N648),"Concluída","Concluída com atraso"),IF($N648="","Na carteira",IF($N648&lt;TODAY(),"VENCIDA",IF($P648="Em execução","Em execução",IF($N648=TODAY(),"Hoje","Programada")))))))</f>
        <v/>
      </c>
      <c r="C648" s="38"/>
      <c r="D648" s="38"/>
      <c r="E648" s="38"/>
      <c r="F648" s="38"/>
      <c r="G648" s="39"/>
      <c r="H648" s="39"/>
      <c r="I648" s="40"/>
      <c r="J648" s="40"/>
      <c r="K648" s="40"/>
      <c r="L648" s="41"/>
      <c r="M648" s="42"/>
      <c r="N648" s="43" t="str">
        <f aca="false">IF(OR($L648="",$M648=""),"",$L648+MATCH($M648,Listas!$F$5:$F$11,0)-1)</f>
        <v/>
      </c>
      <c r="O648" s="44"/>
      <c r="P648" s="39"/>
      <c r="Q648" s="44"/>
      <c r="R648" s="38"/>
      <c r="S648" s="38"/>
      <c r="T648" s="36" t="str">
        <f aca="false">IF($F648="","",IF(ISNUMBER(SEARCH("(externo)",$I648&amp;$J648&amp;$K648)),"Terceirizada","Interna"))</f>
        <v/>
      </c>
      <c r="U648" s="43" t="str">
        <f aca="false">IF($N648="","",IF($Q648="",$N648,$Q648))</f>
        <v/>
      </c>
      <c r="V648" s="36" t="str">
        <f aca="false">IF($F648="","",IF(OR($O648="",$N648=""),0,IF($O648&lt;=$N648,1,0)))</f>
        <v/>
      </c>
      <c r="W648" s="36" t="str">
        <f aca="false">IF($F648="","",IF(OR($O648="",$U648=""),0,IF($O648&lt;=$U648,1,0)))</f>
        <v/>
      </c>
      <c r="X648" s="37" t="str">
        <f aca="false">IF(OR($O648="",$N648=""),"",MAX(0,$O648-$N648))</f>
        <v/>
      </c>
      <c r="Y648" s="36" t="str">
        <f aca="false">IF($F648="","",IF(AND($Q648&lt;&gt;"",$N648&lt;&gt;"",$Q648&lt;&gt;$N648),1,0))</f>
        <v/>
      </c>
      <c r="Z648" s="36" t="str">
        <f aca="false">IF($F648="","",IF($P648="Cancelada",0,IF(OR($O648&lt;&gt;"",$P648="Concluída"),1,0)))</f>
        <v/>
      </c>
    </row>
    <row r="649" customFormat="false" ht="16.5" hidden="false" customHeight="true" outlineLevel="0" collapsed="false">
      <c r="A649" s="36" t="str">
        <f aca="false">IF($F649="","",COUNTA($F$5:$F649))</f>
        <v/>
      </c>
      <c r="B649" s="37" t="str">
        <f aca="true">IF($F649="","",IF($P649="Cancelada","Cancelada",IF(OR($O649&lt;&gt;"",$P649="Concluída"),IF(OR($N649="",$O649="",$O649&lt;=$N649),"Concluída","Concluída com atraso"),IF($N649="","Na carteira",IF($N649&lt;TODAY(),"VENCIDA",IF($P649="Em execução","Em execução",IF($N649=TODAY(),"Hoje","Programada")))))))</f>
        <v/>
      </c>
      <c r="C649" s="38"/>
      <c r="D649" s="38"/>
      <c r="E649" s="38"/>
      <c r="F649" s="38"/>
      <c r="G649" s="39"/>
      <c r="H649" s="39"/>
      <c r="I649" s="40"/>
      <c r="J649" s="40"/>
      <c r="K649" s="40"/>
      <c r="L649" s="41"/>
      <c r="M649" s="42"/>
      <c r="N649" s="43" t="str">
        <f aca="false">IF(OR($L649="",$M649=""),"",$L649+MATCH($M649,Listas!$F$5:$F$11,0)-1)</f>
        <v/>
      </c>
      <c r="O649" s="44"/>
      <c r="P649" s="39"/>
      <c r="Q649" s="44"/>
      <c r="R649" s="38"/>
      <c r="S649" s="38"/>
      <c r="T649" s="36" t="str">
        <f aca="false">IF($F649="","",IF(ISNUMBER(SEARCH("(externo)",$I649&amp;$J649&amp;$K649)),"Terceirizada","Interna"))</f>
        <v/>
      </c>
      <c r="U649" s="43" t="str">
        <f aca="false">IF($N649="","",IF($Q649="",$N649,$Q649))</f>
        <v/>
      </c>
      <c r="V649" s="36" t="str">
        <f aca="false">IF($F649="","",IF(OR($O649="",$N649=""),0,IF($O649&lt;=$N649,1,0)))</f>
        <v/>
      </c>
      <c r="W649" s="36" t="str">
        <f aca="false">IF($F649="","",IF(OR($O649="",$U649=""),0,IF($O649&lt;=$U649,1,0)))</f>
        <v/>
      </c>
      <c r="X649" s="37" t="str">
        <f aca="false">IF(OR($O649="",$N649=""),"",MAX(0,$O649-$N649))</f>
        <v/>
      </c>
      <c r="Y649" s="36" t="str">
        <f aca="false">IF($F649="","",IF(AND($Q649&lt;&gt;"",$N649&lt;&gt;"",$Q649&lt;&gt;$N649),1,0))</f>
        <v/>
      </c>
      <c r="Z649" s="36" t="str">
        <f aca="false">IF($F649="","",IF($P649="Cancelada",0,IF(OR($O649&lt;&gt;"",$P649="Concluída"),1,0)))</f>
        <v/>
      </c>
    </row>
    <row r="650" customFormat="false" ht="16.5" hidden="false" customHeight="true" outlineLevel="0" collapsed="false">
      <c r="A650" s="36" t="str">
        <f aca="false">IF($F650="","",COUNTA($F$5:$F650))</f>
        <v/>
      </c>
      <c r="B650" s="37" t="str">
        <f aca="true">IF($F650="","",IF($P650="Cancelada","Cancelada",IF(OR($O650&lt;&gt;"",$P650="Concluída"),IF(OR($N650="",$O650="",$O650&lt;=$N650),"Concluída","Concluída com atraso"),IF($N650="","Na carteira",IF($N650&lt;TODAY(),"VENCIDA",IF($P650="Em execução","Em execução",IF($N650=TODAY(),"Hoje","Programada")))))))</f>
        <v/>
      </c>
      <c r="C650" s="38"/>
      <c r="D650" s="38"/>
      <c r="E650" s="38"/>
      <c r="F650" s="38"/>
      <c r="G650" s="39"/>
      <c r="H650" s="39"/>
      <c r="I650" s="40"/>
      <c r="J650" s="40"/>
      <c r="K650" s="40"/>
      <c r="L650" s="41"/>
      <c r="M650" s="42"/>
      <c r="N650" s="43" t="str">
        <f aca="false">IF(OR($L650="",$M650=""),"",$L650+MATCH($M650,Listas!$F$5:$F$11,0)-1)</f>
        <v/>
      </c>
      <c r="O650" s="44"/>
      <c r="P650" s="39"/>
      <c r="Q650" s="44"/>
      <c r="R650" s="38"/>
      <c r="S650" s="38"/>
      <c r="T650" s="36" t="str">
        <f aca="false">IF($F650="","",IF(ISNUMBER(SEARCH("(externo)",$I650&amp;$J650&amp;$K650)),"Terceirizada","Interna"))</f>
        <v/>
      </c>
      <c r="U650" s="43" t="str">
        <f aca="false">IF($N650="","",IF($Q650="",$N650,$Q650))</f>
        <v/>
      </c>
      <c r="V650" s="36" t="str">
        <f aca="false">IF($F650="","",IF(OR($O650="",$N650=""),0,IF($O650&lt;=$N650,1,0)))</f>
        <v/>
      </c>
      <c r="W650" s="36" t="str">
        <f aca="false">IF($F650="","",IF(OR($O650="",$U650=""),0,IF($O650&lt;=$U650,1,0)))</f>
        <v/>
      </c>
      <c r="X650" s="37" t="str">
        <f aca="false">IF(OR($O650="",$N650=""),"",MAX(0,$O650-$N650))</f>
        <v/>
      </c>
      <c r="Y650" s="36" t="str">
        <f aca="false">IF($F650="","",IF(AND($Q650&lt;&gt;"",$N650&lt;&gt;"",$Q650&lt;&gt;$N650),1,0))</f>
        <v/>
      </c>
      <c r="Z650" s="36" t="str">
        <f aca="false">IF($F650="","",IF($P650="Cancelada",0,IF(OR($O650&lt;&gt;"",$P650="Concluída"),1,0)))</f>
        <v/>
      </c>
    </row>
    <row r="651" customFormat="false" ht="16.5" hidden="false" customHeight="true" outlineLevel="0" collapsed="false">
      <c r="A651" s="36" t="str">
        <f aca="false">IF($F651="","",COUNTA($F$5:$F651))</f>
        <v/>
      </c>
      <c r="B651" s="37" t="str">
        <f aca="true">IF($F651="","",IF($P651="Cancelada","Cancelada",IF(OR($O651&lt;&gt;"",$P651="Concluída"),IF(OR($N651="",$O651="",$O651&lt;=$N651),"Concluída","Concluída com atraso"),IF($N651="","Na carteira",IF($N651&lt;TODAY(),"VENCIDA",IF($P651="Em execução","Em execução",IF($N651=TODAY(),"Hoje","Programada")))))))</f>
        <v/>
      </c>
      <c r="C651" s="38"/>
      <c r="D651" s="38"/>
      <c r="E651" s="38"/>
      <c r="F651" s="38"/>
      <c r="G651" s="39"/>
      <c r="H651" s="39"/>
      <c r="I651" s="40"/>
      <c r="J651" s="40"/>
      <c r="K651" s="40"/>
      <c r="L651" s="41"/>
      <c r="M651" s="42"/>
      <c r="N651" s="43" t="str">
        <f aca="false">IF(OR($L651="",$M651=""),"",$L651+MATCH($M651,Listas!$F$5:$F$11,0)-1)</f>
        <v/>
      </c>
      <c r="O651" s="44"/>
      <c r="P651" s="39"/>
      <c r="Q651" s="44"/>
      <c r="R651" s="38"/>
      <c r="S651" s="38"/>
      <c r="T651" s="36" t="str">
        <f aca="false">IF($F651="","",IF(ISNUMBER(SEARCH("(externo)",$I651&amp;$J651&amp;$K651)),"Terceirizada","Interna"))</f>
        <v/>
      </c>
      <c r="U651" s="43" t="str">
        <f aca="false">IF($N651="","",IF($Q651="",$N651,$Q651))</f>
        <v/>
      </c>
      <c r="V651" s="36" t="str">
        <f aca="false">IF($F651="","",IF(OR($O651="",$N651=""),0,IF($O651&lt;=$N651,1,0)))</f>
        <v/>
      </c>
      <c r="W651" s="36" t="str">
        <f aca="false">IF($F651="","",IF(OR($O651="",$U651=""),0,IF($O651&lt;=$U651,1,0)))</f>
        <v/>
      </c>
      <c r="X651" s="37" t="str">
        <f aca="false">IF(OR($O651="",$N651=""),"",MAX(0,$O651-$N651))</f>
        <v/>
      </c>
      <c r="Y651" s="36" t="str">
        <f aca="false">IF($F651="","",IF(AND($Q651&lt;&gt;"",$N651&lt;&gt;"",$Q651&lt;&gt;$N651),1,0))</f>
        <v/>
      </c>
      <c r="Z651" s="36" t="str">
        <f aca="false">IF($F651="","",IF($P651="Cancelada",0,IF(OR($O651&lt;&gt;"",$P651="Concluída"),1,0)))</f>
        <v/>
      </c>
    </row>
    <row r="652" customFormat="false" ht="16.5" hidden="false" customHeight="true" outlineLevel="0" collapsed="false">
      <c r="A652" s="36" t="str">
        <f aca="false">IF($F652="","",COUNTA($F$5:$F652))</f>
        <v/>
      </c>
      <c r="B652" s="37" t="str">
        <f aca="true">IF($F652="","",IF($P652="Cancelada","Cancelada",IF(OR($O652&lt;&gt;"",$P652="Concluída"),IF(OR($N652="",$O652="",$O652&lt;=$N652),"Concluída","Concluída com atraso"),IF($N652="","Na carteira",IF($N652&lt;TODAY(),"VENCIDA",IF($P652="Em execução","Em execução",IF($N652=TODAY(),"Hoje","Programada")))))))</f>
        <v/>
      </c>
      <c r="C652" s="38"/>
      <c r="D652" s="38"/>
      <c r="E652" s="38"/>
      <c r="F652" s="38"/>
      <c r="G652" s="39"/>
      <c r="H652" s="39"/>
      <c r="I652" s="40"/>
      <c r="J652" s="40"/>
      <c r="K652" s="40"/>
      <c r="L652" s="41"/>
      <c r="M652" s="42"/>
      <c r="N652" s="43" t="str">
        <f aca="false">IF(OR($L652="",$M652=""),"",$L652+MATCH($M652,Listas!$F$5:$F$11,0)-1)</f>
        <v/>
      </c>
      <c r="O652" s="44"/>
      <c r="P652" s="39"/>
      <c r="Q652" s="44"/>
      <c r="R652" s="38"/>
      <c r="S652" s="38"/>
      <c r="T652" s="36" t="str">
        <f aca="false">IF($F652="","",IF(ISNUMBER(SEARCH("(externo)",$I652&amp;$J652&amp;$K652)),"Terceirizada","Interna"))</f>
        <v/>
      </c>
      <c r="U652" s="43" t="str">
        <f aca="false">IF($N652="","",IF($Q652="",$N652,$Q652))</f>
        <v/>
      </c>
      <c r="V652" s="36" t="str">
        <f aca="false">IF($F652="","",IF(OR($O652="",$N652=""),0,IF($O652&lt;=$N652,1,0)))</f>
        <v/>
      </c>
      <c r="W652" s="36" t="str">
        <f aca="false">IF($F652="","",IF(OR($O652="",$U652=""),0,IF($O652&lt;=$U652,1,0)))</f>
        <v/>
      </c>
      <c r="X652" s="37" t="str">
        <f aca="false">IF(OR($O652="",$N652=""),"",MAX(0,$O652-$N652))</f>
        <v/>
      </c>
      <c r="Y652" s="36" t="str">
        <f aca="false">IF($F652="","",IF(AND($Q652&lt;&gt;"",$N652&lt;&gt;"",$Q652&lt;&gt;$N652),1,0))</f>
        <v/>
      </c>
      <c r="Z652" s="36" t="str">
        <f aca="false">IF($F652="","",IF($P652="Cancelada",0,IF(OR($O652&lt;&gt;"",$P652="Concluída"),1,0)))</f>
        <v/>
      </c>
    </row>
    <row r="653" customFormat="false" ht="16.5" hidden="false" customHeight="true" outlineLevel="0" collapsed="false">
      <c r="A653" s="36" t="str">
        <f aca="false">IF($F653="","",COUNTA($F$5:$F653))</f>
        <v/>
      </c>
      <c r="B653" s="37" t="str">
        <f aca="true">IF($F653="","",IF($P653="Cancelada","Cancelada",IF(OR($O653&lt;&gt;"",$P653="Concluída"),IF(OR($N653="",$O653="",$O653&lt;=$N653),"Concluída","Concluída com atraso"),IF($N653="","Na carteira",IF($N653&lt;TODAY(),"VENCIDA",IF($P653="Em execução","Em execução",IF($N653=TODAY(),"Hoje","Programada")))))))</f>
        <v/>
      </c>
      <c r="C653" s="38"/>
      <c r="D653" s="38"/>
      <c r="E653" s="38"/>
      <c r="F653" s="38"/>
      <c r="G653" s="39"/>
      <c r="H653" s="39"/>
      <c r="I653" s="40"/>
      <c r="J653" s="40"/>
      <c r="K653" s="40"/>
      <c r="L653" s="41"/>
      <c r="M653" s="42"/>
      <c r="N653" s="43" t="str">
        <f aca="false">IF(OR($L653="",$M653=""),"",$L653+MATCH($M653,Listas!$F$5:$F$11,0)-1)</f>
        <v/>
      </c>
      <c r="O653" s="44"/>
      <c r="P653" s="39"/>
      <c r="Q653" s="44"/>
      <c r="R653" s="38"/>
      <c r="S653" s="38"/>
      <c r="T653" s="36" t="str">
        <f aca="false">IF($F653="","",IF(ISNUMBER(SEARCH("(externo)",$I653&amp;$J653&amp;$K653)),"Terceirizada","Interna"))</f>
        <v/>
      </c>
      <c r="U653" s="43" t="str">
        <f aca="false">IF($N653="","",IF($Q653="",$N653,$Q653))</f>
        <v/>
      </c>
      <c r="V653" s="36" t="str">
        <f aca="false">IF($F653="","",IF(OR($O653="",$N653=""),0,IF($O653&lt;=$N653,1,0)))</f>
        <v/>
      </c>
      <c r="W653" s="36" t="str">
        <f aca="false">IF($F653="","",IF(OR($O653="",$U653=""),0,IF($O653&lt;=$U653,1,0)))</f>
        <v/>
      </c>
      <c r="X653" s="37" t="str">
        <f aca="false">IF(OR($O653="",$N653=""),"",MAX(0,$O653-$N653))</f>
        <v/>
      </c>
      <c r="Y653" s="36" t="str">
        <f aca="false">IF($F653="","",IF(AND($Q653&lt;&gt;"",$N653&lt;&gt;"",$Q653&lt;&gt;$N653),1,0))</f>
        <v/>
      </c>
      <c r="Z653" s="36" t="str">
        <f aca="false">IF($F653="","",IF($P653="Cancelada",0,IF(OR($O653&lt;&gt;"",$P653="Concluída"),1,0)))</f>
        <v/>
      </c>
    </row>
    <row r="654" customFormat="false" ht="16.5" hidden="false" customHeight="true" outlineLevel="0" collapsed="false">
      <c r="A654" s="36" t="str">
        <f aca="false">IF($F654="","",COUNTA($F$5:$F654))</f>
        <v/>
      </c>
      <c r="B654" s="37" t="str">
        <f aca="true">IF($F654="","",IF($P654="Cancelada","Cancelada",IF(OR($O654&lt;&gt;"",$P654="Concluída"),IF(OR($N654="",$O654="",$O654&lt;=$N654),"Concluída","Concluída com atraso"),IF($N654="","Na carteira",IF($N654&lt;TODAY(),"VENCIDA",IF($P654="Em execução","Em execução",IF($N654=TODAY(),"Hoje","Programada")))))))</f>
        <v/>
      </c>
      <c r="C654" s="38"/>
      <c r="D654" s="38"/>
      <c r="E654" s="38"/>
      <c r="F654" s="38"/>
      <c r="G654" s="39"/>
      <c r="H654" s="39"/>
      <c r="I654" s="40"/>
      <c r="J654" s="40"/>
      <c r="K654" s="40"/>
      <c r="L654" s="41"/>
      <c r="M654" s="42"/>
      <c r="N654" s="43" t="str">
        <f aca="false">IF(OR($L654="",$M654=""),"",$L654+MATCH($M654,Listas!$F$5:$F$11,0)-1)</f>
        <v/>
      </c>
      <c r="O654" s="44"/>
      <c r="P654" s="39"/>
      <c r="Q654" s="44"/>
      <c r="R654" s="38"/>
      <c r="S654" s="38"/>
      <c r="T654" s="36" t="str">
        <f aca="false">IF($F654="","",IF(ISNUMBER(SEARCH("(externo)",$I654&amp;$J654&amp;$K654)),"Terceirizada","Interna"))</f>
        <v/>
      </c>
      <c r="U654" s="43" t="str">
        <f aca="false">IF($N654="","",IF($Q654="",$N654,$Q654))</f>
        <v/>
      </c>
      <c r="V654" s="36" t="str">
        <f aca="false">IF($F654="","",IF(OR($O654="",$N654=""),0,IF($O654&lt;=$N654,1,0)))</f>
        <v/>
      </c>
      <c r="W654" s="36" t="str">
        <f aca="false">IF($F654="","",IF(OR($O654="",$U654=""),0,IF($O654&lt;=$U654,1,0)))</f>
        <v/>
      </c>
      <c r="X654" s="37" t="str">
        <f aca="false">IF(OR($O654="",$N654=""),"",MAX(0,$O654-$N654))</f>
        <v/>
      </c>
      <c r="Y654" s="36" t="str">
        <f aca="false">IF($F654="","",IF(AND($Q654&lt;&gt;"",$N654&lt;&gt;"",$Q654&lt;&gt;$N654),1,0))</f>
        <v/>
      </c>
      <c r="Z654" s="36" t="str">
        <f aca="false">IF($F654="","",IF($P654="Cancelada",0,IF(OR($O654&lt;&gt;"",$P654="Concluída"),1,0)))</f>
        <v/>
      </c>
    </row>
    <row r="655" customFormat="false" ht="16.5" hidden="false" customHeight="true" outlineLevel="0" collapsed="false">
      <c r="A655" s="36" t="str">
        <f aca="false">IF($F655="","",COUNTA($F$5:$F655))</f>
        <v/>
      </c>
      <c r="B655" s="37" t="str">
        <f aca="true">IF($F655="","",IF($P655="Cancelada","Cancelada",IF(OR($O655&lt;&gt;"",$P655="Concluída"),IF(OR($N655="",$O655="",$O655&lt;=$N655),"Concluída","Concluída com atraso"),IF($N655="","Na carteira",IF($N655&lt;TODAY(),"VENCIDA",IF($P655="Em execução","Em execução",IF($N655=TODAY(),"Hoje","Programada")))))))</f>
        <v/>
      </c>
      <c r="C655" s="38"/>
      <c r="D655" s="38"/>
      <c r="E655" s="38"/>
      <c r="F655" s="38"/>
      <c r="G655" s="39"/>
      <c r="H655" s="39"/>
      <c r="I655" s="40"/>
      <c r="J655" s="40"/>
      <c r="K655" s="40"/>
      <c r="L655" s="41"/>
      <c r="M655" s="42"/>
      <c r="N655" s="43" t="str">
        <f aca="false">IF(OR($L655="",$M655=""),"",$L655+MATCH($M655,Listas!$F$5:$F$11,0)-1)</f>
        <v/>
      </c>
      <c r="O655" s="44"/>
      <c r="P655" s="39"/>
      <c r="Q655" s="44"/>
      <c r="R655" s="38"/>
      <c r="S655" s="38"/>
      <c r="T655" s="36" t="str">
        <f aca="false">IF($F655="","",IF(ISNUMBER(SEARCH("(externo)",$I655&amp;$J655&amp;$K655)),"Terceirizada","Interna"))</f>
        <v/>
      </c>
      <c r="U655" s="43" t="str">
        <f aca="false">IF($N655="","",IF($Q655="",$N655,$Q655))</f>
        <v/>
      </c>
      <c r="V655" s="36" t="str">
        <f aca="false">IF($F655="","",IF(OR($O655="",$N655=""),0,IF($O655&lt;=$N655,1,0)))</f>
        <v/>
      </c>
      <c r="W655" s="36" t="str">
        <f aca="false">IF($F655="","",IF(OR($O655="",$U655=""),0,IF($O655&lt;=$U655,1,0)))</f>
        <v/>
      </c>
      <c r="X655" s="37" t="str">
        <f aca="false">IF(OR($O655="",$N655=""),"",MAX(0,$O655-$N655))</f>
        <v/>
      </c>
      <c r="Y655" s="36" t="str">
        <f aca="false">IF($F655="","",IF(AND($Q655&lt;&gt;"",$N655&lt;&gt;"",$Q655&lt;&gt;$N655),1,0))</f>
        <v/>
      </c>
      <c r="Z655" s="36" t="str">
        <f aca="false">IF($F655="","",IF($P655="Cancelada",0,IF(OR($O655&lt;&gt;"",$P655="Concluída"),1,0)))</f>
        <v/>
      </c>
    </row>
    <row r="656" customFormat="false" ht="16.5" hidden="false" customHeight="true" outlineLevel="0" collapsed="false">
      <c r="A656" s="36" t="str">
        <f aca="false">IF($F656="","",COUNTA($F$5:$F656))</f>
        <v/>
      </c>
      <c r="B656" s="37" t="str">
        <f aca="true">IF($F656="","",IF($P656="Cancelada","Cancelada",IF(OR($O656&lt;&gt;"",$P656="Concluída"),IF(OR($N656="",$O656="",$O656&lt;=$N656),"Concluída","Concluída com atraso"),IF($N656="","Na carteira",IF($N656&lt;TODAY(),"VENCIDA",IF($P656="Em execução","Em execução",IF($N656=TODAY(),"Hoje","Programada")))))))</f>
        <v/>
      </c>
      <c r="C656" s="38"/>
      <c r="D656" s="38"/>
      <c r="E656" s="38"/>
      <c r="F656" s="38"/>
      <c r="G656" s="39"/>
      <c r="H656" s="39"/>
      <c r="I656" s="40"/>
      <c r="J656" s="40"/>
      <c r="K656" s="40"/>
      <c r="L656" s="41"/>
      <c r="M656" s="42"/>
      <c r="N656" s="43" t="str">
        <f aca="false">IF(OR($L656="",$M656=""),"",$L656+MATCH($M656,Listas!$F$5:$F$11,0)-1)</f>
        <v/>
      </c>
      <c r="O656" s="44"/>
      <c r="P656" s="39"/>
      <c r="Q656" s="44"/>
      <c r="R656" s="38"/>
      <c r="S656" s="38"/>
      <c r="T656" s="36" t="str">
        <f aca="false">IF($F656="","",IF(ISNUMBER(SEARCH("(externo)",$I656&amp;$J656&amp;$K656)),"Terceirizada","Interna"))</f>
        <v/>
      </c>
      <c r="U656" s="43" t="str">
        <f aca="false">IF($N656="","",IF($Q656="",$N656,$Q656))</f>
        <v/>
      </c>
      <c r="V656" s="36" t="str">
        <f aca="false">IF($F656="","",IF(OR($O656="",$N656=""),0,IF($O656&lt;=$N656,1,0)))</f>
        <v/>
      </c>
      <c r="W656" s="36" t="str">
        <f aca="false">IF($F656="","",IF(OR($O656="",$U656=""),0,IF($O656&lt;=$U656,1,0)))</f>
        <v/>
      </c>
      <c r="X656" s="37" t="str">
        <f aca="false">IF(OR($O656="",$N656=""),"",MAX(0,$O656-$N656))</f>
        <v/>
      </c>
      <c r="Y656" s="36" t="str">
        <f aca="false">IF($F656="","",IF(AND($Q656&lt;&gt;"",$N656&lt;&gt;"",$Q656&lt;&gt;$N656),1,0))</f>
        <v/>
      </c>
      <c r="Z656" s="36" t="str">
        <f aca="false">IF($F656="","",IF($P656="Cancelada",0,IF(OR($O656&lt;&gt;"",$P656="Concluída"),1,0)))</f>
        <v/>
      </c>
    </row>
    <row r="657" customFormat="false" ht="16.5" hidden="false" customHeight="true" outlineLevel="0" collapsed="false">
      <c r="A657" s="36" t="str">
        <f aca="false">IF($F657="","",COUNTA($F$5:$F657))</f>
        <v/>
      </c>
      <c r="B657" s="37" t="str">
        <f aca="true">IF($F657="","",IF($P657="Cancelada","Cancelada",IF(OR($O657&lt;&gt;"",$P657="Concluída"),IF(OR($N657="",$O657="",$O657&lt;=$N657),"Concluída","Concluída com atraso"),IF($N657="","Na carteira",IF($N657&lt;TODAY(),"VENCIDA",IF($P657="Em execução","Em execução",IF($N657=TODAY(),"Hoje","Programada")))))))</f>
        <v/>
      </c>
      <c r="C657" s="38"/>
      <c r="D657" s="38"/>
      <c r="E657" s="38"/>
      <c r="F657" s="38"/>
      <c r="G657" s="39"/>
      <c r="H657" s="39"/>
      <c r="I657" s="40"/>
      <c r="J657" s="40"/>
      <c r="K657" s="40"/>
      <c r="L657" s="41"/>
      <c r="M657" s="42"/>
      <c r="N657" s="43" t="str">
        <f aca="false">IF(OR($L657="",$M657=""),"",$L657+MATCH($M657,Listas!$F$5:$F$11,0)-1)</f>
        <v/>
      </c>
      <c r="O657" s="44"/>
      <c r="P657" s="39"/>
      <c r="Q657" s="44"/>
      <c r="R657" s="38"/>
      <c r="S657" s="38"/>
      <c r="T657" s="36" t="str">
        <f aca="false">IF($F657="","",IF(ISNUMBER(SEARCH("(externo)",$I657&amp;$J657&amp;$K657)),"Terceirizada","Interna"))</f>
        <v/>
      </c>
      <c r="U657" s="43" t="str">
        <f aca="false">IF($N657="","",IF($Q657="",$N657,$Q657))</f>
        <v/>
      </c>
      <c r="V657" s="36" t="str">
        <f aca="false">IF($F657="","",IF(OR($O657="",$N657=""),0,IF($O657&lt;=$N657,1,0)))</f>
        <v/>
      </c>
      <c r="W657" s="36" t="str">
        <f aca="false">IF($F657="","",IF(OR($O657="",$U657=""),0,IF($O657&lt;=$U657,1,0)))</f>
        <v/>
      </c>
      <c r="X657" s="37" t="str">
        <f aca="false">IF(OR($O657="",$N657=""),"",MAX(0,$O657-$N657))</f>
        <v/>
      </c>
      <c r="Y657" s="36" t="str">
        <f aca="false">IF($F657="","",IF(AND($Q657&lt;&gt;"",$N657&lt;&gt;"",$Q657&lt;&gt;$N657),1,0))</f>
        <v/>
      </c>
      <c r="Z657" s="36" t="str">
        <f aca="false">IF($F657="","",IF($P657="Cancelada",0,IF(OR($O657&lt;&gt;"",$P657="Concluída"),1,0)))</f>
        <v/>
      </c>
    </row>
    <row r="658" customFormat="false" ht="16.5" hidden="false" customHeight="true" outlineLevel="0" collapsed="false">
      <c r="A658" s="36" t="str">
        <f aca="false">IF($F658="","",COUNTA($F$5:$F658))</f>
        <v/>
      </c>
      <c r="B658" s="37" t="str">
        <f aca="true">IF($F658="","",IF($P658="Cancelada","Cancelada",IF(OR($O658&lt;&gt;"",$P658="Concluída"),IF(OR($N658="",$O658="",$O658&lt;=$N658),"Concluída","Concluída com atraso"),IF($N658="","Na carteira",IF($N658&lt;TODAY(),"VENCIDA",IF($P658="Em execução","Em execução",IF($N658=TODAY(),"Hoje","Programada")))))))</f>
        <v/>
      </c>
      <c r="C658" s="38"/>
      <c r="D658" s="38"/>
      <c r="E658" s="38"/>
      <c r="F658" s="38"/>
      <c r="G658" s="39"/>
      <c r="H658" s="39"/>
      <c r="I658" s="40"/>
      <c r="J658" s="40"/>
      <c r="K658" s="40"/>
      <c r="L658" s="41"/>
      <c r="M658" s="42"/>
      <c r="N658" s="43" t="str">
        <f aca="false">IF(OR($L658="",$M658=""),"",$L658+MATCH($M658,Listas!$F$5:$F$11,0)-1)</f>
        <v/>
      </c>
      <c r="O658" s="44"/>
      <c r="P658" s="39"/>
      <c r="Q658" s="44"/>
      <c r="R658" s="38"/>
      <c r="S658" s="38"/>
      <c r="T658" s="36" t="str">
        <f aca="false">IF($F658="","",IF(ISNUMBER(SEARCH("(externo)",$I658&amp;$J658&amp;$K658)),"Terceirizada","Interna"))</f>
        <v/>
      </c>
      <c r="U658" s="43" t="str">
        <f aca="false">IF($N658="","",IF($Q658="",$N658,$Q658))</f>
        <v/>
      </c>
      <c r="V658" s="36" t="str">
        <f aca="false">IF($F658="","",IF(OR($O658="",$N658=""),0,IF($O658&lt;=$N658,1,0)))</f>
        <v/>
      </c>
      <c r="W658" s="36" t="str">
        <f aca="false">IF($F658="","",IF(OR($O658="",$U658=""),0,IF($O658&lt;=$U658,1,0)))</f>
        <v/>
      </c>
      <c r="X658" s="37" t="str">
        <f aca="false">IF(OR($O658="",$N658=""),"",MAX(0,$O658-$N658))</f>
        <v/>
      </c>
      <c r="Y658" s="36" t="str">
        <f aca="false">IF($F658="","",IF(AND($Q658&lt;&gt;"",$N658&lt;&gt;"",$Q658&lt;&gt;$N658),1,0))</f>
        <v/>
      </c>
      <c r="Z658" s="36" t="str">
        <f aca="false">IF($F658="","",IF($P658="Cancelada",0,IF(OR($O658&lt;&gt;"",$P658="Concluída"),1,0)))</f>
        <v/>
      </c>
    </row>
    <row r="659" customFormat="false" ht="16.5" hidden="false" customHeight="true" outlineLevel="0" collapsed="false">
      <c r="A659" s="36" t="str">
        <f aca="false">IF($F659="","",COUNTA($F$5:$F659))</f>
        <v/>
      </c>
      <c r="B659" s="37" t="str">
        <f aca="true">IF($F659="","",IF($P659="Cancelada","Cancelada",IF(OR($O659&lt;&gt;"",$P659="Concluída"),IF(OR($N659="",$O659="",$O659&lt;=$N659),"Concluída","Concluída com atraso"),IF($N659="","Na carteira",IF($N659&lt;TODAY(),"VENCIDA",IF($P659="Em execução","Em execução",IF($N659=TODAY(),"Hoje","Programada")))))))</f>
        <v/>
      </c>
      <c r="C659" s="38"/>
      <c r="D659" s="38"/>
      <c r="E659" s="38"/>
      <c r="F659" s="38"/>
      <c r="G659" s="39"/>
      <c r="H659" s="39"/>
      <c r="I659" s="40"/>
      <c r="J659" s="40"/>
      <c r="K659" s="40"/>
      <c r="L659" s="41"/>
      <c r="M659" s="42"/>
      <c r="N659" s="43" t="str">
        <f aca="false">IF(OR($L659="",$M659=""),"",$L659+MATCH($M659,Listas!$F$5:$F$11,0)-1)</f>
        <v/>
      </c>
      <c r="O659" s="44"/>
      <c r="P659" s="39"/>
      <c r="Q659" s="44"/>
      <c r="R659" s="38"/>
      <c r="S659" s="38"/>
      <c r="T659" s="36" t="str">
        <f aca="false">IF($F659="","",IF(ISNUMBER(SEARCH("(externo)",$I659&amp;$J659&amp;$K659)),"Terceirizada","Interna"))</f>
        <v/>
      </c>
      <c r="U659" s="43" t="str">
        <f aca="false">IF($N659="","",IF($Q659="",$N659,$Q659))</f>
        <v/>
      </c>
      <c r="V659" s="36" t="str">
        <f aca="false">IF($F659="","",IF(OR($O659="",$N659=""),0,IF($O659&lt;=$N659,1,0)))</f>
        <v/>
      </c>
      <c r="W659" s="36" t="str">
        <f aca="false">IF($F659="","",IF(OR($O659="",$U659=""),0,IF($O659&lt;=$U659,1,0)))</f>
        <v/>
      </c>
      <c r="X659" s="37" t="str">
        <f aca="false">IF(OR($O659="",$N659=""),"",MAX(0,$O659-$N659))</f>
        <v/>
      </c>
      <c r="Y659" s="36" t="str">
        <f aca="false">IF($F659="","",IF(AND($Q659&lt;&gt;"",$N659&lt;&gt;"",$Q659&lt;&gt;$N659),1,0))</f>
        <v/>
      </c>
      <c r="Z659" s="36" t="str">
        <f aca="false">IF($F659="","",IF($P659="Cancelada",0,IF(OR($O659&lt;&gt;"",$P659="Concluída"),1,0)))</f>
        <v/>
      </c>
    </row>
    <row r="660" customFormat="false" ht="16.5" hidden="false" customHeight="true" outlineLevel="0" collapsed="false">
      <c r="A660" s="36" t="str">
        <f aca="false">IF($F660="","",COUNTA($F$5:$F660))</f>
        <v/>
      </c>
      <c r="B660" s="37" t="str">
        <f aca="true">IF($F660="","",IF($P660="Cancelada","Cancelada",IF(OR($O660&lt;&gt;"",$P660="Concluída"),IF(OR($N660="",$O660="",$O660&lt;=$N660),"Concluída","Concluída com atraso"),IF($N660="","Na carteira",IF($N660&lt;TODAY(),"VENCIDA",IF($P660="Em execução","Em execução",IF($N660=TODAY(),"Hoje","Programada")))))))</f>
        <v/>
      </c>
      <c r="C660" s="38"/>
      <c r="D660" s="38"/>
      <c r="E660" s="38"/>
      <c r="F660" s="38"/>
      <c r="G660" s="39"/>
      <c r="H660" s="39"/>
      <c r="I660" s="40"/>
      <c r="J660" s="40"/>
      <c r="K660" s="40"/>
      <c r="L660" s="41"/>
      <c r="M660" s="42"/>
      <c r="N660" s="43" t="str">
        <f aca="false">IF(OR($L660="",$M660=""),"",$L660+MATCH($M660,Listas!$F$5:$F$11,0)-1)</f>
        <v/>
      </c>
      <c r="O660" s="44"/>
      <c r="P660" s="39"/>
      <c r="Q660" s="44"/>
      <c r="R660" s="38"/>
      <c r="S660" s="38"/>
      <c r="T660" s="36" t="str">
        <f aca="false">IF($F660="","",IF(ISNUMBER(SEARCH("(externo)",$I660&amp;$J660&amp;$K660)),"Terceirizada","Interna"))</f>
        <v/>
      </c>
      <c r="U660" s="43" t="str">
        <f aca="false">IF($N660="","",IF($Q660="",$N660,$Q660))</f>
        <v/>
      </c>
      <c r="V660" s="36" t="str">
        <f aca="false">IF($F660="","",IF(OR($O660="",$N660=""),0,IF($O660&lt;=$N660,1,0)))</f>
        <v/>
      </c>
      <c r="W660" s="36" t="str">
        <f aca="false">IF($F660="","",IF(OR($O660="",$U660=""),0,IF($O660&lt;=$U660,1,0)))</f>
        <v/>
      </c>
      <c r="X660" s="37" t="str">
        <f aca="false">IF(OR($O660="",$N660=""),"",MAX(0,$O660-$N660))</f>
        <v/>
      </c>
      <c r="Y660" s="36" t="str">
        <f aca="false">IF($F660="","",IF(AND($Q660&lt;&gt;"",$N660&lt;&gt;"",$Q660&lt;&gt;$N660),1,0))</f>
        <v/>
      </c>
      <c r="Z660" s="36" t="str">
        <f aca="false">IF($F660="","",IF($P660="Cancelada",0,IF(OR($O660&lt;&gt;"",$P660="Concluída"),1,0)))</f>
        <v/>
      </c>
    </row>
    <row r="661" customFormat="false" ht="16.5" hidden="false" customHeight="true" outlineLevel="0" collapsed="false">
      <c r="A661" s="36" t="str">
        <f aca="false">IF($F661="","",COUNTA($F$5:$F661))</f>
        <v/>
      </c>
      <c r="B661" s="37" t="str">
        <f aca="true">IF($F661="","",IF($P661="Cancelada","Cancelada",IF(OR($O661&lt;&gt;"",$P661="Concluída"),IF(OR($N661="",$O661="",$O661&lt;=$N661),"Concluída","Concluída com atraso"),IF($N661="","Na carteira",IF($N661&lt;TODAY(),"VENCIDA",IF($P661="Em execução","Em execução",IF($N661=TODAY(),"Hoje","Programada")))))))</f>
        <v/>
      </c>
      <c r="C661" s="38"/>
      <c r="D661" s="38"/>
      <c r="E661" s="38"/>
      <c r="F661" s="38"/>
      <c r="G661" s="39"/>
      <c r="H661" s="39"/>
      <c r="I661" s="40"/>
      <c r="J661" s="40"/>
      <c r="K661" s="40"/>
      <c r="L661" s="41"/>
      <c r="M661" s="42"/>
      <c r="N661" s="43" t="str">
        <f aca="false">IF(OR($L661="",$M661=""),"",$L661+MATCH($M661,Listas!$F$5:$F$11,0)-1)</f>
        <v/>
      </c>
      <c r="O661" s="44"/>
      <c r="P661" s="39"/>
      <c r="Q661" s="44"/>
      <c r="R661" s="38"/>
      <c r="S661" s="38"/>
      <c r="T661" s="36" t="str">
        <f aca="false">IF($F661="","",IF(ISNUMBER(SEARCH("(externo)",$I661&amp;$J661&amp;$K661)),"Terceirizada","Interna"))</f>
        <v/>
      </c>
      <c r="U661" s="43" t="str">
        <f aca="false">IF($N661="","",IF($Q661="",$N661,$Q661))</f>
        <v/>
      </c>
      <c r="V661" s="36" t="str">
        <f aca="false">IF($F661="","",IF(OR($O661="",$N661=""),0,IF($O661&lt;=$N661,1,0)))</f>
        <v/>
      </c>
      <c r="W661" s="36" t="str">
        <f aca="false">IF($F661="","",IF(OR($O661="",$U661=""),0,IF($O661&lt;=$U661,1,0)))</f>
        <v/>
      </c>
      <c r="X661" s="37" t="str">
        <f aca="false">IF(OR($O661="",$N661=""),"",MAX(0,$O661-$N661))</f>
        <v/>
      </c>
      <c r="Y661" s="36" t="str">
        <f aca="false">IF($F661="","",IF(AND($Q661&lt;&gt;"",$N661&lt;&gt;"",$Q661&lt;&gt;$N661),1,0))</f>
        <v/>
      </c>
      <c r="Z661" s="36" t="str">
        <f aca="false">IF($F661="","",IF($P661="Cancelada",0,IF(OR($O661&lt;&gt;"",$P661="Concluída"),1,0)))</f>
        <v/>
      </c>
    </row>
    <row r="662" customFormat="false" ht="16.5" hidden="false" customHeight="true" outlineLevel="0" collapsed="false">
      <c r="A662" s="36" t="str">
        <f aca="false">IF($F662="","",COUNTA($F$5:$F662))</f>
        <v/>
      </c>
      <c r="B662" s="37" t="str">
        <f aca="true">IF($F662="","",IF($P662="Cancelada","Cancelada",IF(OR($O662&lt;&gt;"",$P662="Concluída"),IF(OR($N662="",$O662="",$O662&lt;=$N662),"Concluída","Concluída com atraso"),IF($N662="","Na carteira",IF($N662&lt;TODAY(),"VENCIDA",IF($P662="Em execução","Em execução",IF($N662=TODAY(),"Hoje","Programada")))))))</f>
        <v/>
      </c>
      <c r="C662" s="38"/>
      <c r="D662" s="38"/>
      <c r="E662" s="38"/>
      <c r="F662" s="38"/>
      <c r="G662" s="39"/>
      <c r="H662" s="39"/>
      <c r="I662" s="40"/>
      <c r="J662" s="40"/>
      <c r="K662" s="40"/>
      <c r="L662" s="41"/>
      <c r="M662" s="42"/>
      <c r="N662" s="43" t="str">
        <f aca="false">IF(OR($L662="",$M662=""),"",$L662+MATCH($M662,Listas!$F$5:$F$11,0)-1)</f>
        <v/>
      </c>
      <c r="O662" s="44"/>
      <c r="P662" s="39"/>
      <c r="Q662" s="44"/>
      <c r="R662" s="38"/>
      <c r="S662" s="38"/>
      <c r="T662" s="36" t="str">
        <f aca="false">IF($F662="","",IF(ISNUMBER(SEARCH("(externo)",$I662&amp;$J662&amp;$K662)),"Terceirizada","Interna"))</f>
        <v/>
      </c>
      <c r="U662" s="43" t="str">
        <f aca="false">IF($N662="","",IF($Q662="",$N662,$Q662))</f>
        <v/>
      </c>
      <c r="V662" s="36" t="str">
        <f aca="false">IF($F662="","",IF(OR($O662="",$N662=""),0,IF($O662&lt;=$N662,1,0)))</f>
        <v/>
      </c>
      <c r="W662" s="36" t="str">
        <f aca="false">IF($F662="","",IF(OR($O662="",$U662=""),0,IF($O662&lt;=$U662,1,0)))</f>
        <v/>
      </c>
      <c r="X662" s="37" t="str">
        <f aca="false">IF(OR($O662="",$N662=""),"",MAX(0,$O662-$N662))</f>
        <v/>
      </c>
      <c r="Y662" s="36" t="str">
        <f aca="false">IF($F662="","",IF(AND($Q662&lt;&gt;"",$N662&lt;&gt;"",$Q662&lt;&gt;$N662),1,0))</f>
        <v/>
      </c>
      <c r="Z662" s="36" t="str">
        <f aca="false">IF($F662="","",IF($P662="Cancelada",0,IF(OR($O662&lt;&gt;"",$P662="Concluída"),1,0)))</f>
        <v/>
      </c>
    </row>
    <row r="663" customFormat="false" ht="16.5" hidden="false" customHeight="true" outlineLevel="0" collapsed="false">
      <c r="A663" s="36" t="str">
        <f aca="false">IF($F663="","",COUNTA($F$5:$F663))</f>
        <v/>
      </c>
      <c r="B663" s="37" t="str">
        <f aca="true">IF($F663="","",IF($P663="Cancelada","Cancelada",IF(OR($O663&lt;&gt;"",$P663="Concluída"),IF(OR($N663="",$O663="",$O663&lt;=$N663),"Concluída","Concluída com atraso"),IF($N663="","Na carteira",IF($N663&lt;TODAY(),"VENCIDA",IF($P663="Em execução","Em execução",IF($N663=TODAY(),"Hoje","Programada")))))))</f>
        <v/>
      </c>
      <c r="C663" s="38"/>
      <c r="D663" s="38"/>
      <c r="E663" s="38"/>
      <c r="F663" s="38"/>
      <c r="G663" s="39"/>
      <c r="H663" s="39"/>
      <c r="I663" s="40"/>
      <c r="J663" s="40"/>
      <c r="K663" s="40"/>
      <c r="L663" s="41"/>
      <c r="M663" s="42"/>
      <c r="N663" s="43" t="str">
        <f aca="false">IF(OR($L663="",$M663=""),"",$L663+MATCH($M663,Listas!$F$5:$F$11,0)-1)</f>
        <v/>
      </c>
      <c r="O663" s="44"/>
      <c r="P663" s="39"/>
      <c r="Q663" s="44"/>
      <c r="R663" s="38"/>
      <c r="S663" s="38"/>
      <c r="T663" s="36" t="str">
        <f aca="false">IF($F663="","",IF(ISNUMBER(SEARCH("(externo)",$I663&amp;$J663&amp;$K663)),"Terceirizada","Interna"))</f>
        <v/>
      </c>
      <c r="U663" s="43" t="str">
        <f aca="false">IF($N663="","",IF($Q663="",$N663,$Q663))</f>
        <v/>
      </c>
      <c r="V663" s="36" t="str">
        <f aca="false">IF($F663="","",IF(OR($O663="",$N663=""),0,IF($O663&lt;=$N663,1,0)))</f>
        <v/>
      </c>
      <c r="W663" s="36" t="str">
        <f aca="false">IF($F663="","",IF(OR($O663="",$U663=""),0,IF($O663&lt;=$U663,1,0)))</f>
        <v/>
      </c>
      <c r="X663" s="37" t="str">
        <f aca="false">IF(OR($O663="",$N663=""),"",MAX(0,$O663-$N663))</f>
        <v/>
      </c>
      <c r="Y663" s="36" t="str">
        <f aca="false">IF($F663="","",IF(AND($Q663&lt;&gt;"",$N663&lt;&gt;"",$Q663&lt;&gt;$N663),1,0))</f>
        <v/>
      </c>
      <c r="Z663" s="36" t="str">
        <f aca="false">IF($F663="","",IF($P663="Cancelada",0,IF(OR($O663&lt;&gt;"",$P663="Concluída"),1,0)))</f>
        <v/>
      </c>
    </row>
    <row r="664" customFormat="false" ht="16.5" hidden="false" customHeight="true" outlineLevel="0" collapsed="false">
      <c r="A664" s="36" t="str">
        <f aca="false">IF($F664="","",COUNTA($F$5:$F664))</f>
        <v/>
      </c>
      <c r="B664" s="37" t="str">
        <f aca="true">IF($F664="","",IF($P664="Cancelada","Cancelada",IF(OR($O664&lt;&gt;"",$P664="Concluída"),IF(OR($N664="",$O664="",$O664&lt;=$N664),"Concluída","Concluída com atraso"),IF($N664="","Na carteira",IF($N664&lt;TODAY(),"VENCIDA",IF($P664="Em execução","Em execução",IF($N664=TODAY(),"Hoje","Programada")))))))</f>
        <v/>
      </c>
      <c r="C664" s="38"/>
      <c r="D664" s="38"/>
      <c r="E664" s="38"/>
      <c r="F664" s="38"/>
      <c r="G664" s="39"/>
      <c r="H664" s="39"/>
      <c r="I664" s="40"/>
      <c r="J664" s="40"/>
      <c r="K664" s="40"/>
      <c r="L664" s="41"/>
      <c r="M664" s="42"/>
      <c r="N664" s="43" t="str">
        <f aca="false">IF(OR($L664="",$M664=""),"",$L664+MATCH($M664,Listas!$F$5:$F$11,0)-1)</f>
        <v/>
      </c>
      <c r="O664" s="44"/>
      <c r="P664" s="39"/>
      <c r="Q664" s="44"/>
      <c r="R664" s="38"/>
      <c r="S664" s="38"/>
      <c r="T664" s="36" t="str">
        <f aca="false">IF($F664="","",IF(ISNUMBER(SEARCH("(externo)",$I664&amp;$J664&amp;$K664)),"Terceirizada","Interna"))</f>
        <v/>
      </c>
      <c r="U664" s="43" t="str">
        <f aca="false">IF($N664="","",IF($Q664="",$N664,$Q664))</f>
        <v/>
      </c>
      <c r="V664" s="36" t="str">
        <f aca="false">IF($F664="","",IF(OR($O664="",$N664=""),0,IF($O664&lt;=$N664,1,0)))</f>
        <v/>
      </c>
      <c r="W664" s="36" t="str">
        <f aca="false">IF($F664="","",IF(OR($O664="",$U664=""),0,IF($O664&lt;=$U664,1,0)))</f>
        <v/>
      </c>
      <c r="X664" s="37" t="str">
        <f aca="false">IF(OR($O664="",$N664=""),"",MAX(0,$O664-$N664))</f>
        <v/>
      </c>
      <c r="Y664" s="36" t="str">
        <f aca="false">IF($F664="","",IF(AND($Q664&lt;&gt;"",$N664&lt;&gt;"",$Q664&lt;&gt;$N664),1,0))</f>
        <v/>
      </c>
      <c r="Z664" s="36" t="str">
        <f aca="false">IF($F664="","",IF($P664="Cancelada",0,IF(OR($O664&lt;&gt;"",$P664="Concluída"),1,0)))</f>
        <v/>
      </c>
    </row>
    <row r="665" customFormat="false" ht="16.5" hidden="false" customHeight="true" outlineLevel="0" collapsed="false">
      <c r="A665" s="36" t="str">
        <f aca="false">IF($F665="","",COUNTA($F$5:$F665))</f>
        <v/>
      </c>
      <c r="B665" s="37" t="str">
        <f aca="true">IF($F665="","",IF($P665="Cancelada","Cancelada",IF(OR($O665&lt;&gt;"",$P665="Concluída"),IF(OR($N665="",$O665="",$O665&lt;=$N665),"Concluída","Concluída com atraso"),IF($N665="","Na carteira",IF($N665&lt;TODAY(),"VENCIDA",IF($P665="Em execução","Em execução",IF($N665=TODAY(),"Hoje","Programada")))))))</f>
        <v/>
      </c>
      <c r="C665" s="38"/>
      <c r="D665" s="38"/>
      <c r="E665" s="38"/>
      <c r="F665" s="38"/>
      <c r="G665" s="39"/>
      <c r="H665" s="39"/>
      <c r="I665" s="40"/>
      <c r="J665" s="40"/>
      <c r="K665" s="40"/>
      <c r="L665" s="41"/>
      <c r="M665" s="42"/>
      <c r="N665" s="43" t="str">
        <f aca="false">IF(OR($L665="",$M665=""),"",$L665+MATCH($M665,Listas!$F$5:$F$11,0)-1)</f>
        <v/>
      </c>
      <c r="O665" s="44"/>
      <c r="P665" s="39"/>
      <c r="Q665" s="44"/>
      <c r="R665" s="38"/>
      <c r="S665" s="38"/>
      <c r="T665" s="36" t="str">
        <f aca="false">IF($F665="","",IF(ISNUMBER(SEARCH("(externo)",$I665&amp;$J665&amp;$K665)),"Terceirizada","Interna"))</f>
        <v/>
      </c>
      <c r="U665" s="43" t="str">
        <f aca="false">IF($N665="","",IF($Q665="",$N665,$Q665))</f>
        <v/>
      </c>
      <c r="V665" s="36" t="str">
        <f aca="false">IF($F665="","",IF(OR($O665="",$N665=""),0,IF($O665&lt;=$N665,1,0)))</f>
        <v/>
      </c>
      <c r="W665" s="36" t="str">
        <f aca="false">IF($F665="","",IF(OR($O665="",$U665=""),0,IF($O665&lt;=$U665,1,0)))</f>
        <v/>
      </c>
      <c r="X665" s="37" t="str">
        <f aca="false">IF(OR($O665="",$N665=""),"",MAX(0,$O665-$N665))</f>
        <v/>
      </c>
      <c r="Y665" s="36" t="str">
        <f aca="false">IF($F665="","",IF(AND($Q665&lt;&gt;"",$N665&lt;&gt;"",$Q665&lt;&gt;$N665),1,0))</f>
        <v/>
      </c>
      <c r="Z665" s="36" t="str">
        <f aca="false">IF($F665="","",IF($P665="Cancelada",0,IF(OR($O665&lt;&gt;"",$P665="Concluída"),1,0)))</f>
        <v/>
      </c>
    </row>
    <row r="666" customFormat="false" ht="16.5" hidden="false" customHeight="true" outlineLevel="0" collapsed="false">
      <c r="A666" s="36" t="str">
        <f aca="false">IF($F666="","",COUNTA($F$5:$F666))</f>
        <v/>
      </c>
      <c r="B666" s="37" t="str">
        <f aca="true">IF($F666="","",IF($P666="Cancelada","Cancelada",IF(OR($O666&lt;&gt;"",$P666="Concluída"),IF(OR($N666="",$O666="",$O666&lt;=$N666),"Concluída","Concluída com atraso"),IF($N666="","Na carteira",IF($N666&lt;TODAY(),"VENCIDA",IF($P666="Em execução","Em execução",IF($N666=TODAY(),"Hoje","Programada")))))))</f>
        <v/>
      </c>
      <c r="C666" s="38"/>
      <c r="D666" s="38"/>
      <c r="E666" s="38"/>
      <c r="F666" s="38"/>
      <c r="G666" s="39"/>
      <c r="H666" s="39"/>
      <c r="I666" s="40"/>
      <c r="J666" s="40"/>
      <c r="K666" s="40"/>
      <c r="L666" s="41"/>
      <c r="M666" s="42"/>
      <c r="N666" s="43" t="str">
        <f aca="false">IF(OR($L666="",$M666=""),"",$L666+MATCH($M666,Listas!$F$5:$F$11,0)-1)</f>
        <v/>
      </c>
      <c r="O666" s="44"/>
      <c r="P666" s="39"/>
      <c r="Q666" s="44"/>
      <c r="R666" s="38"/>
      <c r="S666" s="38"/>
      <c r="T666" s="36" t="str">
        <f aca="false">IF($F666="","",IF(ISNUMBER(SEARCH("(externo)",$I666&amp;$J666&amp;$K666)),"Terceirizada","Interna"))</f>
        <v/>
      </c>
      <c r="U666" s="43" t="str">
        <f aca="false">IF($N666="","",IF($Q666="",$N666,$Q666))</f>
        <v/>
      </c>
      <c r="V666" s="36" t="str">
        <f aca="false">IF($F666="","",IF(OR($O666="",$N666=""),0,IF($O666&lt;=$N666,1,0)))</f>
        <v/>
      </c>
      <c r="W666" s="36" t="str">
        <f aca="false">IF($F666="","",IF(OR($O666="",$U666=""),0,IF($O666&lt;=$U666,1,0)))</f>
        <v/>
      </c>
      <c r="X666" s="37" t="str">
        <f aca="false">IF(OR($O666="",$N666=""),"",MAX(0,$O666-$N666))</f>
        <v/>
      </c>
      <c r="Y666" s="36" t="str">
        <f aca="false">IF($F666="","",IF(AND($Q666&lt;&gt;"",$N666&lt;&gt;"",$Q666&lt;&gt;$N666),1,0))</f>
        <v/>
      </c>
      <c r="Z666" s="36" t="str">
        <f aca="false">IF($F666="","",IF($P666="Cancelada",0,IF(OR($O666&lt;&gt;"",$P666="Concluída"),1,0)))</f>
        <v/>
      </c>
    </row>
    <row r="667" customFormat="false" ht="16.5" hidden="false" customHeight="true" outlineLevel="0" collapsed="false">
      <c r="A667" s="36" t="str">
        <f aca="false">IF($F667="","",COUNTA($F$5:$F667))</f>
        <v/>
      </c>
      <c r="B667" s="37" t="str">
        <f aca="true">IF($F667="","",IF($P667="Cancelada","Cancelada",IF(OR($O667&lt;&gt;"",$P667="Concluída"),IF(OR($N667="",$O667="",$O667&lt;=$N667),"Concluída","Concluída com atraso"),IF($N667="","Na carteira",IF($N667&lt;TODAY(),"VENCIDA",IF($P667="Em execução","Em execução",IF($N667=TODAY(),"Hoje","Programada")))))))</f>
        <v/>
      </c>
      <c r="C667" s="38"/>
      <c r="D667" s="38"/>
      <c r="E667" s="38"/>
      <c r="F667" s="38"/>
      <c r="G667" s="39"/>
      <c r="H667" s="39"/>
      <c r="I667" s="40"/>
      <c r="J667" s="40"/>
      <c r="K667" s="40"/>
      <c r="L667" s="41"/>
      <c r="M667" s="42"/>
      <c r="N667" s="43" t="str">
        <f aca="false">IF(OR($L667="",$M667=""),"",$L667+MATCH($M667,Listas!$F$5:$F$11,0)-1)</f>
        <v/>
      </c>
      <c r="O667" s="44"/>
      <c r="P667" s="39"/>
      <c r="Q667" s="44"/>
      <c r="R667" s="38"/>
      <c r="S667" s="38"/>
      <c r="T667" s="36" t="str">
        <f aca="false">IF($F667="","",IF(ISNUMBER(SEARCH("(externo)",$I667&amp;$J667&amp;$K667)),"Terceirizada","Interna"))</f>
        <v/>
      </c>
      <c r="U667" s="43" t="str">
        <f aca="false">IF($N667="","",IF($Q667="",$N667,$Q667))</f>
        <v/>
      </c>
      <c r="V667" s="36" t="str">
        <f aca="false">IF($F667="","",IF(OR($O667="",$N667=""),0,IF($O667&lt;=$N667,1,0)))</f>
        <v/>
      </c>
      <c r="W667" s="36" t="str">
        <f aca="false">IF($F667="","",IF(OR($O667="",$U667=""),0,IF($O667&lt;=$U667,1,0)))</f>
        <v/>
      </c>
      <c r="X667" s="37" t="str">
        <f aca="false">IF(OR($O667="",$N667=""),"",MAX(0,$O667-$N667))</f>
        <v/>
      </c>
      <c r="Y667" s="36" t="str">
        <f aca="false">IF($F667="","",IF(AND($Q667&lt;&gt;"",$N667&lt;&gt;"",$Q667&lt;&gt;$N667),1,0))</f>
        <v/>
      </c>
      <c r="Z667" s="36" t="str">
        <f aca="false">IF($F667="","",IF($P667="Cancelada",0,IF(OR($O667&lt;&gt;"",$P667="Concluída"),1,0)))</f>
        <v/>
      </c>
    </row>
    <row r="668" customFormat="false" ht="16.5" hidden="false" customHeight="true" outlineLevel="0" collapsed="false">
      <c r="A668" s="36" t="str">
        <f aca="false">IF($F668="","",COUNTA($F$5:$F668))</f>
        <v/>
      </c>
      <c r="B668" s="37" t="str">
        <f aca="true">IF($F668="","",IF($P668="Cancelada","Cancelada",IF(OR($O668&lt;&gt;"",$P668="Concluída"),IF(OR($N668="",$O668="",$O668&lt;=$N668),"Concluída","Concluída com atraso"),IF($N668="","Na carteira",IF($N668&lt;TODAY(),"VENCIDA",IF($P668="Em execução","Em execução",IF($N668=TODAY(),"Hoje","Programada")))))))</f>
        <v/>
      </c>
      <c r="C668" s="38"/>
      <c r="D668" s="38"/>
      <c r="E668" s="38"/>
      <c r="F668" s="38"/>
      <c r="G668" s="39"/>
      <c r="H668" s="39"/>
      <c r="I668" s="40"/>
      <c r="J668" s="40"/>
      <c r="K668" s="40"/>
      <c r="L668" s="41"/>
      <c r="M668" s="42"/>
      <c r="N668" s="43" t="str">
        <f aca="false">IF(OR($L668="",$M668=""),"",$L668+MATCH($M668,Listas!$F$5:$F$11,0)-1)</f>
        <v/>
      </c>
      <c r="O668" s="44"/>
      <c r="P668" s="39"/>
      <c r="Q668" s="44"/>
      <c r="R668" s="38"/>
      <c r="S668" s="38"/>
      <c r="T668" s="36" t="str">
        <f aca="false">IF($F668="","",IF(ISNUMBER(SEARCH("(externo)",$I668&amp;$J668&amp;$K668)),"Terceirizada","Interna"))</f>
        <v/>
      </c>
      <c r="U668" s="43" t="str">
        <f aca="false">IF($N668="","",IF($Q668="",$N668,$Q668))</f>
        <v/>
      </c>
      <c r="V668" s="36" t="str">
        <f aca="false">IF($F668="","",IF(OR($O668="",$N668=""),0,IF($O668&lt;=$N668,1,0)))</f>
        <v/>
      </c>
      <c r="W668" s="36" t="str">
        <f aca="false">IF($F668="","",IF(OR($O668="",$U668=""),0,IF($O668&lt;=$U668,1,0)))</f>
        <v/>
      </c>
      <c r="X668" s="37" t="str">
        <f aca="false">IF(OR($O668="",$N668=""),"",MAX(0,$O668-$N668))</f>
        <v/>
      </c>
      <c r="Y668" s="36" t="str">
        <f aca="false">IF($F668="","",IF(AND($Q668&lt;&gt;"",$N668&lt;&gt;"",$Q668&lt;&gt;$N668),1,0))</f>
        <v/>
      </c>
      <c r="Z668" s="36" t="str">
        <f aca="false">IF($F668="","",IF($P668="Cancelada",0,IF(OR($O668&lt;&gt;"",$P668="Concluída"),1,0)))</f>
        <v/>
      </c>
    </row>
    <row r="669" customFormat="false" ht="16.5" hidden="false" customHeight="true" outlineLevel="0" collapsed="false">
      <c r="A669" s="36" t="str">
        <f aca="false">IF($F669="","",COUNTA($F$5:$F669))</f>
        <v/>
      </c>
      <c r="B669" s="37" t="str">
        <f aca="true">IF($F669="","",IF($P669="Cancelada","Cancelada",IF(OR($O669&lt;&gt;"",$P669="Concluída"),IF(OR($N669="",$O669="",$O669&lt;=$N669),"Concluída","Concluída com atraso"),IF($N669="","Na carteira",IF($N669&lt;TODAY(),"VENCIDA",IF($P669="Em execução","Em execução",IF($N669=TODAY(),"Hoje","Programada")))))))</f>
        <v/>
      </c>
      <c r="C669" s="38"/>
      <c r="D669" s="38"/>
      <c r="E669" s="38"/>
      <c r="F669" s="38"/>
      <c r="G669" s="39"/>
      <c r="H669" s="39"/>
      <c r="I669" s="40"/>
      <c r="J669" s="40"/>
      <c r="K669" s="40"/>
      <c r="L669" s="41"/>
      <c r="M669" s="42"/>
      <c r="N669" s="43" t="str">
        <f aca="false">IF(OR($L669="",$M669=""),"",$L669+MATCH($M669,Listas!$F$5:$F$11,0)-1)</f>
        <v/>
      </c>
      <c r="O669" s="44"/>
      <c r="P669" s="39"/>
      <c r="Q669" s="44"/>
      <c r="R669" s="38"/>
      <c r="S669" s="38"/>
      <c r="T669" s="36" t="str">
        <f aca="false">IF($F669="","",IF(ISNUMBER(SEARCH("(externo)",$I669&amp;$J669&amp;$K669)),"Terceirizada","Interna"))</f>
        <v/>
      </c>
      <c r="U669" s="43" t="str">
        <f aca="false">IF($N669="","",IF($Q669="",$N669,$Q669))</f>
        <v/>
      </c>
      <c r="V669" s="36" t="str">
        <f aca="false">IF($F669="","",IF(OR($O669="",$N669=""),0,IF($O669&lt;=$N669,1,0)))</f>
        <v/>
      </c>
      <c r="W669" s="36" t="str">
        <f aca="false">IF($F669="","",IF(OR($O669="",$U669=""),0,IF($O669&lt;=$U669,1,0)))</f>
        <v/>
      </c>
      <c r="X669" s="37" t="str">
        <f aca="false">IF(OR($O669="",$N669=""),"",MAX(0,$O669-$N669))</f>
        <v/>
      </c>
      <c r="Y669" s="36" t="str">
        <f aca="false">IF($F669="","",IF(AND($Q669&lt;&gt;"",$N669&lt;&gt;"",$Q669&lt;&gt;$N669),1,0))</f>
        <v/>
      </c>
      <c r="Z669" s="36" t="str">
        <f aca="false">IF($F669="","",IF($P669="Cancelada",0,IF(OR($O669&lt;&gt;"",$P669="Concluída"),1,0)))</f>
        <v/>
      </c>
    </row>
    <row r="670" customFormat="false" ht="16.5" hidden="false" customHeight="true" outlineLevel="0" collapsed="false">
      <c r="A670" s="36" t="str">
        <f aca="false">IF($F670="","",COUNTA($F$5:$F670))</f>
        <v/>
      </c>
      <c r="B670" s="37" t="str">
        <f aca="true">IF($F670="","",IF($P670="Cancelada","Cancelada",IF(OR($O670&lt;&gt;"",$P670="Concluída"),IF(OR($N670="",$O670="",$O670&lt;=$N670),"Concluída","Concluída com atraso"),IF($N670="","Na carteira",IF($N670&lt;TODAY(),"VENCIDA",IF($P670="Em execução","Em execução",IF($N670=TODAY(),"Hoje","Programada")))))))</f>
        <v/>
      </c>
      <c r="C670" s="38"/>
      <c r="D670" s="38"/>
      <c r="E670" s="38"/>
      <c r="F670" s="38"/>
      <c r="G670" s="39"/>
      <c r="H670" s="39"/>
      <c r="I670" s="40"/>
      <c r="J670" s="40"/>
      <c r="K670" s="40"/>
      <c r="L670" s="41"/>
      <c r="M670" s="42"/>
      <c r="N670" s="43" t="str">
        <f aca="false">IF(OR($L670="",$M670=""),"",$L670+MATCH($M670,Listas!$F$5:$F$11,0)-1)</f>
        <v/>
      </c>
      <c r="O670" s="44"/>
      <c r="P670" s="39"/>
      <c r="Q670" s="44"/>
      <c r="R670" s="38"/>
      <c r="S670" s="38"/>
      <c r="T670" s="36" t="str">
        <f aca="false">IF($F670="","",IF(ISNUMBER(SEARCH("(externo)",$I670&amp;$J670&amp;$K670)),"Terceirizada","Interna"))</f>
        <v/>
      </c>
      <c r="U670" s="43" t="str">
        <f aca="false">IF($N670="","",IF($Q670="",$N670,$Q670))</f>
        <v/>
      </c>
      <c r="V670" s="36" t="str">
        <f aca="false">IF($F670="","",IF(OR($O670="",$N670=""),0,IF($O670&lt;=$N670,1,0)))</f>
        <v/>
      </c>
      <c r="W670" s="36" t="str">
        <f aca="false">IF($F670="","",IF(OR($O670="",$U670=""),0,IF($O670&lt;=$U670,1,0)))</f>
        <v/>
      </c>
      <c r="X670" s="37" t="str">
        <f aca="false">IF(OR($O670="",$N670=""),"",MAX(0,$O670-$N670))</f>
        <v/>
      </c>
      <c r="Y670" s="36" t="str">
        <f aca="false">IF($F670="","",IF(AND($Q670&lt;&gt;"",$N670&lt;&gt;"",$Q670&lt;&gt;$N670),1,0))</f>
        <v/>
      </c>
      <c r="Z670" s="36" t="str">
        <f aca="false">IF($F670="","",IF($P670="Cancelada",0,IF(OR($O670&lt;&gt;"",$P670="Concluída"),1,0)))</f>
        <v/>
      </c>
    </row>
    <row r="671" customFormat="false" ht="16.5" hidden="false" customHeight="true" outlineLevel="0" collapsed="false">
      <c r="A671" s="36" t="str">
        <f aca="false">IF($F671="","",COUNTA($F$5:$F671))</f>
        <v/>
      </c>
      <c r="B671" s="37" t="str">
        <f aca="true">IF($F671="","",IF($P671="Cancelada","Cancelada",IF(OR($O671&lt;&gt;"",$P671="Concluída"),IF(OR($N671="",$O671="",$O671&lt;=$N671),"Concluída","Concluída com atraso"),IF($N671="","Na carteira",IF($N671&lt;TODAY(),"VENCIDA",IF($P671="Em execução","Em execução",IF($N671=TODAY(),"Hoje","Programada")))))))</f>
        <v/>
      </c>
      <c r="C671" s="38"/>
      <c r="D671" s="38"/>
      <c r="E671" s="38"/>
      <c r="F671" s="38"/>
      <c r="G671" s="39"/>
      <c r="H671" s="39"/>
      <c r="I671" s="40"/>
      <c r="J671" s="40"/>
      <c r="K671" s="40"/>
      <c r="L671" s="41"/>
      <c r="M671" s="42"/>
      <c r="N671" s="43" t="str">
        <f aca="false">IF(OR($L671="",$M671=""),"",$L671+MATCH($M671,Listas!$F$5:$F$11,0)-1)</f>
        <v/>
      </c>
      <c r="O671" s="44"/>
      <c r="P671" s="39"/>
      <c r="Q671" s="44"/>
      <c r="R671" s="38"/>
      <c r="S671" s="38"/>
      <c r="T671" s="36" t="str">
        <f aca="false">IF($F671="","",IF(ISNUMBER(SEARCH("(externo)",$I671&amp;$J671&amp;$K671)),"Terceirizada","Interna"))</f>
        <v/>
      </c>
      <c r="U671" s="43" t="str">
        <f aca="false">IF($N671="","",IF($Q671="",$N671,$Q671))</f>
        <v/>
      </c>
      <c r="V671" s="36" t="str">
        <f aca="false">IF($F671="","",IF(OR($O671="",$N671=""),0,IF($O671&lt;=$N671,1,0)))</f>
        <v/>
      </c>
      <c r="W671" s="36" t="str">
        <f aca="false">IF($F671="","",IF(OR($O671="",$U671=""),0,IF($O671&lt;=$U671,1,0)))</f>
        <v/>
      </c>
      <c r="X671" s="37" t="str">
        <f aca="false">IF(OR($O671="",$N671=""),"",MAX(0,$O671-$N671))</f>
        <v/>
      </c>
      <c r="Y671" s="36" t="str">
        <f aca="false">IF($F671="","",IF(AND($Q671&lt;&gt;"",$N671&lt;&gt;"",$Q671&lt;&gt;$N671),1,0))</f>
        <v/>
      </c>
      <c r="Z671" s="36" t="str">
        <f aca="false">IF($F671="","",IF($P671="Cancelada",0,IF(OR($O671&lt;&gt;"",$P671="Concluída"),1,0)))</f>
        <v/>
      </c>
    </row>
    <row r="672" customFormat="false" ht="16.5" hidden="false" customHeight="true" outlineLevel="0" collapsed="false">
      <c r="A672" s="36" t="str">
        <f aca="false">IF($F672="","",COUNTA($F$5:$F672))</f>
        <v/>
      </c>
      <c r="B672" s="37" t="str">
        <f aca="true">IF($F672="","",IF($P672="Cancelada","Cancelada",IF(OR($O672&lt;&gt;"",$P672="Concluída"),IF(OR($N672="",$O672="",$O672&lt;=$N672),"Concluída","Concluída com atraso"),IF($N672="","Na carteira",IF($N672&lt;TODAY(),"VENCIDA",IF($P672="Em execução","Em execução",IF($N672=TODAY(),"Hoje","Programada")))))))</f>
        <v/>
      </c>
      <c r="C672" s="38"/>
      <c r="D672" s="38"/>
      <c r="E672" s="38"/>
      <c r="F672" s="38"/>
      <c r="G672" s="39"/>
      <c r="H672" s="39"/>
      <c r="I672" s="40"/>
      <c r="J672" s="40"/>
      <c r="K672" s="40"/>
      <c r="L672" s="41"/>
      <c r="M672" s="42"/>
      <c r="N672" s="43" t="str">
        <f aca="false">IF(OR($L672="",$M672=""),"",$L672+MATCH($M672,Listas!$F$5:$F$11,0)-1)</f>
        <v/>
      </c>
      <c r="O672" s="44"/>
      <c r="P672" s="39"/>
      <c r="Q672" s="44"/>
      <c r="R672" s="38"/>
      <c r="S672" s="38"/>
      <c r="T672" s="36" t="str">
        <f aca="false">IF($F672="","",IF(ISNUMBER(SEARCH("(externo)",$I672&amp;$J672&amp;$K672)),"Terceirizada","Interna"))</f>
        <v/>
      </c>
      <c r="U672" s="43" t="str">
        <f aca="false">IF($N672="","",IF($Q672="",$N672,$Q672))</f>
        <v/>
      </c>
      <c r="V672" s="36" t="str">
        <f aca="false">IF($F672="","",IF(OR($O672="",$N672=""),0,IF($O672&lt;=$N672,1,0)))</f>
        <v/>
      </c>
      <c r="W672" s="36" t="str">
        <f aca="false">IF($F672="","",IF(OR($O672="",$U672=""),0,IF($O672&lt;=$U672,1,0)))</f>
        <v/>
      </c>
      <c r="X672" s="37" t="str">
        <f aca="false">IF(OR($O672="",$N672=""),"",MAX(0,$O672-$N672))</f>
        <v/>
      </c>
      <c r="Y672" s="36" t="str">
        <f aca="false">IF($F672="","",IF(AND($Q672&lt;&gt;"",$N672&lt;&gt;"",$Q672&lt;&gt;$N672),1,0))</f>
        <v/>
      </c>
      <c r="Z672" s="36" t="str">
        <f aca="false">IF($F672="","",IF($P672="Cancelada",0,IF(OR($O672&lt;&gt;"",$P672="Concluída"),1,0)))</f>
        <v/>
      </c>
    </row>
    <row r="673" customFormat="false" ht="16.5" hidden="false" customHeight="true" outlineLevel="0" collapsed="false">
      <c r="A673" s="36" t="str">
        <f aca="false">IF($F673="","",COUNTA($F$5:$F673))</f>
        <v/>
      </c>
      <c r="B673" s="37" t="str">
        <f aca="true">IF($F673="","",IF($P673="Cancelada","Cancelada",IF(OR($O673&lt;&gt;"",$P673="Concluída"),IF(OR($N673="",$O673="",$O673&lt;=$N673),"Concluída","Concluída com atraso"),IF($N673="","Na carteira",IF($N673&lt;TODAY(),"VENCIDA",IF($P673="Em execução","Em execução",IF($N673=TODAY(),"Hoje","Programada")))))))</f>
        <v/>
      </c>
      <c r="C673" s="38"/>
      <c r="D673" s="38"/>
      <c r="E673" s="38"/>
      <c r="F673" s="38"/>
      <c r="G673" s="39"/>
      <c r="H673" s="39"/>
      <c r="I673" s="40"/>
      <c r="J673" s="40"/>
      <c r="K673" s="40"/>
      <c r="L673" s="41"/>
      <c r="M673" s="42"/>
      <c r="N673" s="43" t="str">
        <f aca="false">IF(OR($L673="",$M673=""),"",$L673+MATCH($M673,Listas!$F$5:$F$11,0)-1)</f>
        <v/>
      </c>
      <c r="O673" s="44"/>
      <c r="P673" s="39"/>
      <c r="Q673" s="44"/>
      <c r="R673" s="38"/>
      <c r="S673" s="38"/>
      <c r="T673" s="36" t="str">
        <f aca="false">IF($F673="","",IF(ISNUMBER(SEARCH("(externo)",$I673&amp;$J673&amp;$K673)),"Terceirizada","Interna"))</f>
        <v/>
      </c>
      <c r="U673" s="43" t="str">
        <f aca="false">IF($N673="","",IF($Q673="",$N673,$Q673))</f>
        <v/>
      </c>
      <c r="V673" s="36" t="str">
        <f aca="false">IF($F673="","",IF(OR($O673="",$N673=""),0,IF($O673&lt;=$N673,1,0)))</f>
        <v/>
      </c>
      <c r="W673" s="36" t="str">
        <f aca="false">IF($F673="","",IF(OR($O673="",$U673=""),0,IF($O673&lt;=$U673,1,0)))</f>
        <v/>
      </c>
      <c r="X673" s="37" t="str">
        <f aca="false">IF(OR($O673="",$N673=""),"",MAX(0,$O673-$N673))</f>
        <v/>
      </c>
      <c r="Y673" s="36" t="str">
        <f aca="false">IF($F673="","",IF(AND($Q673&lt;&gt;"",$N673&lt;&gt;"",$Q673&lt;&gt;$N673),1,0))</f>
        <v/>
      </c>
      <c r="Z673" s="36" t="str">
        <f aca="false">IF($F673="","",IF($P673="Cancelada",0,IF(OR($O673&lt;&gt;"",$P673="Concluída"),1,0)))</f>
        <v/>
      </c>
    </row>
    <row r="674" customFormat="false" ht="16.5" hidden="false" customHeight="true" outlineLevel="0" collapsed="false">
      <c r="A674" s="36" t="str">
        <f aca="false">IF($F674="","",COUNTA($F$5:$F674))</f>
        <v/>
      </c>
      <c r="B674" s="37" t="str">
        <f aca="true">IF($F674="","",IF($P674="Cancelada","Cancelada",IF(OR($O674&lt;&gt;"",$P674="Concluída"),IF(OR($N674="",$O674="",$O674&lt;=$N674),"Concluída","Concluída com atraso"),IF($N674="","Na carteira",IF($N674&lt;TODAY(),"VENCIDA",IF($P674="Em execução","Em execução",IF($N674=TODAY(),"Hoje","Programada")))))))</f>
        <v/>
      </c>
      <c r="C674" s="38"/>
      <c r="D674" s="38"/>
      <c r="E674" s="38"/>
      <c r="F674" s="38"/>
      <c r="G674" s="39"/>
      <c r="H674" s="39"/>
      <c r="I674" s="40"/>
      <c r="J674" s="40"/>
      <c r="K674" s="40"/>
      <c r="L674" s="41"/>
      <c r="M674" s="42"/>
      <c r="N674" s="43" t="str">
        <f aca="false">IF(OR($L674="",$M674=""),"",$L674+MATCH($M674,Listas!$F$5:$F$11,0)-1)</f>
        <v/>
      </c>
      <c r="O674" s="44"/>
      <c r="P674" s="39"/>
      <c r="Q674" s="44"/>
      <c r="R674" s="38"/>
      <c r="S674" s="38"/>
      <c r="T674" s="36" t="str">
        <f aca="false">IF($F674="","",IF(ISNUMBER(SEARCH("(externo)",$I674&amp;$J674&amp;$K674)),"Terceirizada","Interna"))</f>
        <v/>
      </c>
      <c r="U674" s="43" t="str">
        <f aca="false">IF($N674="","",IF($Q674="",$N674,$Q674))</f>
        <v/>
      </c>
      <c r="V674" s="36" t="str">
        <f aca="false">IF($F674="","",IF(OR($O674="",$N674=""),0,IF($O674&lt;=$N674,1,0)))</f>
        <v/>
      </c>
      <c r="W674" s="36" t="str">
        <f aca="false">IF($F674="","",IF(OR($O674="",$U674=""),0,IF($O674&lt;=$U674,1,0)))</f>
        <v/>
      </c>
      <c r="X674" s="37" t="str">
        <f aca="false">IF(OR($O674="",$N674=""),"",MAX(0,$O674-$N674))</f>
        <v/>
      </c>
      <c r="Y674" s="36" t="str">
        <f aca="false">IF($F674="","",IF(AND($Q674&lt;&gt;"",$N674&lt;&gt;"",$Q674&lt;&gt;$N674),1,0))</f>
        <v/>
      </c>
      <c r="Z674" s="36" t="str">
        <f aca="false">IF($F674="","",IF($P674="Cancelada",0,IF(OR($O674&lt;&gt;"",$P674="Concluída"),1,0)))</f>
        <v/>
      </c>
    </row>
    <row r="675" customFormat="false" ht="16.5" hidden="false" customHeight="true" outlineLevel="0" collapsed="false">
      <c r="A675" s="36" t="str">
        <f aca="false">IF($F675="","",COUNTA($F$5:$F675))</f>
        <v/>
      </c>
      <c r="B675" s="37" t="str">
        <f aca="true">IF($F675="","",IF($P675="Cancelada","Cancelada",IF(OR($O675&lt;&gt;"",$P675="Concluída"),IF(OR($N675="",$O675="",$O675&lt;=$N675),"Concluída","Concluída com atraso"),IF($N675="","Na carteira",IF($N675&lt;TODAY(),"VENCIDA",IF($P675="Em execução","Em execução",IF($N675=TODAY(),"Hoje","Programada")))))))</f>
        <v/>
      </c>
      <c r="C675" s="38"/>
      <c r="D675" s="38"/>
      <c r="E675" s="38"/>
      <c r="F675" s="38"/>
      <c r="G675" s="39"/>
      <c r="H675" s="39"/>
      <c r="I675" s="40"/>
      <c r="J675" s="40"/>
      <c r="K675" s="40"/>
      <c r="L675" s="41"/>
      <c r="M675" s="42"/>
      <c r="N675" s="43" t="str">
        <f aca="false">IF(OR($L675="",$M675=""),"",$L675+MATCH($M675,Listas!$F$5:$F$11,0)-1)</f>
        <v/>
      </c>
      <c r="O675" s="44"/>
      <c r="P675" s="39"/>
      <c r="Q675" s="44"/>
      <c r="R675" s="38"/>
      <c r="S675" s="38"/>
      <c r="T675" s="36" t="str">
        <f aca="false">IF($F675="","",IF(ISNUMBER(SEARCH("(externo)",$I675&amp;$J675&amp;$K675)),"Terceirizada","Interna"))</f>
        <v/>
      </c>
      <c r="U675" s="43" t="str">
        <f aca="false">IF($N675="","",IF($Q675="",$N675,$Q675))</f>
        <v/>
      </c>
      <c r="V675" s="36" t="str">
        <f aca="false">IF($F675="","",IF(OR($O675="",$N675=""),0,IF($O675&lt;=$N675,1,0)))</f>
        <v/>
      </c>
      <c r="W675" s="36" t="str">
        <f aca="false">IF($F675="","",IF(OR($O675="",$U675=""),0,IF($O675&lt;=$U675,1,0)))</f>
        <v/>
      </c>
      <c r="X675" s="37" t="str">
        <f aca="false">IF(OR($O675="",$N675=""),"",MAX(0,$O675-$N675))</f>
        <v/>
      </c>
      <c r="Y675" s="36" t="str">
        <f aca="false">IF($F675="","",IF(AND($Q675&lt;&gt;"",$N675&lt;&gt;"",$Q675&lt;&gt;$N675),1,0))</f>
        <v/>
      </c>
      <c r="Z675" s="36" t="str">
        <f aca="false">IF($F675="","",IF($P675="Cancelada",0,IF(OR($O675&lt;&gt;"",$P675="Concluída"),1,0)))</f>
        <v/>
      </c>
    </row>
    <row r="676" customFormat="false" ht="16.5" hidden="false" customHeight="true" outlineLevel="0" collapsed="false">
      <c r="A676" s="36" t="str">
        <f aca="false">IF($F676="","",COUNTA($F$5:$F676))</f>
        <v/>
      </c>
      <c r="B676" s="37" t="str">
        <f aca="true">IF($F676="","",IF($P676="Cancelada","Cancelada",IF(OR($O676&lt;&gt;"",$P676="Concluída"),IF(OR($N676="",$O676="",$O676&lt;=$N676),"Concluída","Concluída com atraso"),IF($N676="","Na carteira",IF($N676&lt;TODAY(),"VENCIDA",IF($P676="Em execução","Em execução",IF($N676=TODAY(),"Hoje","Programada")))))))</f>
        <v/>
      </c>
      <c r="C676" s="38"/>
      <c r="D676" s="38"/>
      <c r="E676" s="38"/>
      <c r="F676" s="38"/>
      <c r="G676" s="39"/>
      <c r="H676" s="39"/>
      <c r="I676" s="40"/>
      <c r="J676" s="40"/>
      <c r="K676" s="40"/>
      <c r="L676" s="41"/>
      <c r="M676" s="42"/>
      <c r="N676" s="43" t="str">
        <f aca="false">IF(OR($L676="",$M676=""),"",$L676+MATCH($M676,Listas!$F$5:$F$11,0)-1)</f>
        <v/>
      </c>
      <c r="O676" s="44"/>
      <c r="P676" s="39"/>
      <c r="Q676" s="44"/>
      <c r="R676" s="38"/>
      <c r="S676" s="38"/>
      <c r="T676" s="36" t="str">
        <f aca="false">IF($F676="","",IF(ISNUMBER(SEARCH("(externo)",$I676&amp;$J676&amp;$K676)),"Terceirizada","Interna"))</f>
        <v/>
      </c>
      <c r="U676" s="43" t="str">
        <f aca="false">IF($N676="","",IF($Q676="",$N676,$Q676))</f>
        <v/>
      </c>
      <c r="V676" s="36" t="str">
        <f aca="false">IF($F676="","",IF(OR($O676="",$N676=""),0,IF($O676&lt;=$N676,1,0)))</f>
        <v/>
      </c>
      <c r="W676" s="36" t="str">
        <f aca="false">IF($F676="","",IF(OR($O676="",$U676=""),0,IF($O676&lt;=$U676,1,0)))</f>
        <v/>
      </c>
      <c r="X676" s="37" t="str">
        <f aca="false">IF(OR($O676="",$N676=""),"",MAX(0,$O676-$N676))</f>
        <v/>
      </c>
      <c r="Y676" s="36" t="str">
        <f aca="false">IF($F676="","",IF(AND($Q676&lt;&gt;"",$N676&lt;&gt;"",$Q676&lt;&gt;$N676),1,0))</f>
        <v/>
      </c>
      <c r="Z676" s="36" t="str">
        <f aca="false">IF($F676="","",IF($P676="Cancelada",0,IF(OR($O676&lt;&gt;"",$P676="Concluída"),1,0)))</f>
        <v/>
      </c>
    </row>
    <row r="677" customFormat="false" ht="16.5" hidden="false" customHeight="true" outlineLevel="0" collapsed="false">
      <c r="A677" s="36" t="str">
        <f aca="false">IF($F677="","",COUNTA($F$5:$F677))</f>
        <v/>
      </c>
      <c r="B677" s="37" t="str">
        <f aca="true">IF($F677="","",IF($P677="Cancelada","Cancelada",IF(OR($O677&lt;&gt;"",$P677="Concluída"),IF(OR($N677="",$O677="",$O677&lt;=$N677),"Concluída","Concluída com atraso"),IF($N677="","Na carteira",IF($N677&lt;TODAY(),"VENCIDA",IF($P677="Em execução","Em execução",IF($N677=TODAY(),"Hoje","Programada")))))))</f>
        <v/>
      </c>
      <c r="C677" s="38"/>
      <c r="D677" s="38"/>
      <c r="E677" s="38"/>
      <c r="F677" s="38"/>
      <c r="G677" s="39"/>
      <c r="H677" s="39"/>
      <c r="I677" s="40"/>
      <c r="J677" s="40"/>
      <c r="K677" s="40"/>
      <c r="L677" s="41"/>
      <c r="M677" s="42"/>
      <c r="N677" s="43" t="str">
        <f aca="false">IF(OR($L677="",$M677=""),"",$L677+MATCH($M677,Listas!$F$5:$F$11,0)-1)</f>
        <v/>
      </c>
      <c r="O677" s="44"/>
      <c r="P677" s="39"/>
      <c r="Q677" s="44"/>
      <c r="R677" s="38"/>
      <c r="S677" s="38"/>
      <c r="T677" s="36" t="str">
        <f aca="false">IF($F677="","",IF(ISNUMBER(SEARCH("(externo)",$I677&amp;$J677&amp;$K677)),"Terceirizada","Interna"))</f>
        <v/>
      </c>
      <c r="U677" s="43" t="str">
        <f aca="false">IF($N677="","",IF($Q677="",$N677,$Q677))</f>
        <v/>
      </c>
      <c r="V677" s="36" t="str">
        <f aca="false">IF($F677="","",IF(OR($O677="",$N677=""),0,IF($O677&lt;=$N677,1,0)))</f>
        <v/>
      </c>
      <c r="W677" s="36" t="str">
        <f aca="false">IF($F677="","",IF(OR($O677="",$U677=""),0,IF($O677&lt;=$U677,1,0)))</f>
        <v/>
      </c>
      <c r="X677" s="37" t="str">
        <f aca="false">IF(OR($O677="",$N677=""),"",MAX(0,$O677-$N677))</f>
        <v/>
      </c>
      <c r="Y677" s="36" t="str">
        <f aca="false">IF($F677="","",IF(AND($Q677&lt;&gt;"",$N677&lt;&gt;"",$Q677&lt;&gt;$N677),1,0))</f>
        <v/>
      </c>
      <c r="Z677" s="36" t="str">
        <f aca="false">IF($F677="","",IF($P677="Cancelada",0,IF(OR($O677&lt;&gt;"",$P677="Concluída"),1,0)))</f>
        <v/>
      </c>
    </row>
    <row r="678" customFormat="false" ht="16.5" hidden="false" customHeight="true" outlineLevel="0" collapsed="false">
      <c r="A678" s="36" t="str">
        <f aca="false">IF($F678="","",COUNTA($F$5:$F678))</f>
        <v/>
      </c>
      <c r="B678" s="37" t="str">
        <f aca="true">IF($F678="","",IF($P678="Cancelada","Cancelada",IF(OR($O678&lt;&gt;"",$P678="Concluída"),IF(OR($N678="",$O678="",$O678&lt;=$N678),"Concluída","Concluída com atraso"),IF($N678="","Na carteira",IF($N678&lt;TODAY(),"VENCIDA",IF($P678="Em execução","Em execução",IF($N678=TODAY(),"Hoje","Programada")))))))</f>
        <v/>
      </c>
      <c r="C678" s="38"/>
      <c r="D678" s="38"/>
      <c r="E678" s="38"/>
      <c r="F678" s="38"/>
      <c r="G678" s="39"/>
      <c r="H678" s="39"/>
      <c r="I678" s="40"/>
      <c r="J678" s="40"/>
      <c r="K678" s="40"/>
      <c r="L678" s="41"/>
      <c r="M678" s="42"/>
      <c r="N678" s="43" t="str">
        <f aca="false">IF(OR($L678="",$M678=""),"",$L678+MATCH($M678,Listas!$F$5:$F$11,0)-1)</f>
        <v/>
      </c>
      <c r="O678" s="44"/>
      <c r="P678" s="39"/>
      <c r="Q678" s="44"/>
      <c r="R678" s="38"/>
      <c r="S678" s="38"/>
      <c r="T678" s="36" t="str">
        <f aca="false">IF($F678="","",IF(ISNUMBER(SEARCH("(externo)",$I678&amp;$J678&amp;$K678)),"Terceirizada","Interna"))</f>
        <v/>
      </c>
      <c r="U678" s="43" t="str">
        <f aca="false">IF($N678="","",IF($Q678="",$N678,$Q678))</f>
        <v/>
      </c>
      <c r="V678" s="36" t="str">
        <f aca="false">IF($F678="","",IF(OR($O678="",$N678=""),0,IF($O678&lt;=$N678,1,0)))</f>
        <v/>
      </c>
      <c r="W678" s="36" t="str">
        <f aca="false">IF($F678="","",IF(OR($O678="",$U678=""),0,IF($O678&lt;=$U678,1,0)))</f>
        <v/>
      </c>
      <c r="X678" s="37" t="str">
        <f aca="false">IF(OR($O678="",$N678=""),"",MAX(0,$O678-$N678))</f>
        <v/>
      </c>
      <c r="Y678" s="36" t="str">
        <f aca="false">IF($F678="","",IF(AND($Q678&lt;&gt;"",$N678&lt;&gt;"",$Q678&lt;&gt;$N678),1,0))</f>
        <v/>
      </c>
      <c r="Z678" s="36" t="str">
        <f aca="false">IF($F678="","",IF($P678="Cancelada",0,IF(OR($O678&lt;&gt;"",$P678="Concluída"),1,0)))</f>
        <v/>
      </c>
    </row>
    <row r="679" customFormat="false" ht="16.5" hidden="false" customHeight="true" outlineLevel="0" collapsed="false">
      <c r="A679" s="36" t="str">
        <f aca="false">IF($F679="","",COUNTA($F$5:$F679))</f>
        <v/>
      </c>
      <c r="B679" s="37" t="str">
        <f aca="true">IF($F679="","",IF($P679="Cancelada","Cancelada",IF(OR($O679&lt;&gt;"",$P679="Concluída"),IF(OR($N679="",$O679="",$O679&lt;=$N679),"Concluída","Concluída com atraso"),IF($N679="","Na carteira",IF($N679&lt;TODAY(),"VENCIDA",IF($P679="Em execução","Em execução",IF($N679=TODAY(),"Hoje","Programada")))))))</f>
        <v/>
      </c>
      <c r="C679" s="38"/>
      <c r="D679" s="38"/>
      <c r="E679" s="38"/>
      <c r="F679" s="38"/>
      <c r="G679" s="39"/>
      <c r="H679" s="39"/>
      <c r="I679" s="40"/>
      <c r="J679" s="40"/>
      <c r="K679" s="40"/>
      <c r="L679" s="41"/>
      <c r="M679" s="42"/>
      <c r="N679" s="43" t="str">
        <f aca="false">IF(OR($L679="",$M679=""),"",$L679+MATCH($M679,Listas!$F$5:$F$11,0)-1)</f>
        <v/>
      </c>
      <c r="O679" s="44"/>
      <c r="P679" s="39"/>
      <c r="Q679" s="44"/>
      <c r="R679" s="38"/>
      <c r="S679" s="38"/>
      <c r="T679" s="36" t="str">
        <f aca="false">IF($F679="","",IF(ISNUMBER(SEARCH("(externo)",$I679&amp;$J679&amp;$K679)),"Terceirizada","Interna"))</f>
        <v/>
      </c>
      <c r="U679" s="43" t="str">
        <f aca="false">IF($N679="","",IF($Q679="",$N679,$Q679))</f>
        <v/>
      </c>
      <c r="V679" s="36" t="str">
        <f aca="false">IF($F679="","",IF(OR($O679="",$N679=""),0,IF($O679&lt;=$N679,1,0)))</f>
        <v/>
      </c>
      <c r="W679" s="36" t="str">
        <f aca="false">IF($F679="","",IF(OR($O679="",$U679=""),0,IF($O679&lt;=$U679,1,0)))</f>
        <v/>
      </c>
      <c r="X679" s="37" t="str">
        <f aca="false">IF(OR($O679="",$N679=""),"",MAX(0,$O679-$N679))</f>
        <v/>
      </c>
      <c r="Y679" s="36" t="str">
        <f aca="false">IF($F679="","",IF(AND($Q679&lt;&gt;"",$N679&lt;&gt;"",$Q679&lt;&gt;$N679),1,0))</f>
        <v/>
      </c>
      <c r="Z679" s="36" t="str">
        <f aca="false">IF($F679="","",IF($P679="Cancelada",0,IF(OR($O679&lt;&gt;"",$P679="Concluída"),1,0)))</f>
        <v/>
      </c>
    </row>
    <row r="680" customFormat="false" ht="16.5" hidden="false" customHeight="true" outlineLevel="0" collapsed="false">
      <c r="A680" s="36" t="str">
        <f aca="false">IF($F680="","",COUNTA($F$5:$F680))</f>
        <v/>
      </c>
      <c r="B680" s="37" t="str">
        <f aca="true">IF($F680="","",IF($P680="Cancelada","Cancelada",IF(OR($O680&lt;&gt;"",$P680="Concluída"),IF(OR($N680="",$O680="",$O680&lt;=$N680),"Concluída","Concluída com atraso"),IF($N680="","Na carteira",IF($N680&lt;TODAY(),"VENCIDA",IF($P680="Em execução","Em execução",IF($N680=TODAY(),"Hoje","Programada")))))))</f>
        <v/>
      </c>
      <c r="C680" s="38"/>
      <c r="D680" s="38"/>
      <c r="E680" s="38"/>
      <c r="F680" s="38"/>
      <c r="G680" s="39"/>
      <c r="H680" s="39"/>
      <c r="I680" s="40"/>
      <c r="J680" s="40"/>
      <c r="K680" s="40"/>
      <c r="L680" s="41"/>
      <c r="M680" s="42"/>
      <c r="N680" s="43" t="str">
        <f aca="false">IF(OR($L680="",$M680=""),"",$L680+MATCH($M680,Listas!$F$5:$F$11,0)-1)</f>
        <v/>
      </c>
      <c r="O680" s="44"/>
      <c r="P680" s="39"/>
      <c r="Q680" s="44"/>
      <c r="R680" s="38"/>
      <c r="S680" s="38"/>
      <c r="T680" s="36" t="str">
        <f aca="false">IF($F680="","",IF(ISNUMBER(SEARCH("(externo)",$I680&amp;$J680&amp;$K680)),"Terceirizada","Interna"))</f>
        <v/>
      </c>
      <c r="U680" s="43" t="str">
        <f aca="false">IF($N680="","",IF($Q680="",$N680,$Q680))</f>
        <v/>
      </c>
      <c r="V680" s="36" t="str">
        <f aca="false">IF($F680="","",IF(OR($O680="",$N680=""),0,IF($O680&lt;=$N680,1,0)))</f>
        <v/>
      </c>
      <c r="W680" s="36" t="str">
        <f aca="false">IF($F680="","",IF(OR($O680="",$U680=""),0,IF($O680&lt;=$U680,1,0)))</f>
        <v/>
      </c>
      <c r="X680" s="37" t="str">
        <f aca="false">IF(OR($O680="",$N680=""),"",MAX(0,$O680-$N680))</f>
        <v/>
      </c>
      <c r="Y680" s="36" t="str">
        <f aca="false">IF($F680="","",IF(AND($Q680&lt;&gt;"",$N680&lt;&gt;"",$Q680&lt;&gt;$N680),1,0))</f>
        <v/>
      </c>
      <c r="Z680" s="36" t="str">
        <f aca="false">IF($F680="","",IF($P680="Cancelada",0,IF(OR($O680&lt;&gt;"",$P680="Concluída"),1,0)))</f>
        <v/>
      </c>
    </row>
    <row r="681" customFormat="false" ht="16.5" hidden="false" customHeight="true" outlineLevel="0" collapsed="false">
      <c r="A681" s="36" t="str">
        <f aca="false">IF($F681="","",COUNTA($F$5:$F681))</f>
        <v/>
      </c>
      <c r="B681" s="37" t="str">
        <f aca="true">IF($F681="","",IF($P681="Cancelada","Cancelada",IF(OR($O681&lt;&gt;"",$P681="Concluída"),IF(OR($N681="",$O681="",$O681&lt;=$N681),"Concluída","Concluída com atraso"),IF($N681="","Na carteira",IF($N681&lt;TODAY(),"VENCIDA",IF($P681="Em execução","Em execução",IF($N681=TODAY(),"Hoje","Programada")))))))</f>
        <v/>
      </c>
      <c r="C681" s="38"/>
      <c r="D681" s="38"/>
      <c r="E681" s="38"/>
      <c r="F681" s="38"/>
      <c r="G681" s="39"/>
      <c r="H681" s="39"/>
      <c r="I681" s="40"/>
      <c r="J681" s="40"/>
      <c r="K681" s="40"/>
      <c r="L681" s="41"/>
      <c r="M681" s="42"/>
      <c r="N681" s="43" t="str">
        <f aca="false">IF(OR($L681="",$M681=""),"",$L681+MATCH($M681,Listas!$F$5:$F$11,0)-1)</f>
        <v/>
      </c>
      <c r="O681" s="44"/>
      <c r="P681" s="39"/>
      <c r="Q681" s="44"/>
      <c r="R681" s="38"/>
      <c r="S681" s="38"/>
      <c r="T681" s="36" t="str">
        <f aca="false">IF($F681="","",IF(ISNUMBER(SEARCH("(externo)",$I681&amp;$J681&amp;$K681)),"Terceirizada","Interna"))</f>
        <v/>
      </c>
      <c r="U681" s="43" t="str">
        <f aca="false">IF($N681="","",IF($Q681="",$N681,$Q681))</f>
        <v/>
      </c>
      <c r="V681" s="36" t="str">
        <f aca="false">IF($F681="","",IF(OR($O681="",$N681=""),0,IF($O681&lt;=$N681,1,0)))</f>
        <v/>
      </c>
      <c r="W681" s="36" t="str">
        <f aca="false">IF($F681="","",IF(OR($O681="",$U681=""),0,IF($O681&lt;=$U681,1,0)))</f>
        <v/>
      </c>
      <c r="X681" s="37" t="str">
        <f aca="false">IF(OR($O681="",$N681=""),"",MAX(0,$O681-$N681))</f>
        <v/>
      </c>
      <c r="Y681" s="36" t="str">
        <f aca="false">IF($F681="","",IF(AND($Q681&lt;&gt;"",$N681&lt;&gt;"",$Q681&lt;&gt;$N681),1,0))</f>
        <v/>
      </c>
      <c r="Z681" s="36" t="str">
        <f aca="false">IF($F681="","",IF($P681="Cancelada",0,IF(OR($O681&lt;&gt;"",$P681="Concluída"),1,0)))</f>
        <v/>
      </c>
    </row>
    <row r="682" customFormat="false" ht="16.5" hidden="false" customHeight="true" outlineLevel="0" collapsed="false">
      <c r="A682" s="36" t="str">
        <f aca="false">IF($F682="","",COUNTA($F$5:$F682))</f>
        <v/>
      </c>
      <c r="B682" s="37" t="str">
        <f aca="true">IF($F682="","",IF($P682="Cancelada","Cancelada",IF(OR($O682&lt;&gt;"",$P682="Concluída"),IF(OR($N682="",$O682="",$O682&lt;=$N682),"Concluída","Concluída com atraso"),IF($N682="","Na carteira",IF($N682&lt;TODAY(),"VENCIDA",IF($P682="Em execução","Em execução",IF($N682=TODAY(),"Hoje","Programada")))))))</f>
        <v/>
      </c>
      <c r="C682" s="38"/>
      <c r="D682" s="38"/>
      <c r="E682" s="38"/>
      <c r="F682" s="38"/>
      <c r="G682" s="39"/>
      <c r="H682" s="39"/>
      <c r="I682" s="40"/>
      <c r="J682" s="40"/>
      <c r="K682" s="40"/>
      <c r="L682" s="41"/>
      <c r="M682" s="42"/>
      <c r="N682" s="43" t="str">
        <f aca="false">IF(OR($L682="",$M682=""),"",$L682+MATCH($M682,Listas!$F$5:$F$11,0)-1)</f>
        <v/>
      </c>
      <c r="O682" s="44"/>
      <c r="P682" s="39"/>
      <c r="Q682" s="44"/>
      <c r="R682" s="38"/>
      <c r="S682" s="38"/>
      <c r="T682" s="36" t="str">
        <f aca="false">IF($F682="","",IF(ISNUMBER(SEARCH("(externo)",$I682&amp;$J682&amp;$K682)),"Terceirizada","Interna"))</f>
        <v/>
      </c>
      <c r="U682" s="43" t="str">
        <f aca="false">IF($N682="","",IF($Q682="",$N682,$Q682))</f>
        <v/>
      </c>
      <c r="V682" s="36" t="str">
        <f aca="false">IF($F682="","",IF(OR($O682="",$N682=""),0,IF($O682&lt;=$N682,1,0)))</f>
        <v/>
      </c>
      <c r="W682" s="36" t="str">
        <f aca="false">IF($F682="","",IF(OR($O682="",$U682=""),0,IF($O682&lt;=$U682,1,0)))</f>
        <v/>
      </c>
      <c r="X682" s="37" t="str">
        <f aca="false">IF(OR($O682="",$N682=""),"",MAX(0,$O682-$N682))</f>
        <v/>
      </c>
      <c r="Y682" s="36" t="str">
        <f aca="false">IF($F682="","",IF(AND($Q682&lt;&gt;"",$N682&lt;&gt;"",$Q682&lt;&gt;$N682),1,0))</f>
        <v/>
      </c>
      <c r="Z682" s="36" t="str">
        <f aca="false">IF($F682="","",IF($P682="Cancelada",0,IF(OR($O682&lt;&gt;"",$P682="Concluída"),1,0)))</f>
        <v/>
      </c>
    </row>
    <row r="683" customFormat="false" ht="16.5" hidden="false" customHeight="true" outlineLevel="0" collapsed="false">
      <c r="A683" s="36" t="str">
        <f aca="false">IF($F683="","",COUNTA($F$5:$F683))</f>
        <v/>
      </c>
      <c r="B683" s="37" t="str">
        <f aca="true">IF($F683="","",IF($P683="Cancelada","Cancelada",IF(OR($O683&lt;&gt;"",$P683="Concluída"),IF(OR($N683="",$O683="",$O683&lt;=$N683),"Concluída","Concluída com atraso"),IF($N683="","Na carteira",IF($N683&lt;TODAY(),"VENCIDA",IF($P683="Em execução","Em execução",IF($N683=TODAY(),"Hoje","Programada")))))))</f>
        <v/>
      </c>
      <c r="C683" s="38"/>
      <c r="D683" s="38"/>
      <c r="E683" s="38"/>
      <c r="F683" s="38"/>
      <c r="G683" s="39"/>
      <c r="H683" s="39"/>
      <c r="I683" s="40"/>
      <c r="J683" s="40"/>
      <c r="K683" s="40"/>
      <c r="L683" s="41"/>
      <c r="M683" s="42"/>
      <c r="N683" s="43" t="str">
        <f aca="false">IF(OR($L683="",$M683=""),"",$L683+MATCH($M683,Listas!$F$5:$F$11,0)-1)</f>
        <v/>
      </c>
      <c r="O683" s="44"/>
      <c r="P683" s="39"/>
      <c r="Q683" s="44"/>
      <c r="R683" s="38"/>
      <c r="S683" s="38"/>
      <c r="T683" s="36" t="str">
        <f aca="false">IF($F683="","",IF(ISNUMBER(SEARCH("(externo)",$I683&amp;$J683&amp;$K683)),"Terceirizada","Interna"))</f>
        <v/>
      </c>
      <c r="U683" s="43" t="str">
        <f aca="false">IF($N683="","",IF($Q683="",$N683,$Q683))</f>
        <v/>
      </c>
      <c r="V683" s="36" t="str">
        <f aca="false">IF($F683="","",IF(OR($O683="",$N683=""),0,IF($O683&lt;=$N683,1,0)))</f>
        <v/>
      </c>
      <c r="W683" s="36" t="str">
        <f aca="false">IF($F683="","",IF(OR($O683="",$U683=""),0,IF($O683&lt;=$U683,1,0)))</f>
        <v/>
      </c>
      <c r="X683" s="37" t="str">
        <f aca="false">IF(OR($O683="",$N683=""),"",MAX(0,$O683-$N683))</f>
        <v/>
      </c>
      <c r="Y683" s="36" t="str">
        <f aca="false">IF($F683="","",IF(AND($Q683&lt;&gt;"",$N683&lt;&gt;"",$Q683&lt;&gt;$N683),1,0))</f>
        <v/>
      </c>
      <c r="Z683" s="36" t="str">
        <f aca="false">IF($F683="","",IF($P683="Cancelada",0,IF(OR($O683&lt;&gt;"",$P683="Concluída"),1,0)))</f>
        <v/>
      </c>
    </row>
    <row r="684" customFormat="false" ht="16.5" hidden="false" customHeight="true" outlineLevel="0" collapsed="false">
      <c r="A684" s="36" t="str">
        <f aca="false">IF($F684="","",COUNTA($F$5:$F684))</f>
        <v/>
      </c>
      <c r="B684" s="37" t="str">
        <f aca="true">IF($F684="","",IF($P684="Cancelada","Cancelada",IF(OR($O684&lt;&gt;"",$P684="Concluída"),IF(OR($N684="",$O684="",$O684&lt;=$N684),"Concluída","Concluída com atraso"),IF($N684="","Na carteira",IF($N684&lt;TODAY(),"VENCIDA",IF($P684="Em execução","Em execução",IF($N684=TODAY(),"Hoje","Programada")))))))</f>
        <v/>
      </c>
      <c r="C684" s="38"/>
      <c r="D684" s="38"/>
      <c r="E684" s="38"/>
      <c r="F684" s="38"/>
      <c r="G684" s="39"/>
      <c r="H684" s="39"/>
      <c r="I684" s="40"/>
      <c r="J684" s="40"/>
      <c r="K684" s="40"/>
      <c r="L684" s="41"/>
      <c r="M684" s="42"/>
      <c r="N684" s="43" t="str">
        <f aca="false">IF(OR($L684="",$M684=""),"",$L684+MATCH($M684,Listas!$F$5:$F$11,0)-1)</f>
        <v/>
      </c>
      <c r="O684" s="44"/>
      <c r="P684" s="39"/>
      <c r="Q684" s="44"/>
      <c r="R684" s="38"/>
      <c r="S684" s="38"/>
      <c r="T684" s="36" t="str">
        <f aca="false">IF($F684="","",IF(ISNUMBER(SEARCH("(externo)",$I684&amp;$J684&amp;$K684)),"Terceirizada","Interna"))</f>
        <v/>
      </c>
      <c r="U684" s="43" t="str">
        <f aca="false">IF($N684="","",IF($Q684="",$N684,$Q684))</f>
        <v/>
      </c>
      <c r="V684" s="36" t="str">
        <f aca="false">IF($F684="","",IF(OR($O684="",$N684=""),0,IF($O684&lt;=$N684,1,0)))</f>
        <v/>
      </c>
      <c r="W684" s="36" t="str">
        <f aca="false">IF($F684="","",IF(OR($O684="",$U684=""),0,IF($O684&lt;=$U684,1,0)))</f>
        <v/>
      </c>
      <c r="X684" s="37" t="str">
        <f aca="false">IF(OR($O684="",$N684=""),"",MAX(0,$O684-$N684))</f>
        <v/>
      </c>
      <c r="Y684" s="36" t="str">
        <f aca="false">IF($F684="","",IF(AND($Q684&lt;&gt;"",$N684&lt;&gt;"",$Q684&lt;&gt;$N684),1,0))</f>
        <v/>
      </c>
      <c r="Z684" s="36" t="str">
        <f aca="false">IF($F684="","",IF($P684="Cancelada",0,IF(OR($O684&lt;&gt;"",$P684="Concluída"),1,0)))</f>
        <v/>
      </c>
    </row>
    <row r="685" customFormat="false" ht="16.5" hidden="false" customHeight="true" outlineLevel="0" collapsed="false">
      <c r="A685" s="36" t="str">
        <f aca="false">IF($F685="","",COUNTA($F$5:$F685))</f>
        <v/>
      </c>
      <c r="B685" s="37" t="str">
        <f aca="true">IF($F685="","",IF($P685="Cancelada","Cancelada",IF(OR($O685&lt;&gt;"",$P685="Concluída"),IF(OR($N685="",$O685="",$O685&lt;=$N685),"Concluída","Concluída com atraso"),IF($N685="","Na carteira",IF($N685&lt;TODAY(),"VENCIDA",IF($P685="Em execução","Em execução",IF($N685=TODAY(),"Hoje","Programada")))))))</f>
        <v/>
      </c>
      <c r="C685" s="38"/>
      <c r="D685" s="38"/>
      <c r="E685" s="38"/>
      <c r="F685" s="38"/>
      <c r="G685" s="39"/>
      <c r="H685" s="39"/>
      <c r="I685" s="40"/>
      <c r="J685" s="40"/>
      <c r="K685" s="40"/>
      <c r="L685" s="41"/>
      <c r="M685" s="42"/>
      <c r="N685" s="43" t="str">
        <f aca="false">IF(OR($L685="",$M685=""),"",$L685+MATCH($M685,Listas!$F$5:$F$11,0)-1)</f>
        <v/>
      </c>
      <c r="O685" s="44"/>
      <c r="P685" s="39"/>
      <c r="Q685" s="44"/>
      <c r="R685" s="38"/>
      <c r="S685" s="38"/>
      <c r="T685" s="36" t="str">
        <f aca="false">IF($F685="","",IF(ISNUMBER(SEARCH("(externo)",$I685&amp;$J685&amp;$K685)),"Terceirizada","Interna"))</f>
        <v/>
      </c>
      <c r="U685" s="43" t="str">
        <f aca="false">IF($N685="","",IF($Q685="",$N685,$Q685))</f>
        <v/>
      </c>
      <c r="V685" s="36" t="str">
        <f aca="false">IF($F685="","",IF(OR($O685="",$N685=""),0,IF($O685&lt;=$N685,1,0)))</f>
        <v/>
      </c>
      <c r="W685" s="36" t="str">
        <f aca="false">IF($F685="","",IF(OR($O685="",$U685=""),0,IF($O685&lt;=$U685,1,0)))</f>
        <v/>
      </c>
      <c r="X685" s="37" t="str">
        <f aca="false">IF(OR($O685="",$N685=""),"",MAX(0,$O685-$N685))</f>
        <v/>
      </c>
      <c r="Y685" s="36" t="str">
        <f aca="false">IF($F685="","",IF(AND($Q685&lt;&gt;"",$N685&lt;&gt;"",$Q685&lt;&gt;$N685),1,0))</f>
        <v/>
      </c>
      <c r="Z685" s="36" t="str">
        <f aca="false">IF($F685="","",IF($P685="Cancelada",0,IF(OR($O685&lt;&gt;"",$P685="Concluída"),1,0)))</f>
        <v/>
      </c>
    </row>
    <row r="686" customFormat="false" ht="16.5" hidden="false" customHeight="true" outlineLevel="0" collapsed="false">
      <c r="A686" s="36" t="str">
        <f aca="false">IF($F686="","",COUNTA($F$5:$F686))</f>
        <v/>
      </c>
      <c r="B686" s="37" t="str">
        <f aca="true">IF($F686="","",IF($P686="Cancelada","Cancelada",IF(OR($O686&lt;&gt;"",$P686="Concluída"),IF(OR($N686="",$O686="",$O686&lt;=$N686),"Concluída","Concluída com atraso"),IF($N686="","Na carteira",IF($N686&lt;TODAY(),"VENCIDA",IF($P686="Em execução","Em execução",IF($N686=TODAY(),"Hoje","Programada")))))))</f>
        <v/>
      </c>
      <c r="C686" s="38"/>
      <c r="D686" s="38"/>
      <c r="E686" s="38"/>
      <c r="F686" s="38"/>
      <c r="G686" s="39"/>
      <c r="H686" s="39"/>
      <c r="I686" s="40"/>
      <c r="J686" s="40"/>
      <c r="K686" s="40"/>
      <c r="L686" s="41"/>
      <c r="M686" s="42"/>
      <c r="N686" s="43" t="str">
        <f aca="false">IF(OR($L686="",$M686=""),"",$L686+MATCH($M686,Listas!$F$5:$F$11,0)-1)</f>
        <v/>
      </c>
      <c r="O686" s="44"/>
      <c r="P686" s="39"/>
      <c r="Q686" s="44"/>
      <c r="R686" s="38"/>
      <c r="S686" s="38"/>
      <c r="T686" s="36" t="str">
        <f aca="false">IF($F686="","",IF(ISNUMBER(SEARCH("(externo)",$I686&amp;$J686&amp;$K686)),"Terceirizada","Interna"))</f>
        <v/>
      </c>
      <c r="U686" s="43" t="str">
        <f aca="false">IF($N686="","",IF($Q686="",$N686,$Q686))</f>
        <v/>
      </c>
      <c r="V686" s="36" t="str">
        <f aca="false">IF($F686="","",IF(OR($O686="",$N686=""),0,IF($O686&lt;=$N686,1,0)))</f>
        <v/>
      </c>
      <c r="W686" s="36" t="str">
        <f aca="false">IF($F686="","",IF(OR($O686="",$U686=""),0,IF($O686&lt;=$U686,1,0)))</f>
        <v/>
      </c>
      <c r="X686" s="37" t="str">
        <f aca="false">IF(OR($O686="",$N686=""),"",MAX(0,$O686-$N686))</f>
        <v/>
      </c>
      <c r="Y686" s="36" t="str">
        <f aca="false">IF($F686="","",IF(AND($Q686&lt;&gt;"",$N686&lt;&gt;"",$Q686&lt;&gt;$N686),1,0))</f>
        <v/>
      </c>
      <c r="Z686" s="36" t="str">
        <f aca="false">IF($F686="","",IF($P686="Cancelada",0,IF(OR($O686&lt;&gt;"",$P686="Concluída"),1,0)))</f>
        <v/>
      </c>
    </row>
    <row r="687" customFormat="false" ht="16.5" hidden="false" customHeight="true" outlineLevel="0" collapsed="false">
      <c r="A687" s="36" t="str">
        <f aca="false">IF($F687="","",COUNTA($F$5:$F687))</f>
        <v/>
      </c>
      <c r="B687" s="37" t="str">
        <f aca="true">IF($F687="","",IF($P687="Cancelada","Cancelada",IF(OR($O687&lt;&gt;"",$P687="Concluída"),IF(OR($N687="",$O687="",$O687&lt;=$N687),"Concluída","Concluída com atraso"),IF($N687="","Na carteira",IF($N687&lt;TODAY(),"VENCIDA",IF($P687="Em execução","Em execução",IF($N687=TODAY(),"Hoje","Programada")))))))</f>
        <v/>
      </c>
      <c r="C687" s="38"/>
      <c r="D687" s="38"/>
      <c r="E687" s="38"/>
      <c r="F687" s="38"/>
      <c r="G687" s="39"/>
      <c r="H687" s="39"/>
      <c r="I687" s="40"/>
      <c r="J687" s="40"/>
      <c r="K687" s="40"/>
      <c r="L687" s="41"/>
      <c r="M687" s="42"/>
      <c r="N687" s="43" t="str">
        <f aca="false">IF(OR($L687="",$M687=""),"",$L687+MATCH($M687,Listas!$F$5:$F$11,0)-1)</f>
        <v/>
      </c>
      <c r="O687" s="44"/>
      <c r="P687" s="39"/>
      <c r="Q687" s="44"/>
      <c r="R687" s="38"/>
      <c r="S687" s="38"/>
      <c r="T687" s="36" t="str">
        <f aca="false">IF($F687="","",IF(ISNUMBER(SEARCH("(externo)",$I687&amp;$J687&amp;$K687)),"Terceirizada","Interna"))</f>
        <v/>
      </c>
      <c r="U687" s="43" t="str">
        <f aca="false">IF($N687="","",IF($Q687="",$N687,$Q687))</f>
        <v/>
      </c>
      <c r="V687" s="36" t="str">
        <f aca="false">IF($F687="","",IF(OR($O687="",$N687=""),0,IF($O687&lt;=$N687,1,0)))</f>
        <v/>
      </c>
      <c r="W687" s="36" t="str">
        <f aca="false">IF($F687="","",IF(OR($O687="",$U687=""),0,IF($O687&lt;=$U687,1,0)))</f>
        <v/>
      </c>
      <c r="X687" s="37" t="str">
        <f aca="false">IF(OR($O687="",$N687=""),"",MAX(0,$O687-$N687))</f>
        <v/>
      </c>
      <c r="Y687" s="36" t="str">
        <f aca="false">IF($F687="","",IF(AND($Q687&lt;&gt;"",$N687&lt;&gt;"",$Q687&lt;&gt;$N687),1,0))</f>
        <v/>
      </c>
      <c r="Z687" s="36" t="str">
        <f aca="false">IF($F687="","",IF($P687="Cancelada",0,IF(OR($O687&lt;&gt;"",$P687="Concluída"),1,0)))</f>
        <v/>
      </c>
    </row>
    <row r="688" customFormat="false" ht="16.5" hidden="false" customHeight="true" outlineLevel="0" collapsed="false">
      <c r="A688" s="36" t="str">
        <f aca="false">IF($F688="","",COUNTA($F$5:$F688))</f>
        <v/>
      </c>
      <c r="B688" s="37" t="str">
        <f aca="true">IF($F688="","",IF($P688="Cancelada","Cancelada",IF(OR($O688&lt;&gt;"",$P688="Concluída"),IF(OR($N688="",$O688="",$O688&lt;=$N688),"Concluída","Concluída com atraso"),IF($N688="","Na carteira",IF($N688&lt;TODAY(),"VENCIDA",IF($P688="Em execução","Em execução",IF($N688=TODAY(),"Hoje","Programada")))))))</f>
        <v/>
      </c>
      <c r="C688" s="38"/>
      <c r="D688" s="38"/>
      <c r="E688" s="38"/>
      <c r="F688" s="38"/>
      <c r="G688" s="39"/>
      <c r="H688" s="39"/>
      <c r="I688" s="40"/>
      <c r="J688" s="40"/>
      <c r="K688" s="40"/>
      <c r="L688" s="41"/>
      <c r="M688" s="42"/>
      <c r="N688" s="43" t="str">
        <f aca="false">IF(OR($L688="",$M688=""),"",$L688+MATCH($M688,Listas!$F$5:$F$11,0)-1)</f>
        <v/>
      </c>
      <c r="O688" s="44"/>
      <c r="P688" s="39"/>
      <c r="Q688" s="44"/>
      <c r="R688" s="38"/>
      <c r="S688" s="38"/>
      <c r="T688" s="36" t="str">
        <f aca="false">IF($F688="","",IF(ISNUMBER(SEARCH("(externo)",$I688&amp;$J688&amp;$K688)),"Terceirizada","Interna"))</f>
        <v/>
      </c>
      <c r="U688" s="43" t="str">
        <f aca="false">IF($N688="","",IF($Q688="",$N688,$Q688))</f>
        <v/>
      </c>
      <c r="V688" s="36" t="str">
        <f aca="false">IF($F688="","",IF(OR($O688="",$N688=""),0,IF($O688&lt;=$N688,1,0)))</f>
        <v/>
      </c>
      <c r="W688" s="36" t="str">
        <f aca="false">IF($F688="","",IF(OR($O688="",$U688=""),0,IF($O688&lt;=$U688,1,0)))</f>
        <v/>
      </c>
      <c r="X688" s="37" t="str">
        <f aca="false">IF(OR($O688="",$N688=""),"",MAX(0,$O688-$N688))</f>
        <v/>
      </c>
      <c r="Y688" s="36" t="str">
        <f aca="false">IF($F688="","",IF(AND($Q688&lt;&gt;"",$N688&lt;&gt;"",$Q688&lt;&gt;$N688),1,0))</f>
        <v/>
      </c>
      <c r="Z688" s="36" t="str">
        <f aca="false">IF($F688="","",IF($P688="Cancelada",0,IF(OR($O688&lt;&gt;"",$P688="Concluída"),1,0)))</f>
        <v/>
      </c>
    </row>
    <row r="689" customFormat="false" ht="16.5" hidden="false" customHeight="true" outlineLevel="0" collapsed="false">
      <c r="A689" s="36" t="str">
        <f aca="false">IF($F689="","",COUNTA($F$5:$F689))</f>
        <v/>
      </c>
      <c r="B689" s="37" t="str">
        <f aca="true">IF($F689="","",IF($P689="Cancelada","Cancelada",IF(OR($O689&lt;&gt;"",$P689="Concluída"),IF(OR($N689="",$O689="",$O689&lt;=$N689),"Concluída","Concluída com atraso"),IF($N689="","Na carteira",IF($N689&lt;TODAY(),"VENCIDA",IF($P689="Em execução","Em execução",IF($N689=TODAY(),"Hoje","Programada")))))))</f>
        <v/>
      </c>
      <c r="C689" s="38"/>
      <c r="D689" s="38"/>
      <c r="E689" s="38"/>
      <c r="F689" s="38"/>
      <c r="G689" s="39"/>
      <c r="H689" s="39"/>
      <c r="I689" s="40"/>
      <c r="J689" s="40"/>
      <c r="K689" s="40"/>
      <c r="L689" s="41"/>
      <c r="M689" s="42"/>
      <c r="N689" s="43" t="str">
        <f aca="false">IF(OR($L689="",$M689=""),"",$L689+MATCH($M689,Listas!$F$5:$F$11,0)-1)</f>
        <v/>
      </c>
      <c r="O689" s="44"/>
      <c r="P689" s="39"/>
      <c r="Q689" s="44"/>
      <c r="R689" s="38"/>
      <c r="S689" s="38"/>
      <c r="T689" s="36" t="str">
        <f aca="false">IF($F689="","",IF(ISNUMBER(SEARCH("(externo)",$I689&amp;$J689&amp;$K689)),"Terceirizada","Interna"))</f>
        <v/>
      </c>
      <c r="U689" s="43" t="str">
        <f aca="false">IF($N689="","",IF($Q689="",$N689,$Q689))</f>
        <v/>
      </c>
      <c r="V689" s="36" t="str">
        <f aca="false">IF($F689="","",IF(OR($O689="",$N689=""),0,IF($O689&lt;=$N689,1,0)))</f>
        <v/>
      </c>
      <c r="W689" s="36" t="str">
        <f aca="false">IF($F689="","",IF(OR($O689="",$U689=""),0,IF($O689&lt;=$U689,1,0)))</f>
        <v/>
      </c>
      <c r="X689" s="37" t="str">
        <f aca="false">IF(OR($O689="",$N689=""),"",MAX(0,$O689-$N689))</f>
        <v/>
      </c>
      <c r="Y689" s="36" t="str">
        <f aca="false">IF($F689="","",IF(AND($Q689&lt;&gt;"",$N689&lt;&gt;"",$Q689&lt;&gt;$N689),1,0))</f>
        <v/>
      </c>
      <c r="Z689" s="36" t="str">
        <f aca="false">IF($F689="","",IF($P689="Cancelada",0,IF(OR($O689&lt;&gt;"",$P689="Concluída"),1,0)))</f>
        <v/>
      </c>
    </row>
    <row r="690" customFormat="false" ht="16.5" hidden="false" customHeight="true" outlineLevel="0" collapsed="false">
      <c r="A690" s="36" t="str">
        <f aca="false">IF($F690="","",COUNTA($F$5:$F690))</f>
        <v/>
      </c>
      <c r="B690" s="37" t="str">
        <f aca="true">IF($F690="","",IF($P690="Cancelada","Cancelada",IF(OR($O690&lt;&gt;"",$P690="Concluída"),IF(OR($N690="",$O690="",$O690&lt;=$N690),"Concluída","Concluída com atraso"),IF($N690="","Na carteira",IF($N690&lt;TODAY(),"VENCIDA",IF($P690="Em execução","Em execução",IF($N690=TODAY(),"Hoje","Programada")))))))</f>
        <v/>
      </c>
      <c r="C690" s="38"/>
      <c r="D690" s="38"/>
      <c r="E690" s="38"/>
      <c r="F690" s="38"/>
      <c r="G690" s="39"/>
      <c r="H690" s="39"/>
      <c r="I690" s="40"/>
      <c r="J690" s="40"/>
      <c r="K690" s="40"/>
      <c r="L690" s="41"/>
      <c r="M690" s="42"/>
      <c r="N690" s="43" t="str">
        <f aca="false">IF(OR($L690="",$M690=""),"",$L690+MATCH($M690,Listas!$F$5:$F$11,0)-1)</f>
        <v/>
      </c>
      <c r="O690" s="44"/>
      <c r="P690" s="39"/>
      <c r="Q690" s="44"/>
      <c r="R690" s="38"/>
      <c r="S690" s="38"/>
      <c r="T690" s="36" t="str">
        <f aca="false">IF($F690="","",IF(ISNUMBER(SEARCH("(externo)",$I690&amp;$J690&amp;$K690)),"Terceirizada","Interna"))</f>
        <v/>
      </c>
      <c r="U690" s="43" t="str">
        <f aca="false">IF($N690="","",IF($Q690="",$N690,$Q690))</f>
        <v/>
      </c>
      <c r="V690" s="36" t="str">
        <f aca="false">IF($F690="","",IF(OR($O690="",$N690=""),0,IF($O690&lt;=$N690,1,0)))</f>
        <v/>
      </c>
      <c r="W690" s="36" t="str">
        <f aca="false">IF($F690="","",IF(OR($O690="",$U690=""),0,IF($O690&lt;=$U690,1,0)))</f>
        <v/>
      </c>
      <c r="X690" s="37" t="str">
        <f aca="false">IF(OR($O690="",$N690=""),"",MAX(0,$O690-$N690))</f>
        <v/>
      </c>
      <c r="Y690" s="36" t="str">
        <f aca="false">IF($F690="","",IF(AND($Q690&lt;&gt;"",$N690&lt;&gt;"",$Q690&lt;&gt;$N690),1,0))</f>
        <v/>
      </c>
      <c r="Z690" s="36" t="str">
        <f aca="false">IF($F690="","",IF($P690="Cancelada",0,IF(OR($O690&lt;&gt;"",$P690="Concluída"),1,0)))</f>
        <v/>
      </c>
    </row>
    <row r="691" customFormat="false" ht="16.5" hidden="false" customHeight="true" outlineLevel="0" collapsed="false">
      <c r="A691" s="36" t="str">
        <f aca="false">IF($F691="","",COUNTA($F$5:$F691))</f>
        <v/>
      </c>
      <c r="B691" s="37" t="str">
        <f aca="true">IF($F691="","",IF($P691="Cancelada","Cancelada",IF(OR($O691&lt;&gt;"",$P691="Concluída"),IF(OR($N691="",$O691="",$O691&lt;=$N691),"Concluída","Concluída com atraso"),IF($N691="","Na carteira",IF($N691&lt;TODAY(),"VENCIDA",IF($P691="Em execução","Em execução",IF($N691=TODAY(),"Hoje","Programada")))))))</f>
        <v/>
      </c>
      <c r="C691" s="38"/>
      <c r="D691" s="38"/>
      <c r="E691" s="38"/>
      <c r="F691" s="38"/>
      <c r="G691" s="39"/>
      <c r="H691" s="39"/>
      <c r="I691" s="40"/>
      <c r="J691" s="40"/>
      <c r="K691" s="40"/>
      <c r="L691" s="41"/>
      <c r="M691" s="42"/>
      <c r="N691" s="43" t="str">
        <f aca="false">IF(OR($L691="",$M691=""),"",$L691+MATCH($M691,Listas!$F$5:$F$11,0)-1)</f>
        <v/>
      </c>
      <c r="O691" s="44"/>
      <c r="P691" s="39"/>
      <c r="Q691" s="44"/>
      <c r="R691" s="38"/>
      <c r="S691" s="38"/>
      <c r="T691" s="36" t="str">
        <f aca="false">IF($F691="","",IF(ISNUMBER(SEARCH("(externo)",$I691&amp;$J691&amp;$K691)),"Terceirizada","Interna"))</f>
        <v/>
      </c>
      <c r="U691" s="43" t="str">
        <f aca="false">IF($N691="","",IF($Q691="",$N691,$Q691))</f>
        <v/>
      </c>
      <c r="V691" s="36" t="str">
        <f aca="false">IF($F691="","",IF(OR($O691="",$N691=""),0,IF($O691&lt;=$N691,1,0)))</f>
        <v/>
      </c>
      <c r="W691" s="36" t="str">
        <f aca="false">IF($F691="","",IF(OR($O691="",$U691=""),0,IF($O691&lt;=$U691,1,0)))</f>
        <v/>
      </c>
      <c r="X691" s="37" t="str">
        <f aca="false">IF(OR($O691="",$N691=""),"",MAX(0,$O691-$N691))</f>
        <v/>
      </c>
      <c r="Y691" s="36" t="str">
        <f aca="false">IF($F691="","",IF(AND($Q691&lt;&gt;"",$N691&lt;&gt;"",$Q691&lt;&gt;$N691),1,0))</f>
        <v/>
      </c>
      <c r="Z691" s="36" t="str">
        <f aca="false">IF($F691="","",IF($P691="Cancelada",0,IF(OR($O691&lt;&gt;"",$P691="Concluída"),1,0)))</f>
        <v/>
      </c>
    </row>
    <row r="692" customFormat="false" ht="16.5" hidden="false" customHeight="true" outlineLevel="0" collapsed="false">
      <c r="A692" s="36" t="str">
        <f aca="false">IF($F692="","",COUNTA($F$5:$F692))</f>
        <v/>
      </c>
      <c r="B692" s="37" t="str">
        <f aca="true">IF($F692="","",IF($P692="Cancelada","Cancelada",IF(OR($O692&lt;&gt;"",$P692="Concluída"),IF(OR($N692="",$O692="",$O692&lt;=$N692),"Concluída","Concluída com atraso"),IF($N692="","Na carteira",IF($N692&lt;TODAY(),"VENCIDA",IF($P692="Em execução","Em execução",IF($N692=TODAY(),"Hoje","Programada")))))))</f>
        <v/>
      </c>
      <c r="C692" s="38"/>
      <c r="D692" s="38"/>
      <c r="E692" s="38"/>
      <c r="F692" s="38"/>
      <c r="G692" s="39"/>
      <c r="H692" s="39"/>
      <c r="I692" s="40"/>
      <c r="J692" s="40"/>
      <c r="K692" s="40"/>
      <c r="L692" s="41"/>
      <c r="M692" s="42"/>
      <c r="N692" s="43" t="str">
        <f aca="false">IF(OR($L692="",$M692=""),"",$L692+MATCH($M692,Listas!$F$5:$F$11,0)-1)</f>
        <v/>
      </c>
      <c r="O692" s="44"/>
      <c r="P692" s="39"/>
      <c r="Q692" s="44"/>
      <c r="R692" s="38"/>
      <c r="S692" s="38"/>
      <c r="T692" s="36" t="str">
        <f aca="false">IF($F692="","",IF(ISNUMBER(SEARCH("(externo)",$I692&amp;$J692&amp;$K692)),"Terceirizada","Interna"))</f>
        <v/>
      </c>
      <c r="U692" s="43" t="str">
        <f aca="false">IF($N692="","",IF($Q692="",$N692,$Q692))</f>
        <v/>
      </c>
      <c r="V692" s="36" t="str">
        <f aca="false">IF($F692="","",IF(OR($O692="",$N692=""),0,IF($O692&lt;=$N692,1,0)))</f>
        <v/>
      </c>
      <c r="W692" s="36" t="str">
        <f aca="false">IF($F692="","",IF(OR($O692="",$U692=""),0,IF($O692&lt;=$U692,1,0)))</f>
        <v/>
      </c>
      <c r="X692" s="37" t="str">
        <f aca="false">IF(OR($O692="",$N692=""),"",MAX(0,$O692-$N692))</f>
        <v/>
      </c>
      <c r="Y692" s="36" t="str">
        <f aca="false">IF($F692="","",IF(AND($Q692&lt;&gt;"",$N692&lt;&gt;"",$Q692&lt;&gt;$N692),1,0))</f>
        <v/>
      </c>
      <c r="Z692" s="36" t="str">
        <f aca="false">IF($F692="","",IF($P692="Cancelada",0,IF(OR($O692&lt;&gt;"",$P692="Concluída"),1,0)))</f>
        <v/>
      </c>
    </row>
    <row r="693" customFormat="false" ht="16.5" hidden="false" customHeight="true" outlineLevel="0" collapsed="false">
      <c r="A693" s="36" t="str">
        <f aca="false">IF($F693="","",COUNTA($F$5:$F693))</f>
        <v/>
      </c>
      <c r="B693" s="37" t="str">
        <f aca="true">IF($F693="","",IF($P693="Cancelada","Cancelada",IF(OR($O693&lt;&gt;"",$P693="Concluída"),IF(OR($N693="",$O693="",$O693&lt;=$N693),"Concluída","Concluída com atraso"),IF($N693="","Na carteira",IF($N693&lt;TODAY(),"VENCIDA",IF($P693="Em execução","Em execução",IF($N693=TODAY(),"Hoje","Programada")))))))</f>
        <v/>
      </c>
      <c r="C693" s="38"/>
      <c r="D693" s="38"/>
      <c r="E693" s="38"/>
      <c r="F693" s="38"/>
      <c r="G693" s="39"/>
      <c r="H693" s="39"/>
      <c r="I693" s="40"/>
      <c r="J693" s="40"/>
      <c r="K693" s="40"/>
      <c r="L693" s="41"/>
      <c r="M693" s="42"/>
      <c r="N693" s="43" t="str">
        <f aca="false">IF(OR($L693="",$M693=""),"",$L693+MATCH($M693,Listas!$F$5:$F$11,0)-1)</f>
        <v/>
      </c>
      <c r="O693" s="44"/>
      <c r="P693" s="39"/>
      <c r="Q693" s="44"/>
      <c r="R693" s="38"/>
      <c r="S693" s="38"/>
      <c r="T693" s="36" t="str">
        <f aca="false">IF($F693="","",IF(ISNUMBER(SEARCH("(externo)",$I693&amp;$J693&amp;$K693)),"Terceirizada","Interna"))</f>
        <v/>
      </c>
      <c r="U693" s="43" t="str">
        <f aca="false">IF($N693="","",IF($Q693="",$N693,$Q693))</f>
        <v/>
      </c>
      <c r="V693" s="36" t="str">
        <f aca="false">IF($F693="","",IF(OR($O693="",$N693=""),0,IF($O693&lt;=$N693,1,0)))</f>
        <v/>
      </c>
      <c r="W693" s="36" t="str">
        <f aca="false">IF($F693="","",IF(OR($O693="",$U693=""),0,IF($O693&lt;=$U693,1,0)))</f>
        <v/>
      </c>
      <c r="X693" s="37" t="str">
        <f aca="false">IF(OR($O693="",$N693=""),"",MAX(0,$O693-$N693))</f>
        <v/>
      </c>
      <c r="Y693" s="36" t="str">
        <f aca="false">IF($F693="","",IF(AND($Q693&lt;&gt;"",$N693&lt;&gt;"",$Q693&lt;&gt;$N693),1,0))</f>
        <v/>
      </c>
      <c r="Z693" s="36" t="str">
        <f aca="false">IF($F693="","",IF($P693="Cancelada",0,IF(OR($O693&lt;&gt;"",$P693="Concluída"),1,0)))</f>
        <v/>
      </c>
    </row>
    <row r="694" customFormat="false" ht="16.5" hidden="false" customHeight="true" outlineLevel="0" collapsed="false">
      <c r="A694" s="36" t="str">
        <f aca="false">IF($F694="","",COUNTA($F$5:$F694))</f>
        <v/>
      </c>
      <c r="B694" s="37" t="str">
        <f aca="true">IF($F694="","",IF($P694="Cancelada","Cancelada",IF(OR($O694&lt;&gt;"",$P694="Concluída"),IF(OR($N694="",$O694="",$O694&lt;=$N694),"Concluída","Concluída com atraso"),IF($N694="","Na carteira",IF($N694&lt;TODAY(),"VENCIDA",IF($P694="Em execução","Em execução",IF($N694=TODAY(),"Hoje","Programada")))))))</f>
        <v/>
      </c>
      <c r="C694" s="38"/>
      <c r="D694" s="38"/>
      <c r="E694" s="38"/>
      <c r="F694" s="38"/>
      <c r="G694" s="39"/>
      <c r="H694" s="39"/>
      <c r="I694" s="40"/>
      <c r="J694" s="40"/>
      <c r="K694" s="40"/>
      <c r="L694" s="41"/>
      <c r="M694" s="42"/>
      <c r="N694" s="43" t="str">
        <f aca="false">IF(OR($L694="",$M694=""),"",$L694+MATCH($M694,Listas!$F$5:$F$11,0)-1)</f>
        <v/>
      </c>
      <c r="O694" s="44"/>
      <c r="P694" s="39"/>
      <c r="Q694" s="44"/>
      <c r="R694" s="38"/>
      <c r="S694" s="38"/>
      <c r="T694" s="36" t="str">
        <f aca="false">IF($F694="","",IF(ISNUMBER(SEARCH("(externo)",$I694&amp;$J694&amp;$K694)),"Terceirizada","Interna"))</f>
        <v/>
      </c>
      <c r="U694" s="43" t="str">
        <f aca="false">IF($N694="","",IF($Q694="",$N694,$Q694))</f>
        <v/>
      </c>
      <c r="V694" s="36" t="str">
        <f aca="false">IF($F694="","",IF(OR($O694="",$N694=""),0,IF($O694&lt;=$N694,1,0)))</f>
        <v/>
      </c>
      <c r="W694" s="36" t="str">
        <f aca="false">IF($F694="","",IF(OR($O694="",$U694=""),0,IF($O694&lt;=$U694,1,0)))</f>
        <v/>
      </c>
      <c r="X694" s="37" t="str">
        <f aca="false">IF(OR($O694="",$N694=""),"",MAX(0,$O694-$N694))</f>
        <v/>
      </c>
      <c r="Y694" s="36" t="str">
        <f aca="false">IF($F694="","",IF(AND($Q694&lt;&gt;"",$N694&lt;&gt;"",$Q694&lt;&gt;$N694),1,0))</f>
        <v/>
      </c>
      <c r="Z694" s="36" t="str">
        <f aca="false">IF($F694="","",IF($P694="Cancelada",0,IF(OR($O694&lt;&gt;"",$P694="Concluída"),1,0)))</f>
        <v/>
      </c>
    </row>
    <row r="695" customFormat="false" ht="16.5" hidden="false" customHeight="true" outlineLevel="0" collapsed="false">
      <c r="A695" s="36" t="str">
        <f aca="false">IF($F695="","",COUNTA($F$5:$F695))</f>
        <v/>
      </c>
      <c r="B695" s="37" t="str">
        <f aca="true">IF($F695="","",IF($P695="Cancelada","Cancelada",IF(OR($O695&lt;&gt;"",$P695="Concluída"),IF(OR($N695="",$O695="",$O695&lt;=$N695),"Concluída","Concluída com atraso"),IF($N695="","Na carteira",IF($N695&lt;TODAY(),"VENCIDA",IF($P695="Em execução","Em execução",IF($N695=TODAY(),"Hoje","Programada")))))))</f>
        <v/>
      </c>
      <c r="C695" s="38"/>
      <c r="D695" s="38"/>
      <c r="E695" s="38"/>
      <c r="F695" s="38"/>
      <c r="G695" s="39"/>
      <c r="H695" s="39"/>
      <c r="I695" s="40"/>
      <c r="J695" s="40"/>
      <c r="K695" s="40"/>
      <c r="L695" s="41"/>
      <c r="M695" s="42"/>
      <c r="N695" s="43" t="str">
        <f aca="false">IF(OR($L695="",$M695=""),"",$L695+MATCH($M695,Listas!$F$5:$F$11,0)-1)</f>
        <v/>
      </c>
      <c r="O695" s="44"/>
      <c r="P695" s="39"/>
      <c r="Q695" s="44"/>
      <c r="R695" s="38"/>
      <c r="S695" s="38"/>
      <c r="T695" s="36" t="str">
        <f aca="false">IF($F695="","",IF(ISNUMBER(SEARCH("(externo)",$I695&amp;$J695&amp;$K695)),"Terceirizada","Interna"))</f>
        <v/>
      </c>
      <c r="U695" s="43" t="str">
        <f aca="false">IF($N695="","",IF($Q695="",$N695,$Q695))</f>
        <v/>
      </c>
      <c r="V695" s="36" t="str">
        <f aca="false">IF($F695="","",IF(OR($O695="",$N695=""),0,IF($O695&lt;=$N695,1,0)))</f>
        <v/>
      </c>
      <c r="W695" s="36" t="str">
        <f aca="false">IF($F695="","",IF(OR($O695="",$U695=""),0,IF($O695&lt;=$U695,1,0)))</f>
        <v/>
      </c>
      <c r="X695" s="37" t="str">
        <f aca="false">IF(OR($O695="",$N695=""),"",MAX(0,$O695-$N695))</f>
        <v/>
      </c>
      <c r="Y695" s="36" t="str">
        <f aca="false">IF($F695="","",IF(AND($Q695&lt;&gt;"",$N695&lt;&gt;"",$Q695&lt;&gt;$N695),1,0))</f>
        <v/>
      </c>
      <c r="Z695" s="36" t="str">
        <f aca="false">IF($F695="","",IF($P695="Cancelada",0,IF(OR($O695&lt;&gt;"",$P695="Concluída"),1,0)))</f>
        <v/>
      </c>
    </row>
    <row r="696" customFormat="false" ht="16.5" hidden="false" customHeight="true" outlineLevel="0" collapsed="false">
      <c r="A696" s="36" t="str">
        <f aca="false">IF($F696="","",COUNTA($F$5:$F696))</f>
        <v/>
      </c>
      <c r="B696" s="37" t="str">
        <f aca="true">IF($F696="","",IF($P696="Cancelada","Cancelada",IF(OR($O696&lt;&gt;"",$P696="Concluída"),IF(OR($N696="",$O696="",$O696&lt;=$N696),"Concluída","Concluída com atraso"),IF($N696="","Na carteira",IF($N696&lt;TODAY(),"VENCIDA",IF($P696="Em execução","Em execução",IF($N696=TODAY(),"Hoje","Programada")))))))</f>
        <v/>
      </c>
      <c r="C696" s="38"/>
      <c r="D696" s="38"/>
      <c r="E696" s="38"/>
      <c r="F696" s="38"/>
      <c r="G696" s="39"/>
      <c r="H696" s="39"/>
      <c r="I696" s="40"/>
      <c r="J696" s="40"/>
      <c r="K696" s="40"/>
      <c r="L696" s="41"/>
      <c r="M696" s="42"/>
      <c r="N696" s="43" t="str">
        <f aca="false">IF(OR($L696="",$M696=""),"",$L696+MATCH($M696,Listas!$F$5:$F$11,0)-1)</f>
        <v/>
      </c>
      <c r="O696" s="44"/>
      <c r="P696" s="39"/>
      <c r="Q696" s="44"/>
      <c r="R696" s="38"/>
      <c r="S696" s="38"/>
      <c r="T696" s="36" t="str">
        <f aca="false">IF($F696="","",IF(ISNUMBER(SEARCH("(externo)",$I696&amp;$J696&amp;$K696)),"Terceirizada","Interna"))</f>
        <v/>
      </c>
      <c r="U696" s="43" t="str">
        <f aca="false">IF($N696="","",IF($Q696="",$N696,$Q696))</f>
        <v/>
      </c>
      <c r="V696" s="36" t="str">
        <f aca="false">IF($F696="","",IF(OR($O696="",$N696=""),0,IF($O696&lt;=$N696,1,0)))</f>
        <v/>
      </c>
      <c r="W696" s="36" t="str">
        <f aca="false">IF($F696="","",IF(OR($O696="",$U696=""),0,IF($O696&lt;=$U696,1,0)))</f>
        <v/>
      </c>
      <c r="X696" s="37" t="str">
        <f aca="false">IF(OR($O696="",$N696=""),"",MAX(0,$O696-$N696))</f>
        <v/>
      </c>
      <c r="Y696" s="36" t="str">
        <f aca="false">IF($F696="","",IF(AND($Q696&lt;&gt;"",$N696&lt;&gt;"",$Q696&lt;&gt;$N696),1,0))</f>
        <v/>
      </c>
      <c r="Z696" s="36" t="str">
        <f aca="false">IF($F696="","",IF($P696="Cancelada",0,IF(OR($O696&lt;&gt;"",$P696="Concluída"),1,0)))</f>
        <v/>
      </c>
    </row>
    <row r="697" customFormat="false" ht="16.5" hidden="false" customHeight="true" outlineLevel="0" collapsed="false">
      <c r="A697" s="36" t="str">
        <f aca="false">IF($F697="","",COUNTA($F$5:$F697))</f>
        <v/>
      </c>
      <c r="B697" s="37" t="str">
        <f aca="true">IF($F697="","",IF($P697="Cancelada","Cancelada",IF(OR($O697&lt;&gt;"",$P697="Concluída"),IF(OR($N697="",$O697="",$O697&lt;=$N697),"Concluída","Concluída com atraso"),IF($N697="","Na carteira",IF($N697&lt;TODAY(),"VENCIDA",IF($P697="Em execução","Em execução",IF($N697=TODAY(),"Hoje","Programada")))))))</f>
        <v/>
      </c>
      <c r="C697" s="38"/>
      <c r="D697" s="38"/>
      <c r="E697" s="38"/>
      <c r="F697" s="38"/>
      <c r="G697" s="39"/>
      <c r="H697" s="39"/>
      <c r="I697" s="40"/>
      <c r="J697" s="40"/>
      <c r="K697" s="40"/>
      <c r="L697" s="41"/>
      <c r="M697" s="42"/>
      <c r="N697" s="43" t="str">
        <f aca="false">IF(OR($L697="",$M697=""),"",$L697+MATCH($M697,Listas!$F$5:$F$11,0)-1)</f>
        <v/>
      </c>
      <c r="O697" s="44"/>
      <c r="P697" s="39"/>
      <c r="Q697" s="44"/>
      <c r="R697" s="38"/>
      <c r="S697" s="38"/>
      <c r="T697" s="36" t="str">
        <f aca="false">IF($F697="","",IF(ISNUMBER(SEARCH("(externo)",$I697&amp;$J697&amp;$K697)),"Terceirizada","Interna"))</f>
        <v/>
      </c>
      <c r="U697" s="43" t="str">
        <f aca="false">IF($N697="","",IF($Q697="",$N697,$Q697))</f>
        <v/>
      </c>
      <c r="V697" s="36" t="str">
        <f aca="false">IF($F697="","",IF(OR($O697="",$N697=""),0,IF($O697&lt;=$N697,1,0)))</f>
        <v/>
      </c>
      <c r="W697" s="36" t="str">
        <f aca="false">IF($F697="","",IF(OR($O697="",$U697=""),0,IF($O697&lt;=$U697,1,0)))</f>
        <v/>
      </c>
      <c r="X697" s="37" t="str">
        <f aca="false">IF(OR($O697="",$N697=""),"",MAX(0,$O697-$N697))</f>
        <v/>
      </c>
      <c r="Y697" s="36" t="str">
        <f aca="false">IF($F697="","",IF(AND($Q697&lt;&gt;"",$N697&lt;&gt;"",$Q697&lt;&gt;$N697),1,0))</f>
        <v/>
      </c>
      <c r="Z697" s="36" t="str">
        <f aca="false">IF($F697="","",IF($P697="Cancelada",0,IF(OR($O697&lt;&gt;"",$P697="Concluída"),1,0)))</f>
        <v/>
      </c>
    </row>
    <row r="698" customFormat="false" ht="16.5" hidden="false" customHeight="true" outlineLevel="0" collapsed="false">
      <c r="A698" s="36" t="str">
        <f aca="false">IF($F698="","",COUNTA($F$5:$F698))</f>
        <v/>
      </c>
      <c r="B698" s="37" t="str">
        <f aca="true">IF($F698="","",IF($P698="Cancelada","Cancelada",IF(OR($O698&lt;&gt;"",$P698="Concluída"),IF(OR($N698="",$O698="",$O698&lt;=$N698),"Concluída","Concluída com atraso"),IF($N698="","Na carteira",IF($N698&lt;TODAY(),"VENCIDA",IF($P698="Em execução","Em execução",IF($N698=TODAY(),"Hoje","Programada")))))))</f>
        <v/>
      </c>
      <c r="C698" s="38"/>
      <c r="D698" s="38"/>
      <c r="E698" s="38"/>
      <c r="F698" s="38"/>
      <c r="G698" s="39"/>
      <c r="H698" s="39"/>
      <c r="I698" s="40"/>
      <c r="J698" s="40"/>
      <c r="K698" s="40"/>
      <c r="L698" s="41"/>
      <c r="M698" s="42"/>
      <c r="N698" s="43" t="str">
        <f aca="false">IF(OR($L698="",$M698=""),"",$L698+MATCH($M698,Listas!$F$5:$F$11,0)-1)</f>
        <v/>
      </c>
      <c r="O698" s="44"/>
      <c r="P698" s="39"/>
      <c r="Q698" s="44"/>
      <c r="R698" s="38"/>
      <c r="S698" s="38"/>
      <c r="T698" s="36" t="str">
        <f aca="false">IF($F698="","",IF(ISNUMBER(SEARCH("(externo)",$I698&amp;$J698&amp;$K698)),"Terceirizada","Interna"))</f>
        <v/>
      </c>
      <c r="U698" s="43" t="str">
        <f aca="false">IF($N698="","",IF($Q698="",$N698,$Q698))</f>
        <v/>
      </c>
      <c r="V698" s="36" t="str">
        <f aca="false">IF($F698="","",IF(OR($O698="",$N698=""),0,IF($O698&lt;=$N698,1,0)))</f>
        <v/>
      </c>
      <c r="W698" s="36" t="str">
        <f aca="false">IF($F698="","",IF(OR($O698="",$U698=""),0,IF($O698&lt;=$U698,1,0)))</f>
        <v/>
      </c>
      <c r="X698" s="37" t="str">
        <f aca="false">IF(OR($O698="",$N698=""),"",MAX(0,$O698-$N698))</f>
        <v/>
      </c>
      <c r="Y698" s="36" t="str">
        <f aca="false">IF($F698="","",IF(AND($Q698&lt;&gt;"",$N698&lt;&gt;"",$Q698&lt;&gt;$N698),1,0))</f>
        <v/>
      </c>
      <c r="Z698" s="36" t="str">
        <f aca="false">IF($F698="","",IF($P698="Cancelada",0,IF(OR($O698&lt;&gt;"",$P698="Concluída"),1,0)))</f>
        <v/>
      </c>
    </row>
    <row r="699" customFormat="false" ht="16.5" hidden="false" customHeight="true" outlineLevel="0" collapsed="false">
      <c r="A699" s="36" t="str">
        <f aca="false">IF($F699="","",COUNTA($F$5:$F699))</f>
        <v/>
      </c>
      <c r="B699" s="37" t="str">
        <f aca="true">IF($F699="","",IF($P699="Cancelada","Cancelada",IF(OR($O699&lt;&gt;"",$P699="Concluída"),IF(OR($N699="",$O699="",$O699&lt;=$N699),"Concluída","Concluída com atraso"),IF($N699="","Na carteira",IF($N699&lt;TODAY(),"VENCIDA",IF($P699="Em execução","Em execução",IF($N699=TODAY(),"Hoje","Programada")))))))</f>
        <v/>
      </c>
      <c r="C699" s="38"/>
      <c r="D699" s="38"/>
      <c r="E699" s="38"/>
      <c r="F699" s="38"/>
      <c r="G699" s="39"/>
      <c r="H699" s="39"/>
      <c r="I699" s="40"/>
      <c r="J699" s="40"/>
      <c r="K699" s="40"/>
      <c r="L699" s="41"/>
      <c r="M699" s="42"/>
      <c r="N699" s="43" t="str">
        <f aca="false">IF(OR($L699="",$M699=""),"",$L699+MATCH($M699,Listas!$F$5:$F$11,0)-1)</f>
        <v/>
      </c>
      <c r="O699" s="44"/>
      <c r="P699" s="39"/>
      <c r="Q699" s="44"/>
      <c r="R699" s="38"/>
      <c r="S699" s="38"/>
      <c r="T699" s="36" t="str">
        <f aca="false">IF($F699="","",IF(ISNUMBER(SEARCH("(externo)",$I699&amp;$J699&amp;$K699)),"Terceirizada","Interna"))</f>
        <v/>
      </c>
      <c r="U699" s="43" t="str">
        <f aca="false">IF($N699="","",IF($Q699="",$N699,$Q699))</f>
        <v/>
      </c>
      <c r="V699" s="36" t="str">
        <f aca="false">IF($F699="","",IF(OR($O699="",$N699=""),0,IF($O699&lt;=$N699,1,0)))</f>
        <v/>
      </c>
      <c r="W699" s="36" t="str">
        <f aca="false">IF($F699="","",IF(OR($O699="",$U699=""),0,IF($O699&lt;=$U699,1,0)))</f>
        <v/>
      </c>
      <c r="X699" s="37" t="str">
        <f aca="false">IF(OR($O699="",$N699=""),"",MAX(0,$O699-$N699))</f>
        <v/>
      </c>
      <c r="Y699" s="36" t="str">
        <f aca="false">IF($F699="","",IF(AND($Q699&lt;&gt;"",$N699&lt;&gt;"",$Q699&lt;&gt;$N699),1,0))</f>
        <v/>
      </c>
      <c r="Z699" s="36" t="str">
        <f aca="false">IF($F699="","",IF($P699="Cancelada",0,IF(OR($O699&lt;&gt;"",$P699="Concluída"),1,0)))</f>
        <v/>
      </c>
    </row>
    <row r="700" customFormat="false" ht="16.5" hidden="false" customHeight="true" outlineLevel="0" collapsed="false">
      <c r="A700" s="36" t="str">
        <f aca="false">IF($F700="","",COUNTA($F$5:$F700))</f>
        <v/>
      </c>
      <c r="B700" s="37" t="str">
        <f aca="true">IF($F700="","",IF($P700="Cancelada","Cancelada",IF(OR($O700&lt;&gt;"",$P700="Concluída"),IF(OR($N700="",$O700="",$O700&lt;=$N700),"Concluída","Concluída com atraso"),IF($N700="","Na carteira",IF($N700&lt;TODAY(),"VENCIDA",IF($P700="Em execução","Em execução",IF($N700=TODAY(),"Hoje","Programada")))))))</f>
        <v/>
      </c>
      <c r="C700" s="38"/>
      <c r="D700" s="38"/>
      <c r="E700" s="38"/>
      <c r="F700" s="38"/>
      <c r="G700" s="39"/>
      <c r="H700" s="39"/>
      <c r="I700" s="40"/>
      <c r="J700" s="40"/>
      <c r="K700" s="40"/>
      <c r="L700" s="41"/>
      <c r="M700" s="42"/>
      <c r="N700" s="43" t="str">
        <f aca="false">IF(OR($L700="",$M700=""),"",$L700+MATCH($M700,Listas!$F$5:$F$11,0)-1)</f>
        <v/>
      </c>
      <c r="O700" s="44"/>
      <c r="P700" s="39"/>
      <c r="Q700" s="44"/>
      <c r="R700" s="38"/>
      <c r="S700" s="38"/>
      <c r="T700" s="36" t="str">
        <f aca="false">IF($F700="","",IF(ISNUMBER(SEARCH("(externo)",$I700&amp;$J700&amp;$K700)),"Terceirizada","Interna"))</f>
        <v/>
      </c>
      <c r="U700" s="43" t="str">
        <f aca="false">IF($N700="","",IF($Q700="",$N700,$Q700))</f>
        <v/>
      </c>
      <c r="V700" s="36" t="str">
        <f aca="false">IF($F700="","",IF(OR($O700="",$N700=""),0,IF($O700&lt;=$N700,1,0)))</f>
        <v/>
      </c>
      <c r="W700" s="36" t="str">
        <f aca="false">IF($F700="","",IF(OR($O700="",$U700=""),0,IF($O700&lt;=$U700,1,0)))</f>
        <v/>
      </c>
      <c r="X700" s="37" t="str">
        <f aca="false">IF(OR($O700="",$N700=""),"",MAX(0,$O700-$N700))</f>
        <v/>
      </c>
      <c r="Y700" s="36" t="str">
        <f aca="false">IF($F700="","",IF(AND($Q700&lt;&gt;"",$N700&lt;&gt;"",$Q700&lt;&gt;$N700),1,0))</f>
        <v/>
      </c>
      <c r="Z700" s="36" t="str">
        <f aca="false">IF($F700="","",IF($P700="Cancelada",0,IF(OR($O700&lt;&gt;"",$P700="Concluída"),1,0)))</f>
        <v/>
      </c>
    </row>
    <row r="701" customFormat="false" ht="16.5" hidden="false" customHeight="true" outlineLevel="0" collapsed="false">
      <c r="A701" s="36" t="str">
        <f aca="false">IF($F701="","",COUNTA($F$5:$F701))</f>
        <v/>
      </c>
      <c r="B701" s="37" t="str">
        <f aca="true">IF($F701="","",IF($P701="Cancelada","Cancelada",IF(OR($O701&lt;&gt;"",$P701="Concluída"),IF(OR($N701="",$O701="",$O701&lt;=$N701),"Concluída","Concluída com atraso"),IF($N701="","Na carteira",IF($N701&lt;TODAY(),"VENCIDA",IF($P701="Em execução","Em execução",IF($N701=TODAY(),"Hoje","Programada")))))))</f>
        <v/>
      </c>
      <c r="C701" s="38"/>
      <c r="D701" s="38"/>
      <c r="E701" s="38"/>
      <c r="F701" s="38"/>
      <c r="G701" s="39"/>
      <c r="H701" s="39"/>
      <c r="I701" s="40"/>
      <c r="J701" s="40"/>
      <c r="K701" s="40"/>
      <c r="L701" s="41"/>
      <c r="M701" s="42"/>
      <c r="N701" s="43" t="str">
        <f aca="false">IF(OR($L701="",$M701=""),"",$L701+MATCH($M701,Listas!$F$5:$F$11,0)-1)</f>
        <v/>
      </c>
      <c r="O701" s="44"/>
      <c r="P701" s="39"/>
      <c r="Q701" s="44"/>
      <c r="R701" s="38"/>
      <c r="S701" s="38"/>
      <c r="T701" s="36" t="str">
        <f aca="false">IF($F701="","",IF(ISNUMBER(SEARCH("(externo)",$I701&amp;$J701&amp;$K701)),"Terceirizada","Interna"))</f>
        <v/>
      </c>
      <c r="U701" s="43" t="str">
        <f aca="false">IF($N701="","",IF($Q701="",$N701,$Q701))</f>
        <v/>
      </c>
      <c r="V701" s="36" t="str">
        <f aca="false">IF($F701="","",IF(OR($O701="",$N701=""),0,IF($O701&lt;=$N701,1,0)))</f>
        <v/>
      </c>
      <c r="W701" s="36" t="str">
        <f aca="false">IF($F701="","",IF(OR($O701="",$U701=""),0,IF($O701&lt;=$U701,1,0)))</f>
        <v/>
      </c>
      <c r="X701" s="37" t="str">
        <f aca="false">IF(OR($O701="",$N701=""),"",MAX(0,$O701-$N701))</f>
        <v/>
      </c>
      <c r="Y701" s="36" t="str">
        <f aca="false">IF($F701="","",IF(AND($Q701&lt;&gt;"",$N701&lt;&gt;"",$Q701&lt;&gt;$N701),1,0))</f>
        <v/>
      </c>
      <c r="Z701" s="36" t="str">
        <f aca="false">IF($F701="","",IF($P701="Cancelada",0,IF(OR($O701&lt;&gt;"",$P701="Concluída"),1,0)))</f>
        <v/>
      </c>
    </row>
    <row r="702" customFormat="false" ht="16.5" hidden="false" customHeight="true" outlineLevel="0" collapsed="false">
      <c r="A702" s="36" t="str">
        <f aca="false">IF($F702="","",COUNTA($F$5:$F702))</f>
        <v/>
      </c>
      <c r="B702" s="37" t="str">
        <f aca="true">IF($F702="","",IF($P702="Cancelada","Cancelada",IF(OR($O702&lt;&gt;"",$P702="Concluída"),IF(OR($N702="",$O702="",$O702&lt;=$N702),"Concluída","Concluída com atraso"),IF($N702="","Na carteira",IF($N702&lt;TODAY(),"VENCIDA",IF($P702="Em execução","Em execução",IF($N702=TODAY(),"Hoje","Programada")))))))</f>
        <v/>
      </c>
      <c r="C702" s="38"/>
      <c r="D702" s="38"/>
      <c r="E702" s="38"/>
      <c r="F702" s="38"/>
      <c r="G702" s="39"/>
      <c r="H702" s="39"/>
      <c r="I702" s="40"/>
      <c r="J702" s="40"/>
      <c r="K702" s="40"/>
      <c r="L702" s="41"/>
      <c r="M702" s="42"/>
      <c r="N702" s="43" t="str">
        <f aca="false">IF(OR($L702="",$M702=""),"",$L702+MATCH($M702,Listas!$F$5:$F$11,0)-1)</f>
        <v/>
      </c>
      <c r="O702" s="44"/>
      <c r="P702" s="39"/>
      <c r="Q702" s="44"/>
      <c r="R702" s="38"/>
      <c r="S702" s="38"/>
      <c r="T702" s="36" t="str">
        <f aca="false">IF($F702="","",IF(ISNUMBER(SEARCH("(externo)",$I702&amp;$J702&amp;$K702)),"Terceirizada","Interna"))</f>
        <v/>
      </c>
      <c r="U702" s="43" t="str">
        <f aca="false">IF($N702="","",IF($Q702="",$N702,$Q702))</f>
        <v/>
      </c>
      <c r="V702" s="36" t="str">
        <f aca="false">IF($F702="","",IF(OR($O702="",$N702=""),0,IF($O702&lt;=$N702,1,0)))</f>
        <v/>
      </c>
      <c r="W702" s="36" t="str">
        <f aca="false">IF($F702="","",IF(OR($O702="",$U702=""),0,IF($O702&lt;=$U702,1,0)))</f>
        <v/>
      </c>
      <c r="X702" s="37" t="str">
        <f aca="false">IF(OR($O702="",$N702=""),"",MAX(0,$O702-$N702))</f>
        <v/>
      </c>
      <c r="Y702" s="36" t="str">
        <f aca="false">IF($F702="","",IF(AND($Q702&lt;&gt;"",$N702&lt;&gt;"",$Q702&lt;&gt;$N702),1,0))</f>
        <v/>
      </c>
      <c r="Z702" s="36" t="str">
        <f aca="false">IF($F702="","",IF($P702="Cancelada",0,IF(OR($O702&lt;&gt;"",$P702="Concluída"),1,0)))</f>
        <v/>
      </c>
    </row>
    <row r="703" customFormat="false" ht="16.5" hidden="false" customHeight="true" outlineLevel="0" collapsed="false">
      <c r="A703" s="36" t="str">
        <f aca="false">IF($F703="","",COUNTA($F$5:$F703))</f>
        <v/>
      </c>
      <c r="B703" s="37" t="str">
        <f aca="true">IF($F703="","",IF($P703="Cancelada","Cancelada",IF(OR($O703&lt;&gt;"",$P703="Concluída"),IF(OR($N703="",$O703="",$O703&lt;=$N703),"Concluída","Concluída com atraso"),IF($N703="","Na carteira",IF($N703&lt;TODAY(),"VENCIDA",IF($P703="Em execução","Em execução",IF($N703=TODAY(),"Hoje","Programada")))))))</f>
        <v/>
      </c>
      <c r="C703" s="38"/>
      <c r="D703" s="38"/>
      <c r="E703" s="38"/>
      <c r="F703" s="38"/>
      <c r="G703" s="39"/>
      <c r="H703" s="39"/>
      <c r="I703" s="40"/>
      <c r="J703" s="40"/>
      <c r="K703" s="40"/>
      <c r="L703" s="41"/>
      <c r="M703" s="42"/>
      <c r="N703" s="43" t="str">
        <f aca="false">IF(OR($L703="",$M703=""),"",$L703+MATCH($M703,Listas!$F$5:$F$11,0)-1)</f>
        <v/>
      </c>
      <c r="O703" s="44"/>
      <c r="P703" s="39"/>
      <c r="Q703" s="44"/>
      <c r="R703" s="38"/>
      <c r="S703" s="38"/>
      <c r="T703" s="36" t="str">
        <f aca="false">IF($F703="","",IF(ISNUMBER(SEARCH("(externo)",$I703&amp;$J703&amp;$K703)),"Terceirizada","Interna"))</f>
        <v/>
      </c>
      <c r="U703" s="43" t="str">
        <f aca="false">IF($N703="","",IF($Q703="",$N703,$Q703))</f>
        <v/>
      </c>
      <c r="V703" s="36" t="str">
        <f aca="false">IF($F703="","",IF(OR($O703="",$N703=""),0,IF($O703&lt;=$N703,1,0)))</f>
        <v/>
      </c>
      <c r="W703" s="36" t="str">
        <f aca="false">IF($F703="","",IF(OR($O703="",$U703=""),0,IF($O703&lt;=$U703,1,0)))</f>
        <v/>
      </c>
      <c r="X703" s="37" t="str">
        <f aca="false">IF(OR($O703="",$N703=""),"",MAX(0,$O703-$N703))</f>
        <v/>
      </c>
      <c r="Y703" s="36" t="str">
        <f aca="false">IF($F703="","",IF(AND($Q703&lt;&gt;"",$N703&lt;&gt;"",$Q703&lt;&gt;$N703),1,0))</f>
        <v/>
      </c>
      <c r="Z703" s="36" t="str">
        <f aca="false">IF($F703="","",IF($P703="Cancelada",0,IF(OR($O703&lt;&gt;"",$P703="Concluída"),1,0)))</f>
        <v/>
      </c>
    </row>
    <row r="704" customFormat="false" ht="16.5" hidden="false" customHeight="true" outlineLevel="0" collapsed="false">
      <c r="A704" s="36" t="str">
        <f aca="false">IF($F704="","",COUNTA($F$5:$F704))</f>
        <v/>
      </c>
      <c r="B704" s="37" t="str">
        <f aca="true">IF($F704="","",IF($P704="Cancelada","Cancelada",IF(OR($O704&lt;&gt;"",$P704="Concluída"),IF(OR($N704="",$O704="",$O704&lt;=$N704),"Concluída","Concluída com atraso"),IF($N704="","Na carteira",IF($N704&lt;TODAY(),"VENCIDA",IF($P704="Em execução","Em execução",IF($N704=TODAY(),"Hoje","Programada")))))))</f>
        <v/>
      </c>
      <c r="C704" s="38"/>
      <c r="D704" s="38"/>
      <c r="E704" s="38"/>
      <c r="F704" s="38"/>
      <c r="G704" s="39"/>
      <c r="H704" s="39"/>
      <c r="I704" s="40"/>
      <c r="J704" s="40"/>
      <c r="K704" s="40"/>
      <c r="L704" s="41"/>
      <c r="M704" s="42"/>
      <c r="N704" s="43" t="str">
        <f aca="false">IF(OR($L704="",$M704=""),"",$L704+MATCH($M704,Listas!$F$5:$F$11,0)-1)</f>
        <v/>
      </c>
      <c r="O704" s="44"/>
      <c r="P704" s="39"/>
      <c r="Q704" s="44"/>
      <c r="R704" s="38"/>
      <c r="S704" s="38"/>
      <c r="T704" s="36" t="str">
        <f aca="false">IF($F704="","",IF(ISNUMBER(SEARCH("(externo)",$I704&amp;$J704&amp;$K704)),"Terceirizada","Interna"))</f>
        <v/>
      </c>
      <c r="U704" s="43" t="str">
        <f aca="false">IF($N704="","",IF($Q704="",$N704,$Q704))</f>
        <v/>
      </c>
      <c r="V704" s="36" t="str">
        <f aca="false">IF($F704="","",IF(OR($O704="",$N704=""),0,IF($O704&lt;=$N704,1,0)))</f>
        <v/>
      </c>
      <c r="W704" s="36" t="str">
        <f aca="false">IF($F704="","",IF(OR($O704="",$U704=""),0,IF($O704&lt;=$U704,1,0)))</f>
        <v/>
      </c>
      <c r="X704" s="37" t="str">
        <f aca="false">IF(OR($O704="",$N704=""),"",MAX(0,$O704-$N704))</f>
        <v/>
      </c>
      <c r="Y704" s="36" t="str">
        <f aca="false">IF($F704="","",IF(AND($Q704&lt;&gt;"",$N704&lt;&gt;"",$Q704&lt;&gt;$N704),1,0))</f>
        <v/>
      </c>
      <c r="Z704" s="36" t="str">
        <f aca="false">IF($F704="","",IF($P704="Cancelada",0,IF(OR($O704&lt;&gt;"",$P704="Concluída"),1,0)))</f>
        <v/>
      </c>
    </row>
    <row r="705" customFormat="false" ht="16.5" hidden="false" customHeight="true" outlineLevel="0" collapsed="false">
      <c r="A705" s="36" t="str">
        <f aca="false">IF($F705="","",COUNTA($F$5:$F705))</f>
        <v/>
      </c>
      <c r="B705" s="37" t="str">
        <f aca="true">IF($F705="","",IF($P705="Cancelada","Cancelada",IF(OR($O705&lt;&gt;"",$P705="Concluída"),IF(OR($N705="",$O705="",$O705&lt;=$N705),"Concluída","Concluída com atraso"),IF($N705="","Na carteira",IF($N705&lt;TODAY(),"VENCIDA",IF($P705="Em execução","Em execução",IF($N705=TODAY(),"Hoje","Programada")))))))</f>
        <v/>
      </c>
      <c r="C705" s="38"/>
      <c r="D705" s="38"/>
      <c r="E705" s="38"/>
      <c r="F705" s="38"/>
      <c r="G705" s="39"/>
      <c r="H705" s="39"/>
      <c r="I705" s="40"/>
      <c r="J705" s="40"/>
      <c r="K705" s="40"/>
      <c r="L705" s="41"/>
      <c r="M705" s="42"/>
      <c r="N705" s="43" t="str">
        <f aca="false">IF(OR($L705="",$M705=""),"",$L705+MATCH($M705,Listas!$F$5:$F$11,0)-1)</f>
        <v/>
      </c>
      <c r="O705" s="44"/>
      <c r="P705" s="39"/>
      <c r="Q705" s="44"/>
      <c r="R705" s="38"/>
      <c r="S705" s="38"/>
      <c r="T705" s="36" t="str">
        <f aca="false">IF($F705="","",IF(ISNUMBER(SEARCH("(externo)",$I705&amp;$J705&amp;$K705)),"Terceirizada","Interna"))</f>
        <v/>
      </c>
      <c r="U705" s="43" t="str">
        <f aca="false">IF($N705="","",IF($Q705="",$N705,$Q705))</f>
        <v/>
      </c>
      <c r="V705" s="36" t="str">
        <f aca="false">IF($F705="","",IF(OR($O705="",$N705=""),0,IF($O705&lt;=$N705,1,0)))</f>
        <v/>
      </c>
      <c r="W705" s="36" t="str">
        <f aca="false">IF($F705="","",IF(OR($O705="",$U705=""),0,IF($O705&lt;=$U705,1,0)))</f>
        <v/>
      </c>
      <c r="X705" s="37" t="str">
        <f aca="false">IF(OR($O705="",$N705=""),"",MAX(0,$O705-$N705))</f>
        <v/>
      </c>
      <c r="Y705" s="36" t="str">
        <f aca="false">IF($F705="","",IF(AND($Q705&lt;&gt;"",$N705&lt;&gt;"",$Q705&lt;&gt;$N705),1,0))</f>
        <v/>
      </c>
      <c r="Z705" s="36" t="str">
        <f aca="false">IF($F705="","",IF($P705="Cancelada",0,IF(OR($O705&lt;&gt;"",$P705="Concluída"),1,0)))</f>
        <v/>
      </c>
    </row>
    <row r="706" customFormat="false" ht="16.5" hidden="false" customHeight="true" outlineLevel="0" collapsed="false">
      <c r="A706" s="36" t="str">
        <f aca="false">IF($F706="","",COUNTA($F$5:$F706))</f>
        <v/>
      </c>
      <c r="B706" s="37" t="str">
        <f aca="true">IF($F706="","",IF($P706="Cancelada","Cancelada",IF(OR($O706&lt;&gt;"",$P706="Concluída"),IF(OR($N706="",$O706="",$O706&lt;=$N706),"Concluída","Concluída com atraso"),IF($N706="","Na carteira",IF($N706&lt;TODAY(),"VENCIDA",IF($P706="Em execução","Em execução",IF($N706=TODAY(),"Hoje","Programada")))))))</f>
        <v/>
      </c>
      <c r="C706" s="38"/>
      <c r="D706" s="38"/>
      <c r="E706" s="38"/>
      <c r="F706" s="38"/>
      <c r="G706" s="39"/>
      <c r="H706" s="39"/>
      <c r="I706" s="40"/>
      <c r="J706" s="40"/>
      <c r="K706" s="40"/>
      <c r="L706" s="41"/>
      <c r="M706" s="42"/>
      <c r="N706" s="43" t="str">
        <f aca="false">IF(OR($L706="",$M706=""),"",$L706+MATCH($M706,Listas!$F$5:$F$11,0)-1)</f>
        <v/>
      </c>
      <c r="O706" s="44"/>
      <c r="P706" s="39"/>
      <c r="Q706" s="44"/>
      <c r="R706" s="38"/>
      <c r="S706" s="38"/>
      <c r="T706" s="36" t="str">
        <f aca="false">IF($F706="","",IF(ISNUMBER(SEARCH("(externo)",$I706&amp;$J706&amp;$K706)),"Terceirizada","Interna"))</f>
        <v/>
      </c>
      <c r="U706" s="43" t="str">
        <f aca="false">IF($N706="","",IF($Q706="",$N706,$Q706))</f>
        <v/>
      </c>
      <c r="V706" s="36" t="str">
        <f aca="false">IF($F706="","",IF(OR($O706="",$N706=""),0,IF($O706&lt;=$N706,1,0)))</f>
        <v/>
      </c>
      <c r="W706" s="36" t="str">
        <f aca="false">IF($F706="","",IF(OR($O706="",$U706=""),0,IF($O706&lt;=$U706,1,0)))</f>
        <v/>
      </c>
      <c r="X706" s="37" t="str">
        <f aca="false">IF(OR($O706="",$N706=""),"",MAX(0,$O706-$N706))</f>
        <v/>
      </c>
      <c r="Y706" s="36" t="str">
        <f aca="false">IF($F706="","",IF(AND($Q706&lt;&gt;"",$N706&lt;&gt;"",$Q706&lt;&gt;$N706),1,0))</f>
        <v/>
      </c>
      <c r="Z706" s="36" t="str">
        <f aca="false">IF($F706="","",IF($P706="Cancelada",0,IF(OR($O706&lt;&gt;"",$P706="Concluída"),1,0)))</f>
        <v/>
      </c>
    </row>
    <row r="707" customFormat="false" ht="16.5" hidden="false" customHeight="true" outlineLevel="0" collapsed="false">
      <c r="A707" s="36" t="str">
        <f aca="false">IF($F707="","",COUNTA($F$5:$F707))</f>
        <v/>
      </c>
      <c r="B707" s="37" t="str">
        <f aca="true">IF($F707="","",IF($P707="Cancelada","Cancelada",IF(OR($O707&lt;&gt;"",$P707="Concluída"),IF(OR($N707="",$O707="",$O707&lt;=$N707),"Concluída","Concluída com atraso"),IF($N707="","Na carteira",IF($N707&lt;TODAY(),"VENCIDA",IF($P707="Em execução","Em execução",IF($N707=TODAY(),"Hoje","Programada")))))))</f>
        <v/>
      </c>
      <c r="C707" s="38"/>
      <c r="D707" s="38"/>
      <c r="E707" s="38"/>
      <c r="F707" s="38"/>
      <c r="G707" s="39"/>
      <c r="H707" s="39"/>
      <c r="I707" s="40"/>
      <c r="J707" s="40"/>
      <c r="K707" s="40"/>
      <c r="L707" s="41"/>
      <c r="M707" s="42"/>
      <c r="N707" s="43" t="str">
        <f aca="false">IF(OR($L707="",$M707=""),"",$L707+MATCH($M707,Listas!$F$5:$F$11,0)-1)</f>
        <v/>
      </c>
      <c r="O707" s="44"/>
      <c r="P707" s="39"/>
      <c r="Q707" s="44"/>
      <c r="R707" s="38"/>
      <c r="S707" s="38"/>
      <c r="T707" s="36" t="str">
        <f aca="false">IF($F707="","",IF(ISNUMBER(SEARCH("(externo)",$I707&amp;$J707&amp;$K707)),"Terceirizada","Interna"))</f>
        <v/>
      </c>
      <c r="U707" s="43" t="str">
        <f aca="false">IF($N707="","",IF($Q707="",$N707,$Q707))</f>
        <v/>
      </c>
      <c r="V707" s="36" t="str">
        <f aca="false">IF($F707="","",IF(OR($O707="",$N707=""),0,IF($O707&lt;=$N707,1,0)))</f>
        <v/>
      </c>
      <c r="W707" s="36" t="str">
        <f aca="false">IF($F707="","",IF(OR($O707="",$U707=""),0,IF($O707&lt;=$U707,1,0)))</f>
        <v/>
      </c>
      <c r="X707" s="37" t="str">
        <f aca="false">IF(OR($O707="",$N707=""),"",MAX(0,$O707-$N707))</f>
        <v/>
      </c>
      <c r="Y707" s="36" t="str">
        <f aca="false">IF($F707="","",IF(AND($Q707&lt;&gt;"",$N707&lt;&gt;"",$Q707&lt;&gt;$N707),1,0))</f>
        <v/>
      </c>
      <c r="Z707" s="36" t="str">
        <f aca="false">IF($F707="","",IF($P707="Cancelada",0,IF(OR($O707&lt;&gt;"",$P707="Concluída"),1,0)))</f>
        <v/>
      </c>
    </row>
    <row r="708" customFormat="false" ht="16.5" hidden="false" customHeight="true" outlineLevel="0" collapsed="false">
      <c r="A708" s="36" t="str">
        <f aca="false">IF($F708="","",COUNTA($F$5:$F708))</f>
        <v/>
      </c>
      <c r="B708" s="37" t="str">
        <f aca="true">IF($F708="","",IF($P708="Cancelada","Cancelada",IF(OR($O708&lt;&gt;"",$P708="Concluída"),IF(OR($N708="",$O708="",$O708&lt;=$N708),"Concluída","Concluída com atraso"),IF($N708="","Na carteira",IF($N708&lt;TODAY(),"VENCIDA",IF($P708="Em execução","Em execução",IF($N708=TODAY(),"Hoje","Programada")))))))</f>
        <v/>
      </c>
      <c r="C708" s="38"/>
      <c r="D708" s="38"/>
      <c r="E708" s="38"/>
      <c r="F708" s="38"/>
      <c r="G708" s="39"/>
      <c r="H708" s="39"/>
      <c r="I708" s="40"/>
      <c r="J708" s="40"/>
      <c r="K708" s="40"/>
      <c r="L708" s="41"/>
      <c r="M708" s="42"/>
      <c r="N708" s="43" t="str">
        <f aca="false">IF(OR($L708="",$M708=""),"",$L708+MATCH($M708,Listas!$F$5:$F$11,0)-1)</f>
        <v/>
      </c>
      <c r="O708" s="44"/>
      <c r="P708" s="39"/>
      <c r="Q708" s="44"/>
      <c r="R708" s="38"/>
      <c r="S708" s="38"/>
      <c r="T708" s="36" t="str">
        <f aca="false">IF($F708="","",IF(ISNUMBER(SEARCH("(externo)",$I708&amp;$J708&amp;$K708)),"Terceirizada","Interna"))</f>
        <v/>
      </c>
      <c r="U708" s="43" t="str">
        <f aca="false">IF($N708="","",IF($Q708="",$N708,$Q708))</f>
        <v/>
      </c>
      <c r="V708" s="36" t="str">
        <f aca="false">IF($F708="","",IF(OR($O708="",$N708=""),0,IF($O708&lt;=$N708,1,0)))</f>
        <v/>
      </c>
      <c r="W708" s="36" t="str">
        <f aca="false">IF($F708="","",IF(OR($O708="",$U708=""),0,IF($O708&lt;=$U708,1,0)))</f>
        <v/>
      </c>
      <c r="X708" s="37" t="str">
        <f aca="false">IF(OR($O708="",$N708=""),"",MAX(0,$O708-$N708))</f>
        <v/>
      </c>
      <c r="Y708" s="36" t="str">
        <f aca="false">IF($F708="","",IF(AND($Q708&lt;&gt;"",$N708&lt;&gt;"",$Q708&lt;&gt;$N708),1,0))</f>
        <v/>
      </c>
      <c r="Z708" s="36" t="str">
        <f aca="false">IF($F708="","",IF($P708="Cancelada",0,IF(OR($O708&lt;&gt;"",$P708="Concluída"),1,0)))</f>
        <v/>
      </c>
    </row>
    <row r="709" customFormat="false" ht="16.5" hidden="false" customHeight="true" outlineLevel="0" collapsed="false">
      <c r="A709" s="36" t="str">
        <f aca="false">IF($F709="","",COUNTA($F$5:$F709))</f>
        <v/>
      </c>
      <c r="B709" s="37" t="str">
        <f aca="true">IF($F709="","",IF($P709="Cancelada","Cancelada",IF(OR($O709&lt;&gt;"",$P709="Concluída"),IF(OR($N709="",$O709="",$O709&lt;=$N709),"Concluída","Concluída com atraso"),IF($N709="","Na carteira",IF($N709&lt;TODAY(),"VENCIDA",IF($P709="Em execução","Em execução",IF($N709=TODAY(),"Hoje","Programada")))))))</f>
        <v/>
      </c>
      <c r="C709" s="38"/>
      <c r="D709" s="38"/>
      <c r="E709" s="38"/>
      <c r="F709" s="38"/>
      <c r="G709" s="39"/>
      <c r="H709" s="39"/>
      <c r="I709" s="40"/>
      <c r="J709" s="40"/>
      <c r="K709" s="40"/>
      <c r="L709" s="41"/>
      <c r="M709" s="42"/>
      <c r="N709" s="43" t="str">
        <f aca="false">IF(OR($L709="",$M709=""),"",$L709+MATCH($M709,Listas!$F$5:$F$11,0)-1)</f>
        <v/>
      </c>
      <c r="O709" s="44"/>
      <c r="P709" s="39"/>
      <c r="Q709" s="44"/>
      <c r="R709" s="38"/>
      <c r="S709" s="38"/>
      <c r="T709" s="36" t="str">
        <f aca="false">IF($F709="","",IF(ISNUMBER(SEARCH("(externo)",$I709&amp;$J709&amp;$K709)),"Terceirizada","Interna"))</f>
        <v/>
      </c>
      <c r="U709" s="43" t="str">
        <f aca="false">IF($N709="","",IF($Q709="",$N709,$Q709))</f>
        <v/>
      </c>
      <c r="V709" s="36" t="str">
        <f aca="false">IF($F709="","",IF(OR($O709="",$N709=""),0,IF($O709&lt;=$N709,1,0)))</f>
        <v/>
      </c>
      <c r="W709" s="36" t="str">
        <f aca="false">IF($F709="","",IF(OR($O709="",$U709=""),0,IF($O709&lt;=$U709,1,0)))</f>
        <v/>
      </c>
      <c r="X709" s="37" t="str">
        <f aca="false">IF(OR($O709="",$N709=""),"",MAX(0,$O709-$N709))</f>
        <v/>
      </c>
      <c r="Y709" s="36" t="str">
        <f aca="false">IF($F709="","",IF(AND($Q709&lt;&gt;"",$N709&lt;&gt;"",$Q709&lt;&gt;$N709),1,0))</f>
        <v/>
      </c>
      <c r="Z709" s="36" t="str">
        <f aca="false">IF($F709="","",IF($P709="Cancelada",0,IF(OR($O709&lt;&gt;"",$P709="Concluída"),1,0)))</f>
        <v/>
      </c>
    </row>
    <row r="710" customFormat="false" ht="16.5" hidden="false" customHeight="true" outlineLevel="0" collapsed="false">
      <c r="A710" s="36" t="str">
        <f aca="false">IF($F710="","",COUNTA($F$5:$F710))</f>
        <v/>
      </c>
      <c r="B710" s="37" t="str">
        <f aca="true">IF($F710="","",IF($P710="Cancelada","Cancelada",IF(OR($O710&lt;&gt;"",$P710="Concluída"),IF(OR($N710="",$O710="",$O710&lt;=$N710),"Concluída","Concluída com atraso"),IF($N710="","Na carteira",IF($N710&lt;TODAY(),"VENCIDA",IF($P710="Em execução","Em execução",IF($N710=TODAY(),"Hoje","Programada")))))))</f>
        <v/>
      </c>
      <c r="C710" s="38"/>
      <c r="D710" s="38"/>
      <c r="E710" s="38"/>
      <c r="F710" s="38"/>
      <c r="G710" s="39"/>
      <c r="H710" s="39"/>
      <c r="I710" s="40"/>
      <c r="J710" s="40"/>
      <c r="K710" s="40"/>
      <c r="L710" s="41"/>
      <c r="M710" s="42"/>
      <c r="N710" s="43" t="str">
        <f aca="false">IF(OR($L710="",$M710=""),"",$L710+MATCH($M710,Listas!$F$5:$F$11,0)-1)</f>
        <v/>
      </c>
      <c r="O710" s="44"/>
      <c r="P710" s="39"/>
      <c r="Q710" s="44"/>
      <c r="R710" s="38"/>
      <c r="S710" s="38"/>
      <c r="T710" s="36" t="str">
        <f aca="false">IF($F710="","",IF(ISNUMBER(SEARCH("(externo)",$I710&amp;$J710&amp;$K710)),"Terceirizada","Interna"))</f>
        <v/>
      </c>
      <c r="U710" s="43" t="str">
        <f aca="false">IF($N710="","",IF($Q710="",$N710,$Q710))</f>
        <v/>
      </c>
      <c r="V710" s="36" t="str">
        <f aca="false">IF($F710="","",IF(OR($O710="",$N710=""),0,IF($O710&lt;=$N710,1,0)))</f>
        <v/>
      </c>
      <c r="W710" s="36" t="str">
        <f aca="false">IF($F710="","",IF(OR($O710="",$U710=""),0,IF($O710&lt;=$U710,1,0)))</f>
        <v/>
      </c>
      <c r="X710" s="37" t="str">
        <f aca="false">IF(OR($O710="",$N710=""),"",MAX(0,$O710-$N710))</f>
        <v/>
      </c>
      <c r="Y710" s="36" t="str">
        <f aca="false">IF($F710="","",IF(AND($Q710&lt;&gt;"",$N710&lt;&gt;"",$Q710&lt;&gt;$N710),1,0))</f>
        <v/>
      </c>
      <c r="Z710" s="36" t="str">
        <f aca="false">IF($F710="","",IF($P710="Cancelada",0,IF(OR($O710&lt;&gt;"",$P710="Concluída"),1,0)))</f>
        <v/>
      </c>
    </row>
    <row r="711" customFormat="false" ht="16.5" hidden="false" customHeight="true" outlineLevel="0" collapsed="false">
      <c r="A711" s="36" t="str">
        <f aca="false">IF($F711="","",COUNTA($F$5:$F711))</f>
        <v/>
      </c>
      <c r="B711" s="37" t="str">
        <f aca="true">IF($F711="","",IF($P711="Cancelada","Cancelada",IF(OR($O711&lt;&gt;"",$P711="Concluída"),IF(OR($N711="",$O711="",$O711&lt;=$N711),"Concluída","Concluída com atraso"),IF($N711="","Na carteira",IF($N711&lt;TODAY(),"VENCIDA",IF($P711="Em execução","Em execução",IF($N711=TODAY(),"Hoje","Programada")))))))</f>
        <v/>
      </c>
      <c r="C711" s="38"/>
      <c r="D711" s="38"/>
      <c r="E711" s="38"/>
      <c r="F711" s="38"/>
      <c r="G711" s="39"/>
      <c r="H711" s="39"/>
      <c r="I711" s="40"/>
      <c r="J711" s="40"/>
      <c r="K711" s="40"/>
      <c r="L711" s="41"/>
      <c r="M711" s="42"/>
      <c r="N711" s="43" t="str">
        <f aca="false">IF(OR($L711="",$M711=""),"",$L711+MATCH($M711,Listas!$F$5:$F$11,0)-1)</f>
        <v/>
      </c>
      <c r="O711" s="44"/>
      <c r="P711" s="39"/>
      <c r="Q711" s="44"/>
      <c r="R711" s="38"/>
      <c r="S711" s="38"/>
      <c r="T711" s="36" t="str">
        <f aca="false">IF($F711="","",IF(ISNUMBER(SEARCH("(externo)",$I711&amp;$J711&amp;$K711)),"Terceirizada","Interna"))</f>
        <v/>
      </c>
      <c r="U711" s="43" t="str">
        <f aca="false">IF($N711="","",IF($Q711="",$N711,$Q711))</f>
        <v/>
      </c>
      <c r="V711" s="36" t="str">
        <f aca="false">IF($F711="","",IF(OR($O711="",$N711=""),0,IF($O711&lt;=$N711,1,0)))</f>
        <v/>
      </c>
      <c r="W711" s="36" t="str">
        <f aca="false">IF($F711="","",IF(OR($O711="",$U711=""),0,IF($O711&lt;=$U711,1,0)))</f>
        <v/>
      </c>
      <c r="X711" s="37" t="str">
        <f aca="false">IF(OR($O711="",$N711=""),"",MAX(0,$O711-$N711))</f>
        <v/>
      </c>
      <c r="Y711" s="36" t="str">
        <f aca="false">IF($F711="","",IF(AND($Q711&lt;&gt;"",$N711&lt;&gt;"",$Q711&lt;&gt;$N711),1,0))</f>
        <v/>
      </c>
      <c r="Z711" s="36" t="str">
        <f aca="false">IF($F711="","",IF($P711="Cancelada",0,IF(OR($O711&lt;&gt;"",$P711="Concluída"),1,0)))</f>
        <v/>
      </c>
    </row>
    <row r="712" customFormat="false" ht="16.5" hidden="false" customHeight="true" outlineLevel="0" collapsed="false">
      <c r="A712" s="36" t="str">
        <f aca="false">IF($F712="","",COUNTA($F$5:$F712))</f>
        <v/>
      </c>
      <c r="B712" s="37" t="str">
        <f aca="true">IF($F712="","",IF($P712="Cancelada","Cancelada",IF(OR($O712&lt;&gt;"",$P712="Concluída"),IF(OR($N712="",$O712="",$O712&lt;=$N712),"Concluída","Concluída com atraso"),IF($N712="","Na carteira",IF($N712&lt;TODAY(),"VENCIDA",IF($P712="Em execução","Em execução",IF($N712=TODAY(),"Hoje","Programada")))))))</f>
        <v/>
      </c>
      <c r="C712" s="38"/>
      <c r="D712" s="38"/>
      <c r="E712" s="38"/>
      <c r="F712" s="38"/>
      <c r="G712" s="39"/>
      <c r="H712" s="39"/>
      <c r="I712" s="40"/>
      <c r="J712" s="40"/>
      <c r="K712" s="40"/>
      <c r="L712" s="41"/>
      <c r="M712" s="42"/>
      <c r="N712" s="43" t="str">
        <f aca="false">IF(OR($L712="",$M712=""),"",$L712+MATCH($M712,Listas!$F$5:$F$11,0)-1)</f>
        <v/>
      </c>
      <c r="O712" s="44"/>
      <c r="P712" s="39"/>
      <c r="Q712" s="44"/>
      <c r="R712" s="38"/>
      <c r="S712" s="38"/>
      <c r="T712" s="36" t="str">
        <f aca="false">IF($F712="","",IF(ISNUMBER(SEARCH("(externo)",$I712&amp;$J712&amp;$K712)),"Terceirizada","Interna"))</f>
        <v/>
      </c>
      <c r="U712" s="43" t="str">
        <f aca="false">IF($N712="","",IF($Q712="",$N712,$Q712))</f>
        <v/>
      </c>
      <c r="V712" s="36" t="str">
        <f aca="false">IF($F712="","",IF(OR($O712="",$N712=""),0,IF($O712&lt;=$N712,1,0)))</f>
        <v/>
      </c>
      <c r="W712" s="36" t="str">
        <f aca="false">IF($F712="","",IF(OR($O712="",$U712=""),0,IF($O712&lt;=$U712,1,0)))</f>
        <v/>
      </c>
      <c r="X712" s="37" t="str">
        <f aca="false">IF(OR($O712="",$N712=""),"",MAX(0,$O712-$N712))</f>
        <v/>
      </c>
      <c r="Y712" s="36" t="str">
        <f aca="false">IF($F712="","",IF(AND($Q712&lt;&gt;"",$N712&lt;&gt;"",$Q712&lt;&gt;$N712),1,0))</f>
        <v/>
      </c>
      <c r="Z712" s="36" t="str">
        <f aca="false">IF($F712="","",IF($P712="Cancelada",0,IF(OR($O712&lt;&gt;"",$P712="Concluída"),1,0)))</f>
        <v/>
      </c>
    </row>
    <row r="713" customFormat="false" ht="16.5" hidden="false" customHeight="true" outlineLevel="0" collapsed="false">
      <c r="A713" s="36" t="str">
        <f aca="false">IF($F713="","",COUNTA($F$5:$F713))</f>
        <v/>
      </c>
      <c r="B713" s="37" t="str">
        <f aca="true">IF($F713="","",IF($P713="Cancelada","Cancelada",IF(OR($O713&lt;&gt;"",$P713="Concluída"),IF(OR($N713="",$O713="",$O713&lt;=$N713),"Concluída","Concluída com atraso"),IF($N713="","Na carteira",IF($N713&lt;TODAY(),"VENCIDA",IF($P713="Em execução","Em execução",IF($N713=TODAY(),"Hoje","Programada")))))))</f>
        <v/>
      </c>
      <c r="C713" s="38"/>
      <c r="D713" s="38"/>
      <c r="E713" s="38"/>
      <c r="F713" s="38"/>
      <c r="G713" s="39"/>
      <c r="H713" s="39"/>
      <c r="I713" s="40"/>
      <c r="J713" s="40"/>
      <c r="K713" s="40"/>
      <c r="L713" s="41"/>
      <c r="M713" s="42"/>
      <c r="N713" s="43" t="str">
        <f aca="false">IF(OR($L713="",$M713=""),"",$L713+MATCH($M713,Listas!$F$5:$F$11,0)-1)</f>
        <v/>
      </c>
      <c r="O713" s="44"/>
      <c r="P713" s="39"/>
      <c r="Q713" s="44"/>
      <c r="R713" s="38"/>
      <c r="S713" s="38"/>
      <c r="T713" s="36" t="str">
        <f aca="false">IF($F713="","",IF(ISNUMBER(SEARCH("(externo)",$I713&amp;$J713&amp;$K713)),"Terceirizada","Interna"))</f>
        <v/>
      </c>
      <c r="U713" s="43" t="str">
        <f aca="false">IF($N713="","",IF($Q713="",$N713,$Q713))</f>
        <v/>
      </c>
      <c r="V713" s="36" t="str">
        <f aca="false">IF($F713="","",IF(OR($O713="",$N713=""),0,IF($O713&lt;=$N713,1,0)))</f>
        <v/>
      </c>
      <c r="W713" s="36" t="str">
        <f aca="false">IF($F713="","",IF(OR($O713="",$U713=""),0,IF($O713&lt;=$U713,1,0)))</f>
        <v/>
      </c>
      <c r="X713" s="37" t="str">
        <f aca="false">IF(OR($O713="",$N713=""),"",MAX(0,$O713-$N713))</f>
        <v/>
      </c>
      <c r="Y713" s="36" t="str">
        <f aca="false">IF($F713="","",IF(AND($Q713&lt;&gt;"",$N713&lt;&gt;"",$Q713&lt;&gt;$N713),1,0))</f>
        <v/>
      </c>
      <c r="Z713" s="36" t="str">
        <f aca="false">IF($F713="","",IF($P713="Cancelada",0,IF(OR($O713&lt;&gt;"",$P713="Concluída"),1,0)))</f>
        <v/>
      </c>
    </row>
    <row r="714" customFormat="false" ht="16.5" hidden="false" customHeight="true" outlineLevel="0" collapsed="false">
      <c r="A714" s="36" t="str">
        <f aca="false">IF($F714="","",COUNTA($F$5:$F714))</f>
        <v/>
      </c>
      <c r="B714" s="37" t="str">
        <f aca="true">IF($F714="","",IF($P714="Cancelada","Cancelada",IF(OR($O714&lt;&gt;"",$P714="Concluída"),IF(OR($N714="",$O714="",$O714&lt;=$N714),"Concluída","Concluída com atraso"),IF($N714="","Na carteira",IF($N714&lt;TODAY(),"VENCIDA",IF($P714="Em execução","Em execução",IF($N714=TODAY(),"Hoje","Programada")))))))</f>
        <v/>
      </c>
      <c r="C714" s="38"/>
      <c r="D714" s="38"/>
      <c r="E714" s="38"/>
      <c r="F714" s="38"/>
      <c r="G714" s="39"/>
      <c r="H714" s="39"/>
      <c r="I714" s="40"/>
      <c r="J714" s="40"/>
      <c r="K714" s="40"/>
      <c r="L714" s="41"/>
      <c r="M714" s="42"/>
      <c r="N714" s="43" t="str">
        <f aca="false">IF(OR($L714="",$M714=""),"",$L714+MATCH($M714,Listas!$F$5:$F$11,0)-1)</f>
        <v/>
      </c>
      <c r="O714" s="44"/>
      <c r="P714" s="39"/>
      <c r="Q714" s="44"/>
      <c r="R714" s="38"/>
      <c r="S714" s="38"/>
      <c r="T714" s="36" t="str">
        <f aca="false">IF($F714="","",IF(ISNUMBER(SEARCH("(externo)",$I714&amp;$J714&amp;$K714)),"Terceirizada","Interna"))</f>
        <v/>
      </c>
      <c r="U714" s="43" t="str">
        <f aca="false">IF($N714="","",IF($Q714="",$N714,$Q714))</f>
        <v/>
      </c>
      <c r="V714" s="36" t="str">
        <f aca="false">IF($F714="","",IF(OR($O714="",$N714=""),0,IF($O714&lt;=$N714,1,0)))</f>
        <v/>
      </c>
      <c r="W714" s="36" t="str">
        <f aca="false">IF($F714="","",IF(OR($O714="",$U714=""),0,IF($O714&lt;=$U714,1,0)))</f>
        <v/>
      </c>
      <c r="X714" s="37" t="str">
        <f aca="false">IF(OR($O714="",$N714=""),"",MAX(0,$O714-$N714))</f>
        <v/>
      </c>
      <c r="Y714" s="36" t="str">
        <f aca="false">IF($F714="","",IF(AND($Q714&lt;&gt;"",$N714&lt;&gt;"",$Q714&lt;&gt;$N714),1,0))</f>
        <v/>
      </c>
      <c r="Z714" s="36" t="str">
        <f aca="false">IF($F714="","",IF($P714="Cancelada",0,IF(OR($O714&lt;&gt;"",$P714="Concluída"),1,0)))</f>
        <v/>
      </c>
    </row>
    <row r="715" customFormat="false" ht="16.5" hidden="false" customHeight="true" outlineLevel="0" collapsed="false">
      <c r="A715" s="36" t="str">
        <f aca="false">IF($F715="","",COUNTA($F$5:$F715))</f>
        <v/>
      </c>
      <c r="B715" s="37" t="str">
        <f aca="true">IF($F715="","",IF($P715="Cancelada","Cancelada",IF(OR($O715&lt;&gt;"",$P715="Concluída"),IF(OR($N715="",$O715="",$O715&lt;=$N715),"Concluída","Concluída com atraso"),IF($N715="","Na carteira",IF($N715&lt;TODAY(),"VENCIDA",IF($P715="Em execução","Em execução",IF($N715=TODAY(),"Hoje","Programada")))))))</f>
        <v/>
      </c>
      <c r="C715" s="38"/>
      <c r="D715" s="38"/>
      <c r="E715" s="38"/>
      <c r="F715" s="38"/>
      <c r="G715" s="39"/>
      <c r="H715" s="39"/>
      <c r="I715" s="40"/>
      <c r="J715" s="40"/>
      <c r="K715" s="40"/>
      <c r="L715" s="41"/>
      <c r="M715" s="42"/>
      <c r="N715" s="43" t="str">
        <f aca="false">IF(OR($L715="",$M715=""),"",$L715+MATCH($M715,Listas!$F$5:$F$11,0)-1)</f>
        <v/>
      </c>
      <c r="O715" s="44"/>
      <c r="P715" s="39"/>
      <c r="Q715" s="44"/>
      <c r="R715" s="38"/>
      <c r="S715" s="38"/>
      <c r="T715" s="36" t="str">
        <f aca="false">IF($F715="","",IF(ISNUMBER(SEARCH("(externo)",$I715&amp;$J715&amp;$K715)),"Terceirizada","Interna"))</f>
        <v/>
      </c>
      <c r="U715" s="43" t="str">
        <f aca="false">IF($N715="","",IF($Q715="",$N715,$Q715))</f>
        <v/>
      </c>
      <c r="V715" s="36" t="str">
        <f aca="false">IF($F715="","",IF(OR($O715="",$N715=""),0,IF($O715&lt;=$N715,1,0)))</f>
        <v/>
      </c>
      <c r="W715" s="36" t="str">
        <f aca="false">IF($F715="","",IF(OR($O715="",$U715=""),0,IF($O715&lt;=$U715,1,0)))</f>
        <v/>
      </c>
      <c r="X715" s="37" t="str">
        <f aca="false">IF(OR($O715="",$N715=""),"",MAX(0,$O715-$N715))</f>
        <v/>
      </c>
      <c r="Y715" s="36" t="str">
        <f aca="false">IF($F715="","",IF(AND($Q715&lt;&gt;"",$N715&lt;&gt;"",$Q715&lt;&gt;$N715),1,0))</f>
        <v/>
      </c>
      <c r="Z715" s="36" t="str">
        <f aca="false">IF($F715="","",IF($P715="Cancelada",0,IF(OR($O715&lt;&gt;"",$P715="Concluída"),1,0)))</f>
        <v/>
      </c>
    </row>
    <row r="716" customFormat="false" ht="16.5" hidden="false" customHeight="true" outlineLevel="0" collapsed="false">
      <c r="A716" s="36" t="str">
        <f aca="false">IF($F716="","",COUNTA($F$5:$F716))</f>
        <v/>
      </c>
      <c r="B716" s="37" t="str">
        <f aca="true">IF($F716="","",IF($P716="Cancelada","Cancelada",IF(OR($O716&lt;&gt;"",$P716="Concluída"),IF(OR($N716="",$O716="",$O716&lt;=$N716),"Concluída","Concluída com atraso"),IF($N716="","Na carteira",IF($N716&lt;TODAY(),"VENCIDA",IF($P716="Em execução","Em execução",IF($N716=TODAY(),"Hoje","Programada")))))))</f>
        <v/>
      </c>
      <c r="C716" s="38"/>
      <c r="D716" s="38"/>
      <c r="E716" s="38"/>
      <c r="F716" s="38"/>
      <c r="G716" s="39"/>
      <c r="H716" s="39"/>
      <c r="I716" s="40"/>
      <c r="J716" s="40"/>
      <c r="K716" s="40"/>
      <c r="L716" s="41"/>
      <c r="M716" s="42"/>
      <c r="N716" s="43" t="str">
        <f aca="false">IF(OR($L716="",$M716=""),"",$L716+MATCH($M716,Listas!$F$5:$F$11,0)-1)</f>
        <v/>
      </c>
      <c r="O716" s="44"/>
      <c r="P716" s="39"/>
      <c r="Q716" s="44"/>
      <c r="R716" s="38"/>
      <c r="S716" s="38"/>
      <c r="T716" s="36" t="str">
        <f aca="false">IF($F716="","",IF(ISNUMBER(SEARCH("(externo)",$I716&amp;$J716&amp;$K716)),"Terceirizada","Interna"))</f>
        <v/>
      </c>
      <c r="U716" s="43" t="str">
        <f aca="false">IF($N716="","",IF($Q716="",$N716,$Q716))</f>
        <v/>
      </c>
      <c r="V716" s="36" t="str">
        <f aca="false">IF($F716="","",IF(OR($O716="",$N716=""),0,IF($O716&lt;=$N716,1,0)))</f>
        <v/>
      </c>
      <c r="W716" s="36" t="str">
        <f aca="false">IF($F716="","",IF(OR($O716="",$U716=""),0,IF($O716&lt;=$U716,1,0)))</f>
        <v/>
      </c>
      <c r="X716" s="37" t="str">
        <f aca="false">IF(OR($O716="",$N716=""),"",MAX(0,$O716-$N716))</f>
        <v/>
      </c>
      <c r="Y716" s="36" t="str">
        <f aca="false">IF($F716="","",IF(AND($Q716&lt;&gt;"",$N716&lt;&gt;"",$Q716&lt;&gt;$N716),1,0))</f>
        <v/>
      </c>
      <c r="Z716" s="36" t="str">
        <f aca="false">IF($F716="","",IF($P716="Cancelada",0,IF(OR($O716&lt;&gt;"",$P716="Concluída"),1,0)))</f>
        <v/>
      </c>
    </row>
    <row r="717" customFormat="false" ht="16.5" hidden="false" customHeight="true" outlineLevel="0" collapsed="false">
      <c r="A717" s="36" t="str">
        <f aca="false">IF($F717="","",COUNTA($F$5:$F717))</f>
        <v/>
      </c>
      <c r="B717" s="37" t="str">
        <f aca="true">IF($F717="","",IF($P717="Cancelada","Cancelada",IF(OR($O717&lt;&gt;"",$P717="Concluída"),IF(OR($N717="",$O717="",$O717&lt;=$N717),"Concluída","Concluída com atraso"),IF($N717="","Na carteira",IF($N717&lt;TODAY(),"VENCIDA",IF($P717="Em execução","Em execução",IF($N717=TODAY(),"Hoje","Programada")))))))</f>
        <v/>
      </c>
      <c r="C717" s="38"/>
      <c r="D717" s="38"/>
      <c r="E717" s="38"/>
      <c r="F717" s="38"/>
      <c r="G717" s="39"/>
      <c r="H717" s="39"/>
      <c r="I717" s="40"/>
      <c r="J717" s="40"/>
      <c r="K717" s="40"/>
      <c r="L717" s="41"/>
      <c r="M717" s="42"/>
      <c r="N717" s="43" t="str">
        <f aca="false">IF(OR($L717="",$M717=""),"",$L717+MATCH($M717,Listas!$F$5:$F$11,0)-1)</f>
        <v/>
      </c>
      <c r="O717" s="44"/>
      <c r="P717" s="39"/>
      <c r="Q717" s="44"/>
      <c r="R717" s="38"/>
      <c r="S717" s="38"/>
      <c r="T717" s="36" t="str">
        <f aca="false">IF($F717="","",IF(ISNUMBER(SEARCH("(externo)",$I717&amp;$J717&amp;$K717)),"Terceirizada","Interna"))</f>
        <v/>
      </c>
      <c r="U717" s="43" t="str">
        <f aca="false">IF($N717="","",IF($Q717="",$N717,$Q717))</f>
        <v/>
      </c>
      <c r="V717" s="36" t="str">
        <f aca="false">IF($F717="","",IF(OR($O717="",$N717=""),0,IF($O717&lt;=$N717,1,0)))</f>
        <v/>
      </c>
      <c r="W717" s="36" t="str">
        <f aca="false">IF($F717="","",IF(OR($O717="",$U717=""),0,IF($O717&lt;=$U717,1,0)))</f>
        <v/>
      </c>
      <c r="X717" s="37" t="str">
        <f aca="false">IF(OR($O717="",$N717=""),"",MAX(0,$O717-$N717))</f>
        <v/>
      </c>
      <c r="Y717" s="36" t="str">
        <f aca="false">IF($F717="","",IF(AND($Q717&lt;&gt;"",$N717&lt;&gt;"",$Q717&lt;&gt;$N717),1,0))</f>
        <v/>
      </c>
      <c r="Z717" s="36" t="str">
        <f aca="false">IF($F717="","",IF($P717="Cancelada",0,IF(OR($O717&lt;&gt;"",$P717="Concluída"),1,0)))</f>
        <v/>
      </c>
    </row>
    <row r="718" customFormat="false" ht="16.5" hidden="false" customHeight="true" outlineLevel="0" collapsed="false">
      <c r="A718" s="36" t="str">
        <f aca="false">IF($F718="","",COUNTA($F$5:$F718))</f>
        <v/>
      </c>
      <c r="B718" s="37" t="str">
        <f aca="true">IF($F718="","",IF($P718="Cancelada","Cancelada",IF(OR($O718&lt;&gt;"",$P718="Concluída"),IF(OR($N718="",$O718="",$O718&lt;=$N718),"Concluída","Concluída com atraso"),IF($N718="","Na carteira",IF($N718&lt;TODAY(),"VENCIDA",IF($P718="Em execução","Em execução",IF($N718=TODAY(),"Hoje","Programada")))))))</f>
        <v/>
      </c>
      <c r="C718" s="38"/>
      <c r="D718" s="38"/>
      <c r="E718" s="38"/>
      <c r="F718" s="38"/>
      <c r="G718" s="39"/>
      <c r="H718" s="39"/>
      <c r="I718" s="40"/>
      <c r="J718" s="40"/>
      <c r="K718" s="40"/>
      <c r="L718" s="41"/>
      <c r="M718" s="42"/>
      <c r="N718" s="43" t="str">
        <f aca="false">IF(OR($L718="",$M718=""),"",$L718+MATCH($M718,Listas!$F$5:$F$11,0)-1)</f>
        <v/>
      </c>
      <c r="O718" s="44"/>
      <c r="P718" s="39"/>
      <c r="Q718" s="44"/>
      <c r="R718" s="38"/>
      <c r="S718" s="38"/>
      <c r="T718" s="36" t="str">
        <f aca="false">IF($F718="","",IF(ISNUMBER(SEARCH("(externo)",$I718&amp;$J718&amp;$K718)),"Terceirizada","Interna"))</f>
        <v/>
      </c>
      <c r="U718" s="43" t="str">
        <f aca="false">IF($N718="","",IF($Q718="",$N718,$Q718))</f>
        <v/>
      </c>
      <c r="V718" s="36" t="str">
        <f aca="false">IF($F718="","",IF(OR($O718="",$N718=""),0,IF($O718&lt;=$N718,1,0)))</f>
        <v/>
      </c>
      <c r="W718" s="36" t="str">
        <f aca="false">IF($F718="","",IF(OR($O718="",$U718=""),0,IF($O718&lt;=$U718,1,0)))</f>
        <v/>
      </c>
      <c r="X718" s="37" t="str">
        <f aca="false">IF(OR($O718="",$N718=""),"",MAX(0,$O718-$N718))</f>
        <v/>
      </c>
      <c r="Y718" s="36" t="str">
        <f aca="false">IF($F718="","",IF(AND($Q718&lt;&gt;"",$N718&lt;&gt;"",$Q718&lt;&gt;$N718),1,0))</f>
        <v/>
      </c>
      <c r="Z718" s="36" t="str">
        <f aca="false">IF($F718="","",IF($P718="Cancelada",0,IF(OR($O718&lt;&gt;"",$P718="Concluída"),1,0)))</f>
        <v/>
      </c>
    </row>
    <row r="719" customFormat="false" ht="16.5" hidden="false" customHeight="true" outlineLevel="0" collapsed="false">
      <c r="A719" s="36" t="str">
        <f aca="false">IF($F719="","",COUNTA($F$5:$F719))</f>
        <v/>
      </c>
      <c r="B719" s="37" t="str">
        <f aca="true">IF($F719="","",IF($P719="Cancelada","Cancelada",IF(OR($O719&lt;&gt;"",$P719="Concluída"),IF(OR($N719="",$O719="",$O719&lt;=$N719),"Concluída","Concluída com atraso"),IF($N719="","Na carteira",IF($N719&lt;TODAY(),"VENCIDA",IF($P719="Em execução","Em execução",IF($N719=TODAY(),"Hoje","Programada")))))))</f>
        <v/>
      </c>
      <c r="C719" s="38"/>
      <c r="D719" s="38"/>
      <c r="E719" s="38"/>
      <c r="F719" s="38"/>
      <c r="G719" s="39"/>
      <c r="H719" s="39"/>
      <c r="I719" s="40"/>
      <c r="J719" s="40"/>
      <c r="K719" s="40"/>
      <c r="L719" s="41"/>
      <c r="M719" s="42"/>
      <c r="N719" s="43" t="str">
        <f aca="false">IF(OR($L719="",$M719=""),"",$L719+MATCH($M719,Listas!$F$5:$F$11,0)-1)</f>
        <v/>
      </c>
      <c r="O719" s="44"/>
      <c r="P719" s="39"/>
      <c r="Q719" s="44"/>
      <c r="R719" s="38"/>
      <c r="S719" s="38"/>
      <c r="T719" s="36" t="str">
        <f aca="false">IF($F719="","",IF(ISNUMBER(SEARCH("(externo)",$I719&amp;$J719&amp;$K719)),"Terceirizada","Interna"))</f>
        <v/>
      </c>
      <c r="U719" s="43" t="str">
        <f aca="false">IF($N719="","",IF($Q719="",$N719,$Q719))</f>
        <v/>
      </c>
      <c r="V719" s="36" t="str">
        <f aca="false">IF($F719="","",IF(OR($O719="",$N719=""),0,IF($O719&lt;=$N719,1,0)))</f>
        <v/>
      </c>
      <c r="W719" s="36" t="str">
        <f aca="false">IF($F719="","",IF(OR($O719="",$U719=""),0,IF($O719&lt;=$U719,1,0)))</f>
        <v/>
      </c>
      <c r="X719" s="37" t="str">
        <f aca="false">IF(OR($O719="",$N719=""),"",MAX(0,$O719-$N719))</f>
        <v/>
      </c>
      <c r="Y719" s="36" t="str">
        <f aca="false">IF($F719="","",IF(AND($Q719&lt;&gt;"",$N719&lt;&gt;"",$Q719&lt;&gt;$N719),1,0))</f>
        <v/>
      </c>
      <c r="Z719" s="36" t="str">
        <f aca="false">IF($F719="","",IF($P719="Cancelada",0,IF(OR($O719&lt;&gt;"",$P719="Concluída"),1,0)))</f>
        <v/>
      </c>
    </row>
    <row r="720" customFormat="false" ht="16.5" hidden="false" customHeight="true" outlineLevel="0" collapsed="false">
      <c r="A720" s="36" t="str">
        <f aca="false">IF($F720="","",COUNTA($F$5:$F720))</f>
        <v/>
      </c>
      <c r="B720" s="37" t="str">
        <f aca="true">IF($F720="","",IF($P720="Cancelada","Cancelada",IF(OR($O720&lt;&gt;"",$P720="Concluída"),IF(OR($N720="",$O720="",$O720&lt;=$N720),"Concluída","Concluída com atraso"),IF($N720="","Na carteira",IF($N720&lt;TODAY(),"VENCIDA",IF($P720="Em execução","Em execução",IF($N720=TODAY(),"Hoje","Programada")))))))</f>
        <v/>
      </c>
      <c r="C720" s="38"/>
      <c r="D720" s="38"/>
      <c r="E720" s="38"/>
      <c r="F720" s="38"/>
      <c r="G720" s="39"/>
      <c r="H720" s="39"/>
      <c r="I720" s="40"/>
      <c r="J720" s="40"/>
      <c r="K720" s="40"/>
      <c r="L720" s="41"/>
      <c r="M720" s="42"/>
      <c r="N720" s="43" t="str">
        <f aca="false">IF(OR($L720="",$M720=""),"",$L720+MATCH($M720,Listas!$F$5:$F$11,0)-1)</f>
        <v/>
      </c>
      <c r="O720" s="44"/>
      <c r="P720" s="39"/>
      <c r="Q720" s="44"/>
      <c r="R720" s="38"/>
      <c r="S720" s="38"/>
      <c r="T720" s="36" t="str">
        <f aca="false">IF($F720="","",IF(ISNUMBER(SEARCH("(externo)",$I720&amp;$J720&amp;$K720)),"Terceirizada","Interna"))</f>
        <v/>
      </c>
      <c r="U720" s="43" t="str">
        <f aca="false">IF($N720="","",IF($Q720="",$N720,$Q720))</f>
        <v/>
      </c>
      <c r="V720" s="36" t="str">
        <f aca="false">IF($F720="","",IF(OR($O720="",$N720=""),0,IF($O720&lt;=$N720,1,0)))</f>
        <v/>
      </c>
      <c r="W720" s="36" t="str">
        <f aca="false">IF($F720="","",IF(OR($O720="",$U720=""),0,IF($O720&lt;=$U720,1,0)))</f>
        <v/>
      </c>
      <c r="X720" s="37" t="str">
        <f aca="false">IF(OR($O720="",$N720=""),"",MAX(0,$O720-$N720))</f>
        <v/>
      </c>
      <c r="Y720" s="36" t="str">
        <f aca="false">IF($F720="","",IF(AND($Q720&lt;&gt;"",$N720&lt;&gt;"",$Q720&lt;&gt;$N720),1,0))</f>
        <v/>
      </c>
      <c r="Z720" s="36" t="str">
        <f aca="false">IF($F720="","",IF($P720="Cancelada",0,IF(OR($O720&lt;&gt;"",$P720="Concluída"),1,0)))</f>
        <v/>
      </c>
    </row>
    <row r="721" customFormat="false" ht="16.5" hidden="false" customHeight="true" outlineLevel="0" collapsed="false">
      <c r="A721" s="36" t="str">
        <f aca="false">IF($F721="","",COUNTA($F$5:$F721))</f>
        <v/>
      </c>
      <c r="B721" s="37" t="str">
        <f aca="true">IF($F721="","",IF($P721="Cancelada","Cancelada",IF(OR($O721&lt;&gt;"",$P721="Concluída"),IF(OR($N721="",$O721="",$O721&lt;=$N721),"Concluída","Concluída com atraso"),IF($N721="","Na carteira",IF($N721&lt;TODAY(),"VENCIDA",IF($P721="Em execução","Em execução",IF($N721=TODAY(),"Hoje","Programada")))))))</f>
        <v/>
      </c>
      <c r="C721" s="38"/>
      <c r="D721" s="38"/>
      <c r="E721" s="38"/>
      <c r="F721" s="38"/>
      <c r="G721" s="39"/>
      <c r="H721" s="39"/>
      <c r="I721" s="40"/>
      <c r="J721" s="40"/>
      <c r="K721" s="40"/>
      <c r="L721" s="41"/>
      <c r="M721" s="42"/>
      <c r="N721" s="43" t="str">
        <f aca="false">IF(OR($L721="",$M721=""),"",$L721+MATCH($M721,Listas!$F$5:$F$11,0)-1)</f>
        <v/>
      </c>
      <c r="O721" s="44"/>
      <c r="P721" s="39"/>
      <c r="Q721" s="44"/>
      <c r="R721" s="38"/>
      <c r="S721" s="38"/>
      <c r="T721" s="36" t="str">
        <f aca="false">IF($F721="","",IF(ISNUMBER(SEARCH("(externo)",$I721&amp;$J721&amp;$K721)),"Terceirizada","Interna"))</f>
        <v/>
      </c>
      <c r="U721" s="43" t="str">
        <f aca="false">IF($N721="","",IF($Q721="",$N721,$Q721))</f>
        <v/>
      </c>
      <c r="V721" s="36" t="str">
        <f aca="false">IF($F721="","",IF(OR($O721="",$N721=""),0,IF($O721&lt;=$N721,1,0)))</f>
        <v/>
      </c>
      <c r="W721" s="36" t="str">
        <f aca="false">IF($F721="","",IF(OR($O721="",$U721=""),0,IF($O721&lt;=$U721,1,0)))</f>
        <v/>
      </c>
      <c r="X721" s="37" t="str">
        <f aca="false">IF(OR($O721="",$N721=""),"",MAX(0,$O721-$N721))</f>
        <v/>
      </c>
      <c r="Y721" s="36" t="str">
        <f aca="false">IF($F721="","",IF(AND($Q721&lt;&gt;"",$N721&lt;&gt;"",$Q721&lt;&gt;$N721),1,0))</f>
        <v/>
      </c>
      <c r="Z721" s="36" t="str">
        <f aca="false">IF($F721="","",IF($P721="Cancelada",0,IF(OR($O721&lt;&gt;"",$P721="Concluída"),1,0)))</f>
        <v/>
      </c>
    </row>
    <row r="722" customFormat="false" ht="16.5" hidden="false" customHeight="true" outlineLevel="0" collapsed="false">
      <c r="A722" s="36" t="str">
        <f aca="false">IF($F722="","",COUNTA($F$5:$F722))</f>
        <v/>
      </c>
      <c r="B722" s="37" t="str">
        <f aca="true">IF($F722="","",IF($P722="Cancelada","Cancelada",IF(OR($O722&lt;&gt;"",$P722="Concluída"),IF(OR($N722="",$O722="",$O722&lt;=$N722),"Concluída","Concluída com atraso"),IF($N722="","Na carteira",IF($N722&lt;TODAY(),"VENCIDA",IF($P722="Em execução","Em execução",IF($N722=TODAY(),"Hoje","Programada")))))))</f>
        <v/>
      </c>
      <c r="C722" s="38"/>
      <c r="D722" s="38"/>
      <c r="E722" s="38"/>
      <c r="F722" s="38"/>
      <c r="G722" s="39"/>
      <c r="H722" s="39"/>
      <c r="I722" s="40"/>
      <c r="J722" s="40"/>
      <c r="K722" s="40"/>
      <c r="L722" s="41"/>
      <c r="M722" s="42"/>
      <c r="N722" s="43" t="str">
        <f aca="false">IF(OR($L722="",$M722=""),"",$L722+MATCH($M722,Listas!$F$5:$F$11,0)-1)</f>
        <v/>
      </c>
      <c r="O722" s="44"/>
      <c r="P722" s="39"/>
      <c r="Q722" s="44"/>
      <c r="R722" s="38"/>
      <c r="S722" s="38"/>
      <c r="T722" s="36" t="str">
        <f aca="false">IF($F722="","",IF(ISNUMBER(SEARCH("(externo)",$I722&amp;$J722&amp;$K722)),"Terceirizada","Interna"))</f>
        <v/>
      </c>
      <c r="U722" s="43" t="str">
        <f aca="false">IF($N722="","",IF($Q722="",$N722,$Q722))</f>
        <v/>
      </c>
      <c r="V722" s="36" t="str">
        <f aca="false">IF($F722="","",IF(OR($O722="",$N722=""),0,IF($O722&lt;=$N722,1,0)))</f>
        <v/>
      </c>
      <c r="W722" s="36" t="str">
        <f aca="false">IF($F722="","",IF(OR($O722="",$U722=""),0,IF($O722&lt;=$U722,1,0)))</f>
        <v/>
      </c>
      <c r="X722" s="37" t="str">
        <f aca="false">IF(OR($O722="",$N722=""),"",MAX(0,$O722-$N722))</f>
        <v/>
      </c>
      <c r="Y722" s="36" t="str">
        <f aca="false">IF($F722="","",IF(AND($Q722&lt;&gt;"",$N722&lt;&gt;"",$Q722&lt;&gt;$N722),1,0))</f>
        <v/>
      </c>
      <c r="Z722" s="36" t="str">
        <f aca="false">IF($F722="","",IF($P722="Cancelada",0,IF(OR($O722&lt;&gt;"",$P722="Concluída"),1,0)))</f>
        <v/>
      </c>
    </row>
    <row r="723" customFormat="false" ht="16.5" hidden="false" customHeight="true" outlineLevel="0" collapsed="false">
      <c r="A723" s="36" t="str">
        <f aca="false">IF($F723="","",COUNTA($F$5:$F723))</f>
        <v/>
      </c>
      <c r="B723" s="37" t="str">
        <f aca="true">IF($F723="","",IF($P723="Cancelada","Cancelada",IF(OR($O723&lt;&gt;"",$P723="Concluída"),IF(OR($N723="",$O723="",$O723&lt;=$N723),"Concluída","Concluída com atraso"),IF($N723="","Na carteira",IF($N723&lt;TODAY(),"VENCIDA",IF($P723="Em execução","Em execução",IF($N723=TODAY(),"Hoje","Programada")))))))</f>
        <v/>
      </c>
      <c r="C723" s="38"/>
      <c r="D723" s="38"/>
      <c r="E723" s="38"/>
      <c r="F723" s="38"/>
      <c r="G723" s="39"/>
      <c r="H723" s="39"/>
      <c r="I723" s="40"/>
      <c r="J723" s="40"/>
      <c r="K723" s="40"/>
      <c r="L723" s="41"/>
      <c r="M723" s="42"/>
      <c r="N723" s="43" t="str">
        <f aca="false">IF(OR($L723="",$M723=""),"",$L723+MATCH($M723,Listas!$F$5:$F$11,0)-1)</f>
        <v/>
      </c>
      <c r="O723" s="44"/>
      <c r="P723" s="39"/>
      <c r="Q723" s="44"/>
      <c r="R723" s="38"/>
      <c r="S723" s="38"/>
      <c r="T723" s="36" t="str">
        <f aca="false">IF($F723="","",IF(ISNUMBER(SEARCH("(externo)",$I723&amp;$J723&amp;$K723)),"Terceirizada","Interna"))</f>
        <v/>
      </c>
      <c r="U723" s="43" t="str">
        <f aca="false">IF($N723="","",IF($Q723="",$N723,$Q723))</f>
        <v/>
      </c>
      <c r="V723" s="36" t="str">
        <f aca="false">IF($F723="","",IF(OR($O723="",$N723=""),0,IF($O723&lt;=$N723,1,0)))</f>
        <v/>
      </c>
      <c r="W723" s="36" t="str">
        <f aca="false">IF($F723="","",IF(OR($O723="",$U723=""),0,IF($O723&lt;=$U723,1,0)))</f>
        <v/>
      </c>
      <c r="X723" s="37" t="str">
        <f aca="false">IF(OR($O723="",$N723=""),"",MAX(0,$O723-$N723))</f>
        <v/>
      </c>
      <c r="Y723" s="36" t="str">
        <f aca="false">IF($F723="","",IF(AND($Q723&lt;&gt;"",$N723&lt;&gt;"",$Q723&lt;&gt;$N723),1,0))</f>
        <v/>
      </c>
      <c r="Z723" s="36" t="str">
        <f aca="false">IF($F723="","",IF($P723="Cancelada",0,IF(OR($O723&lt;&gt;"",$P723="Concluída"),1,0)))</f>
        <v/>
      </c>
    </row>
    <row r="724" customFormat="false" ht="16.5" hidden="false" customHeight="true" outlineLevel="0" collapsed="false">
      <c r="A724" s="36" t="str">
        <f aca="false">IF($F724="","",COUNTA($F$5:$F724))</f>
        <v/>
      </c>
      <c r="B724" s="37" t="str">
        <f aca="true">IF($F724="","",IF($P724="Cancelada","Cancelada",IF(OR($O724&lt;&gt;"",$P724="Concluída"),IF(OR($N724="",$O724="",$O724&lt;=$N724),"Concluída","Concluída com atraso"),IF($N724="","Na carteira",IF($N724&lt;TODAY(),"VENCIDA",IF($P724="Em execução","Em execução",IF($N724=TODAY(),"Hoje","Programada")))))))</f>
        <v/>
      </c>
      <c r="C724" s="38"/>
      <c r="D724" s="38"/>
      <c r="E724" s="38"/>
      <c r="F724" s="38"/>
      <c r="G724" s="39"/>
      <c r="H724" s="39"/>
      <c r="I724" s="40"/>
      <c r="J724" s="40"/>
      <c r="K724" s="40"/>
      <c r="L724" s="41"/>
      <c r="M724" s="42"/>
      <c r="N724" s="43" t="str">
        <f aca="false">IF(OR($L724="",$M724=""),"",$L724+MATCH($M724,Listas!$F$5:$F$11,0)-1)</f>
        <v/>
      </c>
      <c r="O724" s="44"/>
      <c r="P724" s="39"/>
      <c r="Q724" s="44"/>
      <c r="R724" s="38"/>
      <c r="S724" s="38"/>
      <c r="T724" s="36" t="str">
        <f aca="false">IF($F724="","",IF(ISNUMBER(SEARCH("(externo)",$I724&amp;$J724&amp;$K724)),"Terceirizada","Interna"))</f>
        <v/>
      </c>
      <c r="U724" s="43" t="str">
        <f aca="false">IF($N724="","",IF($Q724="",$N724,$Q724))</f>
        <v/>
      </c>
      <c r="V724" s="36" t="str">
        <f aca="false">IF($F724="","",IF(OR($O724="",$N724=""),0,IF($O724&lt;=$N724,1,0)))</f>
        <v/>
      </c>
      <c r="W724" s="36" t="str">
        <f aca="false">IF($F724="","",IF(OR($O724="",$U724=""),0,IF($O724&lt;=$U724,1,0)))</f>
        <v/>
      </c>
      <c r="X724" s="37" t="str">
        <f aca="false">IF(OR($O724="",$N724=""),"",MAX(0,$O724-$N724))</f>
        <v/>
      </c>
      <c r="Y724" s="36" t="str">
        <f aca="false">IF($F724="","",IF(AND($Q724&lt;&gt;"",$N724&lt;&gt;"",$Q724&lt;&gt;$N724),1,0))</f>
        <v/>
      </c>
      <c r="Z724" s="36" t="str">
        <f aca="false">IF($F724="","",IF($P724="Cancelada",0,IF(OR($O724&lt;&gt;"",$P724="Concluída"),1,0)))</f>
        <v/>
      </c>
    </row>
    <row r="725" customFormat="false" ht="16.5" hidden="false" customHeight="true" outlineLevel="0" collapsed="false">
      <c r="A725" s="36" t="str">
        <f aca="false">IF($F725="","",COUNTA($F$5:$F725))</f>
        <v/>
      </c>
      <c r="B725" s="37" t="str">
        <f aca="true">IF($F725="","",IF($P725="Cancelada","Cancelada",IF(OR($O725&lt;&gt;"",$P725="Concluída"),IF(OR($N725="",$O725="",$O725&lt;=$N725),"Concluída","Concluída com atraso"),IF($N725="","Na carteira",IF($N725&lt;TODAY(),"VENCIDA",IF($P725="Em execução","Em execução",IF($N725=TODAY(),"Hoje","Programada")))))))</f>
        <v/>
      </c>
      <c r="C725" s="38"/>
      <c r="D725" s="38"/>
      <c r="E725" s="38"/>
      <c r="F725" s="38"/>
      <c r="G725" s="39"/>
      <c r="H725" s="39"/>
      <c r="I725" s="40"/>
      <c r="J725" s="40"/>
      <c r="K725" s="40"/>
      <c r="L725" s="41"/>
      <c r="M725" s="42"/>
      <c r="N725" s="43" t="str">
        <f aca="false">IF(OR($L725="",$M725=""),"",$L725+MATCH($M725,Listas!$F$5:$F$11,0)-1)</f>
        <v/>
      </c>
      <c r="O725" s="44"/>
      <c r="P725" s="39"/>
      <c r="Q725" s="44"/>
      <c r="R725" s="38"/>
      <c r="S725" s="38"/>
      <c r="T725" s="36" t="str">
        <f aca="false">IF($F725="","",IF(ISNUMBER(SEARCH("(externo)",$I725&amp;$J725&amp;$K725)),"Terceirizada","Interna"))</f>
        <v/>
      </c>
      <c r="U725" s="43" t="str">
        <f aca="false">IF($N725="","",IF($Q725="",$N725,$Q725))</f>
        <v/>
      </c>
      <c r="V725" s="36" t="str">
        <f aca="false">IF($F725="","",IF(OR($O725="",$N725=""),0,IF($O725&lt;=$N725,1,0)))</f>
        <v/>
      </c>
      <c r="W725" s="36" t="str">
        <f aca="false">IF($F725="","",IF(OR($O725="",$U725=""),0,IF($O725&lt;=$U725,1,0)))</f>
        <v/>
      </c>
      <c r="X725" s="37" t="str">
        <f aca="false">IF(OR($O725="",$N725=""),"",MAX(0,$O725-$N725))</f>
        <v/>
      </c>
      <c r="Y725" s="36" t="str">
        <f aca="false">IF($F725="","",IF(AND($Q725&lt;&gt;"",$N725&lt;&gt;"",$Q725&lt;&gt;$N725),1,0))</f>
        <v/>
      </c>
      <c r="Z725" s="36" t="str">
        <f aca="false">IF($F725="","",IF($P725="Cancelada",0,IF(OR($O725&lt;&gt;"",$P725="Concluída"),1,0)))</f>
        <v/>
      </c>
    </row>
    <row r="726" customFormat="false" ht="16.5" hidden="false" customHeight="true" outlineLevel="0" collapsed="false">
      <c r="A726" s="36" t="str">
        <f aca="false">IF($F726="","",COUNTA($F$5:$F726))</f>
        <v/>
      </c>
      <c r="B726" s="37" t="str">
        <f aca="true">IF($F726="","",IF($P726="Cancelada","Cancelada",IF(OR($O726&lt;&gt;"",$P726="Concluída"),IF(OR($N726="",$O726="",$O726&lt;=$N726),"Concluída","Concluída com atraso"),IF($N726="","Na carteira",IF($N726&lt;TODAY(),"VENCIDA",IF($P726="Em execução","Em execução",IF($N726=TODAY(),"Hoje","Programada")))))))</f>
        <v/>
      </c>
      <c r="C726" s="38"/>
      <c r="D726" s="38"/>
      <c r="E726" s="38"/>
      <c r="F726" s="38"/>
      <c r="G726" s="39"/>
      <c r="H726" s="39"/>
      <c r="I726" s="40"/>
      <c r="J726" s="40"/>
      <c r="K726" s="40"/>
      <c r="L726" s="41"/>
      <c r="M726" s="42"/>
      <c r="N726" s="43" t="str">
        <f aca="false">IF(OR($L726="",$M726=""),"",$L726+MATCH($M726,Listas!$F$5:$F$11,0)-1)</f>
        <v/>
      </c>
      <c r="O726" s="44"/>
      <c r="P726" s="39"/>
      <c r="Q726" s="44"/>
      <c r="R726" s="38"/>
      <c r="S726" s="38"/>
      <c r="T726" s="36" t="str">
        <f aca="false">IF($F726="","",IF(ISNUMBER(SEARCH("(externo)",$I726&amp;$J726&amp;$K726)),"Terceirizada","Interna"))</f>
        <v/>
      </c>
      <c r="U726" s="43" t="str">
        <f aca="false">IF($N726="","",IF($Q726="",$N726,$Q726))</f>
        <v/>
      </c>
      <c r="V726" s="36" t="str">
        <f aca="false">IF($F726="","",IF(OR($O726="",$N726=""),0,IF($O726&lt;=$N726,1,0)))</f>
        <v/>
      </c>
      <c r="W726" s="36" t="str">
        <f aca="false">IF($F726="","",IF(OR($O726="",$U726=""),0,IF($O726&lt;=$U726,1,0)))</f>
        <v/>
      </c>
      <c r="X726" s="37" t="str">
        <f aca="false">IF(OR($O726="",$N726=""),"",MAX(0,$O726-$N726))</f>
        <v/>
      </c>
      <c r="Y726" s="36" t="str">
        <f aca="false">IF($F726="","",IF(AND($Q726&lt;&gt;"",$N726&lt;&gt;"",$Q726&lt;&gt;$N726),1,0))</f>
        <v/>
      </c>
      <c r="Z726" s="36" t="str">
        <f aca="false">IF($F726="","",IF($P726="Cancelada",0,IF(OR($O726&lt;&gt;"",$P726="Concluída"),1,0)))</f>
        <v/>
      </c>
    </row>
    <row r="727" customFormat="false" ht="16.5" hidden="false" customHeight="true" outlineLevel="0" collapsed="false">
      <c r="A727" s="36" t="str">
        <f aca="false">IF($F727="","",COUNTA($F$5:$F727))</f>
        <v/>
      </c>
      <c r="B727" s="37" t="str">
        <f aca="true">IF($F727="","",IF($P727="Cancelada","Cancelada",IF(OR($O727&lt;&gt;"",$P727="Concluída"),IF(OR($N727="",$O727="",$O727&lt;=$N727),"Concluída","Concluída com atraso"),IF($N727="","Na carteira",IF($N727&lt;TODAY(),"VENCIDA",IF($P727="Em execução","Em execução",IF($N727=TODAY(),"Hoje","Programada")))))))</f>
        <v/>
      </c>
      <c r="C727" s="38"/>
      <c r="D727" s="38"/>
      <c r="E727" s="38"/>
      <c r="F727" s="38"/>
      <c r="G727" s="39"/>
      <c r="H727" s="39"/>
      <c r="I727" s="40"/>
      <c r="J727" s="40"/>
      <c r="K727" s="40"/>
      <c r="L727" s="41"/>
      <c r="M727" s="42"/>
      <c r="N727" s="43" t="str">
        <f aca="false">IF(OR($L727="",$M727=""),"",$L727+MATCH($M727,Listas!$F$5:$F$11,0)-1)</f>
        <v/>
      </c>
      <c r="O727" s="44"/>
      <c r="P727" s="39"/>
      <c r="Q727" s="44"/>
      <c r="R727" s="38"/>
      <c r="S727" s="38"/>
      <c r="T727" s="36" t="str">
        <f aca="false">IF($F727="","",IF(ISNUMBER(SEARCH("(externo)",$I727&amp;$J727&amp;$K727)),"Terceirizada","Interna"))</f>
        <v/>
      </c>
      <c r="U727" s="43" t="str">
        <f aca="false">IF($N727="","",IF($Q727="",$N727,$Q727))</f>
        <v/>
      </c>
      <c r="V727" s="36" t="str">
        <f aca="false">IF($F727="","",IF(OR($O727="",$N727=""),0,IF($O727&lt;=$N727,1,0)))</f>
        <v/>
      </c>
      <c r="W727" s="36" t="str">
        <f aca="false">IF($F727="","",IF(OR($O727="",$U727=""),0,IF($O727&lt;=$U727,1,0)))</f>
        <v/>
      </c>
      <c r="X727" s="37" t="str">
        <f aca="false">IF(OR($O727="",$N727=""),"",MAX(0,$O727-$N727))</f>
        <v/>
      </c>
      <c r="Y727" s="36" t="str">
        <f aca="false">IF($F727="","",IF(AND($Q727&lt;&gt;"",$N727&lt;&gt;"",$Q727&lt;&gt;$N727),1,0))</f>
        <v/>
      </c>
      <c r="Z727" s="36" t="str">
        <f aca="false">IF($F727="","",IF($P727="Cancelada",0,IF(OR($O727&lt;&gt;"",$P727="Concluída"),1,0)))</f>
        <v/>
      </c>
    </row>
    <row r="728" customFormat="false" ht="16.5" hidden="false" customHeight="true" outlineLevel="0" collapsed="false">
      <c r="A728" s="36" t="str">
        <f aca="false">IF($F728="","",COUNTA($F$5:$F728))</f>
        <v/>
      </c>
      <c r="B728" s="37" t="str">
        <f aca="true">IF($F728="","",IF($P728="Cancelada","Cancelada",IF(OR($O728&lt;&gt;"",$P728="Concluída"),IF(OR($N728="",$O728="",$O728&lt;=$N728),"Concluída","Concluída com atraso"),IF($N728="","Na carteira",IF($N728&lt;TODAY(),"VENCIDA",IF($P728="Em execução","Em execução",IF($N728=TODAY(),"Hoje","Programada")))))))</f>
        <v/>
      </c>
      <c r="C728" s="38"/>
      <c r="D728" s="38"/>
      <c r="E728" s="38"/>
      <c r="F728" s="38"/>
      <c r="G728" s="39"/>
      <c r="H728" s="39"/>
      <c r="I728" s="40"/>
      <c r="J728" s="40"/>
      <c r="K728" s="40"/>
      <c r="L728" s="41"/>
      <c r="M728" s="42"/>
      <c r="N728" s="43" t="str">
        <f aca="false">IF(OR($L728="",$M728=""),"",$L728+MATCH($M728,Listas!$F$5:$F$11,0)-1)</f>
        <v/>
      </c>
      <c r="O728" s="44"/>
      <c r="P728" s="39"/>
      <c r="Q728" s="44"/>
      <c r="R728" s="38"/>
      <c r="S728" s="38"/>
      <c r="T728" s="36" t="str">
        <f aca="false">IF($F728="","",IF(ISNUMBER(SEARCH("(externo)",$I728&amp;$J728&amp;$K728)),"Terceirizada","Interna"))</f>
        <v/>
      </c>
      <c r="U728" s="43" t="str">
        <f aca="false">IF($N728="","",IF($Q728="",$N728,$Q728))</f>
        <v/>
      </c>
      <c r="V728" s="36" t="str">
        <f aca="false">IF($F728="","",IF(OR($O728="",$N728=""),0,IF($O728&lt;=$N728,1,0)))</f>
        <v/>
      </c>
      <c r="W728" s="36" t="str">
        <f aca="false">IF($F728="","",IF(OR($O728="",$U728=""),0,IF($O728&lt;=$U728,1,0)))</f>
        <v/>
      </c>
      <c r="X728" s="37" t="str">
        <f aca="false">IF(OR($O728="",$N728=""),"",MAX(0,$O728-$N728))</f>
        <v/>
      </c>
      <c r="Y728" s="36" t="str">
        <f aca="false">IF($F728="","",IF(AND($Q728&lt;&gt;"",$N728&lt;&gt;"",$Q728&lt;&gt;$N728),1,0))</f>
        <v/>
      </c>
      <c r="Z728" s="36" t="str">
        <f aca="false">IF($F728="","",IF($P728="Cancelada",0,IF(OR($O728&lt;&gt;"",$P728="Concluída"),1,0)))</f>
        <v/>
      </c>
    </row>
    <row r="729" customFormat="false" ht="16.5" hidden="false" customHeight="true" outlineLevel="0" collapsed="false">
      <c r="A729" s="36" t="str">
        <f aca="false">IF($F729="","",COUNTA($F$5:$F729))</f>
        <v/>
      </c>
      <c r="B729" s="37" t="str">
        <f aca="true">IF($F729="","",IF($P729="Cancelada","Cancelada",IF(OR($O729&lt;&gt;"",$P729="Concluída"),IF(OR($N729="",$O729="",$O729&lt;=$N729),"Concluída","Concluída com atraso"),IF($N729="","Na carteira",IF($N729&lt;TODAY(),"VENCIDA",IF($P729="Em execução","Em execução",IF($N729=TODAY(),"Hoje","Programada")))))))</f>
        <v/>
      </c>
      <c r="C729" s="38"/>
      <c r="D729" s="38"/>
      <c r="E729" s="38"/>
      <c r="F729" s="38"/>
      <c r="G729" s="39"/>
      <c r="H729" s="39"/>
      <c r="I729" s="40"/>
      <c r="J729" s="40"/>
      <c r="K729" s="40"/>
      <c r="L729" s="41"/>
      <c r="M729" s="42"/>
      <c r="N729" s="43" t="str">
        <f aca="false">IF(OR($L729="",$M729=""),"",$L729+MATCH($M729,Listas!$F$5:$F$11,0)-1)</f>
        <v/>
      </c>
      <c r="O729" s="44"/>
      <c r="P729" s="39"/>
      <c r="Q729" s="44"/>
      <c r="R729" s="38"/>
      <c r="S729" s="38"/>
      <c r="T729" s="36" t="str">
        <f aca="false">IF($F729="","",IF(ISNUMBER(SEARCH("(externo)",$I729&amp;$J729&amp;$K729)),"Terceirizada","Interna"))</f>
        <v/>
      </c>
      <c r="U729" s="43" t="str">
        <f aca="false">IF($N729="","",IF($Q729="",$N729,$Q729))</f>
        <v/>
      </c>
      <c r="V729" s="36" t="str">
        <f aca="false">IF($F729="","",IF(OR($O729="",$N729=""),0,IF($O729&lt;=$N729,1,0)))</f>
        <v/>
      </c>
      <c r="W729" s="36" t="str">
        <f aca="false">IF($F729="","",IF(OR($O729="",$U729=""),0,IF($O729&lt;=$U729,1,0)))</f>
        <v/>
      </c>
      <c r="X729" s="37" t="str">
        <f aca="false">IF(OR($O729="",$N729=""),"",MAX(0,$O729-$N729))</f>
        <v/>
      </c>
      <c r="Y729" s="36" t="str">
        <f aca="false">IF($F729="","",IF(AND($Q729&lt;&gt;"",$N729&lt;&gt;"",$Q729&lt;&gt;$N729),1,0))</f>
        <v/>
      </c>
      <c r="Z729" s="36" t="str">
        <f aca="false">IF($F729="","",IF($P729="Cancelada",0,IF(OR($O729&lt;&gt;"",$P729="Concluída"),1,0)))</f>
        <v/>
      </c>
    </row>
    <row r="730" customFormat="false" ht="16.5" hidden="false" customHeight="true" outlineLevel="0" collapsed="false">
      <c r="A730" s="36" t="str">
        <f aca="false">IF($F730="","",COUNTA($F$5:$F730))</f>
        <v/>
      </c>
      <c r="B730" s="37" t="str">
        <f aca="true">IF($F730="","",IF($P730="Cancelada","Cancelada",IF(OR($O730&lt;&gt;"",$P730="Concluída"),IF(OR($N730="",$O730="",$O730&lt;=$N730),"Concluída","Concluída com atraso"),IF($N730="","Na carteira",IF($N730&lt;TODAY(),"VENCIDA",IF($P730="Em execução","Em execução",IF($N730=TODAY(),"Hoje","Programada")))))))</f>
        <v/>
      </c>
      <c r="C730" s="38"/>
      <c r="D730" s="38"/>
      <c r="E730" s="38"/>
      <c r="F730" s="38"/>
      <c r="G730" s="39"/>
      <c r="H730" s="39"/>
      <c r="I730" s="40"/>
      <c r="J730" s="40"/>
      <c r="K730" s="40"/>
      <c r="L730" s="41"/>
      <c r="M730" s="42"/>
      <c r="N730" s="43" t="str">
        <f aca="false">IF(OR($L730="",$M730=""),"",$L730+MATCH($M730,Listas!$F$5:$F$11,0)-1)</f>
        <v/>
      </c>
      <c r="O730" s="44"/>
      <c r="P730" s="39"/>
      <c r="Q730" s="44"/>
      <c r="R730" s="38"/>
      <c r="S730" s="38"/>
      <c r="T730" s="36" t="str">
        <f aca="false">IF($F730="","",IF(ISNUMBER(SEARCH("(externo)",$I730&amp;$J730&amp;$K730)),"Terceirizada","Interna"))</f>
        <v/>
      </c>
      <c r="U730" s="43" t="str">
        <f aca="false">IF($N730="","",IF($Q730="",$N730,$Q730))</f>
        <v/>
      </c>
      <c r="V730" s="36" t="str">
        <f aca="false">IF($F730="","",IF(OR($O730="",$N730=""),0,IF($O730&lt;=$N730,1,0)))</f>
        <v/>
      </c>
      <c r="W730" s="36" t="str">
        <f aca="false">IF($F730="","",IF(OR($O730="",$U730=""),0,IF($O730&lt;=$U730,1,0)))</f>
        <v/>
      </c>
      <c r="X730" s="37" t="str">
        <f aca="false">IF(OR($O730="",$N730=""),"",MAX(0,$O730-$N730))</f>
        <v/>
      </c>
      <c r="Y730" s="36" t="str">
        <f aca="false">IF($F730="","",IF(AND($Q730&lt;&gt;"",$N730&lt;&gt;"",$Q730&lt;&gt;$N730),1,0))</f>
        <v/>
      </c>
      <c r="Z730" s="36" t="str">
        <f aca="false">IF($F730="","",IF($P730="Cancelada",0,IF(OR($O730&lt;&gt;"",$P730="Concluída"),1,0)))</f>
        <v/>
      </c>
    </row>
    <row r="731" customFormat="false" ht="16.5" hidden="false" customHeight="true" outlineLevel="0" collapsed="false">
      <c r="A731" s="36" t="str">
        <f aca="false">IF($F731="","",COUNTA($F$5:$F731))</f>
        <v/>
      </c>
      <c r="B731" s="37" t="str">
        <f aca="true">IF($F731="","",IF($P731="Cancelada","Cancelada",IF(OR($O731&lt;&gt;"",$P731="Concluída"),IF(OR($N731="",$O731="",$O731&lt;=$N731),"Concluída","Concluída com atraso"),IF($N731="","Na carteira",IF($N731&lt;TODAY(),"VENCIDA",IF($P731="Em execução","Em execução",IF($N731=TODAY(),"Hoje","Programada")))))))</f>
        <v/>
      </c>
      <c r="C731" s="38"/>
      <c r="D731" s="38"/>
      <c r="E731" s="38"/>
      <c r="F731" s="38"/>
      <c r="G731" s="39"/>
      <c r="H731" s="39"/>
      <c r="I731" s="40"/>
      <c r="J731" s="40"/>
      <c r="K731" s="40"/>
      <c r="L731" s="41"/>
      <c r="M731" s="42"/>
      <c r="N731" s="43" t="str">
        <f aca="false">IF(OR($L731="",$M731=""),"",$L731+MATCH($M731,Listas!$F$5:$F$11,0)-1)</f>
        <v/>
      </c>
      <c r="O731" s="44"/>
      <c r="P731" s="39"/>
      <c r="Q731" s="44"/>
      <c r="R731" s="38"/>
      <c r="S731" s="38"/>
      <c r="T731" s="36" t="str">
        <f aca="false">IF($F731="","",IF(ISNUMBER(SEARCH("(externo)",$I731&amp;$J731&amp;$K731)),"Terceirizada","Interna"))</f>
        <v/>
      </c>
      <c r="U731" s="43" t="str">
        <f aca="false">IF($N731="","",IF($Q731="",$N731,$Q731))</f>
        <v/>
      </c>
      <c r="V731" s="36" t="str">
        <f aca="false">IF($F731="","",IF(OR($O731="",$N731=""),0,IF($O731&lt;=$N731,1,0)))</f>
        <v/>
      </c>
      <c r="W731" s="36" t="str">
        <f aca="false">IF($F731="","",IF(OR($O731="",$U731=""),0,IF($O731&lt;=$U731,1,0)))</f>
        <v/>
      </c>
      <c r="X731" s="37" t="str">
        <f aca="false">IF(OR($O731="",$N731=""),"",MAX(0,$O731-$N731))</f>
        <v/>
      </c>
      <c r="Y731" s="36" t="str">
        <f aca="false">IF($F731="","",IF(AND($Q731&lt;&gt;"",$N731&lt;&gt;"",$Q731&lt;&gt;$N731),1,0))</f>
        <v/>
      </c>
      <c r="Z731" s="36" t="str">
        <f aca="false">IF($F731="","",IF($P731="Cancelada",0,IF(OR($O731&lt;&gt;"",$P731="Concluída"),1,0)))</f>
        <v/>
      </c>
    </row>
    <row r="732" customFormat="false" ht="16.5" hidden="false" customHeight="true" outlineLevel="0" collapsed="false">
      <c r="A732" s="36" t="str">
        <f aca="false">IF($F732="","",COUNTA($F$5:$F732))</f>
        <v/>
      </c>
      <c r="B732" s="37" t="str">
        <f aca="true">IF($F732="","",IF($P732="Cancelada","Cancelada",IF(OR($O732&lt;&gt;"",$P732="Concluída"),IF(OR($N732="",$O732="",$O732&lt;=$N732),"Concluída","Concluída com atraso"),IF($N732="","Na carteira",IF($N732&lt;TODAY(),"VENCIDA",IF($P732="Em execução","Em execução",IF($N732=TODAY(),"Hoje","Programada")))))))</f>
        <v/>
      </c>
      <c r="C732" s="38"/>
      <c r="D732" s="38"/>
      <c r="E732" s="38"/>
      <c r="F732" s="38"/>
      <c r="G732" s="39"/>
      <c r="H732" s="39"/>
      <c r="I732" s="40"/>
      <c r="J732" s="40"/>
      <c r="K732" s="40"/>
      <c r="L732" s="41"/>
      <c r="M732" s="42"/>
      <c r="N732" s="43" t="str">
        <f aca="false">IF(OR($L732="",$M732=""),"",$L732+MATCH($M732,Listas!$F$5:$F$11,0)-1)</f>
        <v/>
      </c>
      <c r="O732" s="44"/>
      <c r="P732" s="39"/>
      <c r="Q732" s="44"/>
      <c r="R732" s="38"/>
      <c r="S732" s="38"/>
      <c r="T732" s="36" t="str">
        <f aca="false">IF($F732="","",IF(ISNUMBER(SEARCH("(externo)",$I732&amp;$J732&amp;$K732)),"Terceirizada","Interna"))</f>
        <v/>
      </c>
      <c r="U732" s="43" t="str">
        <f aca="false">IF($N732="","",IF($Q732="",$N732,$Q732))</f>
        <v/>
      </c>
      <c r="V732" s="36" t="str">
        <f aca="false">IF($F732="","",IF(OR($O732="",$N732=""),0,IF($O732&lt;=$N732,1,0)))</f>
        <v/>
      </c>
      <c r="W732" s="36" t="str">
        <f aca="false">IF($F732="","",IF(OR($O732="",$U732=""),0,IF($O732&lt;=$U732,1,0)))</f>
        <v/>
      </c>
      <c r="X732" s="37" t="str">
        <f aca="false">IF(OR($O732="",$N732=""),"",MAX(0,$O732-$N732))</f>
        <v/>
      </c>
      <c r="Y732" s="36" t="str">
        <f aca="false">IF($F732="","",IF(AND($Q732&lt;&gt;"",$N732&lt;&gt;"",$Q732&lt;&gt;$N732),1,0))</f>
        <v/>
      </c>
      <c r="Z732" s="36" t="str">
        <f aca="false">IF($F732="","",IF($P732="Cancelada",0,IF(OR($O732&lt;&gt;"",$P732="Concluída"),1,0)))</f>
        <v/>
      </c>
    </row>
    <row r="733" customFormat="false" ht="16.5" hidden="false" customHeight="true" outlineLevel="0" collapsed="false">
      <c r="A733" s="36" t="str">
        <f aca="false">IF($F733="","",COUNTA($F$5:$F733))</f>
        <v/>
      </c>
      <c r="B733" s="37" t="str">
        <f aca="true">IF($F733="","",IF($P733="Cancelada","Cancelada",IF(OR($O733&lt;&gt;"",$P733="Concluída"),IF(OR($N733="",$O733="",$O733&lt;=$N733),"Concluída","Concluída com atraso"),IF($N733="","Na carteira",IF($N733&lt;TODAY(),"VENCIDA",IF($P733="Em execução","Em execução",IF($N733=TODAY(),"Hoje","Programada")))))))</f>
        <v/>
      </c>
      <c r="C733" s="38"/>
      <c r="D733" s="38"/>
      <c r="E733" s="38"/>
      <c r="F733" s="38"/>
      <c r="G733" s="39"/>
      <c r="H733" s="39"/>
      <c r="I733" s="40"/>
      <c r="J733" s="40"/>
      <c r="K733" s="40"/>
      <c r="L733" s="41"/>
      <c r="M733" s="42"/>
      <c r="N733" s="43" t="str">
        <f aca="false">IF(OR($L733="",$M733=""),"",$L733+MATCH($M733,Listas!$F$5:$F$11,0)-1)</f>
        <v/>
      </c>
      <c r="O733" s="44"/>
      <c r="P733" s="39"/>
      <c r="Q733" s="44"/>
      <c r="R733" s="38"/>
      <c r="S733" s="38"/>
      <c r="T733" s="36" t="str">
        <f aca="false">IF($F733="","",IF(ISNUMBER(SEARCH("(externo)",$I733&amp;$J733&amp;$K733)),"Terceirizada","Interna"))</f>
        <v/>
      </c>
      <c r="U733" s="43" t="str">
        <f aca="false">IF($N733="","",IF($Q733="",$N733,$Q733))</f>
        <v/>
      </c>
      <c r="V733" s="36" t="str">
        <f aca="false">IF($F733="","",IF(OR($O733="",$N733=""),0,IF($O733&lt;=$N733,1,0)))</f>
        <v/>
      </c>
      <c r="W733" s="36" t="str">
        <f aca="false">IF($F733="","",IF(OR($O733="",$U733=""),0,IF($O733&lt;=$U733,1,0)))</f>
        <v/>
      </c>
      <c r="X733" s="37" t="str">
        <f aca="false">IF(OR($O733="",$N733=""),"",MAX(0,$O733-$N733))</f>
        <v/>
      </c>
      <c r="Y733" s="36" t="str">
        <f aca="false">IF($F733="","",IF(AND($Q733&lt;&gt;"",$N733&lt;&gt;"",$Q733&lt;&gt;$N733),1,0))</f>
        <v/>
      </c>
      <c r="Z733" s="36" t="str">
        <f aca="false">IF($F733="","",IF($P733="Cancelada",0,IF(OR($O733&lt;&gt;"",$P733="Concluída"),1,0)))</f>
        <v/>
      </c>
    </row>
    <row r="734" customFormat="false" ht="16.5" hidden="false" customHeight="true" outlineLevel="0" collapsed="false">
      <c r="A734" s="36" t="str">
        <f aca="false">IF($F734="","",COUNTA($F$5:$F734))</f>
        <v/>
      </c>
      <c r="B734" s="37" t="str">
        <f aca="true">IF($F734="","",IF($P734="Cancelada","Cancelada",IF(OR($O734&lt;&gt;"",$P734="Concluída"),IF(OR($N734="",$O734="",$O734&lt;=$N734),"Concluída","Concluída com atraso"),IF($N734="","Na carteira",IF($N734&lt;TODAY(),"VENCIDA",IF($P734="Em execução","Em execução",IF($N734=TODAY(),"Hoje","Programada")))))))</f>
        <v/>
      </c>
      <c r="C734" s="38"/>
      <c r="D734" s="38"/>
      <c r="E734" s="38"/>
      <c r="F734" s="38"/>
      <c r="G734" s="39"/>
      <c r="H734" s="39"/>
      <c r="I734" s="40"/>
      <c r="J734" s="40"/>
      <c r="K734" s="40"/>
      <c r="L734" s="41"/>
      <c r="M734" s="42"/>
      <c r="N734" s="43" t="str">
        <f aca="false">IF(OR($L734="",$M734=""),"",$L734+MATCH($M734,Listas!$F$5:$F$11,0)-1)</f>
        <v/>
      </c>
      <c r="O734" s="44"/>
      <c r="P734" s="39"/>
      <c r="Q734" s="44"/>
      <c r="R734" s="38"/>
      <c r="S734" s="38"/>
      <c r="T734" s="36" t="str">
        <f aca="false">IF($F734="","",IF(ISNUMBER(SEARCH("(externo)",$I734&amp;$J734&amp;$K734)),"Terceirizada","Interna"))</f>
        <v/>
      </c>
      <c r="U734" s="43" t="str">
        <f aca="false">IF($N734="","",IF($Q734="",$N734,$Q734))</f>
        <v/>
      </c>
      <c r="V734" s="36" t="str">
        <f aca="false">IF($F734="","",IF(OR($O734="",$N734=""),0,IF($O734&lt;=$N734,1,0)))</f>
        <v/>
      </c>
      <c r="W734" s="36" t="str">
        <f aca="false">IF($F734="","",IF(OR($O734="",$U734=""),0,IF($O734&lt;=$U734,1,0)))</f>
        <v/>
      </c>
      <c r="X734" s="37" t="str">
        <f aca="false">IF(OR($O734="",$N734=""),"",MAX(0,$O734-$N734))</f>
        <v/>
      </c>
      <c r="Y734" s="36" t="str">
        <f aca="false">IF($F734="","",IF(AND($Q734&lt;&gt;"",$N734&lt;&gt;"",$Q734&lt;&gt;$N734),1,0))</f>
        <v/>
      </c>
      <c r="Z734" s="36" t="str">
        <f aca="false">IF($F734="","",IF($P734="Cancelada",0,IF(OR($O734&lt;&gt;"",$P734="Concluída"),1,0)))</f>
        <v/>
      </c>
    </row>
    <row r="735" customFormat="false" ht="16.5" hidden="false" customHeight="true" outlineLevel="0" collapsed="false">
      <c r="A735" s="36" t="str">
        <f aca="false">IF($F735="","",COUNTA($F$5:$F735))</f>
        <v/>
      </c>
      <c r="B735" s="37" t="str">
        <f aca="true">IF($F735="","",IF($P735="Cancelada","Cancelada",IF(OR($O735&lt;&gt;"",$P735="Concluída"),IF(OR($N735="",$O735="",$O735&lt;=$N735),"Concluída","Concluída com atraso"),IF($N735="","Na carteira",IF($N735&lt;TODAY(),"VENCIDA",IF($P735="Em execução","Em execução",IF($N735=TODAY(),"Hoje","Programada")))))))</f>
        <v/>
      </c>
      <c r="C735" s="38"/>
      <c r="D735" s="38"/>
      <c r="E735" s="38"/>
      <c r="F735" s="38"/>
      <c r="G735" s="39"/>
      <c r="H735" s="39"/>
      <c r="I735" s="40"/>
      <c r="J735" s="40"/>
      <c r="K735" s="40"/>
      <c r="L735" s="41"/>
      <c r="M735" s="42"/>
      <c r="N735" s="43" t="str">
        <f aca="false">IF(OR($L735="",$M735=""),"",$L735+MATCH($M735,Listas!$F$5:$F$11,0)-1)</f>
        <v/>
      </c>
      <c r="O735" s="44"/>
      <c r="P735" s="39"/>
      <c r="Q735" s="44"/>
      <c r="R735" s="38"/>
      <c r="S735" s="38"/>
      <c r="T735" s="36" t="str">
        <f aca="false">IF($F735="","",IF(ISNUMBER(SEARCH("(externo)",$I735&amp;$J735&amp;$K735)),"Terceirizada","Interna"))</f>
        <v/>
      </c>
      <c r="U735" s="43" t="str">
        <f aca="false">IF($N735="","",IF($Q735="",$N735,$Q735))</f>
        <v/>
      </c>
      <c r="V735" s="36" t="str">
        <f aca="false">IF($F735="","",IF(OR($O735="",$N735=""),0,IF($O735&lt;=$N735,1,0)))</f>
        <v/>
      </c>
      <c r="W735" s="36" t="str">
        <f aca="false">IF($F735="","",IF(OR($O735="",$U735=""),0,IF($O735&lt;=$U735,1,0)))</f>
        <v/>
      </c>
      <c r="X735" s="37" t="str">
        <f aca="false">IF(OR($O735="",$N735=""),"",MAX(0,$O735-$N735))</f>
        <v/>
      </c>
      <c r="Y735" s="36" t="str">
        <f aca="false">IF($F735="","",IF(AND($Q735&lt;&gt;"",$N735&lt;&gt;"",$Q735&lt;&gt;$N735),1,0))</f>
        <v/>
      </c>
      <c r="Z735" s="36" t="str">
        <f aca="false">IF($F735="","",IF($P735="Cancelada",0,IF(OR($O735&lt;&gt;"",$P735="Concluída"),1,0)))</f>
        <v/>
      </c>
    </row>
    <row r="736" customFormat="false" ht="16.5" hidden="false" customHeight="true" outlineLevel="0" collapsed="false">
      <c r="A736" s="36" t="str">
        <f aca="false">IF($F736="","",COUNTA($F$5:$F736))</f>
        <v/>
      </c>
      <c r="B736" s="37" t="str">
        <f aca="true">IF($F736="","",IF($P736="Cancelada","Cancelada",IF(OR($O736&lt;&gt;"",$P736="Concluída"),IF(OR($N736="",$O736="",$O736&lt;=$N736),"Concluída","Concluída com atraso"),IF($N736="","Na carteira",IF($N736&lt;TODAY(),"VENCIDA",IF($P736="Em execução","Em execução",IF($N736=TODAY(),"Hoje","Programada")))))))</f>
        <v/>
      </c>
      <c r="C736" s="38"/>
      <c r="D736" s="38"/>
      <c r="E736" s="38"/>
      <c r="F736" s="38"/>
      <c r="G736" s="39"/>
      <c r="H736" s="39"/>
      <c r="I736" s="40"/>
      <c r="J736" s="40"/>
      <c r="K736" s="40"/>
      <c r="L736" s="41"/>
      <c r="M736" s="42"/>
      <c r="N736" s="43" t="str">
        <f aca="false">IF(OR($L736="",$M736=""),"",$L736+MATCH($M736,Listas!$F$5:$F$11,0)-1)</f>
        <v/>
      </c>
      <c r="O736" s="44"/>
      <c r="P736" s="39"/>
      <c r="Q736" s="44"/>
      <c r="R736" s="38"/>
      <c r="S736" s="38"/>
      <c r="T736" s="36" t="str">
        <f aca="false">IF($F736="","",IF(ISNUMBER(SEARCH("(externo)",$I736&amp;$J736&amp;$K736)),"Terceirizada","Interna"))</f>
        <v/>
      </c>
      <c r="U736" s="43" t="str">
        <f aca="false">IF($N736="","",IF($Q736="",$N736,$Q736))</f>
        <v/>
      </c>
      <c r="V736" s="36" t="str">
        <f aca="false">IF($F736="","",IF(OR($O736="",$N736=""),0,IF($O736&lt;=$N736,1,0)))</f>
        <v/>
      </c>
      <c r="W736" s="36" t="str">
        <f aca="false">IF($F736="","",IF(OR($O736="",$U736=""),0,IF($O736&lt;=$U736,1,0)))</f>
        <v/>
      </c>
      <c r="X736" s="37" t="str">
        <f aca="false">IF(OR($O736="",$N736=""),"",MAX(0,$O736-$N736))</f>
        <v/>
      </c>
      <c r="Y736" s="36" t="str">
        <f aca="false">IF($F736="","",IF(AND($Q736&lt;&gt;"",$N736&lt;&gt;"",$Q736&lt;&gt;$N736),1,0))</f>
        <v/>
      </c>
      <c r="Z736" s="36" t="str">
        <f aca="false">IF($F736="","",IF($P736="Cancelada",0,IF(OR($O736&lt;&gt;"",$P736="Concluída"),1,0)))</f>
        <v/>
      </c>
    </row>
    <row r="737" customFormat="false" ht="16.5" hidden="false" customHeight="true" outlineLevel="0" collapsed="false">
      <c r="A737" s="36" t="str">
        <f aca="false">IF($F737="","",COUNTA($F$5:$F737))</f>
        <v/>
      </c>
      <c r="B737" s="37" t="str">
        <f aca="true">IF($F737="","",IF($P737="Cancelada","Cancelada",IF(OR($O737&lt;&gt;"",$P737="Concluída"),IF(OR($N737="",$O737="",$O737&lt;=$N737),"Concluída","Concluída com atraso"),IF($N737="","Na carteira",IF($N737&lt;TODAY(),"VENCIDA",IF($P737="Em execução","Em execução",IF($N737=TODAY(),"Hoje","Programada")))))))</f>
        <v/>
      </c>
      <c r="C737" s="38"/>
      <c r="D737" s="38"/>
      <c r="E737" s="38"/>
      <c r="F737" s="38"/>
      <c r="G737" s="39"/>
      <c r="H737" s="39"/>
      <c r="I737" s="40"/>
      <c r="J737" s="40"/>
      <c r="K737" s="40"/>
      <c r="L737" s="41"/>
      <c r="M737" s="42"/>
      <c r="N737" s="43" t="str">
        <f aca="false">IF(OR($L737="",$M737=""),"",$L737+MATCH($M737,Listas!$F$5:$F$11,0)-1)</f>
        <v/>
      </c>
      <c r="O737" s="44"/>
      <c r="P737" s="39"/>
      <c r="Q737" s="44"/>
      <c r="R737" s="38"/>
      <c r="S737" s="38"/>
      <c r="T737" s="36" t="str">
        <f aca="false">IF($F737="","",IF(ISNUMBER(SEARCH("(externo)",$I737&amp;$J737&amp;$K737)),"Terceirizada","Interna"))</f>
        <v/>
      </c>
      <c r="U737" s="43" t="str">
        <f aca="false">IF($N737="","",IF($Q737="",$N737,$Q737))</f>
        <v/>
      </c>
      <c r="V737" s="36" t="str">
        <f aca="false">IF($F737="","",IF(OR($O737="",$N737=""),0,IF($O737&lt;=$N737,1,0)))</f>
        <v/>
      </c>
      <c r="W737" s="36" t="str">
        <f aca="false">IF($F737="","",IF(OR($O737="",$U737=""),0,IF($O737&lt;=$U737,1,0)))</f>
        <v/>
      </c>
      <c r="X737" s="37" t="str">
        <f aca="false">IF(OR($O737="",$N737=""),"",MAX(0,$O737-$N737))</f>
        <v/>
      </c>
      <c r="Y737" s="36" t="str">
        <f aca="false">IF($F737="","",IF(AND($Q737&lt;&gt;"",$N737&lt;&gt;"",$Q737&lt;&gt;$N737),1,0))</f>
        <v/>
      </c>
      <c r="Z737" s="36" t="str">
        <f aca="false">IF($F737="","",IF($P737="Cancelada",0,IF(OR($O737&lt;&gt;"",$P737="Concluída"),1,0)))</f>
        <v/>
      </c>
    </row>
    <row r="738" customFormat="false" ht="16.5" hidden="false" customHeight="true" outlineLevel="0" collapsed="false">
      <c r="A738" s="36" t="str">
        <f aca="false">IF($F738="","",COUNTA($F$5:$F738))</f>
        <v/>
      </c>
      <c r="B738" s="37" t="str">
        <f aca="true">IF($F738="","",IF($P738="Cancelada","Cancelada",IF(OR($O738&lt;&gt;"",$P738="Concluída"),IF(OR($N738="",$O738="",$O738&lt;=$N738),"Concluída","Concluída com atraso"),IF($N738="","Na carteira",IF($N738&lt;TODAY(),"VENCIDA",IF($P738="Em execução","Em execução",IF($N738=TODAY(),"Hoje","Programada")))))))</f>
        <v/>
      </c>
      <c r="C738" s="38"/>
      <c r="D738" s="38"/>
      <c r="E738" s="38"/>
      <c r="F738" s="38"/>
      <c r="G738" s="39"/>
      <c r="H738" s="39"/>
      <c r="I738" s="40"/>
      <c r="J738" s="40"/>
      <c r="K738" s="40"/>
      <c r="L738" s="41"/>
      <c r="M738" s="42"/>
      <c r="N738" s="43" t="str">
        <f aca="false">IF(OR($L738="",$M738=""),"",$L738+MATCH($M738,Listas!$F$5:$F$11,0)-1)</f>
        <v/>
      </c>
      <c r="O738" s="44"/>
      <c r="P738" s="39"/>
      <c r="Q738" s="44"/>
      <c r="R738" s="38"/>
      <c r="S738" s="38"/>
      <c r="T738" s="36" t="str">
        <f aca="false">IF($F738="","",IF(ISNUMBER(SEARCH("(externo)",$I738&amp;$J738&amp;$K738)),"Terceirizada","Interna"))</f>
        <v/>
      </c>
      <c r="U738" s="43" t="str">
        <f aca="false">IF($N738="","",IF($Q738="",$N738,$Q738))</f>
        <v/>
      </c>
      <c r="V738" s="36" t="str">
        <f aca="false">IF($F738="","",IF(OR($O738="",$N738=""),0,IF($O738&lt;=$N738,1,0)))</f>
        <v/>
      </c>
      <c r="W738" s="36" t="str">
        <f aca="false">IF($F738="","",IF(OR($O738="",$U738=""),0,IF($O738&lt;=$U738,1,0)))</f>
        <v/>
      </c>
      <c r="X738" s="37" t="str">
        <f aca="false">IF(OR($O738="",$N738=""),"",MAX(0,$O738-$N738))</f>
        <v/>
      </c>
      <c r="Y738" s="36" t="str">
        <f aca="false">IF($F738="","",IF(AND($Q738&lt;&gt;"",$N738&lt;&gt;"",$Q738&lt;&gt;$N738),1,0))</f>
        <v/>
      </c>
      <c r="Z738" s="36" t="str">
        <f aca="false">IF($F738="","",IF($P738="Cancelada",0,IF(OR($O738&lt;&gt;"",$P738="Concluída"),1,0)))</f>
        <v/>
      </c>
    </row>
    <row r="739" customFormat="false" ht="16.5" hidden="false" customHeight="true" outlineLevel="0" collapsed="false">
      <c r="A739" s="36" t="str">
        <f aca="false">IF($F739="","",COUNTA($F$5:$F739))</f>
        <v/>
      </c>
      <c r="B739" s="37" t="str">
        <f aca="true">IF($F739="","",IF($P739="Cancelada","Cancelada",IF(OR($O739&lt;&gt;"",$P739="Concluída"),IF(OR($N739="",$O739="",$O739&lt;=$N739),"Concluída","Concluída com atraso"),IF($N739="","Na carteira",IF($N739&lt;TODAY(),"VENCIDA",IF($P739="Em execução","Em execução",IF($N739=TODAY(),"Hoje","Programada")))))))</f>
        <v/>
      </c>
      <c r="C739" s="38"/>
      <c r="D739" s="38"/>
      <c r="E739" s="38"/>
      <c r="F739" s="38"/>
      <c r="G739" s="39"/>
      <c r="H739" s="39"/>
      <c r="I739" s="40"/>
      <c r="J739" s="40"/>
      <c r="K739" s="40"/>
      <c r="L739" s="41"/>
      <c r="M739" s="42"/>
      <c r="N739" s="43" t="str">
        <f aca="false">IF(OR($L739="",$M739=""),"",$L739+MATCH($M739,Listas!$F$5:$F$11,0)-1)</f>
        <v/>
      </c>
      <c r="O739" s="44"/>
      <c r="P739" s="39"/>
      <c r="Q739" s="44"/>
      <c r="R739" s="38"/>
      <c r="S739" s="38"/>
      <c r="T739" s="36" t="str">
        <f aca="false">IF($F739="","",IF(ISNUMBER(SEARCH("(externo)",$I739&amp;$J739&amp;$K739)),"Terceirizada","Interna"))</f>
        <v/>
      </c>
      <c r="U739" s="43" t="str">
        <f aca="false">IF($N739="","",IF($Q739="",$N739,$Q739))</f>
        <v/>
      </c>
      <c r="V739" s="36" t="str">
        <f aca="false">IF($F739="","",IF(OR($O739="",$N739=""),0,IF($O739&lt;=$N739,1,0)))</f>
        <v/>
      </c>
      <c r="W739" s="36" t="str">
        <f aca="false">IF($F739="","",IF(OR($O739="",$U739=""),0,IF($O739&lt;=$U739,1,0)))</f>
        <v/>
      </c>
      <c r="X739" s="37" t="str">
        <f aca="false">IF(OR($O739="",$N739=""),"",MAX(0,$O739-$N739))</f>
        <v/>
      </c>
      <c r="Y739" s="36" t="str">
        <f aca="false">IF($F739="","",IF(AND($Q739&lt;&gt;"",$N739&lt;&gt;"",$Q739&lt;&gt;$N739),1,0))</f>
        <v/>
      </c>
      <c r="Z739" s="36" t="str">
        <f aca="false">IF($F739="","",IF($P739="Cancelada",0,IF(OR($O739&lt;&gt;"",$P739="Concluída"),1,0)))</f>
        <v/>
      </c>
    </row>
    <row r="740" customFormat="false" ht="16.5" hidden="false" customHeight="true" outlineLevel="0" collapsed="false">
      <c r="A740" s="36" t="str">
        <f aca="false">IF($F740="","",COUNTA($F$5:$F740))</f>
        <v/>
      </c>
      <c r="B740" s="37" t="str">
        <f aca="true">IF($F740="","",IF($P740="Cancelada","Cancelada",IF(OR($O740&lt;&gt;"",$P740="Concluída"),IF(OR($N740="",$O740="",$O740&lt;=$N740),"Concluída","Concluída com atraso"),IF($N740="","Na carteira",IF($N740&lt;TODAY(),"VENCIDA",IF($P740="Em execução","Em execução",IF($N740=TODAY(),"Hoje","Programada")))))))</f>
        <v/>
      </c>
      <c r="C740" s="38"/>
      <c r="D740" s="38"/>
      <c r="E740" s="38"/>
      <c r="F740" s="38"/>
      <c r="G740" s="39"/>
      <c r="H740" s="39"/>
      <c r="I740" s="40"/>
      <c r="J740" s="40"/>
      <c r="K740" s="40"/>
      <c r="L740" s="41"/>
      <c r="M740" s="42"/>
      <c r="N740" s="43" t="str">
        <f aca="false">IF(OR($L740="",$M740=""),"",$L740+MATCH($M740,Listas!$F$5:$F$11,0)-1)</f>
        <v/>
      </c>
      <c r="O740" s="44"/>
      <c r="P740" s="39"/>
      <c r="Q740" s="44"/>
      <c r="R740" s="38"/>
      <c r="S740" s="38"/>
      <c r="T740" s="36" t="str">
        <f aca="false">IF($F740="","",IF(ISNUMBER(SEARCH("(externo)",$I740&amp;$J740&amp;$K740)),"Terceirizada","Interna"))</f>
        <v/>
      </c>
      <c r="U740" s="43" t="str">
        <f aca="false">IF($N740="","",IF($Q740="",$N740,$Q740))</f>
        <v/>
      </c>
      <c r="V740" s="36" t="str">
        <f aca="false">IF($F740="","",IF(OR($O740="",$N740=""),0,IF($O740&lt;=$N740,1,0)))</f>
        <v/>
      </c>
      <c r="W740" s="36" t="str">
        <f aca="false">IF($F740="","",IF(OR($O740="",$U740=""),0,IF($O740&lt;=$U740,1,0)))</f>
        <v/>
      </c>
      <c r="X740" s="37" t="str">
        <f aca="false">IF(OR($O740="",$N740=""),"",MAX(0,$O740-$N740))</f>
        <v/>
      </c>
      <c r="Y740" s="36" t="str">
        <f aca="false">IF($F740="","",IF(AND($Q740&lt;&gt;"",$N740&lt;&gt;"",$Q740&lt;&gt;$N740),1,0))</f>
        <v/>
      </c>
      <c r="Z740" s="36" t="str">
        <f aca="false">IF($F740="","",IF($P740="Cancelada",0,IF(OR($O740&lt;&gt;"",$P740="Concluída"),1,0)))</f>
        <v/>
      </c>
    </row>
    <row r="741" customFormat="false" ht="16.5" hidden="false" customHeight="true" outlineLevel="0" collapsed="false">
      <c r="A741" s="36" t="str">
        <f aca="false">IF($F741="","",COUNTA($F$5:$F741))</f>
        <v/>
      </c>
      <c r="B741" s="37" t="str">
        <f aca="true">IF($F741="","",IF($P741="Cancelada","Cancelada",IF(OR($O741&lt;&gt;"",$P741="Concluída"),IF(OR($N741="",$O741="",$O741&lt;=$N741),"Concluída","Concluída com atraso"),IF($N741="","Na carteira",IF($N741&lt;TODAY(),"VENCIDA",IF($P741="Em execução","Em execução",IF($N741=TODAY(),"Hoje","Programada")))))))</f>
        <v/>
      </c>
      <c r="C741" s="38"/>
      <c r="D741" s="38"/>
      <c r="E741" s="38"/>
      <c r="F741" s="38"/>
      <c r="G741" s="39"/>
      <c r="H741" s="39"/>
      <c r="I741" s="40"/>
      <c r="J741" s="40"/>
      <c r="K741" s="40"/>
      <c r="L741" s="41"/>
      <c r="M741" s="42"/>
      <c r="N741" s="43" t="str">
        <f aca="false">IF(OR($L741="",$M741=""),"",$L741+MATCH($M741,Listas!$F$5:$F$11,0)-1)</f>
        <v/>
      </c>
      <c r="O741" s="44"/>
      <c r="P741" s="39"/>
      <c r="Q741" s="44"/>
      <c r="R741" s="38"/>
      <c r="S741" s="38"/>
      <c r="T741" s="36" t="str">
        <f aca="false">IF($F741="","",IF(ISNUMBER(SEARCH("(externo)",$I741&amp;$J741&amp;$K741)),"Terceirizada","Interna"))</f>
        <v/>
      </c>
      <c r="U741" s="43" t="str">
        <f aca="false">IF($N741="","",IF($Q741="",$N741,$Q741))</f>
        <v/>
      </c>
      <c r="V741" s="36" t="str">
        <f aca="false">IF($F741="","",IF(OR($O741="",$N741=""),0,IF($O741&lt;=$N741,1,0)))</f>
        <v/>
      </c>
      <c r="W741" s="36" t="str">
        <f aca="false">IF($F741="","",IF(OR($O741="",$U741=""),0,IF($O741&lt;=$U741,1,0)))</f>
        <v/>
      </c>
      <c r="X741" s="37" t="str">
        <f aca="false">IF(OR($O741="",$N741=""),"",MAX(0,$O741-$N741))</f>
        <v/>
      </c>
      <c r="Y741" s="36" t="str">
        <f aca="false">IF($F741="","",IF(AND($Q741&lt;&gt;"",$N741&lt;&gt;"",$Q741&lt;&gt;$N741),1,0))</f>
        <v/>
      </c>
      <c r="Z741" s="36" t="str">
        <f aca="false">IF($F741="","",IF($P741="Cancelada",0,IF(OR($O741&lt;&gt;"",$P741="Concluída"),1,0)))</f>
        <v/>
      </c>
    </row>
    <row r="742" customFormat="false" ht="16.5" hidden="false" customHeight="true" outlineLevel="0" collapsed="false">
      <c r="A742" s="36" t="str">
        <f aca="false">IF($F742="","",COUNTA($F$5:$F742))</f>
        <v/>
      </c>
      <c r="B742" s="37" t="str">
        <f aca="true">IF($F742="","",IF($P742="Cancelada","Cancelada",IF(OR($O742&lt;&gt;"",$P742="Concluída"),IF(OR($N742="",$O742="",$O742&lt;=$N742),"Concluída","Concluída com atraso"),IF($N742="","Na carteira",IF($N742&lt;TODAY(),"VENCIDA",IF($P742="Em execução","Em execução",IF($N742=TODAY(),"Hoje","Programada")))))))</f>
        <v/>
      </c>
      <c r="C742" s="38"/>
      <c r="D742" s="38"/>
      <c r="E742" s="38"/>
      <c r="F742" s="38"/>
      <c r="G742" s="39"/>
      <c r="H742" s="39"/>
      <c r="I742" s="40"/>
      <c r="J742" s="40"/>
      <c r="K742" s="40"/>
      <c r="L742" s="41"/>
      <c r="M742" s="42"/>
      <c r="N742" s="43" t="str">
        <f aca="false">IF(OR($L742="",$M742=""),"",$L742+MATCH($M742,Listas!$F$5:$F$11,0)-1)</f>
        <v/>
      </c>
      <c r="O742" s="44"/>
      <c r="P742" s="39"/>
      <c r="Q742" s="44"/>
      <c r="R742" s="38"/>
      <c r="S742" s="38"/>
      <c r="T742" s="36" t="str">
        <f aca="false">IF($F742="","",IF(ISNUMBER(SEARCH("(externo)",$I742&amp;$J742&amp;$K742)),"Terceirizada","Interna"))</f>
        <v/>
      </c>
      <c r="U742" s="43" t="str">
        <f aca="false">IF($N742="","",IF($Q742="",$N742,$Q742))</f>
        <v/>
      </c>
      <c r="V742" s="36" t="str">
        <f aca="false">IF($F742="","",IF(OR($O742="",$N742=""),0,IF($O742&lt;=$N742,1,0)))</f>
        <v/>
      </c>
      <c r="W742" s="36" t="str">
        <f aca="false">IF($F742="","",IF(OR($O742="",$U742=""),0,IF($O742&lt;=$U742,1,0)))</f>
        <v/>
      </c>
      <c r="X742" s="37" t="str">
        <f aca="false">IF(OR($O742="",$N742=""),"",MAX(0,$O742-$N742))</f>
        <v/>
      </c>
      <c r="Y742" s="36" t="str">
        <f aca="false">IF($F742="","",IF(AND($Q742&lt;&gt;"",$N742&lt;&gt;"",$Q742&lt;&gt;$N742),1,0))</f>
        <v/>
      </c>
      <c r="Z742" s="36" t="str">
        <f aca="false">IF($F742="","",IF($P742="Cancelada",0,IF(OR($O742&lt;&gt;"",$P742="Concluída"),1,0)))</f>
        <v/>
      </c>
    </row>
    <row r="743" customFormat="false" ht="16.5" hidden="false" customHeight="true" outlineLevel="0" collapsed="false">
      <c r="A743" s="36" t="str">
        <f aca="false">IF($F743="","",COUNTA($F$5:$F743))</f>
        <v/>
      </c>
      <c r="B743" s="37" t="str">
        <f aca="true">IF($F743="","",IF($P743="Cancelada","Cancelada",IF(OR($O743&lt;&gt;"",$P743="Concluída"),IF(OR($N743="",$O743="",$O743&lt;=$N743),"Concluída","Concluída com atraso"),IF($N743="","Na carteira",IF($N743&lt;TODAY(),"VENCIDA",IF($P743="Em execução","Em execução",IF($N743=TODAY(),"Hoje","Programada")))))))</f>
        <v/>
      </c>
      <c r="C743" s="38"/>
      <c r="D743" s="38"/>
      <c r="E743" s="38"/>
      <c r="F743" s="38"/>
      <c r="G743" s="39"/>
      <c r="H743" s="39"/>
      <c r="I743" s="40"/>
      <c r="J743" s="40"/>
      <c r="K743" s="40"/>
      <c r="L743" s="41"/>
      <c r="M743" s="42"/>
      <c r="N743" s="43" t="str">
        <f aca="false">IF(OR($L743="",$M743=""),"",$L743+MATCH($M743,Listas!$F$5:$F$11,0)-1)</f>
        <v/>
      </c>
      <c r="O743" s="44"/>
      <c r="P743" s="39"/>
      <c r="Q743" s="44"/>
      <c r="R743" s="38"/>
      <c r="S743" s="38"/>
      <c r="T743" s="36" t="str">
        <f aca="false">IF($F743="","",IF(ISNUMBER(SEARCH("(externo)",$I743&amp;$J743&amp;$K743)),"Terceirizada","Interna"))</f>
        <v/>
      </c>
      <c r="U743" s="43" t="str">
        <f aca="false">IF($N743="","",IF($Q743="",$N743,$Q743))</f>
        <v/>
      </c>
      <c r="V743" s="36" t="str">
        <f aca="false">IF($F743="","",IF(OR($O743="",$N743=""),0,IF($O743&lt;=$N743,1,0)))</f>
        <v/>
      </c>
      <c r="W743" s="36" t="str">
        <f aca="false">IF($F743="","",IF(OR($O743="",$U743=""),0,IF($O743&lt;=$U743,1,0)))</f>
        <v/>
      </c>
      <c r="X743" s="37" t="str">
        <f aca="false">IF(OR($O743="",$N743=""),"",MAX(0,$O743-$N743))</f>
        <v/>
      </c>
      <c r="Y743" s="36" t="str">
        <f aca="false">IF($F743="","",IF(AND($Q743&lt;&gt;"",$N743&lt;&gt;"",$Q743&lt;&gt;$N743),1,0))</f>
        <v/>
      </c>
      <c r="Z743" s="36" t="str">
        <f aca="false">IF($F743="","",IF($P743="Cancelada",0,IF(OR($O743&lt;&gt;"",$P743="Concluída"),1,0)))</f>
        <v/>
      </c>
    </row>
    <row r="744" customFormat="false" ht="16.5" hidden="false" customHeight="true" outlineLevel="0" collapsed="false">
      <c r="A744" s="36" t="str">
        <f aca="false">IF($F744="","",COUNTA($F$5:$F744))</f>
        <v/>
      </c>
      <c r="B744" s="37" t="str">
        <f aca="true">IF($F744="","",IF($P744="Cancelada","Cancelada",IF(OR($O744&lt;&gt;"",$P744="Concluída"),IF(OR($N744="",$O744="",$O744&lt;=$N744),"Concluída","Concluída com atraso"),IF($N744="","Na carteira",IF($N744&lt;TODAY(),"VENCIDA",IF($P744="Em execução","Em execução",IF($N744=TODAY(),"Hoje","Programada")))))))</f>
        <v/>
      </c>
      <c r="C744" s="38"/>
      <c r="D744" s="38"/>
      <c r="E744" s="38"/>
      <c r="F744" s="38"/>
      <c r="G744" s="39"/>
      <c r="H744" s="39"/>
      <c r="I744" s="40"/>
      <c r="J744" s="40"/>
      <c r="K744" s="40"/>
      <c r="L744" s="41"/>
      <c r="M744" s="42"/>
      <c r="N744" s="43" t="str">
        <f aca="false">IF(OR($L744="",$M744=""),"",$L744+MATCH($M744,Listas!$F$5:$F$11,0)-1)</f>
        <v/>
      </c>
      <c r="O744" s="44"/>
      <c r="P744" s="39"/>
      <c r="Q744" s="44"/>
      <c r="R744" s="38"/>
      <c r="S744" s="38"/>
      <c r="T744" s="36" t="str">
        <f aca="false">IF($F744="","",IF(ISNUMBER(SEARCH("(externo)",$I744&amp;$J744&amp;$K744)),"Terceirizada","Interna"))</f>
        <v/>
      </c>
      <c r="U744" s="43" t="str">
        <f aca="false">IF($N744="","",IF($Q744="",$N744,$Q744))</f>
        <v/>
      </c>
      <c r="V744" s="36" t="str">
        <f aca="false">IF($F744="","",IF(OR($O744="",$N744=""),0,IF($O744&lt;=$N744,1,0)))</f>
        <v/>
      </c>
      <c r="W744" s="36" t="str">
        <f aca="false">IF($F744="","",IF(OR($O744="",$U744=""),0,IF($O744&lt;=$U744,1,0)))</f>
        <v/>
      </c>
      <c r="X744" s="37" t="str">
        <f aca="false">IF(OR($O744="",$N744=""),"",MAX(0,$O744-$N744))</f>
        <v/>
      </c>
      <c r="Y744" s="36" t="str">
        <f aca="false">IF($F744="","",IF(AND($Q744&lt;&gt;"",$N744&lt;&gt;"",$Q744&lt;&gt;$N744),1,0))</f>
        <v/>
      </c>
      <c r="Z744" s="36" t="str">
        <f aca="false">IF($F744="","",IF($P744="Cancelada",0,IF(OR($O744&lt;&gt;"",$P744="Concluída"),1,0)))</f>
        <v/>
      </c>
    </row>
    <row r="745" customFormat="false" ht="16.5" hidden="false" customHeight="true" outlineLevel="0" collapsed="false">
      <c r="A745" s="36" t="str">
        <f aca="false">IF($F745="","",COUNTA($F$5:$F745))</f>
        <v/>
      </c>
      <c r="B745" s="37" t="str">
        <f aca="true">IF($F745="","",IF($P745="Cancelada","Cancelada",IF(OR($O745&lt;&gt;"",$P745="Concluída"),IF(OR($N745="",$O745="",$O745&lt;=$N745),"Concluída","Concluída com atraso"),IF($N745="","Na carteira",IF($N745&lt;TODAY(),"VENCIDA",IF($P745="Em execução","Em execução",IF($N745=TODAY(),"Hoje","Programada")))))))</f>
        <v/>
      </c>
      <c r="C745" s="38"/>
      <c r="D745" s="38"/>
      <c r="E745" s="38"/>
      <c r="F745" s="38"/>
      <c r="G745" s="39"/>
      <c r="H745" s="39"/>
      <c r="I745" s="40"/>
      <c r="J745" s="40"/>
      <c r="K745" s="40"/>
      <c r="L745" s="41"/>
      <c r="M745" s="42"/>
      <c r="N745" s="43" t="str">
        <f aca="false">IF(OR($L745="",$M745=""),"",$L745+MATCH($M745,Listas!$F$5:$F$11,0)-1)</f>
        <v/>
      </c>
      <c r="O745" s="44"/>
      <c r="P745" s="39"/>
      <c r="Q745" s="44"/>
      <c r="R745" s="38"/>
      <c r="S745" s="38"/>
      <c r="T745" s="36" t="str">
        <f aca="false">IF($F745="","",IF(ISNUMBER(SEARCH("(externo)",$I745&amp;$J745&amp;$K745)),"Terceirizada","Interna"))</f>
        <v/>
      </c>
      <c r="U745" s="43" t="str">
        <f aca="false">IF($N745="","",IF($Q745="",$N745,$Q745))</f>
        <v/>
      </c>
      <c r="V745" s="36" t="str">
        <f aca="false">IF($F745="","",IF(OR($O745="",$N745=""),0,IF($O745&lt;=$N745,1,0)))</f>
        <v/>
      </c>
      <c r="W745" s="36" t="str">
        <f aca="false">IF($F745="","",IF(OR($O745="",$U745=""),0,IF($O745&lt;=$U745,1,0)))</f>
        <v/>
      </c>
      <c r="X745" s="37" t="str">
        <f aca="false">IF(OR($O745="",$N745=""),"",MAX(0,$O745-$N745))</f>
        <v/>
      </c>
      <c r="Y745" s="36" t="str">
        <f aca="false">IF($F745="","",IF(AND($Q745&lt;&gt;"",$N745&lt;&gt;"",$Q745&lt;&gt;$N745),1,0))</f>
        <v/>
      </c>
      <c r="Z745" s="36" t="str">
        <f aca="false">IF($F745="","",IF($P745="Cancelada",0,IF(OR($O745&lt;&gt;"",$P745="Concluída"),1,0)))</f>
        <v/>
      </c>
    </row>
    <row r="746" customFormat="false" ht="16.5" hidden="false" customHeight="true" outlineLevel="0" collapsed="false">
      <c r="A746" s="36" t="str">
        <f aca="false">IF($F746="","",COUNTA($F$5:$F746))</f>
        <v/>
      </c>
      <c r="B746" s="37" t="str">
        <f aca="true">IF($F746="","",IF($P746="Cancelada","Cancelada",IF(OR($O746&lt;&gt;"",$P746="Concluída"),IF(OR($N746="",$O746="",$O746&lt;=$N746),"Concluída","Concluída com atraso"),IF($N746="","Na carteira",IF($N746&lt;TODAY(),"VENCIDA",IF($P746="Em execução","Em execução",IF($N746=TODAY(),"Hoje","Programada")))))))</f>
        <v/>
      </c>
      <c r="C746" s="38"/>
      <c r="D746" s="38"/>
      <c r="E746" s="38"/>
      <c r="F746" s="38"/>
      <c r="G746" s="39"/>
      <c r="H746" s="39"/>
      <c r="I746" s="40"/>
      <c r="J746" s="40"/>
      <c r="K746" s="40"/>
      <c r="L746" s="41"/>
      <c r="M746" s="42"/>
      <c r="N746" s="43" t="str">
        <f aca="false">IF(OR($L746="",$M746=""),"",$L746+MATCH($M746,Listas!$F$5:$F$11,0)-1)</f>
        <v/>
      </c>
      <c r="O746" s="44"/>
      <c r="P746" s="39"/>
      <c r="Q746" s="44"/>
      <c r="R746" s="38"/>
      <c r="S746" s="38"/>
      <c r="T746" s="36" t="str">
        <f aca="false">IF($F746="","",IF(ISNUMBER(SEARCH("(externo)",$I746&amp;$J746&amp;$K746)),"Terceirizada","Interna"))</f>
        <v/>
      </c>
      <c r="U746" s="43" t="str">
        <f aca="false">IF($N746="","",IF($Q746="",$N746,$Q746))</f>
        <v/>
      </c>
      <c r="V746" s="36" t="str">
        <f aca="false">IF($F746="","",IF(OR($O746="",$N746=""),0,IF($O746&lt;=$N746,1,0)))</f>
        <v/>
      </c>
      <c r="W746" s="36" t="str">
        <f aca="false">IF($F746="","",IF(OR($O746="",$U746=""),0,IF($O746&lt;=$U746,1,0)))</f>
        <v/>
      </c>
      <c r="X746" s="37" t="str">
        <f aca="false">IF(OR($O746="",$N746=""),"",MAX(0,$O746-$N746))</f>
        <v/>
      </c>
      <c r="Y746" s="36" t="str">
        <f aca="false">IF($F746="","",IF(AND($Q746&lt;&gt;"",$N746&lt;&gt;"",$Q746&lt;&gt;$N746),1,0))</f>
        <v/>
      </c>
      <c r="Z746" s="36" t="str">
        <f aca="false">IF($F746="","",IF($P746="Cancelada",0,IF(OR($O746&lt;&gt;"",$P746="Concluída"),1,0)))</f>
        <v/>
      </c>
    </row>
    <row r="747" customFormat="false" ht="16.5" hidden="false" customHeight="true" outlineLevel="0" collapsed="false">
      <c r="A747" s="36" t="str">
        <f aca="false">IF($F747="","",COUNTA($F$5:$F747))</f>
        <v/>
      </c>
      <c r="B747" s="37" t="str">
        <f aca="true">IF($F747="","",IF($P747="Cancelada","Cancelada",IF(OR($O747&lt;&gt;"",$P747="Concluída"),IF(OR($N747="",$O747="",$O747&lt;=$N747),"Concluída","Concluída com atraso"),IF($N747="","Na carteira",IF($N747&lt;TODAY(),"VENCIDA",IF($P747="Em execução","Em execução",IF($N747=TODAY(),"Hoje","Programada")))))))</f>
        <v/>
      </c>
      <c r="C747" s="38"/>
      <c r="D747" s="38"/>
      <c r="E747" s="38"/>
      <c r="F747" s="38"/>
      <c r="G747" s="39"/>
      <c r="H747" s="39"/>
      <c r="I747" s="40"/>
      <c r="J747" s="40"/>
      <c r="K747" s="40"/>
      <c r="L747" s="41"/>
      <c r="M747" s="42"/>
      <c r="N747" s="43" t="str">
        <f aca="false">IF(OR($L747="",$M747=""),"",$L747+MATCH($M747,Listas!$F$5:$F$11,0)-1)</f>
        <v/>
      </c>
      <c r="O747" s="44"/>
      <c r="P747" s="39"/>
      <c r="Q747" s="44"/>
      <c r="R747" s="38"/>
      <c r="S747" s="38"/>
      <c r="T747" s="36" t="str">
        <f aca="false">IF($F747="","",IF(ISNUMBER(SEARCH("(externo)",$I747&amp;$J747&amp;$K747)),"Terceirizada","Interna"))</f>
        <v/>
      </c>
      <c r="U747" s="43" t="str">
        <f aca="false">IF($N747="","",IF($Q747="",$N747,$Q747))</f>
        <v/>
      </c>
      <c r="V747" s="36" t="str">
        <f aca="false">IF($F747="","",IF(OR($O747="",$N747=""),0,IF($O747&lt;=$N747,1,0)))</f>
        <v/>
      </c>
      <c r="W747" s="36" t="str">
        <f aca="false">IF($F747="","",IF(OR($O747="",$U747=""),0,IF($O747&lt;=$U747,1,0)))</f>
        <v/>
      </c>
      <c r="X747" s="37" t="str">
        <f aca="false">IF(OR($O747="",$N747=""),"",MAX(0,$O747-$N747))</f>
        <v/>
      </c>
      <c r="Y747" s="36" t="str">
        <f aca="false">IF($F747="","",IF(AND($Q747&lt;&gt;"",$N747&lt;&gt;"",$Q747&lt;&gt;$N747),1,0))</f>
        <v/>
      </c>
      <c r="Z747" s="36" t="str">
        <f aca="false">IF($F747="","",IF($P747="Cancelada",0,IF(OR($O747&lt;&gt;"",$P747="Concluída"),1,0)))</f>
        <v/>
      </c>
    </row>
    <row r="748" customFormat="false" ht="16.5" hidden="false" customHeight="true" outlineLevel="0" collapsed="false">
      <c r="A748" s="36" t="str">
        <f aca="false">IF($F748="","",COUNTA($F$5:$F748))</f>
        <v/>
      </c>
      <c r="B748" s="37" t="str">
        <f aca="true">IF($F748="","",IF($P748="Cancelada","Cancelada",IF(OR($O748&lt;&gt;"",$P748="Concluída"),IF(OR($N748="",$O748="",$O748&lt;=$N748),"Concluída","Concluída com atraso"),IF($N748="","Na carteira",IF($N748&lt;TODAY(),"VENCIDA",IF($P748="Em execução","Em execução",IF($N748=TODAY(),"Hoje","Programada")))))))</f>
        <v/>
      </c>
      <c r="C748" s="38"/>
      <c r="D748" s="38"/>
      <c r="E748" s="38"/>
      <c r="F748" s="38"/>
      <c r="G748" s="39"/>
      <c r="H748" s="39"/>
      <c r="I748" s="40"/>
      <c r="J748" s="40"/>
      <c r="K748" s="40"/>
      <c r="L748" s="41"/>
      <c r="M748" s="42"/>
      <c r="N748" s="43" t="str">
        <f aca="false">IF(OR($L748="",$M748=""),"",$L748+MATCH($M748,Listas!$F$5:$F$11,0)-1)</f>
        <v/>
      </c>
      <c r="O748" s="44"/>
      <c r="P748" s="39"/>
      <c r="Q748" s="44"/>
      <c r="R748" s="38"/>
      <c r="S748" s="38"/>
      <c r="T748" s="36" t="str">
        <f aca="false">IF($F748="","",IF(ISNUMBER(SEARCH("(externo)",$I748&amp;$J748&amp;$K748)),"Terceirizada","Interna"))</f>
        <v/>
      </c>
      <c r="U748" s="43" t="str">
        <f aca="false">IF($N748="","",IF($Q748="",$N748,$Q748))</f>
        <v/>
      </c>
      <c r="V748" s="36" t="str">
        <f aca="false">IF($F748="","",IF(OR($O748="",$N748=""),0,IF($O748&lt;=$N748,1,0)))</f>
        <v/>
      </c>
      <c r="W748" s="36" t="str">
        <f aca="false">IF($F748="","",IF(OR($O748="",$U748=""),0,IF($O748&lt;=$U748,1,0)))</f>
        <v/>
      </c>
      <c r="X748" s="37" t="str">
        <f aca="false">IF(OR($O748="",$N748=""),"",MAX(0,$O748-$N748))</f>
        <v/>
      </c>
      <c r="Y748" s="36" t="str">
        <f aca="false">IF($F748="","",IF(AND($Q748&lt;&gt;"",$N748&lt;&gt;"",$Q748&lt;&gt;$N748),1,0))</f>
        <v/>
      </c>
      <c r="Z748" s="36" t="str">
        <f aca="false">IF($F748="","",IF($P748="Cancelada",0,IF(OR($O748&lt;&gt;"",$P748="Concluída"),1,0)))</f>
        <v/>
      </c>
    </row>
    <row r="749" customFormat="false" ht="16.5" hidden="false" customHeight="true" outlineLevel="0" collapsed="false">
      <c r="A749" s="36" t="str">
        <f aca="false">IF($F749="","",COUNTA($F$5:$F749))</f>
        <v/>
      </c>
      <c r="B749" s="37" t="str">
        <f aca="true">IF($F749="","",IF($P749="Cancelada","Cancelada",IF(OR($O749&lt;&gt;"",$P749="Concluída"),IF(OR($N749="",$O749="",$O749&lt;=$N749),"Concluída","Concluída com atraso"),IF($N749="","Na carteira",IF($N749&lt;TODAY(),"VENCIDA",IF($P749="Em execução","Em execução",IF($N749=TODAY(),"Hoje","Programada")))))))</f>
        <v/>
      </c>
      <c r="C749" s="38"/>
      <c r="D749" s="38"/>
      <c r="E749" s="38"/>
      <c r="F749" s="38"/>
      <c r="G749" s="39"/>
      <c r="H749" s="39"/>
      <c r="I749" s="40"/>
      <c r="J749" s="40"/>
      <c r="K749" s="40"/>
      <c r="L749" s="41"/>
      <c r="M749" s="42"/>
      <c r="N749" s="43" t="str">
        <f aca="false">IF(OR($L749="",$M749=""),"",$L749+MATCH($M749,Listas!$F$5:$F$11,0)-1)</f>
        <v/>
      </c>
      <c r="O749" s="44"/>
      <c r="P749" s="39"/>
      <c r="Q749" s="44"/>
      <c r="R749" s="38"/>
      <c r="S749" s="38"/>
      <c r="T749" s="36" t="str">
        <f aca="false">IF($F749="","",IF(ISNUMBER(SEARCH("(externo)",$I749&amp;$J749&amp;$K749)),"Terceirizada","Interna"))</f>
        <v/>
      </c>
      <c r="U749" s="43" t="str">
        <f aca="false">IF($N749="","",IF($Q749="",$N749,$Q749))</f>
        <v/>
      </c>
      <c r="V749" s="36" t="str">
        <f aca="false">IF($F749="","",IF(OR($O749="",$N749=""),0,IF($O749&lt;=$N749,1,0)))</f>
        <v/>
      </c>
      <c r="W749" s="36" t="str">
        <f aca="false">IF($F749="","",IF(OR($O749="",$U749=""),0,IF($O749&lt;=$U749,1,0)))</f>
        <v/>
      </c>
      <c r="X749" s="37" t="str">
        <f aca="false">IF(OR($O749="",$N749=""),"",MAX(0,$O749-$N749))</f>
        <v/>
      </c>
      <c r="Y749" s="36" t="str">
        <f aca="false">IF($F749="","",IF(AND($Q749&lt;&gt;"",$N749&lt;&gt;"",$Q749&lt;&gt;$N749),1,0))</f>
        <v/>
      </c>
      <c r="Z749" s="36" t="str">
        <f aca="false">IF($F749="","",IF($P749="Cancelada",0,IF(OR($O749&lt;&gt;"",$P749="Concluída"),1,0)))</f>
        <v/>
      </c>
    </row>
    <row r="750" customFormat="false" ht="16.5" hidden="false" customHeight="true" outlineLevel="0" collapsed="false">
      <c r="A750" s="36" t="str">
        <f aca="false">IF($F750="","",COUNTA($F$5:$F750))</f>
        <v/>
      </c>
      <c r="B750" s="37" t="str">
        <f aca="true">IF($F750="","",IF($P750="Cancelada","Cancelada",IF(OR($O750&lt;&gt;"",$P750="Concluída"),IF(OR($N750="",$O750="",$O750&lt;=$N750),"Concluída","Concluída com atraso"),IF($N750="","Na carteira",IF($N750&lt;TODAY(),"VENCIDA",IF($P750="Em execução","Em execução",IF($N750=TODAY(),"Hoje","Programada")))))))</f>
        <v/>
      </c>
      <c r="C750" s="38"/>
      <c r="D750" s="38"/>
      <c r="E750" s="38"/>
      <c r="F750" s="38"/>
      <c r="G750" s="39"/>
      <c r="H750" s="39"/>
      <c r="I750" s="40"/>
      <c r="J750" s="40"/>
      <c r="K750" s="40"/>
      <c r="L750" s="41"/>
      <c r="M750" s="42"/>
      <c r="N750" s="43" t="str">
        <f aca="false">IF(OR($L750="",$M750=""),"",$L750+MATCH($M750,Listas!$F$5:$F$11,0)-1)</f>
        <v/>
      </c>
      <c r="O750" s="44"/>
      <c r="P750" s="39"/>
      <c r="Q750" s="44"/>
      <c r="R750" s="38"/>
      <c r="S750" s="38"/>
      <c r="T750" s="36" t="str">
        <f aca="false">IF($F750="","",IF(ISNUMBER(SEARCH("(externo)",$I750&amp;$J750&amp;$K750)),"Terceirizada","Interna"))</f>
        <v/>
      </c>
      <c r="U750" s="43" t="str">
        <f aca="false">IF($N750="","",IF($Q750="",$N750,$Q750))</f>
        <v/>
      </c>
      <c r="V750" s="36" t="str">
        <f aca="false">IF($F750="","",IF(OR($O750="",$N750=""),0,IF($O750&lt;=$N750,1,0)))</f>
        <v/>
      </c>
      <c r="W750" s="36" t="str">
        <f aca="false">IF($F750="","",IF(OR($O750="",$U750=""),0,IF($O750&lt;=$U750,1,0)))</f>
        <v/>
      </c>
      <c r="X750" s="37" t="str">
        <f aca="false">IF(OR($O750="",$N750=""),"",MAX(0,$O750-$N750))</f>
        <v/>
      </c>
      <c r="Y750" s="36" t="str">
        <f aca="false">IF($F750="","",IF(AND($Q750&lt;&gt;"",$N750&lt;&gt;"",$Q750&lt;&gt;$N750),1,0))</f>
        <v/>
      </c>
      <c r="Z750" s="36" t="str">
        <f aca="false">IF($F750="","",IF($P750="Cancelada",0,IF(OR($O750&lt;&gt;"",$P750="Concluída"),1,0)))</f>
        <v/>
      </c>
    </row>
    <row r="751" customFormat="false" ht="16.5" hidden="false" customHeight="true" outlineLevel="0" collapsed="false">
      <c r="A751" s="36" t="str">
        <f aca="false">IF($F751="","",COUNTA($F$5:$F751))</f>
        <v/>
      </c>
      <c r="B751" s="37" t="str">
        <f aca="true">IF($F751="","",IF($P751="Cancelada","Cancelada",IF(OR($O751&lt;&gt;"",$P751="Concluída"),IF(OR($N751="",$O751="",$O751&lt;=$N751),"Concluída","Concluída com atraso"),IF($N751="","Na carteira",IF($N751&lt;TODAY(),"VENCIDA",IF($P751="Em execução","Em execução",IF($N751=TODAY(),"Hoje","Programada")))))))</f>
        <v/>
      </c>
      <c r="C751" s="38"/>
      <c r="D751" s="38"/>
      <c r="E751" s="38"/>
      <c r="F751" s="38"/>
      <c r="G751" s="39"/>
      <c r="H751" s="39"/>
      <c r="I751" s="40"/>
      <c r="J751" s="40"/>
      <c r="K751" s="40"/>
      <c r="L751" s="41"/>
      <c r="M751" s="42"/>
      <c r="N751" s="43" t="str">
        <f aca="false">IF(OR($L751="",$M751=""),"",$L751+MATCH($M751,Listas!$F$5:$F$11,0)-1)</f>
        <v/>
      </c>
      <c r="O751" s="44"/>
      <c r="P751" s="39"/>
      <c r="Q751" s="44"/>
      <c r="R751" s="38"/>
      <c r="S751" s="38"/>
      <c r="T751" s="36" t="str">
        <f aca="false">IF($F751="","",IF(ISNUMBER(SEARCH("(externo)",$I751&amp;$J751&amp;$K751)),"Terceirizada","Interna"))</f>
        <v/>
      </c>
      <c r="U751" s="43" t="str">
        <f aca="false">IF($N751="","",IF($Q751="",$N751,$Q751))</f>
        <v/>
      </c>
      <c r="V751" s="36" t="str">
        <f aca="false">IF($F751="","",IF(OR($O751="",$N751=""),0,IF($O751&lt;=$N751,1,0)))</f>
        <v/>
      </c>
      <c r="W751" s="36" t="str">
        <f aca="false">IF($F751="","",IF(OR($O751="",$U751=""),0,IF($O751&lt;=$U751,1,0)))</f>
        <v/>
      </c>
      <c r="X751" s="37" t="str">
        <f aca="false">IF(OR($O751="",$N751=""),"",MAX(0,$O751-$N751))</f>
        <v/>
      </c>
      <c r="Y751" s="36" t="str">
        <f aca="false">IF($F751="","",IF(AND($Q751&lt;&gt;"",$N751&lt;&gt;"",$Q751&lt;&gt;$N751),1,0))</f>
        <v/>
      </c>
      <c r="Z751" s="36" t="str">
        <f aca="false">IF($F751="","",IF($P751="Cancelada",0,IF(OR($O751&lt;&gt;"",$P751="Concluída"),1,0)))</f>
        <v/>
      </c>
    </row>
    <row r="752" customFormat="false" ht="16.5" hidden="false" customHeight="true" outlineLevel="0" collapsed="false">
      <c r="A752" s="36" t="str">
        <f aca="false">IF($F752="","",COUNTA($F$5:$F752))</f>
        <v/>
      </c>
      <c r="B752" s="37" t="str">
        <f aca="true">IF($F752="","",IF($P752="Cancelada","Cancelada",IF(OR($O752&lt;&gt;"",$P752="Concluída"),IF(OR($N752="",$O752="",$O752&lt;=$N752),"Concluída","Concluída com atraso"),IF($N752="","Na carteira",IF($N752&lt;TODAY(),"VENCIDA",IF($P752="Em execução","Em execução",IF($N752=TODAY(),"Hoje","Programada")))))))</f>
        <v/>
      </c>
      <c r="C752" s="38"/>
      <c r="D752" s="38"/>
      <c r="E752" s="38"/>
      <c r="F752" s="38"/>
      <c r="G752" s="39"/>
      <c r="H752" s="39"/>
      <c r="I752" s="40"/>
      <c r="J752" s="40"/>
      <c r="K752" s="40"/>
      <c r="L752" s="41"/>
      <c r="M752" s="42"/>
      <c r="N752" s="43" t="str">
        <f aca="false">IF(OR($L752="",$M752=""),"",$L752+MATCH($M752,Listas!$F$5:$F$11,0)-1)</f>
        <v/>
      </c>
      <c r="O752" s="44"/>
      <c r="P752" s="39"/>
      <c r="Q752" s="44"/>
      <c r="R752" s="38"/>
      <c r="S752" s="38"/>
      <c r="T752" s="36" t="str">
        <f aca="false">IF($F752="","",IF(ISNUMBER(SEARCH("(externo)",$I752&amp;$J752&amp;$K752)),"Terceirizada","Interna"))</f>
        <v/>
      </c>
      <c r="U752" s="43" t="str">
        <f aca="false">IF($N752="","",IF($Q752="",$N752,$Q752))</f>
        <v/>
      </c>
      <c r="V752" s="36" t="str">
        <f aca="false">IF($F752="","",IF(OR($O752="",$N752=""),0,IF($O752&lt;=$N752,1,0)))</f>
        <v/>
      </c>
      <c r="W752" s="36" t="str">
        <f aca="false">IF($F752="","",IF(OR($O752="",$U752=""),0,IF($O752&lt;=$U752,1,0)))</f>
        <v/>
      </c>
      <c r="X752" s="37" t="str">
        <f aca="false">IF(OR($O752="",$N752=""),"",MAX(0,$O752-$N752))</f>
        <v/>
      </c>
      <c r="Y752" s="36" t="str">
        <f aca="false">IF($F752="","",IF(AND($Q752&lt;&gt;"",$N752&lt;&gt;"",$Q752&lt;&gt;$N752),1,0))</f>
        <v/>
      </c>
      <c r="Z752" s="36" t="str">
        <f aca="false">IF($F752="","",IF($P752="Cancelada",0,IF(OR($O752&lt;&gt;"",$P752="Concluída"),1,0)))</f>
        <v/>
      </c>
    </row>
    <row r="753" customFormat="false" ht="16.5" hidden="false" customHeight="true" outlineLevel="0" collapsed="false">
      <c r="A753" s="36" t="str">
        <f aca="false">IF($F753="","",COUNTA($F$5:$F753))</f>
        <v/>
      </c>
      <c r="B753" s="37" t="str">
        <f aca="true">IF($F753="","",IF($P753="Cancelada","Cancelada",IF(OR($O753&lt;&gt;"",$P753="Concluída"),IF(OR($N753="",$O753="",$O753&lt;=$N753),"Concluída","Concluída com atraso"),IF($N753="","Na carteira",IF($N753&lt;TODAY(),"VENCIDA",IF($P753="Em execução","Em execução",IF($N753=TODAY(),"Hoje","Programada")))))))</f>
        <v/>
      </c>
      <c r="C753" s="38"/>
      <c r="D753" s="38"/>
      <c r="E753" s="38"/>
      <c r="F753" s="38"/>
      <c r="G753" s="39"/>
      <c r="H753" s="39"/>
      <c r="I753" s="40"/>
      <c r="J753" s="40"/>
      <c r="K753" s="40"/>
      <c r="L753" s="41"/>
      <c r="M753" s="42"/>
      <c r="N753" s="43" t="str">
        <f aca="false">IF(OR($L753="",$M753=""),"",$L753+MATCH($M753,Listas!$F$5:$F$11,0)-1)</f>
        <v/>
      </c>
      <c r="O753" s="44"/>
      <c r="P753" s="39"/>
      <c r="Q753" s="44"/>
      <c r="R753" s="38"/>
      <c r="S753" s="38"/>
      <c r="T753" s="36" t="str">
        <f aca="false">IF($F753="","",IF(ISNUMBER(SEARCH("(externo)",$I753&amp;$J753&amp;$K753)),"Terceirizada","Interna"))</f>
        <v/>
      </c>
      <c r="U753" s="43" t="str">
        <f aca="false">IF($N753="","",IF($Q753="",$N753,$Q753))</f>
        <v/>
      </c>
      <c r="V753" s="36" t="str">
        <f aca="false">IF($F753="","",IF(OR($O753="",$N753=""),0,IF($O753&lt;=$N753,1,0)))</f>
        <v/>
      </c>
      <c r="W753" s="36" t="str">
        <f aca="false">IF($F753="","",IF(OR($O753="",$U753=""),0,IF($O753&lt;=$U753,1,0)))</f>
        <v/>
      </c>
      <c r="X753" s="37" t="str">
        <f aca="false">IF(OR($O753="",$N753=""),"",MAX(0,$O753-$N753))</f>
        <v/>
      </c>
      <c r="Y753" s="36" t="str">
        <f aca="false">IF($F753="","",IF(AND($Q753&lt;&gt;"",$N753&lt;&gt;"",$Q753&lt;&gt;$N753),1,0))</f>
        <v/>
      </c>
      <c r="Z753" s="36" t="str">
        <f aca="false">IF($F753="","",IF($P753="Cancelada",0,IF(OR($O753&lt;&gt;"",$P753="Concluída"),1,0)))</f>
        <v/>
      </c>
    </row>
    <row r="754" customFormat="false" ht="16.5" hidden="false" customHeight="true" outlineLevel="0" collapsed="false">
      <c r="A754" s="36" t="str">
        <f aca="false">IF($F754="","",COUNTA($F$5:$F754))</f>
        <v/>
      </c>
      <c r="B754" s="37" t="str">
        <f aca="true">IF($F754="","",IF($P754="Cancelada","Cancelada",IF(OR($O754&lt;&gt;"",$P754="Concluída"),IF(OR($N754="",$O754="",$O754&lt;=$N754),"Concluída","Concluída com atraso"),IF($N754="","Na carteira",IF($N754&lt;TODAY(),"VENCIDA",IF($P754="Em execução","Em execução",IF($N754=TODAY(),"Hoje","Programada")))))))</f>
        <v/>
      </c>
      <c r="C754" s="38"/>
      <c r="D754" s="38"/>
      <c r="E754" s="38"/>
      <c r="F754" s="38"/>
      <c r="G754" s="39"/>
      <c r="H754" s="39"/>
      <c r="I754" s="40"/>
      <c r="J754" s="40"/>
      <c r="K754" s="40"/>
      <c r="L754" s="41"/>
      <c r="M754" s="42"/>
      <c r="N754" s="43" t="str">
        <f aca="false">IF(OR($L754="",$M754=""),"",$L754+MATCH($M754,Listas!$F$5:$F$11,0)-1)</f>
        <v/>
      </c>
      <c r="O754" s="44"/>
      <c r="P754" s="39"/>
      <c r="Q754" s="44"/>
      <c r="R754" s="38"/>
      <c r="S754" s="38"/>
      <c r="T754" s="36" t="str">
        <f aca="false">IF($F754="","",IF(ISNUMBER(SEARCH("(externo)",$I754&amp;$J754&amp;$K754)),"Terceirizada","Interna"))</f>
        <v/>
      </c>
      <c r="U754" s="43" t="str">
        <f aca="false">IF($N754="","",IF($Q754="",$N754,$Q754))</f>
        <v/>
      </c>
      <c r="V754" s="36" t="str">
        <f aca="false">IF($F754="","",IF(OR($O754="",$N754=""),0,IF($O754&lt;=$N754,1,0)))</f>
        <v/>
      </c>
      <c r="W754" s="36" t="str">
        <f aca="false">IF($F754="","",IF(OR($O754="",$U754=""),0,IF($O754&lt;=$U754,1,0)))</f>
        <v/>
      </c>
      <c r="X754" s="37" t="str">
        <f aca="false">IF(OR($O754="",$N754=""),"",MAX(0,$O754-$N754))</f>
        <v/>
      </c>
      <c r="Y754" s="36" t="str">
        <f aca="false">IF($F754="","",IF(AND($Q754&lt;&gt;"",$N754&lt;&gt;"",$Q754&lt;&gt;$N754),1,0))</f>
        <v/>
      </c>
      <c r="Z754" s="36" t="str">
        <f aca="false">IF($F754="","",IF($P754="Cancelada",0,IF(OR($O754&lt;&gt;"",$P754="Concluída"),1,0)))</f>
        <v/>
      </c>
    </row>
    <row r="755" customFormat="false" ht="16.5" hidden="false" customHeight="true" outlineLevel="0" collapsed="false">
      <c r="A755" s="36" t="str">
        <f aca="false">IF($F755="","",COUNTA($F$5:$F755))</f>
        <v/>
      </c>
      <c r="B755" s="37" t="str">
        <f aca="true">IF($F755="","",IF($P755="Cancelada","Cancelada",IF(OR($O755&lt;&gt;"",$P755="Concluída"),IF(OR($N755="",$O755="",$O755&lt;=$N755),"Concluída","Concluída com atraso"),IF($N755="","Na carteira",IF($N755&lt;TODAY(),"VENCIDA",IF($P755="Em execução","Em execução",IF($N755=TODAY(),"Hoje","Programada")))))))</f>
        <v/>
      </c>
      <c r="C755" s="38"/>
      <c r="D755" s="38"/>
      <c r="E755" s="38"/>
      <c r="F755" s="38"/>
      <c r="G755" s="39"/>
      <c r="H755" s="39"/>
      <c r="I755" s="40"/>
      <c r="J755" s="40"/>
      <c r="K755" s="40"/>
      <c r="L755" s="41"/>
      <c r="M755" s="42"/>
      <c r="N755" s="43" t="str">
        <f aca="false">IF(OR($L755="",$M755=""),"",$L755+MATCH($M755,Listas!$F$5:$F$11,0)-1)</f>
        <v/>
      </c>
      <c r="O755" s="44"/>
      <c r="P755" s="39"/>
      <c r="Q755" s="44"/>
      <c r="R755" s="38"/>
      <c r="S755" s="38"/>
      <c r="T755" s="36" t="str">
        <f aca="false">IF($F755="","",IF(ISNUMBER(SEARCH("(externo)",$I755&amp;$J755&amp;$K755)),"Terceirizada","Interna"))</f>
        <v/>
      </c>
      <c r="U755" s="43" t="str">
        <f aca="false">IF($N755="","",IF($Q755="",$N755,$Q755))</f>
        <v/>
      </c>
      <c r="V755" s="36" t="str">
        <f aca="false">IF($F755="","",IF(OR($O755="",$N755=""),0,IF($O755&lt;=$N755,1,0)))</f>
        <v/>
      </c>
      <c r="W755" s="36" t="str">
        <f aca="false">IF($F755="","",IF(OR($O755="",$U755=""),0,IF($O755&lt;=$U755,1,0)))</f>
        <v/>
      </c>
      <c r="X755" s="37" t="str">
        <f aca="false">IF(OR($O755="",$N755=""),"",MAX(0,$O755-$N755))</f>
        <v/>
      </c>
      <c r="Y755" s="36" t="str">
        <f aca="false">IF($F755="","",IF(AND($Q755&lt;&gt;"",$N755&lt;&gt;"",$Q755&lt;&gt;$N755),1,0))</f>
        <v/>
      </c>
      <c r="Z755" s="36" t="str">
        <f aca="false">IF($F755="","",IF($P755="Cancelada",0,IF(OR($O755&lt;&gt;"",$P755="Concluída"),1,0)))</f>
        <v/>
      </c>
    </row>
    <row r="756" customFormat="false" ht="16.5" hidden="false" customHeight="true" outlineLevel="0" collapsed="false">
      <c r="A756" s="36" t="str">
        <f aca="false">IF($F756="","",COUNTA($F$5:$F756))</f>
        <v/>
      </c>
      <c r="B756" s="37" t="str">
        <f aca="true">IF($F756="","",IF($P756="Cancelada","Cancelada",IF(OR($O756&lt;&gt;"",$P756="Concluída"),IF(OR($N756="",$O756="",$O756&lt;=$N756),"Concluída","Concluída com atraso"),IF($N756="","Na carteira",IF($N756&lt;TODAY(),"VENCIDA",IF($P756="Em execução","Em execução",IF($N756=TODAY(),"Hoje","Programada")))))))</f>
        <v/>
      </c>
      <c r="C756" s="38"/>
      <c r="D756" s="38"/>
      <c r="E756" s="38"/>
      <c r="F756" s="38"/>
      <c r="G756" s="39"/>
      <c r="H756" s="39"/>
      <c r="I756" s="40"/>
      <c r="J756" s="40"/>
      <c r="K756" s="40"/>
      <c r="L756" s="41"/>
      <c r="M756" s="42"/>
      <c r="N756" s="43" t="str">
        <f aca="false">IF(OR($L756="",$M756=""),"",$L756+MATCH($M756,Listas!$F$5:$F$11,0)-1)</f>
        <v/>
      </c>
      <c r="O756" s="44"/>
      <c r="P756" s="39"/>
      <c r="Q756" s="44"/>
      <c r="R756" s="38"/>
      <c r="S756" s="38"/>
      <c r="T756" s="36" t="str">
        <f aca="false">IF($F756="","",IF(ISNUMBER(SEARCH("(externo)",$I756&amp;$J756&amp;$K756)),"Terceirizada","Interna"))</f>
        <v/>
      </c>
      <c r="U756" s="43" t="str">
        <f aca="false">IF($N756="","",IF($Q756="",$N756,$Q756))</f>
        <v/>
      </c>
      <c r="V756" s="36" t="str">
        <f aca="false">IF($F756="","",IF(OR($O756="",$N756=""),0,IF($O756&lt;=$N756,1,0)))</f>
        <v/>
      </c>
      <c r="W756" s="36" t="str">
        <f aca="false">IF($F756="","",IF(OR($O756="",$U756=""),0,IF($O756&lt;=$U756,1,0)))</f>
        <v/>
      </c>
      <c r="X756" s="37" t="str">
        <f aca="false">IF(OR($O756="",$N756=""),"",MAX(0,$O756-$N756))</f>
        <v/>
      </c>
      <c r="Y756" s="36" t="str">
        <f aca="false">IF($F756="","",IF(AND($Q756&lt;&gt;"",$N756&lt;&gt;"",$Q756&lt;&gt;$N756),1,0))</f>
        <v/>
      </c>
      <c r="Z756" s="36" t="str">
        <f aca="false">IF($F756="","",IF($P756="Cancelada",0,IF(OR($O756&lt;&gt;"",$P756="Concluída"),1,0)))</f>
        <v/>
      </c>
    </row>
    <row r="757" customFormat="false" ht="16.5" hidden="false" customHeight="true" outlineLevel="0" collapsed="false">
      <c r="A757" s="36" t="str">
        <f aca="false">IF($F757="","",COUNTA($F$5:$F757))</f>
        <v/>
      </c>
      <c r="B757" s="37" t="str">
        <f aca="true">IF($F757="","",IF($P757="Cancelada","Cancelada",IF(OR($O757&lt;&gt;"",$P757="Concluída"),IF(OR($N757="",$O757="",$O757&lt;=$N757),"Concluída","Concluída com atraso"),IF($N757="","Na carteira",IF($N757&lt;TODAY(),"VENCIDA",IF($P757="Em execução","Em execução",IF($N757=TODAY(),"Hoje","Programada")))))))</f>
        <v/>
      </c>
      <c r="C757" s="38"/>
      <c r="D757" s="38"/>
      <c r="E757" s="38"/>
      <c r="F757" s="38"/>
      <c r="G757" s="39"/>
      <c r="H757" s="39"/>
      <c r="I757" s="40"/>
      <c r="J757" s="40"/>
      <c r="K757" s="40"/>
      <c r="L757" s="41"/>
      <c r="M757" s="42"/>
      <c r="N757" s="43" t="str">
        <f aca="false">IF(OR($L757="",$M757=""),"",$L757+MATCH($M757,Listas!$F$5:$F$11,0)-1)</f>
        <v/>
      </c>
      <c r="O757" s="44"/>
      <c r="P757" s="39"/>
      <c r="Q757" s="44"/>
      <c r="R757" s="38"/>
      <c r="S757" s="38"/>
      <c r="T757" s="36" t="str">
        <f aca="false">IF($F757="","",IF(ISNUMBER(SEARCH("(externo)",$I757&amp;$J757&amp;$K757)),"Terceirizada","Interna"))</f>
        <v/>
      </c>
      <c r="U757" s="43" t="str">
        <f aca="false">IF($N757="","",IF($Q757="",$N757,$Q757))</f>
        <v/>
      </c>
      <c r="V757" s="36" t="str">
        <f aca="false">IF($F757="","",IF(OR($O757="",$N757=""),0,IF($O757&lt;=$N757,1,0)))</f>
        <v/>
      </c>
      <c r="W757" s="36" t="str">
        <f aca="false">IF($F757="","",IF(OR($O757="",$U757=""),0,IF($O757&lt;=$U757,1,0)))</f>
        <v/>
      </c>
      <c r="X757" s="37" t="str">
        <f aca="false">IF(OR($O757="",$N757=""),"",MAX(0,$O757-$N757))</f>
        <v/>
      </c>
      <c r="Y757" s="36" t="str">
        <f aca="false">IF($F757="","",IF(AND($Q757&lt;&gt;"",$N757&lt;&gt;"",$Q757&lt;&gt;$N757),1,0))</f>
        <v/>
      </c>
      <c r="Z757" s="36" t="str">
        <f aca="false">IF($F757="","",IF($P757="Cancelada",0,IF(OR($O757&lt;&gt;"",$P757="Concluída"),1,0)))</f>
        <v/>
      </c>
    </row>
    <row r="758" customFormat="false" ht="16.5" hidden="false" customHeight="true" outlineLevel="0" collapsed="false">
      <c r="A758" s="36" t="str">
        <f aca="false">IF($F758="","",COUNTA($F$5:$F758))</f>
        <v/>
      </c>
      <c r="B758" s="37" t="str">
        <f aca="true">IF($F758="","",IF($P758="Cancelada","Cancelada",IF(OR($O758&lt;&gt;"",$P758="Concluída"),IF(OR($N758="",$O758="",$O758&lt;=$N758),"Concluída","Concluída com atraso"),IF($N758="","Na carteira",IF($N758&lt;TODAY(),"VENCIDA",IF($P758="Em execução","Em execução",IF($N758=TODAY(),"Hoje","Programada")))))))</f>
        <v/>
      </c>
      <c r="C758" s="38"/>
      <c r="D758" s="38"/>
      <c r="E758" s="38"/>
      <c r="F758" s="38"/>
      <c r="G758" s="39"/>
      <c r="H758" s="39"/>
      <c r="I758" s="40"/>
      <c r="J758" s="40"/>
      <c r="K758" s="40"/>
      <c r="L758" s="41"/>
      <c r="M758" s="42"/>
      <c r="N758" s="43" t="str">
        <f aca="false">IF(OR($L758="",$M758=""),"",$L758+MATCH($M758,Listas!$F$5:$F$11,0)-1)</f>
        <v/>
      </c>
      <c r="O758" s="44"/>
      <c r="P758" s="39"/>
      <c r="Q758" s="44"/>
      <c r="R758" s="38"/>
      <c r="S758" s="38"/>
      <c r="T758" s="36" t="str">
        <f aca="false">IF($F758="","",IF(ISNUMBER(SEARCH("(externo)",$I758&amp;$J758&amp;$K758)),"Terceirizada","Interna"))</f>
        <v/>
      </c>
      <c r="U758" s="43" t="str">
        <f aca="false">IF($N758="","",IF($Q758="",$N758,$Q758))</f>
        <v/>
      </c>
      <c r="V758" s="36" t="str">
        <f aca="false">IF($F758="","",IF(OR($O758="",$N758=""),0,IF($O758&lt;=$N758,1,0)))</f>
        <v/>
      </c>
      <c r="W758" s="36" t="str">
        <f aca="false">IF($F758="","",IF(OR($O758="",$U758=""),0,IF($O758&lt;=$U758,1,0)))</f>
        <v/>
      </c>
      <c r="X758" s="37" t="str">
        <f aca="false">IF(OR($O758="",$N758=""),"",MAX(0,$O758-$N758))</f>
        <v/>
      </c>
      <c r="Y758" s="36" t="str">
        <f aca="false">IF($F758="","",IF(AND($Q758&lt;&gt;"",$N758&lt;&gt;"",$Q758&lt;&gt;$N758),1,0))</f>
        <v/>
      </c>
      <c r="Z758" s="36" t="str">
        <f aca="false">IF($F758="","",IF($P758="Cancelada",0,IF(OR($O758&lt;&gt;"",$P758="Concluída"),1,0)))</f>
        <v/>
      </c>
    </row>
    <row r="759" customFormat="false" ht="16.5" hidden="false" customHeight="true" outlineLevel="0" collapsed="false">
      <c r="A759" s="36" t="str">
        <f aca="false">IF($F759="","",COUNTA($F$5:$F759))</f>
        <v/>
      </c>
      <c r="B759" s="37" t="str">
        <f aca="true">IF($F759="","",IF($P759="Cancelada","Cancelada",IF(OR($O759&lt;&gt;"",$P759="Concluída"),IF(OR($N759="",$O759="",$O759&lt;=$N759),"Concluída","Concluída com atraso"),IF($N759="","Na carteira",IF($N759&lt;TODAY(),"VENCIDA",IF($P759="Em execução","Em execução",IF($N759=TODAY(),"Hoje","Programada")))))))</f>
        <v/>
      </c>
      <c r="C759" s="38"/>
      <c r="D759" s="38"/>
      <c r="E759" s="38"/>
      <c r="F759" s="38"/>
      <c r="G759" s="39"/>
      <c r="H759" s="39"/>
      <c r="I759" s="40"/>
      <c r="J759" s="40"/>
      <c r="K759" s="40"/>
      <c r="L759" s="41"/>
      <c r="M759" s="42"/>
      <c r="N759" s="43" t="str">
        <f aca="false">IF(OR($L759="",$M759=""),"",$L759+MATCH($M759,Listas!$F$5:$F$11,0)-1)</f>
        <v/>
      </c>
      <c r="O759" s="44"/>
      <c r="P759" s="39"/>
      <c r="Q759" s="44"/>
      <c r="R759" s="38"/>
      <c r="S759" s="38"/>
      <c r="T759" s="36" t="str">
        <f aca="false">IF($F759="","",IF(ISNUMBER(SEARCH("(externo)",$I759&amp;$J759&amp;$K759)),"Terceirizada","Interna"))</f>
        <v/>
      </c>
      <c r="U759" s="43" t="str">
        <f aca="false">IF($N759="","",IF($Q759="",$N759,$Q759))</f>
        <v/>
      </c>
      <c r="V759" s="36" t="str">
        <f aca="false">IF($F759="","",IF(OR($O759="",$N759=""),0,IF($O759&lt;=$N759,1,0)))</f>
        <v/>
      </c>
      <c r="W759" s="36" t="str">
        <f aca="false">IF($F759="","",IF(OR($O759="",$U759=""),0,IF($O759&lt;=$U759,1,0)))</f>
        <v/>
      </c>
      <c r="X759" s="37" t="str">
        <f aca="false">IF(OR($O759="",$N759=""),"",MAX(0,$O759-$N759))</f>
        <v/>
      </c>
      <c r="Y759" s="36" t="str">
        <f aca="false">IF($F759="","",IF(AND($Q759&lt;&gt;"",$N759&lt;&gt;"",$Q759&lt;&gt;$N759),1,0))</f>
        <v/>
      </c>
      <c r="Z759" s="36" t="str">
        <f aca="false">IF($F759="","",IF($P759="Cancelada",0,IF(OR($O759&lt;&gt;"",$P759="Concluída"),1,0)))</f>
        <v/>
      </c>
    </row>
    <row r="760" customFormat="false" ht="16.5" hidden="false" customHeight="true" outlineLevel="0" collapsed="false">
      <c r="A760" s="36" t="str">
        <f aca="false">IF($F760="","",COUNTA($F$5:$F760))</f>
        <v/>
      </c>
      <c r="B760" s="37" t="str">
        <f aca="true">IF($F760="","",IF($P760="Cancelada","Cancelada",IF(OR($O760&lt;&gt;"",$P760="Concluída"),IF(OR($N760="",$O760="",$O760&lt;=$N760),"Concluída","Concluída com atraso"),IF($N760="","Na carteira",IF($N760&lt;TODAY(),"VENCIDA",IF($P760="Em execução","Em execução",IF($N760=TODAY(),"Hoje","Programada")))))))</f>
        <v/>
      </c>
      <c r="C760" s="38"/>
      <c r="D760" s="38"/>
      <c r="E760" s="38"/>
      <c r="F760" s="38"/>
      <c r="G760" s="39"/>
      <c r="H760" s="39"/>
      <c r="I760" s="40"/>
      <c r="J760" s="40"/>
      <c r="K760" s="40"/>
      <c r="L760" s="41"/>
      <c r="M760" s="42"/>
      <c r="N760" s="43" t="str">
        <f aca="false">IF(OR($L760="",$M760=""),"",$L760+MATCH($M760,Listas!$F$5:$F$11,0)-1)</f>
        <v/>
      </c>
      <c r="O760" s="44"/>
      <c r="P760" s="39"/>
      <c r="Q760" s="44"/>
      <c r="R760" s="38"/>
      <c r="S760" s="38"/>
      <c r="T760" s="36" t="str">
        <f aca="false">IF($F760="","",IF(ISNUMBER(SEARCH("(externo)",$I760&amp;$J760&amp;$K760)),"Terceirizada","Interna"))</f>
        <v/>
      </c>
      <c r="U760" s="43" t="str">
        <f aca="false">IF($N760="","",IF($Q760="",$N760,$Q760))</f>
        <v/>
      </c>
      <c r="V760" s="36" t="str">
        <f aca="false">IF($F760="","",IF(OR($O760="",$N760=""),0,IF($O760&lt;=$N760,1,0)))</f>
        <v/>
      </c>
      <c r="W760" s="36" t="str">
        <f aca="false">IF($F760="","",IF(OR($O760="",$U760=""),0,IF($O760&lt;=$U760,1,0)))</f>
        <v/>
      </c>
      <c r="X760" s="37" t="str">
        <f aca="false">IF(OR($O760="",$N760=""),"",MAX(0,$O760-$N760))</f>
        <v/>
      </c>
      <c r="Y760" s="36" t="str">
        <f aca="false">IF($F760="","",IF(AND($Q760&lt;&gt;"",$N760&lt;&gt;"",$Q760&lt;&gt;$N760),1,0))</f>
        <v/>
      </c>
      <c r="Z760" s="36" t="str">
        <f aca="false">IF($F760="","",IF($P760="Cancelada",0,IF(OR($O760&lt;&gt;"",$P760="Concluída"),1,0)))</f>
        <v/>
      </c>
    </row>
    <row r="761" customFormat="false" ht="16.5" hidden="false" customHeight="true" outlineLevel="0" collapsed="false">
      <c r="A761" s="36" t="str">
        <f aca="false">IF($F761="","",COUNTA($F$5:$F761))</f>
        <v/>
      </c>
      <c r="B761" s="37" t="str">
        <f aca="true">IF($F761="","",IF($P761="Cancelada","Cancelada",IF(OR($O761&lt;&gt;"",$P761="Concluída"),IF(OR($N761="",$O761="",$O761&lt;=$N761),"Concluída","Concluída com atraso"),IF($N761="","Na carteira",IF($N761&lt;TODAY(),"VENCIDA",IF($P761="Em execução","Em execução",IF($N761=TODAY(),"Hoje","Programada")))))))</f>
        <v/>
      </c>
      <c r="C761" s="38"/>
      <c r="D761" s="38"/>
      <c r="E761" s="38"/>
      <c r="F761" s="38"/>
      <c r="G761" s="39"/>
      <c r="H761" s="39"/>
      <c r="I761" s="40"/>
      <c r="J761" s="40"/>
      <c r="K761" s="40"/>
      <c r="L761" s="41"/>
      <c r="M761" s="42"/>
      <c r="N761" s="43" t="str">
        <f aca="false">IF(OR($L761="",$M761=""),"",$L761+MATCH($M761,Listas!$F$5:$F$11,0)-1)</f>
        <v/>
      </c>
      <c r="O761" s="44"/>
      <c r="P761" s="39"/>
      <c r="Q761" s="44"/>
      <c r="R761" s="38"/>
      <c r="S761" s="38"/>
      <c r="T761" s="36" t="str">
        <f aca="false">IF($F761="","",IF(ISNUMBER(SEARCH("(externo)",$I761&amp;$J761&amp;$K761)),"Terceirizada","Interna"))</f>
        <v/>
      </c>
      <c r="U761" s="43" t="str">
        <f aca="false">IF($N761="","",IF($Q761="",$N761,$Q761))</f>
        <v/>
      </c>
      <c r="V761" s="36" t="str">
        <f aca="false">IF($F761="","",IF(OR($O761="",$N761=""),0,IF($O761&lt;=$N761,1,0)))</f>
        <v/>
      </c>
      <c r="W761" s="36" t="str">
        <f aca="false">IF($F761="","",IF(OR($O761="",$U761=""),0,IF($O761&lt;=$U761,1,0)))</f>
        <v/>
      </c>
      <c r="X761" s="37" t="str">
        <f aca="false">IF(OR($O761="",$N761=""),"",MAX(0,$O761-$N761))</f>
        <v/>
      </c>
      <c r="Y761" s="36" t="str">
        <f aca="false">IF($F761="","",IF(AND($Q761&lt;&gt;"",$N761&lt;&gt;"",$Q761&lt;&gt;$N761),1,0))</f>
        <v/>
      </c>
      <c r="Z761" s="36" t="str">
        <f aca="false">IF($F761="","",IF($P761="Cancelada",0,IF(OR($O761&lt;&gt;"",$P761="Concluída"),1,0)))</f>
        <v/>
      </c>
    </row>
    <row r="762" customFormat="false" ht="16.5" hidden="false" customHeight="true" outlineLevel="0" collapsed="false">
      <c r="A762" s="36" t="str">
        <f aca="false">IF($F762="","",COUNTA($F$5:$F762))</f>
        <v/>
      </c>
      <c r="B762" s="37" t="str">
        <f aca="true">IF($F762="","",IF($P762="Cancelada","Cancelada",IF(OR($O762&lt;&gt;"",$P762="Concluída"),IF(OR($N762="",$O762="",$O762&lt;=$N762),"Concluída","Concluída com atraso"),IF($N762="","Na carteira",IF($N762&lt;TODAY(),"VENCIDA",IF($P762="Em execução","Em execução",IF($N762=TODAY(),"Hoje","Programada")))))))</f>
        <v/>
      </c>
      <c r="C762" s="38"/>
      <c r="D762" s="38"/>
      <c r="E762" s="38"/>
      <c r="F762" s="38"/>
      <c r="G762" s="39"/>
      <c r="H762" s="39"/>
      <c r="I762" s="40"/>
      <c r="J762" s="40"/>
      <c r="K762" s="40"/>
      <c r="L762" s="41"/>
      <c r="M762" s="42"/>
      <c r="N762" s="43" t="str">
        <f aca="false">IF(OR($L762="",$M762=""),"",$L762+MATCH($M762,Listas!$F$5:$F$11,0)-1)</f>
        <v/>
      </c>
      <c r="O762" s="44"/>
      <c r="P762" s="39"/>
      <c r="Q762" s="44"/>
      <c r="R762" s="38"/>
      <c r="S762" s="38"/>
      <c r="T762" s="36" t="str">
        <f aca="false">IF($F762="","",IF(ISNUMBER(SEARCH("(externo)",$I762&amp;$J762&amp;$K762)),"Terceirizada","Interna"))</f>
        <v/>
      </c>
      <c r="U762" s="43" t="str">
        <f aca="false">IF($N762="","",IF($Q762="",$N762,$Q762))</f>
        <v/>
      </c>
      <c r="V762" s="36" t="str">
        <f aca="false">IF($F762="","",IF(OR($O762="",$N762=""),0,IF($O762&lt;=$N762,1,0)))</f>
        <v/>
      </c>
      <c r="W762" s="36" t="str">
        <f aca="false">IF($F762="","",IF(OR($O762="",$U762=""),0,IF($O762&lt;=$U762,1,0)))</f>
        <v/>
      </c>
      <c r="X762" s="37" t="str">
        <f aca="false">IF(OR($O762="",$N762=""),"",MAX(0,$O762-$N762))</f>
        <v/>
      </c>
      <c r="Y762" s="36" t="str">
        <f aca="false">IF($F762="","",IF(AND($Q762&lt;&gt;"",$N762&lt;&gt;"",$Q762&lt;&gt;$N762),1,0))</f>
        <v/>
      </c>
      <c r="Z762" s="36" t="str">
        <f aca="false">IF($F762="","",IF($P762="Cancelada",0,IF(OR($O762&lt;&gt;"",$P762="Concluída"),1,0)))</f>
        <v/>
      </c>
    </row>
    <row r="763" customFormat="false" ht="16.5" hidden="false" customHeight="true" outlineLevel="0" collapsed="false">
      <c r="A763" s="36" t="str">
        <f aca="false">IF($F763="","",COUNTA($F$5:$F763))</f>
        <v/>
      </c>
      <c r="B763" s="37" t="str">
        <f aca="true">IF($F763="","",IF($P763="Cancelada","Cancelada",IF(OR($O763&lt;&gt;"",$P763="Concluída"),IF(OR($N763="",$O763="",$O763&lt;=$N763),"Concluída","Concluída com atraso"),IF($N763="","Na carteira",IF($N763&lt;TODAY(),"VENCIDA",IF($P763="Em execução","Em execução",IF($N763=TODAY(),"Hoje","Programada")))))))</f>
        <v/>
      </c>
      <c r="C763" s="38"/>
      <c r="D763" s="38"/>
      <c r="E763" s="38"/>
      <c r="F763" s="38"/>
      <c r="G763" s="39"/>
      <c r="H763" s="39"/>
      <c r="I763" s="40"/>
      <c r="J763" s="40"/>
      <c r="K763" s="40"/>
      <c r="L763" s="41"/>
      <c r="M763" s="42"/>
      <c r="N763" s="43" t="str">
        <f aca="false">IF(OR($L763="",$M763=""),"",$L763+MATCH($M763,Listas!$F$5:$F$11,0)-1)</f>
        <v/>
      </c>
      <c r="O763" s="44"/>
      <c r="P763" s="39"/>
      <c r="Q763" s="44"/>
      <c r="R763" s="38"/>
      <c r="S763" s="38"/>
      <c r="T763" s="36" t="str">
        <f aca="false">IF($F763="","",IF(ISNUMBER(SEARCH("(externo)",$I763&amp;$J763&amp;$K763)),"Terceirizada","Interna"))</f>
        <v/>
      </c>
      <c r="U763" s="43" t="str">
        <f aca="false">IF($N763="","",IF($Q763="",$N763,$Q763))</f>
        <v/>
      </c>
      <c r="V763" s="36" t="str">
        <f aca="false">IF($F763="","",IF(OR($O763="",$N763=""),0,IF($O763&lt;=$N763,1,0)))</f>
        <v/>
      </c>
      <c r="W763" s="36" t="str">
        <f aca="false">IF($F763="","",IF(OR($O763="",$U763=""),0,IF($O763&lt;=$U763,1,0)))</f>
        <v/>
      </c>
      <c r="X763" s="37" t="str">
        <f aca="false">IF(OR($O763="",$N763=""),"",MAX(0,$O763-$N763))</f>
        <v/>
      </c>
      <c r="Y763" s="36" t="str">
        <f aca="false">IF($F763="","",IF(AND($Q763&lt;&gt;"",$N763&lt;&gt;"",$Q763&lt;&gt;$N763),1,0))</f>
        <v/>
      </c>
      <c r="Z763" s="36" t="str">
        <f aca="false">IF($F763="","",IF($P763="Cancelada",0,IF(OR($O763&lt;&gt;"",$P763="Concluída"),1,0)))</f>
        <v/>
      </c>
    </row>
    <row r="764" customFormat="false" ht="16.5" hidden="false" customHeight="true" outlineLevel="0" collapsed="false">
      <c r="A764" s="36" t="str">
        <f aca="false">IF($F764="","",COUNTA($F$5:$F764))</f>
        <v/>
      </c>
      <c r="B764" s="37" t="str">
        <f aca="true">IF($F764="","",IF($P764="Cancelada","Cancelada",IF(OR($O764&lt;&gt;"",$P764="Concluída"),IF(OR($N764="",$O764="",$O764&lt;=$N764),"Concluída","Concluída com atraso"),IF($N764="","Na carteira",IF($N764&lt;TODAY(),"VENCIDA",IF($P764="Em execução","Em execução",IF($N764=TODAY(),"Hoje","Programada")))))))</f>
        <v/>
      </c>
      <c r="C764" s="38"/>
      <c r="D764" s="38"/>
      <c r="E764" s="38"/>
      <c r="F764" s="38"/>
      <c r="G764" s="39"/>
      <c r="H764" s="39"/>
      <c r="I764" s="40"/>
      <c r="J764" s="40"/>
      <c r="K764" s="40"/>
      <c r="L764" s="41"/>
      <c r="M764" s="42"/>
      <c r="N764" s="43" t="str">
        <f aca="false">IF(OR($L764="",$M764=""),"",$L764+MATCH($M764,Listas!$F$5:$F$11,0)-1)</f>
        <v/>
      </c>
      <c r="O764" s="44"/>
      <c r="P764" s="39"/>
      <c r="Q764" s="44"/>
      <c r="R764" s="38"/>
      <c r="S764" s="38"/>
      <c r="T764" s="36" t="str">
        <f aca="false">IF($F764="","",IF(ISNUMBER(SEARCH("(externo)",$I764&amp;$J764&amp;$K764)),"Terceirizada","Interna"))</f>
        <v/>
      </c>
      <c r="U764" s="43" t="str">
        <f aca="false">IF($N764="","",IF($Q764="",$N764,$Q764))</f>
        <v/>
      </c>
      <c r="V764" s="36" t="str">
        <f aca="false">IF($F764="","",IF(OR($O764="",$N764=""),0,IF($O764&lt;=$N764,1,0)))</f>
        <v/>
      </c>
      <c r="W764" s="36" t="str">
        <f aca="false">IF($F764="","",IF(OR($O764="",$U764=""),0,IF($O764&lt;=$U764,1,0)))</f>
        <v/>
      </c>
      <c r="X764" s="37" t="str">
        <f aca="false">IF(OR($O764="",$N764=""),"",MAX(0,$O764-$N764))</f>
        <v/>
      </c>
      <c r="Y764" s="36" t="str">
        <f aca="false">IF($F764="","",IF(AND($Q764&lt;&gt;"",$N764&lt;&gt;"",$Q764&lt;&gt;$N764),1,0))</f>
        <v/>
      </c>
      <c r="Z764" s="36" t="str">
        <f aca="false">IF($F764="","",IF($P764="Cancelada",0,IF(OR($O764&lt;&gt;"",$P764="Concluída"),1,0)))</f>
        <v/>
      </c>
    </row>
    <row r="765" customFormat="false" ht="16.5" hidden="false" customHeight="true" outlineLevel="0" collapsed="false">
      <c r="A765" s="36" t="str">
        <f aca="false">IF($F765="","",COUNTA($F$5:$F765))</f>
        <v/>
      </c>
      <c r="B765" s="37" t="str">
        <f aca="true">IF($F765="","",IF($P765="Cancelada","Cancelada",IF(OR($O765&lt;&gt;"",$P765="Concluída"),IF(OR($N765="",$O765="",$O765&lt;=$N765),"Concluída","Concluída com atraso"),IF($N765="","Na carteira",IF($N765&lt;TODAY(),"VENCIDA",IF($P765="Em execução","Em execução",IF($N765=TODAY(),"Hoje","Programada")))))))</f>
        <v/>
      </c>
      <c r="C765" s="38"/>
      <c r="D765" s="38"/>
      <c r="E765" s="38"/>
      <c r="F765" s="38"/>
      <c r="G765" s="39"/>
      <c r="H765" s="39"/>
      <c r="I765" s="40"/>
      <c r="J765" s="40"/>
      <c r="K765" s="40"/>
      <c r="L765" s="41"/>
      <c r="M765" s="42"/>
      <c r="N765" s="43" t="str">
        <f aca="false">IF(OR($L765="",$M765=""),"",$L765+MATCH($M765,Listas!$F$5:$F$11,0)-1)</f>
        <v/>
      </c>
      <c r="O765" s="44"/>
      <c r="P765" s="39"/>
      <c r="Q765" s="44"/>
      <c r="R765" s="38"/>
      <c r="S765" s="38"/>
      <c r="T765" s="36" t="str">
        <f aca="false">IF($F765="","",IF(ISNUMBER(SEARCH("(externo)",$I765&amp;$J765&amp;$K765)),"Terceirizada","Interna"))</f>
        <v/>
      </c>
      <c r="U765" s="43" t="str">
        <f aca="false">IF($N765="","",IF($Q765="",$N765,$Q765))</f>
        <v/>
      </c>
      <c r="V765" s="36" t="str">
        <f aca="false">IF($F765="","",IF(OR($O765="",$N765=""),0,IF($O765&lt;=$N765,1,0)))</f>
        <v/>
      </c>
      <c r="W765" s="36" t="str">
        <f aca="false">IF($F765="","",IF(OR($O765="",$U765=""),0,IF($O765&lt;=$U765,1,0)))</f>
        <v/>
      </c>
      <c r="X765" s="37" t="str">
        <f aca="false">IF(OR($O765="",$N765=""),"",MAX(0,$O765-$N765))</f>
        <v/>
      </c>
      <c r="Y765" s="36" t="str">
        <f aca="false">IF($F765="","",IF(AND($Q765&lt;&gt;"",$N765&lt;&gt;"",$Q765&lt;&gt;$N765),1,0))</f>
        <v/>
      </c>
      <c r="Z765" s="36" t="str">
        <f aca="false">IF($F765="","",IF($P765="Cancelada",0,IF(OR($O765&lt;&gt;"",$P765="Concluída"),1,0)))</f>
        <v/>
      </c>
    </row>
    <row r="766" customFormat="false" ht="16.5" hidden="false" customHeight="true" outlineLevel="0" collapsed="false">
      <c r="A766" s="36" t="str">
        <f aca="false">IF($F766="","",COUNTA($F$5:$F766))</f>
        <v/>
      </c>
      <c r="B766" s="37" t="str">
        <f aca="true">IF($F766="","",IF($P766="Cancelada","Cancelada",IF(OR($O766&lt;&gt;"",$P766="Concluída"),IF(OR($N766="",$O766="",$O766&lt;=$N766),"Concluída","Concluída com atraso"),IF($N766="","Na carteira",IF($N766&lt;TODAY(),"VENCIDA",IF($P766="Em execução","Em execução",IF($N766=TODAY(),"Hoje","Programada")))))))</f>
        <v/>
      </c>
      <c r="C766" s="38"/>
      <c r="D766" s="38"/>
      <c r="E766" s="38"/>
      <c r="F766" s="38"/>
      <c r="G766" s="39"/>
      <c r="H766" s="39"/>
      <c r="I766" s="40"/>
      <c r="J766" s="40"/>
      <c r="K766" s="40"/>
      <c r="L766" s="41"/>
      <c r="M766" s="42"/>
      <c r="N766" s="43" t="str">
        <f aca="false">IF(OR($L766="",$M766=""),"",$L766+MATCH($M766,Listas!$F$5:$F$11,0)-1)</f>
        <v/>
      </c>
      <c r="O766" s="44"/>
      <c r="P766" s="39"/>
      <c r="Q766" s="44"/>
      <c r="R766" s="38"/>
      <c r="S766" s="38"/>
      <c r="T766" s="36" t="str">
        <f aca="false">IF($F766="","",IF(ISNUMBER(SEARCH("(externo)",$I766&amp;$J766&amp;$K766)),"Terceirizada","Interna"))</f>
        <v/>
      </c>
      <c r="U766" s="43" t="str">
        <f aca="false">IF($N766="","",IF($Q766="",$N766,$Q766))</f>
        <v/>
      </c>
      <c r="V766" s="36" t="str">
        <f aca="false">IF($F766="","",IF(OR($O766="",$N766=""),0,IF($O766&lt;=$N766,1,0)))</f>
        <v/>
      </c>
      <c r="W766" s="36" t="str">
        <f aca="false">IF($F766="","",IF(OR($O766="",$U766=""),0,IF($O766&lt;=$U766,1,0)))</f>
        <v/>
      </c>
      <c r="X766" s="37" t="str">
        <f aca="false">IF(OR($O766="",$N766=""),"",MAX(0,$O766-$N766))</f>
        <v/>
      </c>
      <c r="Y766" s="36" t="str">
        <f aca="false">IF($F766="","",IF(AND($Q766&lt;&gt;"",$N766&lt;&gt;"",$Q766&lt;&gt;$N766),1,0))</f>
        <v/>
      </c>
      <c r="Z766" s="36" t="str">
        <f aca="false">IF($F766="","",IF($P766="Cancelada",0,IF(OR($O766&lt;&gt;"",$P766="Concluída"),1,0)))</f>
        <v/>
      </c>
    </row>
    <row r="767" customFormat="false" ht="16.5" hidden="false" customHeight="true" outlineLevel="0" collapsed="false">
      <c r="A767" s="36" t="str">
        <f aca="false">IF($F767="","",COUNTA($F$5:$F767))</f>
        <v/>
      </c>
      <c r="B767" s="37" t="str">
        <f aca="true">IF($F767="","",IF($P767="Cancelada","Cancelada",IF(OR($O767&lt;&gt;"",$P767="Concluída"),IF(OR($N767="",$O767="",$O767&lt;=$N767),"Concluída","Concluída com atraso"),IF($N767="","Na carteira",IF($N767&lt;TODAY(),"VENCIDA",IF($P767="Em execução","Em execução",IF($N767=TODAY(),"Hoje","Programada")))))))</f>
        <v/>
      </c>
      <c r="C767" s="38"/>
      <c r="D767" s="38"/>
      <c r="E767" s="38"/>
      <c r="F767" s="38"/>
      <c r="G767" s="39"/>
      <c r="H767" s="39"/>
      <c r="I767" s="40"/>
      <c r="J767" s="40"/>
      <c r="K767" s="40"/>
      <c r="L767" s="41"/>
      <c r="M767" s="42"/>
      <c r="N767" s="43" t="str">
        <f aca="false">IF(OR($L767="",$M767=""),"",$L767+MATCH($M767,Listas!$F$5:$F$11,0)-1)</f>
        <v/>
      </c>
      <c r="O767" s="44"/>
      <c r="P767" s="39"/>
      <c r="Q767" s="44"/>
      <c r="R767" s="38"/>
      <c r="S767" s="38"/>
      <c r="T767" s="36" t="str">
        <f aca="false">IF($F767="","",IF(ISNUMBER(SEARCH("(externo)",$I767&amp;$J767&amp;$K767)),"Terceirizada","Interna"))</f>
        <v/>
      </c>
      <c r="U767" s="43" t="str">
        <f aca="false">IF($N767="","",IF($Q767="",$N767,$Q767))</f>
        <v/>
      </c>
      <c r="V767" s="36" t="str">
        <f aca="false">IF($F767="","",IF(OR($O767="",$N767=""),0,IF($O767&lt;=$N767,1,0)))</f>
        <v/>
      </c>
      <c r="W767" s="36" t="str">
        <f aca="false">IF($F767="","",IF(OR($O767="",$U767=""),0,IF($O767&lt;=$U767,1,0)))</f>
        <v/>
      </c>
      <c r="X767" s="37" t="str">
        <f aca="false">IF(OR($O767="",$N767=""),"",MAX(0,$O767-$N767))</f>
        <v/>
      </c>
      <c r="Y767" s="36" t="str">
        <f aca="false">IF($F767="","",IF(AND($Q767&lt;&gt;"",$N767&lt;&gt;"",$Q767&lt;&gt;$N767),1,0))</f>
        <v/>
      </c>
      <c r="Z767" s="36" t="str">
        <f aca="false">IF($F767="","",IF($P767="Cancelada",0,IF(OR($O767&lt;&gt;"",$P767="Concluída"),1,0)))</f>
        <v/>
      </c>
    </row>
    <row r="768" customFormat="false" ht="16.5" hidden="false" customHeight="true" outlineLevel="0" collapsed="false">
      <c r="A768" s="36" t="str">
        <f aca="false">IF($F768="","",COUNTA($F$5:$F768))</f>
        <v/>
      </c>
      <c r="B768" s="37" t="str">
        <f aca="true">IF($F768="","",IF($P768="Cancelada","Cancelada",IF(OR($O768&lt;&gt;"",$P768="Concluída"),IF(OR($N768="",$O768="",$O768&lt;=$N768),"Concluída","Concluída com atraso"),IF($N768="","Na carteira",IF($N768&lt;TODAY(),"VENCIDA",IF($P768="Em execução","Em execução",IF($N768=TODAY(),"Hoje","Programada")))))))</f>
        <v/>
      </c>
      <c r="C768" s="38"/>
      <c r="D768" s="38"/>
      <c r="E768" s="38"/>
      <c r="F768" s="38"/>
      <c r="G768" s="39"/>
      <c r="H768" s="39"/>
      <c r="I768" s="40"/>
      <c r="J768" s="40"/>
      <c r="K768" s="40"/>
      <c r="L768" s="41"/>
      <c r="M768" s="42"/>
      <c r="N768" s="43" t="str">
        <f aca="false">IF(OR($L768="",$M768=""),"",$L768+MATCH($M768,Listas!$F$5:$F$11,0)-1)</f>
        <v/>
      </c>
      <c r="O768" s="44"/>
      <c r="P768" s="39"/>
      <c r="Q768" s="44"/>
      <c r="R768" s="38"/>
      <c r="S768" s="38"/>
      <c r="T768" s="36" t="str">
        <f aca="false">IF($F768="","",IF(ISNUMBER(SEARCH("(externo)",$I768&amp;$J768&amp;$K768)),"Terceirizada","Interna"))</f>
        <v/>
      </c>
      <c r="U768" s="43" t="str">
        <f aca="false">IF($N768="","",IF($Q768="",$N768,$Q768))</f>
        <v/>
      </c>
      <c r="V768" s="36" t="str">
        <f aca="false">IF($F768="","",IF(OR($O768="",$N768=""),0,IF($O768&lt;=$N768,1,0)))</f>
        <v/>
      </c>
      <c r="W768" s="36" t="str">
        <f aca="false">IF($F768="","",IF(OR($O768="",$U768=""),0,IF($O768&lt;=$U768,1,0)))</f>
        <v/>
      </c>
      <c r="X768" s="37" t="str">
        <f aca="false">IF(OR($O768="",$N768=""),"",MAX(0,$O768-$N768))</f>
        <v/>
      </c>
      <c r="Y768" s="36" t="str">
        <f aca="false">IF($F768="","",IF(AND($Q768&lt;&gt;"",$N768&lt;&gt;"",$Q768&lt;&gt;$N768),1,0))</f>
        <v/>
      </c>
      <c r="Z768" s="36" t="str">
        <f aca="false">IF($F768="","",IF($P768="Cancelada",0,IF(OR($O768&lt;&gt;"",$P768="Concluída"),1,0)))</f>
        <v/>
      </c>
    </row>
    <row r="769" customFormat="false" ht="16.5" hidden="false" customHeight="true" outlineLevel="0" collapsed="false">
      <c r="A769" s="36" t="str">
        <f aca="false">IF($F769="","",COUNTA($F$5:$F769))</f>
        <v/>
      </c>
      <c r="B769" s="37" t="str">
        <f aca="true">IF($F769="","",IF($P769="Cancelada","Cancelada",IF(OR($O769&lt;&gt;"",$P769="Concluída"),IF(OR($N769="",$O769="",$O769&lt;=$N769),"Concluída","Concluída com atraso"),IF($N769="","Na carteira",IF($N769&lt;TODAY(),"VENCIDA",IF($P769="Em execução","Em execução",IF($N769=TODAY(),"Hoje","Programada")))))))</f>
        <v/>
      </c>
      <c r="C769" s="38"/>
      <c r="D769" s="38"/>
      <c r="E769" s="38"/>
      <c r="F769" s="38"/>
      <c r="G769" s="39"/>
      <c r="H769" s="39"/>
      <c r="I769" s="40"/>
      <c r="J769" s="40"/>
      <c r="K769" s="40"/>
      <c r="L769" s="41"/>
      <c r="M769" s="42"/>
      <c r="N769" s="43" t="str">
        <f aca="false">IF(OR($L769="",$M769=""),"",$L769+MATCH($M769,Listas!$F$5:$F$11,0)-1)</f>
        <v/>
      </c>
      <c r="O769" s="44"/>
      <c r="P769" s="39"/>
      <c r="Q769" s="44"/>
      <c r="R769" s="38"/>
      <c r="S769" s="38"/>
      <c r="T769" s="36" t="str">
        <f aca="false">IF($F769="","",IF(ISNUMBER(SEARCH("(externo)",$I769&amp;$J769&amp;$K769)),"Terceirizada","Interna"))</f>
        <v/>
      </c>
      <c r="U769" s="43" t="str">
        <f aca="false">IF($N769="","",IF($Q769="",$N769,$Q769))</f>
        <v/>
      </c>
      <c r="V769" s="36" t="str">
        <f aca="false">IF($F769="","",IF(OR($O769="",$N769=""),0,IF($O769&lt;=$N769,1,0)))</f>
        <v/>
      </c>
      <c r="W769" s="36" t="str">
        <f aca="false">IF($F769="","",IF(OR($O769="",$U769=""),0,IF($O769&lt;=$U769,1,0)))</f>
        <v/>
      </c>
      <c r="X769" s="37" t="str">
        <f aca="false">IF(OR($O769="",$N769=""),"",MAX(0,$O769-$N769))</f>
        <v/>
      </c>
      <c r="Y769" s="36" t="str">
        <f aca="false">IF($F769="","",IF(AND($Q769&lt;&gt;"",$N769&lt;&gt;"",$Q769&lt;&gt;$N769),1,0))</f>
        <v/>
      </c>
      <c r="Z769" s="36" t="str">
        <f aca="false">IF($F769="","",IF($P769="Cancelada",0,IF(OR($O769&lt;&gt;"",$P769="Concluída"),1,0)))</f>
        <v/>
      </c>
    </row>
    <row r="770" customFormat="false" ht="16.5" hidden="false" customHeight="true" outlineLevel="0" collapsed="false">
      <c r="A770" s="36" t="str">
        <f aca="false">IF($F770="","",COUNTA($F$5:$F770))</f>
        <v/>
      </c>
      <c r="B770" s="37" t="str">
        <f aca="true">IF($F770="","",IF($P770="Cancelada","Cancelada",IF(OR($O770&lt;&gt;"",$P770="Concluída"),IF(OR($N770="",$O770="",$O770&lt;=$N770),"Concluída","Concluída com atraso"),IF($N770="","Na carteira",IF($N770&lt;TODAY(),"VENCIDA",IF($P770="Em execução","Em execução",IF($N770=TODAY(),"Hoje","Programada")))))))</f>
        <v/>
      </c>
      <c r="C770" s="38"/>
      <c r="D770" s="38"/>
      <c r="E770" s="38"/>
      <c r="F770" s="38"/>
      <c r="G770" s="39"/>
      <c r="H770" s="39"/>
      <c r="I770" s="40"/>
      <c r="J770" s="40"/>
      <c r="K770" s="40"/>
      <c r="L770" s="41"/>
      <c r="M770" s="42"/>
      <c r="N770" s="43" t="str">
        <f aca="false">IF(OR($L770="",$M770=""),"",$L770+MATCH($M770,Listas!$F$5:$F$11,0)-1)</f>
        <v/>
      </c>
      <c r="O770" s="44"/>
      <c r="P770" s="39"/>
      <c r="Q770" s="44"/>
      <c r="R770" s="38"/>
      <c r="S770" s="38"/>
      <c r="T770" s="36" t="str">
        <f aca="false">IF($F770="","",IF(ISNUMBER(SEARCH("(externo)",$I770&amp;$J770&amp;$K770)),"Terceirizada","Interna"))</f>
        <v/>
      </c>
      <c r="U770" s="43" t="str">
        <f aca="false">IF($N770="","",IF($Q770="",$N770,$Q770))</f>
        <v/>
      </c>
      <c r="V770" s="36" t="str">
        <f aca="false">IF($F770="","",IF(OR($O770="",$N770=""),0,IF($O770&lt;=$N770,1,0)))</f>
        <v/>
      </c>
      <c r="W770" s="36" t="str">
        <f aca="false">IF($F770="","",IF(OR($O770="",$U770=""),0,IF($O770&lt;=$U770,1,0)))</f>
        <v/>
      </c>
      <c r="X770" s="37" t="str">
        <f aca="false">IF(OR($O770="",$N770=""),"",MAX(0,$O770-$N770))</f>
        <v/>
      </c>
      <c r="Y770" s="36" t="str">
        <f aca="false">IF($F770="","",IF(AND($Q770&lt;&gt;"",$N770&lt;&gt;"",$Q770&lt;&gt;$N770),1,0))</f>
        <v/>
      </c>
      <c r="Z770" s="36" t="str">
        <f aca="false">IF($F770="","",IF($P770="Cancelada",0,IF(OR($O770&lt;&gt;"",$P770="Concluída"),1,0)))</f>
        <v/>
      </c>
    </row>
    <row r="771" customFormat="false" ht="16.5" hidden="false" customHeight="true" outlineLevel="0" collapsed="false">
      <c r="A771" s="36" t="str">
        <f aca="false">IF($F771="","",COUNTA($F$5:$F771))</f>
        <v/>
      </c>
      <c r="B771" s="37" t="str">
        <f aca="true">IF($F771="","",IF($P771="Cancelada","Cancelada",IF(OR($O771&lt;&gt;"",$P771="Concluída"),IF(OR($N771="",$O771="",$O771&lt;=$N771),"Concluída","Concluída com atraso"),IF($N771="","Na carteira",IF($N771&lt;TODAY(),"VENCIDA",IF($P771="Em execução","Em execução",IF($N771=TODAY(),"Hoje","Programada")))))))</f>
        <v/>
      </c>
      <c r="C771" s="38"/>
      <c r="D771" s="38"/>
      <c r="E771" s="38"/>
      <c r="F771" s="38"/>
      <c r="G771" s="39"/>
      <c r="H771" s="39"/>
      <c r="I771" s="40"/>
      <c r="J771" s="40"/>
      <c r="K771" s="40"/>
      <c r="L771" s="41"/>
      <c r="M771" s="42"/>
      <c r="N771" s="43" t="str">
        <f aca="false">IF(OR($L771="",$M771=""),"",$L771+MATCH($M771,Listas!$F$5:$F$11,0)-1)</f>
        <v/>
      </c>
      <c r="O771" s="44"/>
      <c r="P771" s="39"/>
      <c r="Q771" s="44"/>
      <c r="R771" s="38"/>
      <c r="S771" s="38"/>
      <c r="T771" s="36" t="str">
        <f aca="false">IF($F771="","",IF(ISNUMBER(SEARCH("(externo)",$I771&amp;$J771&amp;$K771)),"Terceirizada","Interna"))</f>
        <v/>
      </c>
      <c r="U771" s="43" t="str">
        <f aca="false">IF($N771="","",IF($Q771="",$N771,$Q771))</f>
        <v/>
      </c>
      <c r="V771" s="36" t="str">
        <f aca="false">IF($F771="","",IF(OR($O771="",$N771=""),0,IF($O771&lt;=$N771,1,0)))</f>
        <v/>
      </c>
      <c r="W771" s="36" t="str">
        <f aca="false">IF($F771="","",IF(OR($O771="",$U771=""),0,IF($O771&lt;=$U771,1,0)))</f>
        <v/>
      </c>
      <c r="X771" s="37" t="str">
        <f aca="false">IF(OR($O771="",$N771=""),"",MAX(0,$O771-$N771))</f>
        <v/>
      </c>
      <c r="Y771" s="36" t="str">
        <f aca="false">IF($F771="","",IF(AND($Q771&lt;&gt;"",$N771&lt;&gt;"",$Q771&lt;&gt;$N771),1,0))</f>
        <v/>
      </c>
      <c r="Z771" s="36" t="str">
        <f aca="false">IF($F771="","",IF($P771="Cancelada",0,IF(OR($O771&lt;&gt;"",$P771="Concluída"),1,0)))</f>
        <v/>
      </c>
    </row>
    <row r="772" customFormat="false" ht="16.5" hidden="false" customHeight="true" outlineLevel="0" collapsed="false">
      <c r="A772" s="36" t="str">
        <f aca="false">IF($F772="","",COUNTA($F$5:$F772))</f>
        <v/>
      </c>
      <c r="B772" s="37" t="str">
        <f aca="true">IF($F772="","",IF($P772="Cancelada","Cancelada",IF(OR($O772&lt;&gt;"",$P772="Concluída"),IF(OR($N772="",$O772="",$O772&lt;=$N772),"Concluída","Concluída com atraso"),IF($N772="","Na carteira",IF($N772&lt;TODAY(),"VENCIDA",IF($P772="Em execução","Em execução",IF($N772=TODAY(),"Hoje","Programada")))))))</f>
        <v/>
      </c>
      <c r="C772" s="38"/>
      <c r="D772" s="38"/>
      <c r="E772" s="38"/>
      <c r="F772" s="38"/>
      <c r="G772" s="39"/>
      <c r="H772" s="39"/>
      <c r="I772" s="40"/>
      <c r="J772" s="40"/>
      <c r="K772" s="40"/>
      <c r="L772" s="41"/>
      <c r="M772" s="42"/>
      <c r="N772" s="43" t="str">
        <f aca="false">IF(OR($L772="",$M772=""),"",$L772+MATCH($M772,Listas!$F$5:$F$11,0)-1)</f>
        <v/>
      </c>
      <c r="O772" s="44"/>
      <c r="P772" s="39"/>
      <c r="Q772" s="44"/>
      <c r="R772" s="38"/>
      <c r="S772" s="38"/>
      <c r="T772" s="36" t="str">
        <f aca="false">IF($F772="","",IF(ISNUMBER(SEARCH("(externo)",$I772&amp;$J772&amp;$K772)),"Terceirizada","Interna"))</f>
        <v/>
      </c>
      <c r="U772" s="43" t="str">
        <f aca="false">IF($N772="","",IF($Q772="",$N772,$Q772))</f>
        <v/>
      </c>
      <c r="V772" s="36" t="str">
        <f aca="false">IF($F772="","",IF(OR($O772="",$N772=""),0,IF($O772&lt;=$N772,1,0)))</f>
        <v/>
      </c>
      <c r="W772" s="36" t="str">
        <f aca="false">IF($F772="","",IF(OR($O772="",$U772=""),0,IF($O772&lt;=$U772,1,0)))</f>
        <v/>
      </c>
      <c r="X772" s="37" t="str">
        <f aca="false">IF(OR($O772="",$N772=""),"",MAX(0,$O772-$N772))</f>
        <v/>
      </c>
      <c r="Y772" s="36" t="str">
        <f aca="false">IF($F772="","",IF(AND($Q772&lt;&gt;"",$N772&lt;&gt;"",$Q772&lt;&gt;$N772),1,0))</f>
        <v/>
      </c>
      <c r="Z772" s="36" t="str">
        <f aca="false">IF($F772="","",IF($P772="Cancelada",0,IF(OR($O772&lt;&gt;"",$P772="Concluída"),1,0)))</f>
        <v/>
      </c>
    </row>
    <row r="773" customFormat="false" ht="16.5" hidden="false" customHeight="true" outlineLevel="0" collapsed="false">
      <c r="A773" s="36" t="str">
        <f aca="false">IF($F773="","",COUNTA($F$5:$F773))</f>
        <v/>
      </c>
      <c r="B773" s="37" t="str">
        <f aca="true">IF($F773="","",IF($P773="Cancelada","Cancelada",IF(OR($O773&lt;&gt;"",$P773="Concluída"),IF(OR($N773="",$O773="",$O773&lt;=$N773),"Concluída","Concluída com atraso"),IF($N773="","Na carteira",IF($N773&lt;TODAY(),"VENCIDA",IF($P773="Em execução","Em execução",IF($N773=TODAY(),"Hoje","Programada")))))))</f>
        <v/>
      </c>
      <c r="C773" s="38"/>
      <c r="D773" s="38"/>
      <c r="E773" s="38"/>
      <c r="F773" s="38"/>
      <c r="G773" s="39"/>
      <c r="H773" s="39"/>
      <c r="I773" s="40"/>
      <c r="J773" s="40"/>
      <c r="K773" s="40"/>
      <c r="L773" s="41"/>
      <c r="M773" s="42"/>
      <c r="N773" s="43" t="str">
        <f aca="false">IF(OR($L773="",$M773=""),"",$L773+MATCH($M773,Listas!$F$5:$F$11,0)-1)</f>
        <v/>
      </c>
      <c r="O773" s="44"/>
      <c r="P773" s="39"/>
      <c r="Q773" s="44"/>
      <c r="R773" s="38"/>
      <c r="S773" s="38"/>
      <c r="T773" s="36" t="str">
        <f aca="false">IF($F773="","",IF(ISNUMBER(SEARCH("(externo)",$I773&amp;$J773&amp;$K773)),"Terceirizada","Interna"))</f>
        <v/>
      </c>
      <c r="U773" s="43" t="str">
        <f aca="false">IF($N773="","",IF($Q773="",$N773,$Q773))</f>
        <v/>
      </c>
      <c r="V773" s="36" t="str">
        <f aca="false">IF($F773="","",IF(OR($O773="",$N773=""),0,IF($O773&lt;=$N773,1,0)))</f>
        <v/>
      </c>
      <c r="W773" s="36" t="str">
        <f aca="false">IF($F773="","",IF(OR($O773="",$U773=""),0,IF($O773&lt;=$U773,1,0)))</f>
        <v/>
      </c>
      <c r="X773" s="37" t="str">
        <f aca="false">IF(OR($O773="",$N773=""),"",MAX(0,$O773-$N773))</f>
        <v/>
      </c>
      <c r="Y773" s="36" t="str">
        <f aca="false">IF($F773="","",IF(AND($Q773&lt;&gt;"",$N773&lt;&gt;"",$Q773&lt;&gt;$N773),1,0))</f>
        <v/>
      </c>
      <c r="Z773" s="36" t="str">
        <f aca="false">IF($F773="","",IF($P773="Cancelada",0,IF(OR($O773&lt;&gt;"",$P773="Concluída"),1,0)))</f>
        <v/>
      </c>
    </row>
    <row r="774" customFormat="false" ht="16.5" hidden="false" customHeight="true" outlineLevel="0" collapsed="false">
      <c r="A774" s="36" t="str">
        <f aca="false">IF($F774="","",COUNTA($F$5:$F774))</f>
        <v/>
      </c>
      <c r="B774" s="37" t="str">
        <f aca="true">IF($F774="","",IF($P774="Cancelada","Cancelada",IF(OR($O774&lt;&gt;"",$P774="Concluída"),IF(OR($N774="",$O774="",$O774&lt;=$N774),"Concluída","Concluída com atraso"),IF($N774="","Na carteira",IF($N774&lt;TODAY(),"VENCIDA",IF($P774="Em execução","Em execução",IF($N774=TODAY(),"Hoje","Programada")))))))</f>
        <v/>
      </c>
      <c r="C774" s="38"/>
      <c r="D774" s="38"/>
      <c r="E774" s="38"/>
      <c r="F774" s="38"/>
      <c r="G774" s="39"/>
      <c r="H774" s="39"/>
      <c r="I774" s="40"/>
      <c r="J774" s="40"/>
      <c r="K774" s="40"/>
      <c r="L774" s="41"/>
      <c r="M774" s="42"/>
      <c r="N774" s="43" t="str">
        <f aca="false">IF(OR($L774="",$M774=""),"",$L774+MATCH($M774,Listas!$F$5:$F$11,0)-1)</f>
        <v/>
      </c>
      <c r="O774" s="44"/>
      <c r="P774" s="39"/>
      <c r="Q774" s="44"/>
      <c r="R774" s="38"/>
      <c r="S774" s="38"/>
      <c r="T774" s="36" t="str">
        <f aca="false">IF($F774="","",IF(ISNUMBER(SEARCH("(externo)",$I774&amp;$J774&amp;$K774)),"Terceirizada","Interna"))</f>
        <v/>
      </c>
      <c r="U774" s="43" t="str">
        <f aca="false">IF($N774="","",IF($Q774="",$N774,$Q774))</f>
        <v/>
      </c>
      <c r="V774" s="36" t="str">
        <f aca="false">IF($F774="","",IF(OR($O774="",$N774=""),0,IF($O774&lt;=$N774,1,0)))</f>
        <v/>
      </c>
      <c r="W774" s="36" t="str">
        <f aca="false">IF($F774="","",IF(OR($O774="",$U774=""),0,IF($O774&lt;=$U774,1,0)))</f>
        <v/>
      </c>
      <c r="X774" s="37" t="str">
        <f aca="false">IF(OR($O774="",$N774=""),"",MAX(0,$O774-$N774))</f>
        <v/>
      </c>
      <c r="Y774" s="36" t="str">
        <f aca="false">IF($F774="","",IF(AND($Q774&lt;&gt;"",$N774&lt;&gt;"",$Q774&lt;&gt;$N774),1,0))</f>
        <v/>
      </c>
      <c r="Z774" s="36" t="str">
        <f aca="false">IF($F774="","",IF($P774="Cancelada",0,IF(OR($O774&lt;&gt;"",$P774="Concluída"),1,0)))</f>
        <v/>
      </c>
    </row>
    <row r="775" customFormat="false" ht="16.5" hidden="false" customHeight="true" outlineLevel="0" collapsed="false">
      <c r="A775" s="36" t="str">
        <f aca="false">IF($F775="","",COUNTA($F$5:$F775))</f>
        <v/>
      </c>
      <c r="B775" s="37" t="str">
        <f aca="true">IF($F775="","",IF($P775="Cancelada","Cancelada",IF(OR($O775&lt;&gt;"",$P775="Concluída"),IF(OR($N775="",$O775="",$O775&lt;=$N775),"Concluída","Concluída com atraso"),IF($N775="","Na carteira",IF($N775&lt;TODAY(),"VENCIDA",IF($P775="Em execução","Em execução",IF($N775=TODAY(),"Hoje","Programada")))))))</f>
        <v/>
      </c>
      <c r="C775" s="38"/>
      <c r="D775" s="38"/>
      <c r="E775" s="38"/>
      <c r="F775" s="38"/>
      <c r="G775" s="39"/>
      <c r="H775" s="39"/>
      <c r="I775" s="40"/>
      <c r="J775" s="40"/>
      <c r="K775" s="40"/>
      <c r="L775" s="41"/>
      <c r="M775" s="42"/>
      <c r="N775" s="43" t="str">
        <f aca="false">IF(OR($L775="",$M775=""),"",$L775+MATCH($M775,Listas!$F$5:$F$11,0)-1)</f>
        <v/>
      </c>
      <c r="O775" s="44"/>
      <c r="P775" s="39"/>
      <c r="Q775" s="44"/>
      <c r="R775" s="38"/>
      <c r="S775" s="38"/>
      <c r="T775" s="36" t="str">
        <f aca="false">IF($F775="","",IF(ISNUMBER(SEARCH("(externo)",$I775&amp;$J775&amp;$K775)),"Terceirizada","Interna"))</f>
        <v/>
      </c>
      <c r="U775" s="43" t="str">
        <f aca="false">IF($N775="","",IF($Q775="",$N775,$Q775))</f>
        <v/>
      </c>
      <c r="V775" s="36" t="str">
        <f aca="false">IF($F775="","",IF(OR($O775="",$N775=""),0,IF($O775&lt;=$N775,1,0)))</f>
        <v/>
      </c>
      <c r="W775" s="36" t="str">
        <f aca="false">IF($F775="","",IF(OR($O775="",$U775=""),0,IF($O775&lt;=$U775,1,0)))</f>
        <v/>
      </c>
      <c r="X775" s="37" t="str">
        <f aca="false">IF(OR($O775="",$N775=""),"",MAX(0,$O775-$N775))</f>
        <v/>
      </c>
      <c r="Y775" s="36" t="str">
        <f aca="false">IF($F775="","",IF(AND($Q775&lt;&gt;"",$N775&lt;&gt;"",$Q775&lt;&gt;$N775),1,0))</f>
        <v/>
      </c>
      <c r="Z775" s="36" t="str">
        <f aca="false">IF($F775="","",IF($P775="Cancelada",0,IF(OR($O775&lt;&gt;"",$P775="Concluída"),1,0)))</f>
        <v/>
      </c>
    </row>
    <row r="776" customFormat="false" ht="16.5" hidden="false" customHeight="true" outlineLevel="0" collapsed="false">
      <c r="A776" s="36" t="str">
        <f aca="false">IF($F776="","",COUNTA($F$5:$F776))</f>
        <v/>
      </c>
      <c r="B776" s="37" t="str">
        <f aca="true">IF($F776="","",IF($P776="Cancelada","Cancelada",IF(OR($O776&lt;&gt;"",$P776="Concluída"),IF(OR($N776="",$O776="",$O776&lt;=$N776),"Concluída","Concluída com atraso"),IF($N776="","Na carteira",IF($N776&lt;TODAY(),"VENCIDA",IF($P776="Em execução","Em execução",IF($N776=TODAY(),"Hoje","Programada")))))))</f>
        <v/>
      </c>
      <c r="C776" s="38"/>
      <c r="D776" s="38"/>
      <c r="E776" s="38"/>
      <c r="F776" s="38"/>
      <c r="G776" s="39"/>
      <c r="H776" s="39"/>
      <c r="I776" s="40"/>
      <c r="J776" s="40"/>
      <c r="K776" s="40"/>
      <c r="L776" s="41"/>
      <c r="M776" s="42"/>
      <c r="N776" s="43" t="str">
        <f aca="false">IF(OR($L776="",$M776=""),"",$L776+MATCH($M776,Listas!$F$5:$F$11,0)-1)</f>
        <v/>
      </c>
      <c r="O776" s="44"/>
      <c r="P776" s="39"/>
      <c r="Q776" s="44"/>
      <c r="R776" s="38"/>
      <c r="S776" s="38"/>
      <c r="T776" s="36" t="str">
        <f aca="false">IF($F776="","",IF(ISNUMBER(SEARCH("(externo)",$I776&amp;$J776&amp;$K776)),"Terceirizada","Interna"))</f>
        <v/>
      </c>
      <c r="U776" s="43" t="str">
        <f aca="false">IF($N776="","",IF($Q776="",$N776,$Q776))</f>
        <v/>
      </c>
      <c r="V776" s="36" t="str">
        <f aca="false">IF($F776="","",IF(OR($O776="",$N776=""),0,IF($O776&lt;=$N776,1,0)))</f>
        <v/>
      </c>
      <c r="W776" s="36" t="str">
        <f aca="false">IF($F776="","",IF(OR($O776="",$U776=""),0,IF($O776&lt;=$U776,1,0)))</f>
        <v/>
      </c>
      <c r="X776" s="37" t="str">
        <f aca="false">IF(OR($O776="",$N776=""),"",MAX(0,$O776-$N776))</f>
        <v/>
      </c>
      <c r="Y776" s="36" t="str">
        <f aca="false">IF($F776="","",IF(AND($Q776&lt;&gt;"",$N776&lt;&gt;"",$Q776&lt;&gt;$N776),1,0))</f>
        <v/>
      </c>
      <c r="Z776" s="36" t="str">
        <f aca="false">IF($F776="","",IF($P776="Cancelada",0,IF(OR($O776&lt;&gt;"",$P776="Concluída"),1,0)))</f>
        <v/>
      </c>
    </row>
    <row r="777" customFormat="false" ht="16.5" hidden="false" customHeight="true" outlineLevel="0" collapsed="false">
      <c r="A777" s="36" t="str">
        <f aca="false">IF($F777="","",COUNTA($F$5:$F777))</f>
        <v/>
      </c>
      <c r="B777" s="37" t="str">
        <f aca="true">IF($F777="","",IF($P777="Cancelada","Cancelada",IF(OR($O777&lt;&gt;"",$P777="Concluída"),IF(OR($N777="",$O777="",$O777&lt;=$N777),"Concluída","Concluída com atraso"),IF($N777="","Na carteira",IF($N777&lt;TODAY(),"VENCIDA",IF($P777="Em execução","Em execução",IF($N777=TODAY(),"Hoje","Programada")))))))</f>
        <v/>
      </c>
      <c r="C777" s="38"/>
      <c r="D777" s="38"/>
      <c r="E777" s="38"/>
      <c r="F777" s="38"/>
      <c r="G777" s="39"/>
      <c r="H777" s="39"/>
      <c r="I777" s="40"/>
      <c r="J777" s="40"/>
      <c r="K777" s="40"/>
      <c r="L777" s="41"/>
      <c r="M777" s="42"/>
      <c r="N777" s="43" t="str">
        <f aca="false">IF(OR($L777="",$M777=""),"",$L777+MATCH($M777,Listas!$F$5:$F$11,0)-1)</f>
        <v/>
      </c>
      <c r="O777" s="44"/>
      <c r="P777" s="39"/>
      <c r="Q777" s="44"/>
      <c r="R777" s="38"/>
      <c r="S777" s="38"/>
      <c r="T777" s="36" t="str">
        <f aca="false">IF($F777="","",IF(ISNUMBER(SEARCH("(externo)",$I777&amp;$J777&amp;$K777)),"Terceirizada","Interna"))</f>
        <v/>
      </c>
      <c r="U777" s="43" t="str">
        <f aca="false">IF($N777="","",IF($Q777="",$N777,$Q777))</f>
        <v/>
      </c>
      <c r="V777" s="36" t="str">
        <f aca="false">IF($F777="","",IF(OR($O777="",$N777=""),0,IF($O777&lt;=$N777,1,0)))</f>
        <v/>
      </c>
      <c r="W777" s="36" t="str">
        <f aca="false">IF($F777="","",IF(OR($O777="",$U777=""),0,IF($O777&lt;=$U777,1,0)))</f>
        <v/>
      </c>
      <c r="X777" s="37" t="str">
        <f aca="false">IF(OR($O777="",$N777=""),"",MAX(0,$O777-$N777))</f>
        <v/>
      </c>
      <c r="Y777" s="36" t="str">
        <f aca="false">IF($F777="","",IF(AND($Q777&lt;&gt;"",$N777&lt;&gt;"",$Q777&lt;&gt;$N777),1,0))</f>
        <v/>
      </c>
      <c r="Z777" s="36" t="str">
        <f aca="false">IF($F777="","",IF($P777="Cancelada",0,IF(OR($O777&lt;&gt;"",$P777="Concluída"),1,0)))</f>
        <v/>
      </c>
    </row>
    <row r="778" customFormat="false" ht="16.5" hidden="false" customHeight="true" outlineLevel="0" collapsed="false">
      <c r="A778" s="36" t="str">
        <f aca="false">IF($F778="","",COUNTA($F$5:$F778))</f>
        <v/>
      </c>
      <c r="B778" s="37" t="str">
        <f aca="true">IF($F778="","",IF($P778="Cancelada","Cancelada",IF(OR($O778&lt;&gt;"",$P778="Concluída"),IF(OR($N778="",$O778="",$O778&lt;=$N778),"Concluída","Concluída com atraso"),IF($N778="","Na carteira",IF($N778&lt;TODAY(),"VENCIDA",IF($P778="Em execução","Em execução",IF($N778=TODAY(),"Hoje","Programada")))))))</f>
        <v/>
      </c>
      <c r="C778" s="38"/>
      <c r="D778" s="38"/>
      <c r="E778" s="38"/>
      <c r="F778" s="38"/>
      <c r="G778" s="39"/>
      <c r="H778" s="39"/>
      <c r="I778" s="40"/>
      <c r="J778" s="40"/>
      <c r="K778" s="40"/>
      <c r="L778" s="41"/>
      <c r="M778" s="42"/>
      <c r="N778" s="43" t="str">
        <f aca="false">IF(OR($L778="",$M778=""),"",$L778+MATCH($M778,Listas!$F$5:$F$11,0)-1)</f>
        <v/>
      </c>
      <c r="O778" s="44"/>
      <c r="P778" s="39"/>
      <c r="Q778" s="44"/>
      <c r="R778" s="38"/>
      <c r="S778" s="38"/>
      <c r="T778" s="36" t="str">
        <f aca="false">IF($F778="","",IF(ISNUMBER(SEARCH("(externo)",$I778&amp;$J778&amp;$K778)),"Terceirizada","Interna"))</f>
        <v/>
      </c>
      <c r="U778" s="43" t="str">
        <f aca="false">IF($N778="","",IF($Q778="",$N778,$Q778))</f>
        <v/>
      </c>
      <c r="V778" s="36" t="str">
        <f aca="false">IF($F778="","",IF(OR($O778="",$N778=""),0,IF($O778&lt;=$N778,1,0)))</f>
        <v/>
      </c>
      <c r="W778" s="36" t="str">
        <f aca="false">IF($F778="","",IF(OR($O778="",$U778=""),0,IF($O778&lt;=$U778,1,0)))</f>
        <v/>
      </c>
      <c r="X778" s="37" t="str">
        <f aca="false">IF(OR($O778="",$N778=""),"",MAX(0,$O778-$N778))</f>
        <v/>
      </c>
      <c r="Y778" s="36" t="str">
        <f aca="false">IF($F778="","",IF(AND($Q778&lt;&gt;"",$N778&lt;&gt;"",$Q778&lt;&gt;$N778),1,0))</f>
        <v/>
      </c>
      <c r="Z778" s="36" t="str">
        <f aca="false">IF($F778="","",IF($P778="Cancelada",0,IF(OR($O778&lt;&gt;"",$P778="Concluída"),1,0)))</f>
        <v/>
      </c>
    </row>
    <row r="779" customFormat="false" ht="16.5" hidden="false" customHeight="true" outlineLevel="0" collapsed="false">
      <c r="A779" s="36" t="str">
        <f aca="false">IF($F779="","",COUNTA($F$5:$F779))</f>
        <v/>
      </c>
      <c r="B779" s="37" t="str">
        <f aca="true">IF($F779="","",IF($P779="Cancelada","Cancelada",IF(OR($O779&lt;&gt;"",$P779="Concluída"),IF(OR($N779="",$O779="",$O779&lt;=$N779),"Concluída","Concluída com atraso"),IF($N779="","Na carteira",IF($N779&lt;TODAY(),"VENCIDA",IF($P779="Em execução","Em execução",IF($N779=TODAY(),"Hoje","Programada")))))))</f>
        <v/>
      </c>
      <c r="C779" s="38"/>
      <c r="D779" s="38"/>
      <c r="E779" s="38"/>
      <c r="F779" s="38"/>
      <c r="G779" s="39"/>
      <c r="H779" s="39"/>
      <c r="I779" s="40"/>
      <c r="J779" s="40"/>
      <c r="K779" s="40"/>
      <c r="L779" s="41"/>
      <c r="M779" s="42"/>
      <c r="N779" s="43" t="str">
        <f aca="false">IF(OR($L779="",$M779=""),"",$L779+MATCH($M779,Listas!$F$5:$F$11,0)-1)</f>
        <v/>
      </c>
      <c r="O779" s="44"/>
      <c r="P779" s="39"/>
      <c r="Q779" s="44"/>
      <c r="R779" s="38"/>
      <c r="S779" s="38"/>
      <c r="T779" s="36" t="str">
        <f aca="false">IF($F779="","",IF(ISNUMBER(SEARCH("(externo)",$I779&amp;$J779&amp;$K779)),"Terceirizada","Interna"))</f>
        <v/>
      </c>
      <c r="U779" s="43" t="str">
        <f aca="false">IF($N779="","",IF($Q779="",$N779,$Q779))</f>
        <v/>
      </c>
      <c r="V779" s="36" t="str">
        <f aca="false">IF($F779="","",IF(OR($O779="",$N779=""),0,IF($O779&lt;=$N779,1,0)))</f>
        <v/>
      </c>
      <c r="W779" s="36" t="str">
        <f aca="false">IF($F779="","",IF(OR($O779="",$U779=""),0,IF($O779&lt;=$U779,1,0)))</f>
        <v/>
      </c>
      <c r="X779" s="37" t="str">
        <f aca="false">IF(OR($O779="",$N779=""),"",MAX(0,$O779-$N779))</f>
        <v/>
      </c>
      <c r="Y779" s="36" t="str">
        <f aca="false">IF($F779="","",IF(AND($Q779&lt;&gt;"",$N779&lt;&gt;"",$Q779&lt;&gt;$N779),1,0))</f>
        <v/>
      </c>
      <c r="Z779" s="36" t="str">
        <f aca="false">IF($F779="","",IF($P779="Cancelada",0,IF(OR($O779&lt;&gt;"",$P779="Concluída"),1,0)))</f>
        <v/>
      </c>
    </row>
    <row r="780" customFormat="false" ht="16.5" hidden="false" customHeight="true" outlineLevel="0" collapsed="false">
      <c r="A780" s="36" t="str">
        <f aca="false">IF($F780="","",COUNTA($F$5:$F780))</f>
        <v/>
      </c>
      <c r="B780" s="37" t="str">
        <f aca="true">IF($F780="","",IF($P780="Cancelada","Cancelada",IF(OR($O780&lt;&gt;"",$P780="Concluída"),IF(OR($N780="",$O780="",$O780&lt;=$N780),"Concluída","Concluída com atraso"),IF($N780="","Na carteira",IF($N780&lt;TODAY(),"VENCIDA",IF($P780="Em execução","Em execução",IF($N780=TODAY(),"Hoje","Programada")))))))</f>
        <v/>
      </c>
      <c r="C780" s="38"/>
      <c r="D780" s="38"/>
      <c r="E780" s="38"/>
      <c r="F780" s="38"/>
      <c r="G780" s="39"/>
      <c r="H780" s="39"/>
      <c r="I780" s="40"/>
      <c r="J780" s="40"/>
      <c r="K780" s="40"/>
      <c r="L780" s="41"/>
      <c r="M780" s="42"/>
      <c r="N780" s="43" t="str">
        <f aca="false">IF(OR($L780="",$M780=""),"",$L780+MATCH($M780,Listas!$F$5:$F$11,0)-1)</f>
        <v/>
      </c>
      <c r="O780" s="44"/>
      <c r="P780" s="39"/>
      <c r="Q780" s="44"/>
      <c r="R780" s="38"/>
      <c r="S780" s="38"/>
      <c r="T780" s="36" t="str">
        <f aca="false">IF($F780="","",IF(ISNUMBER(SEARCH("(externo)",$I780&amp;$J780&amp;$K780)),"Terceirizada","Interna"))</f>
        <v/>
      </c>
      <c r="U780" s="43" t="str">
        <f aca="false">IF($N780="","",IF($Q780="",$N780,$Q780))</f>
        <v/>
      </c>
      <c r="V780" s="36" t="str">
        <f aca="false">IF($F780="","",IF(OR($O780="",$N780=""),0,IF($O780&lt;=$N780,1,0)))</f>
        <v/>
      </c>
      <c r="W780" s="36" t="str">
        <f aca="false">IF($F780="","",IF(OR($O780="",$U780=""),0,IF($O780&lt;=$U780,1,0)))</f>
        <v/>
      </c>
      <c r="X780" s="37" t="str">
        <f aca="false">IF(OR($O780="",$N780=""),"",MAX(0,$O780-$N780))</f>
        <v/>
      </c>
      <c r="Y780" s="36" t="str">
        <f aca="false">IF($F780="","",IF(AND($Q780&lt;&gt;"",$N780&lt;&gt;"",$Q780&lt;&gt;$N780),1,0))</f>
        <v/>
      </c>
      <c r="Z780" s="36" t="str">
        <f aca="false">IF($F780="","",IF($P780="Cancelada",0,IF(OR($O780&lt;&gt;"",$P780="Concluída"),1,0)))</f>
        <v/>
      </c>
    </row>
    <row r="781" customFormat="false" ht="16.5" hidden="false" customHeight="true" outlineLevel="0" collapsed="false">
      <c r="A781" s="36" t="str">
        <f aca="false">IF($F781="","",COUNTA($F$5:$F781))</f>
        <v/>
      </c>
      <c r="B781" s="37" t="str">
        <f aca="true">IF($F781="","",IF($P781="Cancelada","Cancelada",IF(OR($O781&lt;&gt;"",$P781="Concluída"),IF(OR($N781="",$O781="",$O781&lt;=$N781),"Concluída","Concluída com atraso"),IF($N781="","Na carteira",IF($N781&lt;TODAY(),"VENCIDA",IF($P781="Em execução","Em execução",IF($N781=TODAY(),"Hoje","Programada")))))))</f>
        <v/>
      </c>
      <c r="C781" s="38"/>
      <c r="D781" s="38"/>
      <c r="E781" s="38"/>
      <c r="F781" s="38"/>
      <c r="G781" s="39"/>
      <c r="H781" s="39"/>
      <c r="I781" s="40"/>
      <c r="J781" s="40"/>
      <c r="K781" s="40"/>
      <c r="L781" s="41"/>
      <c r="M781" s="42"/>
      <c r="N781" s="43" t="str">
        <f aca="false">IF(OR($L781="",$M781=""),"",$L781+MATCH($M781,Listas!$F$5:$F$11,0)-1)</f>
        <v/>
      </c>
      <c r="O781" s="44"/>
      <c r="P781" s="39"/>
      <c r="Q781" s="44"/>
      <c r="R781" s="38"/>
      <c r="S781" s="38"/>
      <c r="T781" s="36" t="str">
        <f aca="false">IF($F781="","",IF(ISNUMBER(SEARCH("(externo)",$I781&amp;$J781&amp;$K781)),"Terceirizada","Interna"))</f>
        <v/>
      </c>
      <c r="U781" s="43" t="str">
        <f aca="false">IF($N781="","",IF($Q781="",$N781,$Q781))</f>
        <v/>
      </c>
      <c r="V781" s="36" t="str">
        <f aca="false">IF($F781="","",IF(OR($O781="",$N781=""),0,IF($O781&lt;=$N781,1,0)))</f>
        <v/>
      </c>
      <c r="W781" s="36" t="str">
        <f aca="false">IF($F781="","",IF(OR($O781="",$U781=""),0,IF($O781&lt;=$U781,1,0)))</f>
        <v/>
      </c>
      <c r="X781" s="37" t="str">
        <f aca="false">IF(OR($O781="",$N781=""),"",MAX(0,$O781-$N781))</f>
        <v/>
      </c>
      <c r="Y781" s="36" t="str">
        <f aca="false">IF($F781="","",IF(AND($Q781&lt;&gt;"",$N781&lt;&gt;"",$Q781&lt;&gt;$N781),1,0))</f>
        <v/>
      </c>
      <c r="Z781" s="36" t="str">
        <f aca="false">IF($F781="","",IF($P781="Cancelada",0,IF(OR($O781&lt;&gt;"",$P781="Concluída"),1,0)))</f>
        <v/>
      </c>
    </row>
    <row r="782" customFormat="false" ht="16.5" hidden="false" customHeight="true" outlineLevel="0" collapsed="false">
      <c r="A782" s="36" t="str">
        <f aca="false">IF($F782="","",COUNTA($F$5:$F782))</f>
        <v/>
      </c>
      <c r="B782" s="37" t="str">
        <f aca="true">IF($F782="","",IF($P782="Cancelada","Cancelada",IF(OR($O782&lt;&gt;"",$P782="Concluída"),IF(OR($N782="",$O782="",$O782&lt;=$N782),"Concluída","Concluída com atraso"),IF($N782="","Na carteira",IF($N782&lt;TODAY(),"VENCIDA",IF($P782="Em execução","Em execução",IF($N782=TODAY(),"Hoje","Programada")))))))</f>
        <v/>
      </c>
      <c r="C782" s="38"/>
      <c r="D782" s="38"/>
      <c r="E782" s="38"/>
      <c r="F782" s="38"/>
      <c r="G782" s="39"/>
      <c r="H782" s="39"/>
      <c r="I782" s="40"/>
      <c r="J782" s="40"/>
      <c r="K782" s="40"/>
      <c r="L782" s="41"/>
      <c r="M782" s="42"/>
      <c r="N782" s="43" t="str">
        <f aca="false">IF(OR($L782="",$M782=""),"",$L782+MATCH($M782,Listas!$F$5:$F$11,0)-1)</f>
        <v/>
      </c>
      <c r="O782" s="44"/>
      <c r="P782" s="39"/>
      <c r="Q782" s="44"/>
      <c r="R782" s="38"/>
      <c r="S782" s="38"/>
      <c r="T782" s="36" t="str">
        <f aca="false">IF($F782="","",IF(ISNUMBER(SEARCH("(externo)",$I782&amp;$J782&amp;$K782)),"Terceirizada","Interna"))</f>
        <v/>
      </c>
      <c r="U782" s="43" t="str">
        <f aca="false">IF($N782="","",IF($Q782="",$N782,$Q782))</f>
        <v/>
      </c>
      <c r="V782" s="36" t="str">
        <f aca="false">IF($F782="","",IF(OR($O782="",$N782=""),0,IF($O782&lt;=$N782,1,0)))</f>
        <v/>
      </c>
      <c r="W782" s="36" t="str">
        <f aca="false">IF($F782="","",IF(OR($O782="",$U782=""),0,IF($O782&lt;=$U782,1,0)))</f>
        <v/>
      </c>
      <c r="X782" s="37" t="str">
        <f aca="false">IF(OR($O782="",$N782=""),"",MAX(0,$O782-$N782))</f>
        <v/>
      </c>
      <c r="Y782" s="36" t="str">
        <f aca="false">IF($F782="","",IF(AND($Q782&lt;&gt;"",$N782&lt;&gt;"",$Q782&lt;&gt;$N782),1,0))</f>
        <v/>
      </c>
      <c r="Z782" s="36" t="str">
        <f aca="false">IF($F782="","",IF($P782="Cancelada",0,IF(OR($O782&lt;&gt;"",$P782="Concluída"),1,0)))</f>
        <v/>
      </c>
    </row>
    <row r="783" customFormat="false" ht="16.5" hidden="false" customHeight="true" outlineLevel="0" collapsed="false">
      <c r="A783" s="36" t="str">
        <f aca="false">IF($F783="","",COUNTA($F$5:$F783))</f>
        <v/>
      </c>
      <c r="B783" s="37" t="str">
        <f aca="true">IF($F783="","",IF($P783="Cancelada","Cancelada",IF(OR($O783&lt;&gt;"",$P783="Concluída"),IF(OR($N783="",$O783="",$O783&lt;=$N783),"Concluída","Concluída com atraso"),IF($N783="","Na carteira",IF($N783&lt;TODAY(),"VENCIDA",IF($P783="Em execução","Em execução",IF($N783=TODAY(),"Hoje","Programada")))))))</f>
        <v/>
      </c>
      <c r="C783" s="38"/>
      <c r="D783" s="38"/>
      <c r="E783" s="38"/>
      <c r="F783" s="38"/>
      <c r="G783" s="39"/>
      <c r="H783" s="39"/>
      <c r="I783" s="40"/>
      <c r="J783" s="40"/>
      <c r="K783" s="40"/>
      <c r="L783" s="41"/>
      <c r="M783" s="42"/>
      <c r="N783" s="43" t="str">
        <f aca="false">IF(OR($L783="",$M783=""),"",$L783+MATCH($M783,Listas!$F$5:$F$11,0)-1)</f>
        <v/>
      </c>
      <c r="O783" s="44"/>
      <c r="P783" s="39"/>
      <c r="Q783" s="44"/>
      <c r="R783" s="38"/>
      <c r="S783" s="38"/>
      <c r="T783" s="36" t="str">
        <f aca="false">IF($F783="","",IF(ISNUMBER(SEARCH("(externo)",$I783&amp;$J783&amp;$K783)),"Terceirizada","Interna"))</f>
        <v/>
      </c>
      <c r="U783" s="43" t="str">
        <f aca="false">IF($N783="","",IF($Q783="",$N783,$Q783))</f>
        <v/>
      </c>
      <c r="V783" s="36" t="str">
        <f aca="false">IF($F783="","",IF(OR($O783="",$N783=""),0,IF($O783&lt;=$N783,1,0)))</f>
        <v/>
      </c>
      <c r="W783" s="36" t="str">
        <f aca="false">IF($F783="","",IF(OR($O783="",$U783=""),0,IF($O783&lt;=$U783,1,0)))</f>
        <v/>
      </c>
      <c r="X783" s="37" t="str">
        <f aca="false">IF(OR($O783="",$N783=""),"",MAX(0,$O783-$N783))</f>
        <v/>
      </c>
      <c r="Y783" s="36" t="str">
        <f aca="false">IF($F783="","",IF(AND($Q783&lt;&gt;"",$N783&lt;&gt;"",$Q783&lt;&gt;$N783),1,0))</f>
        <v/>
      </c>
      <c r="Z783" s="36" t="str">
        <f aca="false">IF($F783="","",IF($P783="Cancelada",0,IF(OR($O783&lt;&gt;"",$P783="Concluída"),1,0)))</f>
        <v/>
      </c>
    </row>
    <row r="784" customFormat="false" ht="16.5" hidden="false" customHeight="true" outlineLevel="0" collapsed="false">
      <c r="A784" s="36" t="str">
        <f aca="false">IF($F784="","",COUNTA($F$5:$F784))</f>
        <v/>
      </c>
      <c r="B784" s="37" t="str">
        <f aca="true">IF($F784="","",IF($P784="Cancelada","Cancelada",IF(OR($O784&lt;&gt;"",$P784="Concluída"),IF(OR($N784="",$O784="",$O784&lt;=$N784),"Concluída","Concluída com atraso"),IF($N784="","Na carteira",IF($N784&lt;TODAY(),"VENCIDA",IF($P784="Em execução","Em execução",IF($N784=TODAY(),"Hoje","Programada")))))))</f>
        <v/>
      </c>
      <c r="C784" s="38"/>
      <c r="D784" s="38"/>
      <c r="E784" s="38"/>
      <c r="F784" s="38"/>
      <c r="G784" s="39"/>
      <c r="H784" s="39"/>
      <c r="I784" s="40"/>
      <c r="J784" s="40"/>
      <c r="K784" s="40"/>
      <c r="L784" s="41"/>
      <c r="M784" s="42"/>
      <c r="N784" s="43" t="str">
        <f aca="false">IF(OR($L784="",$M784=""),"",$L784+MATCH($M784,Listas!$F$5:$F$11,0)-1)</f>
        <v/>
      </c>
      <c r="O784" s="44"/>
      <c r="P784" s="39"/>
      <c r="Q784" s="44"/>
      <c r="R784" s="38"/>
      <c r="S784" s="38"/>
      <c r="T784" s="36" t="str">
        <f aca="false">IF($F784="","",IF(ISNUMBER(SEARCH("(externo)",$I784&amp;$J784&amp;$K784)),"Terceirizada","Interna"))</f>
        <v/>
      </c>
      <c r="U784" s="43" t="str">
        <f aca="false">IF($N784="","",IF($Q784="",$N784,$Q784))</f>
        <v/>
      </c>
      <c r="V784" s="36" t="str">
        <f aca="false">IF($F784="","",IF(OR($O784="",$N784=""),0,IF($O784&lt;=$N784,1,0)))</f>
        <v/>
      </c>
      <c r="W784" s="36" t="str">
        <f aca="false">IF($F784="","",IF(OR($O784="",$U784=""),0,IF($O784&lt;=$U784,1,0)))</f>
        <v/>
      </c>
      <c r="X784" s="37" t="str">
        <f aca="false">IF(OR($O784="",$N784=""),"",MAX(0,$O784-$N784))</f>
        <v/>
      </c>
      <c r="Y784" s="36" t="str">
        <f aca="false">IF($F784="","",IF(AND($Q784&lt;&gt;"",$N784&lt;&gt;"",$Q784&lt;&gt;$N784),1,0))</f>
        <v/>
      </c>
      <c r="Z784" s="36" t="str">
        <f aca="false">IF($F784="","",IF($P784="Cancelada",0,IF(OR($O784&lt;&gt;"",$P784="Concluída"),1,0)))</f>
        <v/>
      </c>
    </row>
    <row r="785" customFormat="false" ht="16.5" hidden="false" customHeight="true" outlineLevel="0" collapsed="false">
      <c r="A785" s="36" t="str">
        <f aca="false">IF($F785="","",COUNTA($F$5:$F785))</f>
        <v/>
      </c>
      <c r="B785" s="37" t="str">
        <f aca="true">IF($F785="","",IF($P785="Cancelada","Cancelada",IF(OR($O785&lt;&gt;"",$P785="Concluída"),IF(OR($N785="",$O785="",$O785&lt;=$N785),"Concluída","Concluída com atraso"),IF($N785="","Na carteira",IF($N785&lt;TODAY(),"VENCIDA",IF($P785="Em execução","Em execução",IF($N785=TODAY(),"Hoje","Programada")))))))</f>
        <v/>
      </c>
      <c r="C785" s="38"/>
      <c r="D785" s="38"/>
      <c r="E785" s="38"/>
      <c r="F785" s="38"/>
      <c r="G785" s="39"/>
      <c r="H785" s="39"/>
      <c r="I785" s="40"/>
      <c r="J785" s="40"/>
      <c r="K785" s="40"/>
      <c r="L785" s="41"/>
      <c r="M785" s="42"/>
      <c r="N785" s="43" t="str">
        <f aca="false">IF(OR($L785="",$M785=""),"",$L785+MATCH($M785,Listas!$F$5:$F$11,0)-1)</f>
        <v/>
      </c>
      <c r="O785" s="44"/>
      <c r="P785" s="39"/>
      <c r="Q785" s="44"/>
      <c r="R785" s="38"/>
      <c r="S785" s="38"/>
      <c r="T785" s="36" t="str">
        <f aca="false">IF($F785="","",IF(ISNUMBER(SEARCH("(externo)",$I785&amp;$J785&amp;$K785)),"Terceirizada","Interna"))</f>
        <v/>
      </c>
      <c r="U785" s="43" t="str">
        <f aca="false">IF($N785="","",IF($Q785="",$N785,$Q785))</f>
        <v/>
      </c>
      <c r="V785" s="36" t="str">
        <f aca="false">IF($F785="","",IF(OR($O785="",$N785=""),0,IF($O785&lt;=$N785,1,0)))</f>
        <v/>
      </c>
      <c r="W785" s="36" t="str">
        <f aca="false">IF($F785="","",IF(OR($O785="",$U785=""),0,IF($O785&lt;=$U785,1,0)))</f>
        <v/>
      </c>
      <c r="X785" s="37" t="str">
        <f aca="false">IF(OR($O785="",$N785=""),"",MAX(0,$O785-$N785))</f>
        <v/>
      </c>
      <c r="Y785" s="36" t="str">
        <f aca="false">IF($F785="","",IF(AND($Q785&lt;&gt;"",$N785&lt;&gt;"",$Q785&lt;&gt;$N785),1,0))</f>
        <v/>
      </c>
      <c r="Z785" s="36" t="str">
        <f aca="false">IF($F785="","",IF($P785="Cancelada",0,IF(OR($O785&lt;&gt;"",$P785="Concluída"),1,0)))</f>
        <v/>
      </c>
    </row>
    <row r="786" customFormat="false" ht="16.5" hidden="false" customHeight="true" outlineLevel="0" collapsed="false">
      <c r="A786" s="36" t="str">
        <f aca="false">IF($F786="","",COUNTA($F$5:$F786))</f>
        <v/>
      </c>
      <c r="B786" s="37" t="str">
        <f aca="true">IF($F786="","",IF($P786="Cancelada","Cancelada",IF(OR($O786&lt;&gt;"",$P786="Concluída"),IF(OR($N786="",$O786="",$O786&lt;=$N786),"Concluída","Concluída com atraso"),IF($N786="","Na carteira",IF($N786&lt;TODAY(),"VENCIDA",IF($P786="Em execução","Em execução",IF($N786=TODAY(),"Hoje","Programada")))))))</f>
        <v/>
      </c>
      <c r="C786" s="38"/>
      <c r="D786" s="38"/>
      <c r="E786" s="38"/>
      <c r="F786" s="38"/>
      <c r="G786" s="39"/>
      <c r="H786" s="39"/>
      <c r="I786" s="40"/>
      <c r="J786" s="40"/>
      <c r="K786" s="40"/>
      <c r="L786" s="41"/>
      <c r="M786" s="42"/>
      <c r="N786" s="43" t="str">
        <f aca="false">IF(OR($L786="",$M786=""),"",$L786+MATCH($M786,Listas!$F$5:$F$11,0)-1)</f>
        <v/>
      </c>
      <c r="O786" s="44"/>
      <c r="P786" s="39"/>
      <c r="Q786" s="44"/>
      <c r="R786" s="38"/>
      <c r="S786" s="38"/>
      <c r="T786" s="36" t="str">
        <f aca="false">IF($F786="","",IF(ISNUMBER(SEARCH("(externo)",$I786&amp;$J786&amp;$K786)),"Terceirizada","Interna"))</f>
        <v/>
      </c>
      <c r="U786" s="43" t="str">
        <f aca="false">IF($N786="","",IF($Q786="",$N786,$Q786))</f>
        <v/>
      </c>
      <c r="V786" s="36" t="str">
        <f aca="false">IF($F786="","",IF(OR($O786="",$N786=""),0,IF($O786&lt;=$N786,1,0)))</f>
        <v/>
      </c>
      <c r="W786" s="36" t="str">
        <f aca="false">IF($F786="","",IF(OR($O786="",$U786=""),0,IF($O786&lt;=$U786,1,0)))</f>
        <v/>
      </c>
      <c r="X786" s="37" t="str">
        <f aca="false">IF(OR($O786="",$N786=""),"",MAX(0,$O786-$N786))</f>
        <v/>
      </c>
      <c r="Y786" s="36" t="str">
        <f aca="false">IF($F786="","",IF(AND($Q786&lt;&gt;"",$N786&lt;&gt;"",$Q786&lt;&gt;$N786),1,0))</f>
        <v/>
      </c>
      <c r="Z786" s="36" t="str">
        <f aca="false">IF($F786="","",IF($P786="Cancelada",0,IF(OR($O786&lt;&gt;"",$P786="Concluída"),1,0)))</f>
        <v/>
      </c>
    </row>
    <row r="787" customFormat="false" ht="16.5" hidden="false" customHeight="true" outlineLevel="0" collapsed="false">
      <c r="A787" s="36" t="str">
        <f aca="false">IF($F787="","",COUNTA($F$5:$F787))</f>
        <v/>
      </c>
      <c r="B787" s="37" t="str">
        <f aca="true">IF($F787="","",IF($P787="Cancelada","Cancelada",IF(OR($O787&lt;&gt;"",$P787="Concluída"),IF(OR($N787="",$O787="",$O787&lt;=$N787),"Concluída","Concluída com atraso"),IF($N787="","Na carteira",IF($N787&lt;TODAY(),"VENCIDA",IF($P787="Em execução","Em execução",IF($N787=TODAY(),"Hoje","Programada")))))))</f>
        <v/>
      </c>
      <c r="C787" s="38"/>
      <c r="D787" s="38"/>
      <c r="E787" s="38"/>
      <c r="F787" s="38"/>
      <c r="G787" s="39"/>
      <c r="H787" s="39"/>
      <c r="I787" s="40"/>
      <c r="J787" s="40"/>
      <c r="K787" s="40"/>
      <c r="L787" s="41"/>
      <c r="M787" s="42"/>
      <c r="N787" s="43" t="str">
        <f aca="false">IF(OR($L787="",$M787=""),"",$L787+MATCH($M787,Listas!$F$5:$F$11,0)-1)</f>
        <v/>
      </c>
      <c r="O787" s="44"/>
      <c r="P787" s="39"/>
      <c r="Q787" s="44"/>
      <c r="R787" s="38"/>
      <c r="S787" s="38"/>
      <c r="T787" s="36" t="str">
        <f aca="false">IF($F787="","",IF(ISNUMBER(SEARCH("(externo)",$I787&amp;$J787&amp;$K787)),"Terceirizada","Interna"))</f>
        <v/>
      </c>
      <c r="U787" s="43" t="str">
        <f aca="false">IF($N787="","",IF($Q787="",$N787,$Q787))</f>
        <v/>
      </c>
      <c r="V787" s="36" t="str">
        <f aca="false">IF($F787="","",IF(OR($O787="",$N787=""),0,IF($O787&lt;=$N787,1,0)))</f>
        <v/>
      </c>
      <c r="W787" s="36" t="str">
        <f aca="false">IF($F787="","",IF(OR($O787="",$U787=""),0,IF($O787&lt;=$U787,1,0)))</f>
        <v/>
      </c>
      <c r="X787" s="37" t="str">
        <f aca="false">IF(OR($O787="",$N787=""),"",MAX(0,$O787-$N787))</f>
        <v/>
      </c>
      <c r="Y787" s="36" t="str">
        <f aca="false">IF($F787="","",IF(AND($Q787&lt;&gt;"",$N787&lt;&gt;"",$Q787&lt;&gt;$N787),1,0))</f>
        <v/>
      </c>
      <c r="Z787" s="36" t="str">
        <f aca="false">IF($F787="","",IF($P787="Cancelada",0,IF(OR($O787&lt;&gt;"",$P787="Concluída"),1,0)))</f>
        <v/>
      </c>
    </row>
    <row r="788" customFormat="false" ht="16.5" hidden="false" customHeight="true" outlineLevel="0" collapsed="false">
      <c r="A788" s="36" t="str">
        <f aca="false">IF($F788="","",COUNTA($F$5:$F788))</f>
        <v/>
      </c>
      <c r="B788" s="37" t="str">
        <f aca="true">IF($F788="","",IF($P788="Cancelada","Cancelada",IF(OR($O788&lt;&gt;"",$P788="Concluída"),IF(OR($N788="",$O788="",$O788&lt;=$N788),"Concluída","Concluída com atraso"),IF($N788="","Na carteira",IF($N788&lt;TODAY(),"VENCIDA",IF($P788="Em execução","Em execução",IF($N788=TODAY(),"Hoje","Programada")))))))</f>
        <v/>
      </c>
      <c r="C788" s="38"/>
      <c r="D788" s="38"/>
      <c r="E788" s="38"/>
      <c r="F788" s="38"/>
      <c r="G788" s="39"/>
      <c r="H788" s="39"/>
      <c r="I788" s="40"/>
      <c r="J788" s="40"/>
      <c r="K788" s="40"/>
      <c r="L788" s="41"/>
      <c r="M788" s="42"/>
      <c r="N788" s="43" t="str">
        <f aca="false">IF(OR($L788="",$M788=""),"",$L788+MATCH($M788,Listas!$F$5:$F$11,0)-1)</f>
        <v/>
      </c>
      <c r="O788" s="44"/>
      <c r="P788" s="39"/>
      <c r="Q788" s="44"/>
      <c r="R788" s="38"/>
      <c r="S788" s="38"/>
      <c r="T788" s="36" t="str">
        <f aca="false">IF($F788="","",IF(ISNUMBER(SEARCH("(externo)",$I788&amp;$J788&amp;$K788)),"Terceirizada","Interna"))</f>
        <v/>
      </c>
      <c r="U788" s="43" t="str">
        <f aca="false">IF($N788="","",IF($Q788="",$N788,$Q788))</f>
        <v/>
      </c>
      <c r="V788" s="36" t="str">
        <f aca="false">IF($F788="","",IF(OR($O788="",$N788=""),0,IF($O788&lt;=$N788,1,0)))</f>
        <v/>
      </c>
      <c r="W788" s="36" t="str">
        <f aca="false">IF($F788="","",IF(OR($O788="",$U788=""),0,IF($O788&lt;=$U788,1,0)))</f>
        <v/>
      </c>
      <c r="X788" s="37" t="str">
        <f aca="false">IF(OR($O788="",$N788=""),"",MAX(0,$O788-$N788))</f>
        <v/>
      </c>
      <c r="Y788" s="36" t="str">
        <f aca="false">IF($F788="","",IF(AND($Q788&lt;&gt;"",$N788&lt;&gt;"",$Q788&lt;&gt;$N788),1,0))</f>
        <v/>
      </c>
      <c r="Z788" s="36" t="str">
        <f aca="false">IF($F788="","",IF($P788="Cancelada",0,IF(OR($O788&lt;&gt;"",$P788="Concluída"),1,0)))</f>
        <v/>
      </c>
    </row>
    <row r="789" customFormat="false" ht="16.5" hidden="false" customHeight="true" outlineLevel="0" collapsed="false">
      <c r="A789" s="36" t="str">
        <f aca="false">IF($F789="","",COUNTA($F$5:$F789))</f>
        <v/>
      </c>
      <c r="B789" s="37" t="str">
        <f aca="true">IF($F789="","",IF($P789="Cancelada","Cancelada",IF(OR($O789&lt;&gt;"",$P789="Concluída"),IF(OR($N789="",$O789="",$O789&lt;=$N789),"Concluída","Concluída com atraso"),IF($N789="","Na carteira",IF($N789&lt;TODAY(),"VENCIDA",IF($P789="Em execução","Em execução",IF($N789=TODAY(),"Hoje","Programada")))))))</f>
        <v/>
      </c>
      <c r="C789" s="38"/>
      <c r="D789" s="38"/>
      <c r="E789" s="38"/>
      <c r="F789" s="38"/>
      <c r="G789" s="39"/>
      <c r="H789" s="39"/>
      <c r="I789" s="40"/>
      <c r="J789" s="40"/>
      <c r="K789" s="40"/>
      <c r="L789" s="41"/>
      <c r="M789" s="42"/>
      <c r="N789" s="43" t="str">
        <f aca="false">IF(OR($L789="",$M789=""),"",$L789+MATCH($M789,Listas!$F$5:$F$11,0)-1)</f>
        <v/>
      </c>
      <c r="O789" s="44"/>
      <c r="P789" s="39"/>
      <c r="Q789" s="44"/>
      <c r="R789" s="38"/>
      <c r="S789" s="38"/>
      <c r="T789" s="36" t="str">
        <f aca="false">IF($F789="","",IF(ISNUMBER(SEARCH("(externo)",$I789&amp;$J789&amp;$K789)),"Terceirizada","Interna"))</f>
        <v/>
      </c>
      <c r="U789" s="43" t="str">
        <f aca="false">IF($N789="","",IF($Q789="",$N789,$Q789))</f>
        <v/>
      </c>
      <c r="V789" s="36" t="str">
        <f aca="false">IF($F789="","",IF(OR($O789="",$N789=""),0,IF($O789&lt;=$N789,1,0)))</f>
        <v/>
      </c>
      <c r="W789" s="36" t="str">
        <f aca="false">IF($F789="","",IF(OR($O789="",$U789=""),0,IF($O789&lt;=$U789,1,0)))</f>
        <v/>
      </c>
      <c r="X789" s="37" t="str">
        <f aca="false">IF(OR($O789="",$N789=""),"",MAX(0,$O789-$N789))</f>
        <v/>
      </c>
      <c r="Y789" s="36" t="str">
        <f aca="false">IF($F789="","",IF(AND($Q789&lt;&gt;"",$N789&lt;&gt;"",$Q789&lt;&gt;$N789),1,0))</f>
        <v/>
      </c>
      <c r="Z789" s="36" t="str">
        <f aca="false">IF($F789="","",IF($P789="Cancelada",0,IF(OR($O789&lt;&gt;"",$P789="Concluída"),1,0)))</f>
        <v/>
      </c>
    </row>
    <row r="790" customFormat="false" ht="16.5" hidden="false" customHeight="true" outlineLevel="0" collapsed="false">
      <c r="A790" s="36" t="str">
        <f aca="false">IF($F790="","",COUNTA($F$5:$F790))</f>
        <v/>
      </c>
      <c r="B790" s="37" t="str">
        <f aca="true">IF($F790="","",IF($P790="Cancelada","Cancelada",IF(OR($O790&lt;&gt;"",$P790="Concluída"),IF(OR($N790="",$O790="",$O790&lt;=$N790),"Concluída","Concluída com atraso"),IF($N790="","Na carteira",IF($N790&lt;TODAY(),"VENCIDA",IF($P790="Em execução","Em execução",IF($N790=TODAY(),"Hoje","Programada")))))))</f>
        <v/>
      </c>
      <c r="C790" s="38"/>
      <c r="D790" s="38"/>
      <c r="E790" s="38"/>
      <c r="F790" s="38"/>
      <c r="G790" s="39"/>
      <c r="H790" s="39"/>
      <c r="I790" s="40"/>
      <c r="J790" s="40"/>
      <c r="K790" s="40"/>
      <c r="L790" s="41"/>
      <c r="M790" s="42"/>
      <c r="N790" s="43" t="str">
        <f aca="false">IF(OR($L790="",$M790=""),"",$L790+MATCH($M790,Listas!$F$5:$F$11,0)-1)</f>
        <v/>
      </c>
      <c r="O790" s="44"/>
      <c r="P790" s="39"/>
      <c r="Q790" s="44"/>
      <c r="R790" s="38"/>
      <c r="S790" s="38"/>
      <c r="T790" s="36" t="str">
        <f aca="false">IF($F790="","",IF(ISNUMBER(SEARCH("(externo)",$I790&amp;$J790&amp;$K790)),"Terceirizada","Interna"))</f>
        <v/>
      </c>
      <c r="U790" s="43" t="str">
        <f aca="false">IF($N790="","",IF($Q790="",$N790,$Q790))</f>
        <v/>
      </c>
      <c r="V790" s="36" t="str">
        <f aca="false">IF($F790="","",IF(OR($O790="",$N790=""),0,IF($O790&lt;=$N790,1,0)))</f>
        <v/>
      </c>
      <c r="W790" s="36" t="str">
        <f aca="false">IF($F790="","",IF(OR($O790="",$U790=""),0,IF($O790&lt;=$U790,1,0)))</f>
        <v/>
      </c>
      <c r="X790" s="37" t="str">
        <f aca="false">IF(OR($O790="",$N790=""),"",MAX(0,$O790-$N790))</f>
        <v/>
      </c>
      <c r="Y790" s="36" t="str">
        <f aca="false">IF($F790="","",IF(AND($Q790&lt;&gt;"",$N790&lt;&gt;"",$Q790&lt;&gt;$N790),1,0))</f>
        <v/>
      </c>
      <c r="Z790" s="36" t="str">
        <f aca="false">IF($F790="","",IF($P790="Cancelada",0,IF(OR($O790&lt;&gt;"",$P790="Concluída"),1,0)))</f>
        <v/>
      </c>
    </row>
    <row r="791" customFormat="false" ht="16.5" hidden="false" customHeight="true" outlineLevel="0" collapsed="false">
      <c r="A791" s="36" t="str">
        <f aca="false">IF($F791="","",COUNTA($F$5:$F791))</f>
        <v/>
      </c>
      <c r="B791" s="37" t="str">
        <f aca="true">IF($F791="","",IF($P791="Cancelada","Cancelada",IF(OR($O791&lt;&gt;"",$P791="Concluída"),IF(OR($N791="",$O791="",$O791&lt;=$N791),"Concluída","Concluída com atraso"),IF($N791="","Na carteira",IF($N791&lt;TODAY(),"VENCIDA",IF($P791="Em execução","Em execução",IF($N791=TODAY(),"Hoje","Programada")))))))</f>
        <v/>
      </c>
      <c r="C791" s="38"/>
      <c r="D791" s="38"/>
      <c r="E791" s="38"/>
      <c r="F791" s="38"/>
      <c r="G791" s="39"/>
      <c r="H791" s="39"/>
      <c r="I791" s="40"/>
      <c r="J791" s="40"/>
      <c r="K791" s="40"/>
      <c r="L791" s="41"/>
      <c r="M791" s="42"/>
      <c r="N791" s="43" t="str">
        <f aca="false">IF(OR($L791="",$M791=""),"",$L791+MATCH($M791,Listas!$F$5:$F$11,0)-1)</f>
        <v/>
      </c>
      <c r="O791" s="44"/>
      <c r="P791" s="39"/>
      <c r="Q791" s="44"/>
      <c r="R791" s="38"/>
      <c r="S791" s="38"/>
      <c r="T791" s="36" t="str">
        <f aca="false">IF($F791="","",IF(ISNUMBER(SEARCH("(externo)",$I791&amp;$J791&amp;$K791)),"Terceirizada","Interna"))</f>
        <v/>
      </c>
      <c r="U791" s="43" t="str">
        <f aca="false">IF($N791="","",IF($Q791="",$N791,$Q791))</f>
        <v/>
      </c>
      <c r="V791" s="36" t="str">
        <f aca="false">IF($F791="","",IF(OR($O791="",$N791=""),0,IF($O791&lt;=$N791,1,0)))</f>
        <v/>
      </c>
      <c r="W791" s="36" t="str">
        <f aca="false">IF($F791="","",IF(OR($O791="",$U791=""),0,IF($O791&lt;=$U791,1,0)))</f>
        <v/>
      </c>
      <c r="X791" s="37" t="str">
        <f aca="false">IF(OR($O791="",$N791=""),"",MAX(0,$O791-$N791))</f>
        <v/>
      </c>
      <c r="Y791" s="36" t="str">
        <f aca="false">IF($F791="","",IF(AND($Q791&lt;&gt;"",$N791&lt;&gt;"",$Q791&lt;&gt;$N791),1,0))</f>
        <v/>
      </c>
      <c r="Z791" s="36" t="str">
        <f aca="false">IF($F791="","",IF($P791="Cancelada",0,IF(OR($O791&lt;&gt;"",$P791="Concluída"),1,0)))</f>
        <v/>
      </c>
    </row>
    <row r="792" customFormat="false" ht="16.5" hidden="false" customHeight="true" outlineLevel="0" collapsed="false">
      <c r="A792" s="36" t="str">
        <f aca="false">IF($F792="","",COUNTA($F$5:$F792))</f>
        <v/>
      </c>
      <c r="B792" s="37" t="str">
        <f aca="true">IF($F792="","",IF($P792="Cancelada","Cancelada",IF(OR($O792&lt;&gt;"",$P792="Concluída"),IF(OR($N792="",$O792="",$O792&lt;=$N792),"Concluída","Concluída com atraso"),IF($N792="","Na carteira",IF($N792&lt;TODAY(),"VENCIDA",IF($P792="Em execução","Em execução",IF($N792=TODAY(),"Hoje","Programada")))))))</f>
        <v/>
      </c>
      <c r="C792" s="38"/>
      <c r="D792" s="38"/>
      <c r="E792" s="38"/>
      <c r="F792" s="38"/>
      <c r="G792" s="39"/>
      <c r="H792" s="39"/>
      <c r="I792" s="40"/>
      <c r="J792" s="40"/>
      <c r="K792" s="40"/>
      <c r="L792" s="41"/>
      <c r="M792" s="42"/>
      <c r="N792" s="43" t="str">
        <f aca="false">IF(OR($L792="",$M792=""),"",$L792+MATCH($M792,Listas!$F$5:$F$11,0)-1)</f>
        <v/>
      </c>
      <c r="O792" s="44"/>
      <c r="P792" s="39"/>
      <c r="Q792" s="44"/>
      <c r="R792" s="38"/>
      <c r="S792" s="38"/>
      <c r="T792" s="36" t="str">
        <f aca="false">IF($F792="","",IF(ISNUMBER(SEARCH("(externo)",$I792&amp;$J792&amp;$K792)),"Terceirizada","Interna"))</f>
        <v/>
      </c>
      <c r="U792" s="43" t="str">
        <f aca="false">IF($N792="","",IF($Q792="",$N792,$Q792))</f>
        <v/>
      </c>
      <c r="V792" s="36" t="str">
        <f aca="false">IF($F792="","",IF(OR($O792="",$N792=""),0,IF($O792&lt;=$N792,1,0)))</f>
        <v/>
      </c>
      <c r="W792" s="36" t="str">
        <f aca="false">IF($F792="","",IF(OR($O792="",$U792=""),0,IF($O792&lt;=$U792,1,0)))</f>
        <v/>
      </c>
      <c r="X792" s="37" t="str">
        <f aca="false">IF(OR($O792="",$N792=""),"",MAX(0,$O792-$N792))</f>
        <v/>
      </c>
      <c r="Y792" s="36" t="str">
        <f aca="false">IF($F792="","",IF(AND($Q792&lt;&gt;"",$N792&lt;&gt;"",$Q792&lt;&gt;$N792),1,0))</f>
        <v/>
      </c>
      <c r="Z792" s="36" t="str">
        <f aca="false">IF($F792="","",IF($P792="Cancelada",0,IF(OR($O792&lt;&gt;"",$P792="Concluída"),1,0)))</f>
        <v/>
      </c>
    </row>
    <row r="793" customFormat="false" ht="16.5" hidden="false" customHeight="true" outlineLevel="0" collapsed="false">
      <c r="A793" s="36" t="str">
        <f aca="false">IF($F793="","",COUNTA($F$5:$F793))</f>
        <v/>
      </c>
      <c r="B793" s="37" t="str">
        <f aca="true">IF($F793="","",IF($P793="Cancelada","Cancelada",IF(OR($O793&lt;&gt;"",$P793="Concluída"),IF(OR($N793="",$O793="",$O793&lt;=$N793),"Concluída","Concluída com atraso"),IF($N793="","Na carteira",IF($N793&lt;TODAY(),"VENCIDA",IF($P793="Em execução","Em execução",IF($N793=TODAY(),"Hoje","Programada")))))))</f>
        <v/>
      </c>
      <c r="C793" s="38"/>
      <c r="D793" s="38"/>
      <c r="E793" s="38"/>
      <c r="F793" s="38"/>
      <c r="G793" s="39"/>
      <c r="H793" s="39"/>
      <c r="I793" s="40"/>
      <c r="J793" s="40"/>
      <c r="K793" s="40"/>
      <c r="L793" s="41"/>
      <c r="M793" s="42"/>
      <c r="N793" s="43" t="str">
        <f aca="false">IF(OR($L793="",$M793=""),"",$L793+MATCH($M793,Listas!$F$5:$F$11,0)-1)</f>
        <v/>
      </c>
      <c r="O793" s="44"/>
      <c r="P793" s="39"/>
      <c r="Q793" s="44"/>
      <c r="R793" s="38"/>
      <c r="S793" s="38"/>
      <c r="T793" s="36" t="str">
        <f aca="false">IF($F793="","",IF(ISNUMBER(SEARCH("(externo)",$I793&amp;$J793&amp;$K793)),"Terceirizada","Interna"))</f>
        <v/>
      </c>
      <c r="U793" s="43" t="str">
        <f aca="false">IF($N793="","",IF($Q793="",$N793,$Q793))</f>
        <v/>
      </c>
      <c r="V793" s="36" t="str">
        <f aca="false">IF($F793="","",IF(OR($O793="",$N793=""),0,IF($O793&lt;=$N793,1,0)))</f>
        <v/>
      </c>
      <c r="W793" s="36" t="str">
        <f aca="false">IF($F793="","",IF(OR($O793="",$U793=""),0,IF($O793&lt;=$U793,1,0)))</f>
        <v/>
      </c>
      <c r="X793" s="37" t="str">
        <f aca="false">IF(OR($O793="",$N793=""),"",MAX(0,$O793-$N793))</f>
        <v/>
      </c>
      <c r="Y793" s="36" t="str">
        <f aca="false">IF($F793="","",IF(AND($Q793&lt;&gt;"",$N793&lt;&gt;"",$Q793&lt;&gt;$N793),1,0))</f>
        <v/>
      </c>
      <c r="Z793" s="36" t="str">
        <f aca="false">IF($F793="","",IF($P793="Cancelada",0,IF(OR($O793&lt;&gt;"",$P793="Concluída"),1,0)))</f>
        <v/>
      </c>
    </row>
    <row r="794" customFormat="false" ht="16.5" hidden="false" customHeight="true" outlineLevel="0" collapsed="false">
      <c r="A794" s="36" t="str">
        <f aca="false">IF($F794="","",COUNTA($F$5:$F794))</f>
        <v/>
      </c>
      <c r="B794" s="37" t="str">
        <f aca="true">IF($F794="","",IF($P794="Cancelada","Cancelada",IF(OR($O794&lt;&gt;"",$P794="Concluída"),IF(OR($N794="",$O794="",$O794&lt;=$N794),"Concluída","Concluída com atraso"),IF($N794="","Na carteira",IF($N794&lt;TODAY(),"VENCIDA",IF($P794="Em execução","Em execução",IF($N794=TODAY(),"Hoje","Programada")))))))</f>
        <v/>
      </c>
      <c r="C794" s="38"/>
      <c r="D794" s="38"/>
      <c r="E794" s="38"/>
      <c r="F794" s="38"/>
      <c r="G794" s="39"/>
      <c r="H794" s="39"/>
      <c r="I794" s="40"/>
      <c r="J794" s="40"/>
      <c r="K794" s="40"/>
      <c r="L794" s="41"/>
      <c r="M794" s="42"/>
      <c r="N794" s="43" t="str">
        <f aca="false">IF(OR($L794="",$M794=""),"",$L794+MATCH($M794,Listas!$F$5:$F$11,0)-1)</f>
        <v/>
      </c>
      <c r="O794" s="44"/>
      <c r="P794" s="39"/>
      <c r="Q794" s="44"/>
      <c r="R794" s="38"/>
      <c r="S794" s="38"/>
      <c r="T794" s="36" t="str">
        <f aca="false">IF($F794="","",IF(ISNUMBER(SEARCH("(externo)",$I794&amp;$J794&amp;$K794)),"Terceirizada","Interna"))</f>
        <v/>
      </c>
      <c r="U794" s="43" t="str">
        <f aca="false">IF($N794="","",IF($Q794="",$N794,$Q794))</f>
        <v/>
      </c>
      <c r="V794" s="36" t="str">
        <f aca="false">IF($F794="","",IF(OR($O794="",$N794=""),0,IF($O794&lt;=$N794,1,0)))</f>
        <v/>
      </c>
      <c r="W794" s="36" t="str">
        <f aca="false">IF($F794="","",IF(OR($O794="",$U794=""),0,IF($O794&lt;=$U794,1,0)))</f>
        <v/>
      </c>
      <c r="X794" s="37" t="str">
        <f aca="false">IF(OR($O794="",$N794=""),"",MAX(0,$O794-$N794))</f>
        <v/>
      </c>
      <c r="Y794" s="36" t="str">
        <f aca="false">IF($F794="","",IF(AND($Q794&lt;&gt;"",$N794&lt;&gt;"",$Q794&lt;&gt;$N794),1,0))</f>
        <v/>
      </c>
      <c r="Z794" s="36" t="str">
        <f aca="false">IF($F794="","",IF($P794="Cancelada",0,IF(OR($O794&lt;&gt;"",$P794="Concluída"),1,0)))</f>
        <v/>
      </c>
    </row>
    <row r="795" customFormat="false" ht="16.5" hidden="false" customHeight="true" outlineLevel="0" collapsed="false">
      <c r="A795" s="36" t="str">
        <f aca="false">IF($F795="","",COUNTA($F$5:$F795))</f>
        <v/>
      </c>
      <c r="B795" s="37" t="str">
        <f aca="true">IF($F795="","",IF($P795="Cancelada","Cancelada",IF(OR($O795&lt;&gt;"",$P795="Concluída"),IF(OR($N795="",$O795="",$O795&lt;=$N795),"Concluída","Concluída com atraso"),IF($N795="","Na carteira",IF($N795&lt;TODAY(),"VENCIDA",IF($P795="Em execução","Em execução",IF($N795=TODAY(),"Hoje","Programada")))))))</f>
        <v/>
      </c>
      <c r="C795" s="38"/>
      <c r="D795" s="38"/>
      <c r="E795" s="38"/>
      <c r="F795" s="38"/>
      <c r="G795" s="39"/>
      <c r="H795" s="39"/>
      <c r="I795" s="40"/>
      <c r="J795" s="40"/>
      <c r="K795" s="40"/>
      <c r="L795" s="41"/>
      <c r="M795" s="42"/>
      <c r="N795" s="43" t="str">
        <f aca="false">IF(OR($L795="",$M795=""),"",$L795+MATCH($M795,Listas!$F$5:$F$11,0)-1)</f>
        <v/>
      </c>
      <c r="O795" s="44"/>
      <c r="P795" s="39"/>
      <c r="Q795" s="44"/>
      <c r="R795" s="38"/>
      <c r="S795" s="38"/>
      <c r="T795" s="36" t="str">
        <f aca="false">IF($F795="","",IF(ISNUMBER(SEARCH("(externo)",$I795&amp;$J795&amp;$K795)),"Terceirizada","Interna"))</f>
        <v/>
      </c>
      <c r="U795" s="43" t="str">
        <f aca="false">IF($N795="","",IF($Q795="",$N795,$Q795))</f>
        <v/>
      </c>
      <c r="V795" s="36" t="str">
        <f aca="false">IF($F795="","",IF(OR($O795="",$N795=""),0,IF($O795&lt;=$N795,1,0)))</f>
        <v/>
      </c>
      <c r="W795" s="36" t="str">
        <f aca="false">IF($F795="","",IF(OR($O795="",$U795=""),0,IF($O795&lt;=$U795,1,0)))</f>
        <v/>
      </c>
      <c r="X795" s="37" t="str">
        <f aca="false">IF(OR($O795="",$N795=""),"",MAX(0,$O795-$N795))</f>
        <v/>
      </c>
      <c r="Y795" s="36" t="str">
        <f aca="false">IF($F795="","",IF(AND($Q795&lt;&gt;"",$N795&lt;&gt;"",$Q795&lt;&gt;$N795),1,0))</f>
        <v/>
      </c>
      <c r="Z795" s="36" t="str">
        <f aca="false">IF($F795="","",IF($P795="Cancelada",0,IF(OR($O795&lt;&gt;"",$P795="Concluída"),1,0)))</f>
        <v/>
      </c>
    </row>
    <row r="796" customFormat="false" ht="16.5" hidden="false" customHeight="true" outlineLevel="0" collapsed="false">
      <c r="A796" s="36" t="str">
        <f aca="false">IF($F796="","",COUNTA($F$5:$F796))</f>
        <v/>
      </c>
      <c r="B796" s="37" t="str">
        <f aca="true">IF($F796="","",IF($P796="Cancelada","Cancelada",IF(OR($O796&lt;&gt;"",$P796="Concluída"),IF(OR($N796="",$O796="",$O796&lt;=$N796),"Concluída","Concluída com atraso"),IF($N796="","Na carteira",IF($N796&lt;TODAY(),"VENCIDA",IF($P796="Em execução","Em execução",IF($N796=TODAY(),"Hoje","Programada")))))))</f>
        <v/>
      </c>
      <c r="C796" s="38"/>
      <c r="D796" s="38"/>
      <c r="E796" s="38"/>
      <c r="F796" s="38"/>
      <c r="G796" s="39"/>
      <c r="H796" s="39"/>
      <c r="I796" s="40"/>
      <c r="J796" s="40"/>
      <c r="K796" s="40"/>
      <c r="L796" s="41"/>
      <c r="M796" s="42"/>
      <c r="N796" s="43" t="str">
        <f aca="false">IF(OR($L796="",$M796=""),"",$L796+MATCH($M796,Listas!$F$5:$F$11,0)-1)</f>
        <v/>
      </c>
      <c r="O796" s="44"/>
      <c r="P796" s="39"/>
      <c r="Q796" s="44"/>
      <c r="R796" s="38"/>
      <c r="S796" s="38"/>
      <c r="T796" s="36" t="str">
        <f aca="false">IF($F796="","",IF(ISNUMBER(SEARCH("(externo)",$I796&amp;$J796&amp;$K796)),"Terceirizada","Interna"))</f>
        <v/>
      </c>
      <c r="U796" s="43" t="str">
        <f aca="false">IF($N796="","",IF($Q796="",$N796,$Q796))</f>
        <v/>
      </c>
      <c r="V796" s="36" t="str">
        <f aca="false">IF($F796="","",IF(OR($O796="",$N796=""),0,IF($O796&lt;=$N796,1,0)))</f>
        <v/>
      </c>
      <c r="W796" s="36" t="str">
        <f aca="false">IF($F796="","",IF(OR($O796="",$U796=""),0,IF($O796&lt;=$U796,1,0)))</f>
        <v/>
      </c>
      <c r="X796" s="37" t="str">
        <f aca="false">IF(OR($O796="",$N796=""),"",MAX(0,$O796-$N796))</f>
        <v/>
      </c>
      <c r="Y796" s="36" t="str">
        <f aca="false">IF($F796="","",IF(AND($Q796&lt;&gt;"",$N796&lt;&gt;"",$Q796&lt;&gt;$N796),1,0))</f>
        <v/>
      </c>
      <c r="Z796" s="36" t="str">
        <f aca="false">IF($F796="","",IF($P796="Cancelada",0,IF(OR($O796&lt;&gt;"",$P796="Concluída"),1,0)))</f>
        <v/>
      </c>
    </row>
    <row r="797" customFormat="false" ht="16.5" hidden="false" customHeight="true" outlineLevel="0" collapsed="false">
      <c r="A797" s="36" t="str">
        <f aca="false">IF($F797="","",COUNTA($F$5:$F797))</f>
        <v/>
      </c>
      <c r="B797" s="37" t="str">
        <f aca="true">IF($F797="","",IF($P797="Cancelada","Cancelada",IF(OR($O797&lt;&gt;"",$P797="Concluída"),IF(OR($N797="",$O797="",$O797&lt;=$N797),"Concluída","Concluída com atraso"),IF($N797="","Na carteira",IF($N797&lt;TODAY(),"VENCIDA",IF($P797="Em execução","Em execução",IF($N797=TODAY(),"Hoje","Programada")))))))</f>
        <v/>
      </c>
      <c r="C797" s="38"/>
      <c r="D797" s="38"/>
      <c r="E797" s="38"/>
      <c r="F797" s="38"/>
      <c r="G797" s="39"/>
      <c r="H797" s="39"/>
      <c r="I797" s="40"/>
      <c r="J797" s="40"/>
      <c r="K797" s="40"/>
      <c r="L797" s="41"/>
      <c r="M797" s="42"/>
      <c r="N797" s="43" t="str">
        <f aca="false">IF(OR($L797="",$M797=""),"",$L797+MATCH($M797,Listas!$F$5:$F$11,0)-1)</f>
        <v/>
      </c>
      <c r="O797" s="44"/>
      <c r="P797" s="39"/>
      <c r="Q797" s="44"/>
      <c r="R797" s="38"/>
      <c r="S797" s="38"/>
      <c r="T797" s="36" t="str">
        <f aca="false">IF($F797="","",IF(ISNUMBER(SEARCH("(externo)",$I797&amp;$J797&amp;$K797)),"Terceirizada","Interna"))</f>
        <v/>
      </c>
      <c r="U797" s="43" t="str">
        <f aca="false">IF($N797="","",IF($Q797="",$N797,$Q797))</f>
        <v/>
      </c>
      <c r="V797" s="36" t="str">
        <f aca="false">IF($F797="","",IF(OR($O797="",$N797=""),0,IF($O797&lt;=$N797,1,0)))</f>
        <v/>
      </c>
      <c r="W797" s="36" t="str">
        <f aca="false">IF($F797="","",IF(OR($O797="",$U797=""),0,IF($O797&lt;=$U797,1,0)))</f>
        <v/>
      </c>
      <c r="X797" s="37" t="str">
        <f aca="false">IF(OR($O797="",$N797=""),"",MAX(0,$O797-$N797))</f>
        <v/>
      </c>
      <c r="Y797" s="36" t="str">
        <f aca="false">IF($F797="","",IF(AND($Q797&lt;&gt;"",$N797&lt;&gt;"",$Q797&lt;&gt;$N797),1,0))</f>
        <v/>
      </c>
      <c r="Z797" s="36" t="str">
        <f aca="false">IF($F797="","",IF($P797="Cancelada",0,IF(OR($O797&lt;&gt;"",$P797="Concluída"),1,0)))</f>
        <v/>
      </c>
    </row>
    <row r="798" customFormat="false" ht="16.5" hidden="false" customHeight="true" outlineLevel="0" collapsed="false">
      <c r="A798" s="36" t="str">
        <f aca="false">IF($F798="","",COUNTA($F$5:$F798))</f>
        <v/>
      </c>
      <c r="B798" s="37" t="str">
        <f aca="true">IF($F798="","",IF($P798="Cancelada","Cancelada",IF(OR($O798&lt;&gt;"",$P798="Concluída"),IF(OR($N798="",$O798="",$O798&lt;=$N798),"Concluída","Concluída com atraso"),IF($N798="","Na carteira",IF($N798&lt;TODAY(),"VENCIDA",IF($P798="Em execução","Em execução",IF($N798=TODAY(),"Hoje","Programada")))))))</f>
        <v/>
      </c>
      <c r="C798" s="38"/>
      <c r="D798" s="38"/>
      <c r="E798" s="38"/>
      <c r="F798" s="38"/>
      <c r="G798" s="39"/>
      <c r="H798" s="39"/>
      <c r="I798" s="40"/>
      <c r="J798" s="40"/>
      <c r="K798" s="40"/>
      <c r="L798" s="41"/>
      <c r="M798" s="42"/>
      <c r="N798" s="43" t="str">
        <f aca="false">IF(OR($L798="",$M798=""),"",$L798+MATCH($M798,Listas!$F$5:$F$11,0)-1)</f>
        <v/>
      </c>
      <c r="O798" s="44"/>
      <c r="P798" s="39"/>
      <c r="Q798" s="44"/>
      <c r="R798" s="38"/>
      <c r="S798" s="38"/>
      <c r="T798" s="36" t="str">
        <f aca="false">IF($F798="","",IF(ISNUMBER(SEARCH("(externo)",$I798&amp;$J798&amp;$K798)),"Terceirizada","Interna"))</f>
        <v/>
      </c>
      <c r="U798" s="43" t="str">
        <f aca="false">IF($N798="","",IF($Q798="",$N798,$Q798))</f>
        <v/>
      </c>
      <c r="V798" s="36" t="str">
        <f aca="false">IF($F798="","",IF(OR($O798="",$N798=""),0,IF($O798&lt;=$N798,1,0)))</f>
        <v/>
      </c>
      <c r="W798" s="36" t="str">
        <f aca="false">IF($F798="","",IF(OR($O798="",$U798=""),0,IF($O798&lt;=$U798,1,0)))</f>
        <v/>
      </c>
      <c r="X798" s="37" t="str">
        <f aca="false">IF(OR($O798="",$N798=""),"",MAX(0,$O798-$N798))</f>
        <v/>
      </c>
      <c r="Y798" s="36" t="str">
        <f aca="false">IF($F798="","",IF(AND($Q798&lt;&gt;"",$N798&lt;&gt;"",$Q798&lt;&gt;$N798),1,0))</f>
        <v/>
      </c>
      <c r="Z798" s="36" t="str">
        <f aca="false">IF($F798="","",IF($P798="Cancelada",0,IF(OR($O798&lt;&gt;"",$P798="Concluída"),1,0)))</f>
        <v/>
      </c>
    </row>
    <row r="799" customFormat="false" ht="16.5" hidden="false" customHeight="true" outlineLevel="0" collapsed="false">
      <c r="A799" s="36" t="str">
        <f aca="false">IF($F799="","",COUNTA($F$5:$F799))</f>
        <v/>
      </c>
      <c r="B799" s="37" t="str">
        <f aca="true">IF($F799="","",IF($P799="Cancelada","Cancelada",IF(OR($O799&lt;&gt;"",$P799="Concluída"),IF(OR($N799="",$O799="",$O799&lt;=$N799),"Concluída","Concluída com atraso"),IF($N799="","Na carteira",IF($N799&lt;TODAY(),"VENCIDA",IF($P799="Em execução","Em execução",IF($N799=TODAY(),"Hoje","Programada")))))))</f>
        <v/>
      </c>
      <c r="C799" s="38"/>
      <c r="D799" s="38"/>
      <c r="E799" s="38"/>
      <c r="F799" s="38"/>
      <c r="G799" s="39"/>
      <c r="H799" s="39"/>
      <c r="I799" s="40"/>
      <c r="J799" s="40"/>
      <c r="K799" s="40"/>
      <c r="L799" s="41"/>
      <c r="M799" s="42"/>
      <c r="N799" s="43" t="str">
        <f aca="false">IF(OR($L799="",$M799=""),"",$L799+MATCH($M799,Listas!$F$5:$F$11,0)-1)</f>
        <v/>
      </c>
      <c r="O799" s="44"/>
      <c r="P799" s="39"/>
      <c r="Q799" s="44"/>
      <c r="R799" s="38"/>
      <c r="S799" s="38"/>
      <c r="T799" s="36" t="str">
        <f aca="false">IF($F799="","",IF(ISNUMBER(SEARCH("(externo)",$I799&amp;$J799&amp;$K799)),"Terceirizada","Interna"))</f>
        <v/>
      </c>
      <c r="U799" s="43" t="str">
        <f aca="false">IF($N799="","",IF($Q799="",$N799,$Q799))</f>
        <v/>
      </c>
      <c r="V799" s="36" t="str">
        <f aca="false">IF($F799="","",IF(OR($O799="",$N799=""),0,IF($O799&lt;=$N799,1,0)))</f>
        <v/>
      </c>
      <c r="W799" s="36" t="str">
        <f aca="false">IF($F799="","",IF(OR($O799="",$U799=""),0,IF($O799&lt;=$U799,1,0)))</f>
        <v/>
      </c>
      <c r="X799" s="37" t="str">
        <f aca="false">IF(OR($O799="",$N799=""),"",MAX(0,$O799-$N799))</f>
        <v/>
      </c>
      <c r="Y799" s="36" t="str">
        <f aca="false">IF($F799="","",IF(AND($Q799&lt;&gt;"",$N799&lt;&gt;"",$Q799&lt;&gt;$N799),1,0))</f>
        <v/>
      </c>
      <c r="Z799" s="36" t="str">
        <f aca="false">IF($F799="","",IF($P799="Cancelada",0,IF(OR($O799&lt;&gt;"",$P799="Concluída"),1,0)))</f>
        <v/>
      </c>
    </row>
    <row r="800" customFormat="false" ht="16.5" hidden="false" customHeight="true" outlineLevel="0" collapsed="false">
      <c r="A800" s="36" t="str">
        <f aca="false">IF($F800="","",COUNTA($F$5:$F800))</f>
        <v/>
      </c>
      <c r="B800" s="37" t="str">
        <f aca="true">IF($F800="","",IF($P800="Cancelada","Cancelada",IF(OR($O800&lt;&gt;"",$P800="Concluída"),IF(OR($N800="",$O800="",$O800&lt;=$N800),"Concluída","Concluída com atraso"),IF($N800="","Na carteira",IF($N800&lt;TODAY(),"VENCIDA",IF($P800="Em execução","Em execução",IF($N800=TODAY(),"Hoje","Programada")))))))</f>
        <v/>
      </c>
      <c r="C800" s="38"/>
      <c r="D800" s="38"/>
      <c r="E800" s="38"/>
      <c r="F800" s="38"/>
      <c r="G800" s="39"/>
      <c r="H800" s="39"/>
      <c r="I800" s="40"/>
      <c r="J800" s="40"/>
      <c r="K800" s="40"/>
      <c r="L800" s="41"/>
      <c r="M800" s="42"/>
      <c r="N800" s="43" t="str">
        <f aca="false">IF(OR($L800="",$M800=""),"",$L800+MATCH($M800,Listas!$F$5:$F$11,0)-1)</f>
        <v/>
      </c>
      <c r="O800" s="44"/>
      <c r="P800" s="39"/>
      <c r="Q800" s="44"/>
      <c r="R800" s="38"/>
      <c r="S800" s="38"/>
      <c r="T800" s="36" t="str">
        <f aca="false">IF($F800="","",IF(ISNUMBER(SEARCH("(externo)",$I800&amp;$J800&amp;$K800)),"Terceirizada","Interna"))</f>
        <v/>
      </c>
      <c r="U800" s="43" t="str">
        <f aca="false">IF($N800="","",IF($Q800="",$N800,$Q800))</f>
        <v/>
      </c>
      <c r="V800" s="36" t="str">
        <f aca="false">IF($F800="","",IF(OR($O800="",$N800=""),0,IF($O800&lt;=$N800,1,0)))</f>
        <v/>
      </c>
      <c r="W800" s="36" t="str">
        <f aca="false">IF($F800="","",IF(OR($O800="",$U800=""),0,IF($O800&lt;=$U800,1,0)))</f>
        <v/>
      </c>
      <c r="X800" s="37" t="str">
        <f aca="false">IF(OR($O800="",$N800=""),"",MAX(0,$O800-$N800))</f>
        <v/>
      </c>
      <c r="Y800" s="36" t="str">
        <f aca="false">IF($F800="","",IF(AND($Q800&lt;&gt;"",$N800&lt;&gt;"",$Q800&lt;&gt;$N800),1,0))</f>
        <v/>
      </c>
      <c r="Z800" s="36" t="str">
        <f aca="false">IF($F800="","",IF($P800="Cancelada",0,IF(OR($O800&lt;&gt;"",$P800="Concluída"),1,0)))</f>
        <v/>
      </c>
    </row>
    <row r="801" customFormat="false" ht="16.5" hidden="false" customHeight="true" outlineLevel="0" collapsed="false">
      <c r="A801" s="36" t="str">
        <f aca="false">IF($F801="","",COUNTA($F$5:$F801))</f>
        <v/>
      </c>
      <c r="B801" s="37" t="str">
        <f aca="true">IF($F801="","",IF($P801="Cancelada","Cancelada",IF(OR($O801&lt;&gt;"",$P801="Concluída"),IF(OR($N801="",$O801="",$O801&lt;=$N801),"Concluída","Concluída com atraso"),IF($N801="","Na carteira",IF($N801&lt;TODAY(),"VENCIDA",IF($P801="Em execução","Em execução",IF($N801=TODAY(),"Hoje","Programada")))))))</f>
        <v/>
      </c>
      <c r="C801" s="38"/>
      <c r="D801" s="38"/>
      <c r="E801" s="38"/>
      <c r="F801" s="38"/>
      <c r="G801" s="39"/>
      <c r="H801" s="39"/>
      <c r="I801" s="40"/>
      <c r="J801" s="40"/>
      <c r="K801" s="40"/>
      <c r="L801" s="41"/>
      <c r="M801" s="42"/>
      <c r="N801" s="43" t="str">
        <f aca="false">IF(OR($L801="",$M801=""),"",$L801+MATCH($M801,Listas!$F$5:$F$11,0)-1)</f>
        <v/>
      </c>
      <c r="O801" s="44"/>
      <c r="P801" s="39"/>
      <c r="Q801" s="44"/>
      <c r="R801" s="38"/>
      <c r="S801" s="38"/>
      <c r="T801" s="36" t="str">
        <f aca="false">IF($F801="","",IF(ISNUMBER(SEARCH("(externo)",$I801&amp;$J801&amp;$K801)),"Terceirizada","Interna"))</f>
        <v/>
      </c>
      <c r="U801" s="43" t="str">
        <f aca="false">IF($N801="","",IF($Q801="",$N801,$Q801))</f>
        <v/>
      </c>
      <c r="V801" s="36" t="str">
        <f aca="false">IF($F801="","",IF(OR($O801="",$N801=""),0,IF($O801&lt;=$N801,1,0)))</f>
        <v/>
      </c>
      <c r="W801" s="36" t="str">
        <f aca="false">IF($F801="","",IF(OR($O801="",$U801=""),0,IF($O801&lt;=$U801,1,0)))</f>
        <v/>
      </c>
      <c r="X801" s="37" t="str">
        <f aca="false">IF(OR($O801="",$N801=""),"",MAX(0,$O801-$N801))</f>
        <v/>
      </c>
      <c r="Y801" s="36" t="str">
        <f aca="false">IF($F801="","",IF(AND($Q801&lt;&gt;"",$N801&lt;&gt;"",$Q801&lt;&gt;$N801),1,0))</f>
        <v/>
      </c>
      <c r="Z801" s="36" t="str">
        <f aca="false">IF($F801="","",IF($P801="Cancelada",0,IF(OR($O801&lt;&gt;"",$P801="Concluída"),1,0)))</f>
        <v/>
      </c>
    </row>
    <row r="802" customFormat="false" ht="16.5" hidden="false" customHeight="true" outlineLevel="0" collapsed="false">
      <c r="A802" s="36" t="str">
        <f aca="false">IF($F802="","",COUNTA($F$5:$F802))</f>
        <v/>
      </c>
      <c r="B802" s="37" t="str">
        <f aca="true">IF($F802="","",IF($P802="Cancelada","Cancelada",IF(OR($O802&lt;&gt;"",$P802="Concluída"),IF(OR($N802="",$O802="",$O802&lt;=$N802),"Concluída","Concluída com atraso"),IF($N802="","Na carteira",IF($N802&lt;TODAY(),"VENCIDA",IF($P802="Em execução","Em execução",IF($N802=TODAY(),"Hoje","Programada")))))))</f>
        <v/>
      </c>
      <c r="C802" s="38"/>
      <c r="D802" s="38"/>
      <c r="E802" s="38"/>
      <c r="F802" s="38"/>
      <c r="G802" s="39"/>
      <c r="H802" s="39"/>
      <c r="I802" s="40"/>
      <c r="J802" s="40"/>
      <c r="K802" s="40"/>
      <c r="L802" s="41"/>
      <c r="M802" s="42"/>
      <c r="N802" s="43" t="str">
        <f aca="false">IF(OR($L802="",$M802=""),"",$L802+MATCH($M802,Listas!$F$5:$F$11,0)-1)</f>
        <v/>
      </c>
      <c r="O802" s="44"/>
      <c r="P802" s="39"/>
      <c r="Q802" s="44"/>
      <c r="R802" s="38"/>
      <c r="S802" s="38"/>
      <c r="T802" s="36" t="str">
        <f aca="false">IF($F802="","",IF(ISNUMBER(SEARCH("(externo)",$I802&amp;$J802&amp;$K802)),"Terceirizada","Interna"))</f>
        <v/>
      </c>
      <c r="U802" s="43" t="str">
        <f aca="false">IF($N802="","",IF($Q802="",$N802,$Q802))</f>
        <v/>
      </c>
      <c r="V802" s="36" t="str">
        <f aca="false">IF($F802="","",IF(OR($O802="",$N802=""),0,IF($O802&lt;=$N802,1,0)))</f>
        <v/>
      </c>
      <c r="W802" s="36" t="str">
        <f aca="false">IF($F802="","",IF(OR($O802="",$U802=""),0,IF($O802&lt;=$U802,1,0)))</f>
        <v/>
      </c>
      <c r="X802" s="37" t="str">
        <f aca="false">IF(OR($O802="",$N802=""),"",MAX(0,$O802-$N802))</f>
        <v/>
      </c>
      <c r="Y802" s="36" t="str">
        <f aca="false">IF($F802="","",IF(AND($Q802&lt;&gt;"",$N802&lt;&gt;"",$Q802&lt;&gt;$N802),1,0))</f>
        <v/>
      </c>
      <c r="Z802" s="36" t="str">
        <f aca="false">IF($F802="","",IF($P802="Cancelada",0,IF(OR($O802&lt;&gt;"",$P802="Concluída"),1,0)))</f>
        <v/>
      </c>
    </row>
    <row r="803" customFormat="false" ht="16.5" hidden="false" customHeight="true" outlineLevel="0" collapsed="false">
      <c r="A803" s="36" t="str">
        <f aca="false">IF($F803="","",COUNTA($F$5:$F803))</f>
        <v/>
      </c>
      <c r="B803" s="37" t="str">
        <f aca="true">IF($F803="","",IF($P803="Cancelada","Cancelada",IF(OR($O803&lt;&gt;"",$P803="Concluída"),IF(OR($N803="",$O803="",$O803&lt;=$N803),"Concluída","Concluída com atraso"),IF($N803="","Na carteira",IF($N803&lt;TODAY(),"VENCIDA",IF($P803="Em execução","Em execução",IF($N803=TODAY(),"Hoje","Programada")))))))</f>
        <v/>
      </c>
      <c r="C803" s="38"/>
      <c r="D803" s="38"/>
      <c r="E803" s="38"/>
      <c r="F803" s="38"/>
      <c r="G803" s="39"/>
      <c r="H803" s="39"/>
      <c r="I803" s="40"/>
      <c r="J803" s="40"/>
      <c r="K803" s="40"/>
      <c r="L803" s="41"/>
      <c r="M803" s="42"/>
      <c r="N803" s="43" t="str">
        <f aca="false">IF(OR($L803="",$M803=""),"",$L803+MATCH($M803,Listas!$F$5:$F$11,0)-1)</f>
        <v/>
      </c>
      <c r="O803" s="44"/>
      <c r="P803" s="39"/>
      <c r="Q803" s="44"/>
      <c r="R803" s="38"/>
      <c r="S803" s="38"/>
      <c r="T803" s="36" t="str">
        <f aca="false">IF($F803="","",IF(ISNUMBER(SEARCH("(externo)",$I803&amp;$J803&amp;$K803)),"Terceirizada","Interna"))</f>
        <v/>
      </c>
      <c r="U803" s="43" t="str">
        <f aca="false">IF($N803="","",IF($Q803="",$N803,$Q803))</f>
        <v/>
      </c>
      <c r="V803" s="36" t="str">
        <f aca="false">IF($F803="","",IF(OR($O803="",$N803=""),0,IF($O803&lt;=$N803,1,0)))</f>
        <v/>
      </c>
      <c r="W803" s="36" t="str">
        <f aca="false">IF($F803="","",IF(OR($O803="",$U803=""),0,IF($O803&lt;=$U803,1,0)))</f>
        <v/>
      </c>
      <c r="X803" s="37" t="str">
        <f aca="false">IF(OR($O803="",$N803=""),"",MAX(0,$O803-$N803))</f>
        <v/>
      </c>
      <c r="Y803" s="36" t="str">
        <f aca="false">IF($F803="","",IF(AND($Q803&lt;&gt;"",$N803&lt;&gt;"",$Q803&lt;&gt;$N803),1,0))</f>
        <v/>
      </c>
      <c r="Z803" s="36" t="str">
        <f aca="false">IF($F803="","",IF($P803="Cancelada",0,IF(OR($O803&lt;&gt;"",$P803="Concluída"),1,0)))</f>
        <v/>
      </c>
    </row>
    <row r="804" customFormat="false" ht="16.5" hidden="false" customHeight="true" outlineLevel="0" collapsed="false">
      <c r="A804" s="36" t="str">
        <f aca="false">IF($F804="","",COUNTA($F$5:$F804))</f>
        <v/>
      </c>
      <c r="B804" s="37" t="str">
        <f aca="true">IF($F804="","",IF($P804="Cancelada","Cancelada",IF(OR($O804&lt;&gt;"",$P804="Concluída"),IF(OR($N804="",$O804="",$O804&lt;=$N804),"Concluída","Concluída com atraso"),IF($N804="","Na carteira",IF($N804&lt;TODAY(),"VENCIDA",IF($P804="Em execução","Em execução",IF($N804=TODAY(),"Hoje","Programada")))))))</f>
        <v/>
      </c>
      <c r="C804" s="38"/>
      <c r="D804" s="38"/>
      <c r="E804" s="38"/>
      <c r="F804" s="38"/>
      <c r="G804" s="39"/>
      <c r="H804" s="39"/>
      <c r="I804" s="40"/>
      <c r="J804" s="40"/>
      <c r="K804" s="40"/>
      <c r="L804" s="41"/>
      <c r="M804" s="42"/>
      <c r="N804" s="43" t="str">
        <f aca="false">IF(OR($L804="",$M804=""),"",$L804+MATCH($M804,Listas!$F$5:$F$11,0)-1)</f>
        <v/>
      </c>
      <c r="O804" s="44"/>
      <c r="P804" s="39"/>
      <c r="Q804" s="44"/>
      <c r="R804" s="38"/>
      <c r="S804" s="38"/>
      <c r="T804" s="36" t="str">
        <f aca="false">IF($F804="","",IF(ISNUMBER(SEARCH("(externo)",$I804&amp;$J804&amp;$K804)),"Terceirizada","Interna"))</f>
        <v/>
      </c>
      <c r="U804" s="43" t="str">
        <f aca="false">IF($N804="","",IF($Q804="",$N804,$Q804))</f>
        <v/>
      </c>
      <c r="V804" s="36" t="str">
        <f aca="false">IF($F804="","",IF(OR($O804="",$N804=""),0,IF($O804&lt;=$N804,1,0)))</f>
        <v/>
      </c>
      <c r="W804" s="36" t="str">
        <f aca="false">IF($F804="","",IF(OR($O804="",$U804=""),0,IF($O804&lt;=$U804,1,0)))</f>
        <v/>
      </c>
      <c r="X804" s="37" t="str">
        <f aca="false">IF(OR($O804="",$N804=""),"",MAX(0,$O804-$N804))</f>
        <v/>
      </c>
      <c r="Y804" s="36" t="str">
        <f aca="false">IF($F804="","",IF(AND($Q804&lt;&gt;"",$N804&lt;&gt;"",$Q804&lt;&gt;$N804),1,0))</f>
        <v/>
      </c>
      <c r="Z804" s="36" t="str">
        <f aca="false">IF($F804="","",IF($P804="Cancelada",0,IF(OR($O804&lt;&gt;"",$P804="Concluída"),1,0)))</f>
        <v/>
      </c>
    </row>
    <row r="805" customFormat="false" ht="16.5" hidden="false" customHeight="true" outlineLevel="0" collapsed="false">
      <c r="A805" s="36" t="str">
        <f aca="false">IF($F805="","",COUNTA($F$5:$F805))</f>
        <v/>
      </c>
      <c r="B805" s="37" t="str">
        <f aca="true">IF($F805="","",IF($P805="Cancelada","Cancelada",IF(OR($O805&lt;&gt;"",$P805="Concluída"),IF(OR($N805="",$O805="",$O805&lt;=$N805),"Concluída","Concluída com atraso"),IF($N805="","Na carteira",IF($N805&lt;TODAY(),"VENCIDA",IF($P805="Em execução","Em execução",IF($N805=TODAY(),"Hoje","Programada")))))))</f>
        <v/>
      </c>
      <c r="C805" s="38"/>
      <c r="D805" s="38"/>
      <c r="E805" s="38"/>
      <c r="F805" s="38"/>
      <c r="G805" s="39"/>
      <c r="H805" s="39"/>
      <c r="I805" s="40"/>
      <c r="J805" s="40"/>
      <c r="K805" s="40"/>
      <c r="L805" s="41"/>
      <c r="M805" s="42"/>
      <c r="N805" s="43" t="str">
        <f aca="false">IF(OR($L805="",$M805=""),"",$L805+MATCH($M805,Listas!$F$5:$F$11,0)-1)</f>
        <v/>
      </c>
      <c r="O805" s="44"/>
      <c r="P805" s="39"/>
      <c r="Q805" s="44"/>
      <c r="R805" s="38"/>
      <c r="S805" s="38"/>
      <c r="T805" s="36" t="str">
        <f aca="false">IF($F805="","",IF(ISNUMBER(SEARCH("(externo)",$I805&amp;$J805&amp;$K805)),"Terceirizada","Interna"))</f>
        <v/>
      </c>
      <c r="U805" s="43" t="str">
        <f aca="false">IF($N805="","",IF($Q805="",$N805,$Q805))</f>
        <v/>
      </c>
      <c r="V805" s="36" t="str">
        <f aca="false">IF($F805="","",IF(OR($O805="",$N805=""),0,IF($O805&lt;=$N805,1,0)))</f>
        <v/>
      </c>
      <c r="W805" s="36" t="str">
        <f aca="false">IF($F805="","",IF(OR($O805="",$U805=""),0,IF($O805&lt;=$U805,1,0)))</f>
        <v/>
      </c>
      <c r="X805" s="37" t="str">
        <f aca="false">IF(OR($O805="",$N805=""),"",MAX(0,$O805-$N805))</f>
        <v/>
      </c>
      <c r="Y805" s="36" t="str">
        <f aca="false">IF($F805="","",IF(AND($Q805&lt;&gt;"",$N805&lt;&gt;"",$Q805&lt;&gt;$N805),1,0))</f>
        <v/>
      </c>
      <c r="Z805" s="36" t="str">
        <f aca="false">IF($F805="","",IF($P805="Cancelada",0,IF(OR($O805&lt;&gt;"",$P805="Concluída"),1,0)))</f>
        <v/>
      </c>
    </row>
    <row r="806" customFormat="false" ht="16.5" hidden="false" customHeight="true" outlineLevel="0" collapsed="false">
      <c r="A806" s="36" t="str">
        <f aca="false">IF($F806="","",COUNTA($F$5:$F806))</f>
        <v/>
      </c>
      <c r="B806" s="37" t="str">
        <f aca="true">IF($F806="","",IF($P806="Cancelada","Cancelada",IF(OR($O806&lt;&gt;"",$P806="Concluída"),IF(OR($N806="",$O806="",$O806&lt;=$N806),"Concluída","Concluída com atraso"),IF($N806="","Na carteira",IF($N806&lt;TODAY(),"VENCIDA",IF($P806="Em execução","Em execução",IF($N806=TODAY(),"Hoje","Programada")))))))</f>
        <v/>
      </c>
      <c r="C806" s="38"/>
      <c r="D806" s="38"/>
      <c r="E806" s="38"/>
      <c r="F806" s="38"/>
      <c r="G806" s="39"/>
      <c r="H806" s="39"/>
      <c r="I806" s="40"/>
      <c r="J806" s="40"/>
      <c r="K806" s="40"/>
      <c r="L806" s="41"/>
      <c r="M806" s="42"/>
      <c r="N806" s="43" t="str">
        <f aca="false">IF(OR($L806="",$M806=""),"",$L806+MATCH($M806,Listas!$F$5:$F$11,0)-1)</f>
        <v/>
      </c>
      <c r="O806" s="44"/>
      <c r="P806" s="39"/>
      <c r="Q806" s="44"/>
      <c r="R806" s="38"/>
      <c r="S806" s="38"/>
      <c r="T806" s="36" t="str">
        <f aca="false">IF($F806="","",IF(ISNUMBER(SEARCH("(externo)",$I806&amp;$J806&amp;$K806)),"Terceirizada","Interna"))</f>
        <v/>
      </c>
      <c r="U806" s="43" t="str">
        <f aca="false">IF($N806="","",IF($Q806="",$N806,$Q806))</f>
        <v/>
      </c>
      <c r="V806" s="36" t="str">
        <f aca="false">IF($F806="","",IF(OR($O806="",$N806=""),0,IF($O806&lt;=$N806,1,0)))</f>
        <v/>
      </c>
      <c r="W806" s="36" t="str">
        <f aca="false">IF($F806="","",IF(OR($O806="",$U806=""),0,IF($O806&lt;=$U806,1,0)))</f>
        <v/>
      </c>
      <c r="X806" s="37" t="str">
        <f aca="false">IF(OR($O806="",$N806=""),"",MAX(0,$O806-$N806))</f>
        <v/>
      </c>
      <c r="Y806" s="36" t="str">
        <f aca="false">IF($F806="","",IF(AND($Q806&lt;&gt;"",$N806&lt;&gt;"",$Q806&lt;&gt;$N806),1,0))</f>
        <v/>
      </c>
      <c r="Z806" s="36" t="str">
        <f aca="false">IF($F806="","",IF($P806="Cancelada",0,IF(OR($O806&lt;&gt;"",$P806="Concluída"),1,0)))</f>
        <v/>
      </c>
    </row>
    <row r="807" customFormat="false" ht="16.5" hidden="false" customHeight="true" outlineLevel="0" collapsed="false">
      <c r="A807" s="36" t="str">
        <f aca="false">IF($F807="","",COUNTA($F$5:$F807))</f>
        <v/>
      </c>
      <c r="B807" s="37" t="str">
        <f aca="true">IF($F807="","",IF($P807="Cancelada","Cancelada",IF(OR($O807&lt;&gt;"",$P807="Concluída"),IF(OR($N807="",$O807="",$O807&lt;=$N807),"Concluída","Concluída com atraso"),IF($N807="","Na carteira",IF($N807&lt;TODAY(),"VENCIDA",IF($P807="Em execução","Em execução",IF($N807=TODAY(),"Hoje","Programada")))))))</f>
        <v/>
      </c>
      <c r="C807" s="38"/>
      <c r="D807" s="38"/>
      <c r="E807" s="38"/>
      <c r="F807" s="38"/>
      <c r="G807" s="39"/>
      <c r="H807" s="39"/>
      <c r="I807" s="40"/>
      <c r="J807" s="40"/>
      <c r="K807" s="40"/>
      <c r="L807" s="41"/>
      <c r="M807" s="42"/>
      <c r="N807" s="43" t="str">
        <f aca="false">IF(OR($L807="",$M807=""),"",$L807+MATCH($M807,Listas!$F$5:$F$11,0)-1)</f>
        <v/>
      </c>
      <c r="O807" s="44"/>
      <c r="P807" s="39"/>
      <c r="Q807" s="44"/>
      <c r="R807" s="38"/>
      <c r="S807" s="38"/>
      <c r="T807" s="36" t="str">
        <f aca="false">IF($F807="","",IF(ISNUMBER(SEARCH("(externo)",$I807&amp;$J807&amp;$K807)),"Terceirizada","Interna"))</f>
        <v/>
      </c>
      <c r="U807" s="43" t="str">
        <f aca="false">IF($N807="","",IF($Q807="",$N807,$Q807))</f>
        <v/>
      </c>
      <c r="V807" s="36" t="str">
        <f aca="false">IF($F807="","",IF(OR($O807="",$N807=""),0,IF($O807&lt;=$N807,1,0)))</f>
        <v/>
      </c>
      <c r="W807" s="36" t="str">
        <f aca="false">IF($F807="","",IF(OR($O807="",$U807=""),0,IF($O807&lt;=$U807,1,0)))</f>
        <v/>
      </c>
      <c r="X807" s="37" t="str">
        <f aca="false">IF(OR($O807="",$N807=""),"",MAX(0,$O807-$N807))</f>
        <v/>
      </c>
      <c r="Y807" s="36" t="str">
        <f aca="false">IF($F807="","",IF(AND($Q807&lt;&gt;"",$N807&lt;&gt;"",$Q807&lt;&gt;$N807),1,0))</f>
        <v/>
      </c>
      <c r="Z807" s="36" t="str">
        <f aca="false">IF($F807="","",IF($P807="Cancelada",0,IF(OR($O807&lt;&gt;"",$P807="Concluída"),1,0)))</f>
        <v/>
      </c>
    </row>
    <row r="808" customFormat="false" ht="16.5" hidden="false" customHeight="true" outlineLevel="0" collapsed="false">
      <c r="A808" s="36" t="str">
        <f aca="false">IF($F808="","",COUNTA($F$5:$F808))</f>
        <v/>
      </c>
      <c r="B808" s="37" t="str">
        <f aca="true">IF($F808="","",IF($P808="Cancelada","Cancelada",IF(OR($O808&lt;&gt;"",$P808="Concluída"),IF(OR($N808="",$O808="",$O808&lt;=$N808),"Concluída","Concluída com atraso"),IF($N808="","Na carteira",IF($N808&lt;TODAY(),"VENCIDA",IF($P808="Em execução","Em execução",IF($N808=TODAY(),"Hoje","Programada")))))))</f>
        <v/>
      </c>
      <c r="C808" s="38"/>
      <c r="D808" s="38"/>
      <c r="E808" s="38"/>
      <c r="F808" s="38"/>
      <c r="G808" s="39"/>
      <c r="H808" s="39"/>
      <c r="I808" s="40"/>
      <c r="J808" s="40"/>
      <c r="K808" s="40"/>
      <c r="L808" s="41"/>
      <c r="M808" s="42"/>
      <c r="N808" s="43" t="str">
        <f aca="false">IF(OR($L808="",$M808=""),"",$L808+MATCH($M808,Listas!$F$5:$F$11,0)-1)</f>
        <v/>
      </c>
      <c r="O808" s="44"/>
      <c r="P808" s="39"/>
      <c r="Q808" s="44"/>
      <c r="R808" s="38"/>
      <c r="S808" s="38"/>
      <c r="T808" s="36" t="str">
        <f aca="false">IF($F808="","",IF(ISNUMBER(SEARCH("(externo)",$I808&amp;$J808&amp;$K808)),"Terceirizada","Interna"))</f>
        <v/>
      </c>
      <c r="U808" s="43" t="str">
        <f aca="false">IF($N808="","",IF($Q808="",$N808,$Q808))</f>
        <v/>
      </c>
      <c r="V808" s="36" t="str">
        <f aca="false">IF($F808="","",IF(OR($O808="",$N808=""),0,IF($O808&lt;=$N808,1,0)))</f>
        <v/>
      </c>
      <c r="W808" s="36" t="str">
        <f aca="false">IF($F808="","",IF(OR($O808="",$U808=""),0,IF($O808&lt;=$U808,1,0)))</f>
        <v/>
      </c>
      <c r="X808" s="37" t="str">
        <f aca="false">IF(OR($O808="",$N808=""),"",MAX(0,$O808-$N808))</f>
        <v/>
      </c>
      <c r="Y808" s="36" t="str">
        <f aca="false">IF($F808="","",IF(AND($Q808&lt;&gt;"",$N808&lt;&gt;"",$Q808&lt;&gt;$N808),1,0))</f>
        <v/>
      </c>
      <c r="Z808" s="36" t="str">
        <f aca="false">IF($F808="","",IF($P808="Cancelada",0,IF(OR($O808&lt;&gt;"",$P808="Concluída"),1,0)))</f>
        <v/>
      </c>
    </row>
    <row r="809" customFormat="false" ht="16.5" hidden="false" customHeight="true" outlineLevel="0" collapsed="false">
      <c r="A809" s="36" t="str">
        <f aca="false">IF($F809="","",COUNTA($F$5:$F809))</f>
        <v/>
      </c>
      <c r="B809" s="37" t="str">
        <f aca="true">IF($F809="","",IF($P809="Cancelada","Cancelada",IF(OR($O809&lt;&gt;"",$P809="Concluída"),IF(OR($N809="",$O809="",$O809&lt;=$N809),"Concluída","Concluída com atraso"),IF($N809="","Na carteira",IF($N809&lt;TODAY(),"VENCIDA",IF($P809="Em execução","Em execução",IF($N809=TODAY(),"Hoje","Programada")))))))</f>
        <v/>
      </c>
      <c r="C809" s="38"/>
      <c r="D809" s="38"/>
      <c r="E809" s="38"/>
      <c r="F809" s="38"/>
      <c r="G809" s="39"/>
      <c r="H809" s="39"/>
      <c r="I809" s="40"/>
      <c r="J809" s="40"/>
      <c r="K809" s="40"/>
      <c r="L809" s="41"/>
      <c r="M809" s="42"/>
      <c r="N809" s="43" t="str">
        <f aca="false">IF(OR($L809="",$M809=""),"",$L809+MATCH($M809,Listas!$F$5:$F$11,0)-1)</f>
        <v/>
      </c>
      <c r="O809" s="44"/>
      <c r="P809" s="39"/>
      <c r="Q809" s="44"/>
      <c r="R809" s="38"/>
      <c r="S809" s="38"/>
      <c r="T809" s="36" t="str">
        <f aca="false">IF($F809="","",IF(ISNUMBER(SEARCH("(externo)",$I809&amp;$J809&amp;$K809)),"Terceirizada","Interna"))</f>
        <v/>
      </c>
      <c r="U809" s="43" t="str">
        <f aca="false">IF($N809="","",IF($Q809="",$N809,$Q809))</f>
        <v/>
      </c>
      <c r="V809" s="36" t="str">
        <f aca="false">IF($F809="","",IF(OR($O809="",$N809=""),0,IF($O809&lt;=$N809,1,0)))</f>
        <v/>
      </c>
      <c r="W809" s="36" t="str">
        <f aca="false">IF($F809="","",IF(OR($O809="",$U809=""),0,IF($O809&lt;=$U809,1,0)))</f>
        <v/>
      </c>
      <c r="X809" s="37" t="str">
        <f aca="false">IF(OR($O809="",$N809=""),"",MAX(0,$O809-$N809))</f>
        <v/>
      </c>
      <c r="Y809" s="36" t="str">
        <f aca="false">IF($F809="","",IF(AND($Q809&lt;&gt;"",$N809&lt;&gt;"",$Q809&lt;&gt;$N809),1,0))</f>
        <v/>
      </c>
      <c r="Z809" s="36" t="str">
        <f aca="false">IF($F809="","",IF($P809="Cancelada",0,IF(OR($O809&lt;&gt;"",$P809="Concluída"),1,0)))</f>
        <v/>
      </c>
    </row>
    <row r="810" customFormat="false" ht="16.5" hidden="false" customHeight="true" outlineLevel="0" collapsed="false">
      <c r="A810" s="36" t="str">
        <f aca="false">IF($F810="","",COUNTA($F$5:$F810))</f>
        <v/>
      </c>
      <c r="B810" s="37" t="str">
        <f aca="true">IF($F810="","",IF($P810="Cancelada","Cancelada",IF(OR($O810&lt;&gt;"",$P810="Concluída"),IF(OR($N810="",$O810="",$O810&lt;=$N810),"Concluída","Concluída com atraso"),IF($N810="","Na carteira",IF($N810&lt;TODAY(),"VENCIDA",IF($P810="Em execução","Em execução",IF($N810=TODAY(),"Hoje","Programada")))))))</f>
        <v/>
      </c>
      <c r="C810" s="38"/>
      <c r="D810" s="38"/>
      <c r="E810" s="38"/>
      <c r="F810" s="38"/>
      <c r="G810" s="39"/>
      <c r="H810" s="39"/>
      <c r="I810" s="40"/>
      <c r="J810" s="40"/>
      <c r="K810" s="40"/>
      <c r="L810" s="41"/>
      <c r="M810" s="42"/>
      <c r="N810" s="43" t="str">
        <f aca="false">IF(OR($L810="",$M810=""),"",$L810+MATCH($M810,Listas!$F$5:$F$11,0)-1)</f>
        <v/>
      </c>
      <c r="O810" s="44"/>
      <c r="P810" s="39"/>
      <c r="Q810" s="44"/>
      <c r="R810" s="38"/>
      <c r="S810" s="38"/>
      <c r="T810" s="36" t="str">
        <f aca="false">IF($F810="","",IF(ISNUMBER(SEARCH("(externo)",$I810&amp;$J810&amp;$K810)),"Terceirizada","Interna"))</f>
        <v/>
      </c>
      <c r="U810" s="43" t="str">
        <f aca="false">IF($N810="","",IF($Q810="",$N810,$Q810))</f>
        <v/>
      </c>
      <c r="V810" s="36" t="str">
        <f aca="false">IF($F810="","",IF(OR($O810="",$N810=""),0,IF($O810&lt;=$N810,1,0)))</f>
        <v/>
      </c>
      <c r="W810" s="36" t="str">
        <f aca="false">IF($F810="","",IF(OR($O810="",$U810=""),0,IF($O810&lt;=$U810,1,0)))</f>
        <v/>
      </c>
      <c r="X810" s="37" t="str">
        <f aca="false">IF(OR($O810="",$N810=""),"",MAX(0,$O810-$N810))</f>
        <v/>
      </c>
      <c r="Y810" s="36" t="str">
        <f aca="false">IF($F810="","",IF(AND($Q810&lt;&gt;"",$N810&lt;&gt;"",$Q810&lt;&gt;$N810),1,0))</f>
        <v/>
      </c>
      <c r="Z810" s="36" t="str">
        <f aca="false">IF($F810="","",IF($P810="Cancelada",0,IF(OR($O810&lt;&gt;"",$P810="Concluída"),1,0)))</f>
        <v/>
      </c>
    </row>
    <row r="811" customFormat="false" ht="16.5" hidden="false" customHeight="true" outlineLevel="0" collapsed="false">
      <c r="A811" s="36" t="str">
        <f aca="false">IF($F811="","",COUNTA($F$5:$F811))</f>
        <v/>
      </c>
      <c r="B811" s="37" t="str">
        <f aca="true">IF($F811="","",IF($P811="Cancelada","Cancelada",IF(OR($O811&lt;&gt;"",$P811="Concluída"),IF(OR($N811="",$O811="",$O811&lt;=$N811),"Concluída","Concluída com atraso"),IF($N811="","Na carteira",IF($N811&lt;TODAY(),"VENCIDA",IF($P811="Em execução","Em execução",IF($N811=TODAY(),"Hoje","Programada")))))))</f>
        <v/>
      </c>
      <c r="C811" s="38"/>
      <c r="D811" s="38"/>
      <c r="E811" s="38"/>
      <c r="F811" s="38"/>
      <c r="G811" s="39"/>
      <c r="H811" s="39"/>
      <c r="I811" s="40"/>
      <c r="J811" s="40"/>
      <c r="K811" s="40"/>
      <c r="L811" s="41"/>
      <c r="M811" s="42"/>
      <c r="N811" s="43" t="str">
        <f aca="false">IF(OR($L811="",$M811=""),"",$L811+MATCH($M811,Listas!$F$5:$F$11,0)-1)</f>
        <v/>
      </c>
      <c r="O811" s="44"/>
      <c r="P811" s="39"/>
      <c r="Q811" s="44"/>
      <c r="R811" s="38"/>
      <c r="S811" s="38"/>
      <c r="T811" s="36" t="str">
        <f aca="false">IF($F811="","",IF(ISNUMBER(SEARCH("(externo)",$I811&amp;$J811&amp;$K811)),"Terceirizada","Interna"))</f>
        <v/>
      </c>
      <c r="U811" s="43" t="str">
        <f aca="false">IF($N811="","",IF($Q811="",$N811,$Q811))</f>
        <v/>
      </c>
      <c r="V811" s="36" t="str">
        <f aca="false">IF($F811="","",IF(OR($O811="",$N811=""),0,IF($O811&lt;=$N811,1,0)))</f>
        <v/>
      </c>
      <c r="W811" s="36" t="str">
        <f aca="false">IF($F811="","",IF(OR($O811="",$U811=""),0,IF($O811&lt;=$U811,1,0)))</f>
        <v/>
      </c>
      <c r="X811" s="37" t="str">
        <f aca="false">IF(OR($O811="",$N811=""),"",MAX(0,$O811-$N811))</f>
        <v/>
      </c>
      <c r="Y811" s="36" t="str">
        <f aca="false">IF($F811="","",IF(AND($Q811&lt;&gt;"",$N811&lt;&gt;"",$Q811&lt;&gt;$N811),1,0))</f>
        <v/>
      </c>
      <c r="Z811" s="36" t="str">
        <f aca="false">IF($F811="","",IF($P811="Cancelada",0,IF(OR($O811&lt;&gt;"",$P811="Concluída"),1,0)))</f>
        <v/>
      </c>
    </row>
    <row r="812" customFormat="false" ht="16.5" hidden="false" customHeight="true" outlineLevel="0" collapsed="false">
      <c r="A812" s="36" t="str">
        <f aca="false">IF($F812="","",COUNTA($F$5:$F812))</f>
        <v/>
      </c>
      <c r="B812" s="37" t="str">
        <f aca="true">IF($F812="","",IF($P812="Cancelada","Cancelada",IF(OR($O812&lt;&gt;"",$P812="Concluída"),IF(OR($N812="",$O812="",$O812&lt;=$N812),"Concluída","Concluída com atraso"),IF($N812="","Na carteira",IF($N812&lt;TODAY(),"VENCIDA",IF($P812="Em execução","Em execução",IF($N812=TODAY(),"Hoje","Programada")))))))</f>
        <v/>
      </c>
      <c r="C812" s="38"/>
      <c r="D812" s="38"/>
      <c r="E812" s="38"/>
      <c r="F812" s="38"/>
      <c r="G812" s="39"/>
      <c r="H812" s="39"/>
      <c r="I812" s="40"/>
      <c r="J812" s="40"/>
      <c r="K812" s="40"/>
      <c r="L812" s="41"/>
      <c r="M812" s="42"/>
      <c r="N812" s="43" t="str">
        <f aca="false">IF(OR($L812="",$M812=""),"",$L812+MATCH($M812,Listas!$F$5:$F$11,0)-1)</f>
        <v/>
      </c>
      <c r="O812" s="44"/>
      <c r="P812" s="39"/>
      <c r="Q812" s="44"/>
      <c r="R812" s="38"/>
      <c r="S812" s="38"/>
      <c r="T812" s="36" t="str">
        <f aca="false">IF($F812="","",IF(ISNUMBER(SEARCH("(externo)",$I812&amp;$J812&amp;$K812)),"Terceirizada","Interna"))</f>
        <v/>
      </c>
      <c r="U812" s="43" t="str">
        <f aca="false">IF($N812="","",IF($Q812="",$N812,$Q812))</f>
        <v/>
      </c>
      <c r="V812" s="36" t="str">
        <f aca="false">IF($F812="","",IF(OR($O812="",$N812=""),0,IF($O812&lt;=$N812,1,0)))</f>
        <v/>
      </c>
      <c r="W812" s="36" t="str">
        <f aca="false">IF($F812="","",IF(OR($O812="",$U812=""),0,IF($O812&lt;=$U812,1,0)))</f>
        <v/>
      </c>
      <c r="X812" s="37" t="str">
        <f aca="false">IF(OR($O812="",$N812=""),"",MAX(0,$O812-$N812))</f>
        <v/>
      </c>
      <c r="Y812" s="36" t="str">
        <f aca="false">IF($F812="","",IF(AND($Q812&lt;&gt;"",$N812&lt;&gt;"",$Q812&lt;&gt;$N812),1,0))</f>
        <v/>
      </c>
      <c r="Z812" s="36" t="str">
        <f aca="false">IF($F812="","",IF($P812="Cancelada",0,IF(OR($O812&lt;&gt;"",$P812="Concluída"),1,0)))</f>
        <v/>
      </c>
    </row>
    <row r="813" customFormat="false" ht="16.5" hidden="false" customHeight="true" outlineLevel="0" collapsed="false">
      <c r="A813" s="36" t="str">
        <f aca="false">IF($F813="","",COUNTA($F$5:$F813))</f>
        <v/>
      </c>
      <c r="B813" s="37" t="str">
        <f aca="true">IF($F813="","",IF($P813="Cancelada","Cancelada",IF(OR($O813&lt;&gt;"",$P813="Concluída"),IF(OR($N813="",$O813="",$O813&lt;=$N813),"Concluída","Concluída com atraso"),IF($N813="","Na carteira",IF($N813&lt;TODAY(),"VENCIDA",IF($P813="Em execução","Em execução",IF($N813=TODAY(),"Hoje","Programada")))))))</f>
        <v/>
      </c>
      <c r="C813" s="38"/>
      <c r="D813" s="38"/>
      <c r="E813" s="38"/>
      <c r="F813" s="38"/>
      <c r="G813" s="39"/>
      <c r="H813" s="39"/>
      <c r="I813" s="40"/>
      <c r="J813" s="40"/>
      <c r="K813" s="40"/>
      <c r="L813" s="41"/>
      <c r="M813" s="42"/>
      <c r="N813" s="43" t="str">
        <f aca="false">IF(OR($L813="",$M813=""),"",$L813+MATCH($M813,Listas!$F$5:$F$11,0)-1)</f>
        <v/>
      </c>
      <c r="O813" s="44"/>
      <c r="P813" s="39"/>
      <c r="Q813" s="44"/>
      <c r="R813" s="38"/>
      <c r="S813" s="38"/>
      <c r="T813" s="36" t="str">
        <f aca="false">IF($F813="","",IF(ISNUMBER(SEARCH("(externo)",$I813&amp;$J813&amp;$K813)),"Terceirizada","Interna"))</f>
        <v/>
      </c>
      <c r="U813" s="43" t="str">
        <f aca="false">IF($N813="","",IF($Q813="",$N813,$Q813))</f>
        <v/>
      </c>
      <c r="V813" s="36" t="str">
        <f aca="false">IF($F813="","",IF(OR($O813="",$N813=""),0,IF($O813&lt;=$N813,1,0)))</f>
        <v/>
      </c>
      <c r="W813" s="36" t="str">
        <f aca="false">IF($F813="","",IF(OR($O813="",$U813=""),0,IF($O813&lt;=$U813,1,0)))</f>
        <v/>
      </c>
      <c r="X813" s="37" t="str">
        <f aca="false">IF(OR($O813="",$N813=""),"",MAX(0,$O813-$N813))</f>
        <v/>
      </c>
      <c r="Y813" s="36" t="str">
        <f aca="false">IF($F813="","",IF(AND($Q813&lt;&gt;"",$N813&lt;&gt;"",$Q813&lt;&gt;$N813),1,0))</f>
        <v/>
      </c>
      <c r="Z813" s="36" t="str">
        <f aca="false">IF($F813="","",IF($P813="Cancelada",0,IF(OR($O813&lt;&gt;"",$P813="Concluída"),1,0)))</f>
        <v/>
      </c>
    </row>
    <row r="814" customFormat="false" ht="16.5" hidden="false" customHeight="true" outlineLevel="0" collapsed="false">
      <c r="A814" s="36" t="str">
        <f aca="false">IF($F814="","",COUNTA($F$5:$F814))</f>
        <v/>
      </c>
      <c r="B814" s="37" t="str">
        <f aca="true">IF($F814="","",IF($P814="Cancelada","Cancelada",IF(OR($O814&lt;&gt;"",$P814="Concluída"),IF(OR($N814="",$O814="",$O814&lt;=$N814),"Concluída","Concluída com atraso"),IF($N814="","Na carteira",IF($N814&lt;TODAY(),"VENCIDA",IF($P814="Em execução","Em execução",IF($N814=TODAY(),"Hoje","Programada")))))))</f>
        <v/>
      </c>
      <c r="C814" s="38"/>
      <c r="D814" s="38"/>
      <c r="E814" s="38"/>
      <c r="F814" s="38"/>
      <c r="G814" s="39"/>
      <c r="H814" s="39"/>
      <c r="I814" s="40"/>
      <c r="J814" s="40"/>
      <c r="K814" s="40"/>
      <c r="L814" s="41"/>
      <c r="M814" s="42"/>
      <c r="N814" s="43" t="str">
        <f aca="false">IF(OR($L814="",$M814=""),"",$L814+MATCH($M814,Listas!$F$5:$F$11,0)-1)</f>
        <v/>
      </c>
      <c r="O814" s="44"/>
      <c r="P814" s="39"/>
      <c r="Q814" s="44"/>
      <c r="R814" s="38"/>
      <c r="S814" s="38"/>
      <c r="T814" s="36" t="str">
        <f aca="false">IF($F814="","",IF(ISNUMBER(SEARCH("(externo)",$I814&amp;$J814&amp;$K814)),"Terceirizada","Interna"))</f>
        <v/>
      </c>
      <c r="U814" s="43" t="str">
        <f aca="false">IF($N814="","",IF($Q814="",$N814,$Q814))</f>
        <v/>
      </c>
      <c r="V814" s="36" t="str">
        <f aca="false">IF($F814="","",IF(OR($O814="",$N814=""),0,IF($O814&lt;=$N814,1,0)))</f>
        <v/>
      </c>
      <c r="W814" s="36" t="str">
        <f aca="false">IF($F814="","",IF(OR($O814="",$U814=""),0,IF($O814&lt;=$U814,1,0)))</f>
        <v/>
      </c>
      <c r="X814" s="37" t="str">
        <f aca="false">IF(OR($O814="",$N814=""),"",MAX(0,$O814-$N814))</f>
        <v/>
      </c>
      <c r="Y814" s="36" t="str">
        <f aca="false">IF($F814="","",IF(AND($Q814&lt;&gt;"",$N814&lt;&gt;"",$Q814&lt;&gt;$N814),1,0))</f>
        <v/>
      </c>
      <c r="Z814" s="36" t="str">
        <f aca="false">IF($F814="","",IF($P814="Cancelada",0,IF(OR($O814&lt;&gt;"",$P814="Concluída"),1,0)))</f>
        <v/>
      </c>
    </row>
    <row r="815" customFormat="false" ht="16.5" hidden="false" customHeight="true" outlineLevel="0" collapsed="false">
      <c r="A815" s="36" t="str">
        <f aca="false">IF($F815="","",COUNTA($F$5:$F815))</f>
        <v/>
      </c>
      <c r="B815" s="37" t="str">
        <f aca="true">IF($F815="","",IF($P815="Cancelada","Cancelada",IF(OR($O815&lt;&gt;"",$P815="Concluída"),IF(OR($N815="",$O815="",$O815&lt;=$N815),"Concluída","Concluída com atraso"),IF($N815="","Na carteira",IF($N815&lt;TODAY(),"VENCIDA",IF($P815="Em execução","Em execução",IF($N815=TODAY(),"Hoje","Programada")))))))</f>
        <v/>
      </c>
      <c r="C815" s="38"/>
      <c r="D815" s="38"/>
      <c r="E815" s="38"/>
      <c r="F815" s="38"/>
      <c r="G815" s="39"/>
      <c r="H815" s="39"/>
      <c r="I815" s="40"/>
      <c r="J815" s="40"/>
      <c r="K815" s="40"/>
      <c r="L815" s="41"/>
      <c r="M815" s="42"/>
      <c r="N815" s="43" t="str">
        <f aca="false">IF(OR($L815="",$M815=""),"",$L815+MATCH($M815,Listas!$F$5:$F$11,0)-1)</f>
        <v/>
      </c>
      <c r="O815" s="44"/>
      <c r="P815" s="39"/>
      <c r="Q815" s="44"/>
      <c r="R815" s="38"/>
      <c r="S815" s="38"/>
      <c r="T815" s="36" t="str">
        <f aca="false">IF($F815="","",IF(ISNUMBER(SEARCH("(externo)",$I815&amp;$J815&amp;$K815)),"Terceirizada","Interna"))</f>
        <v/>
      </c>
      <c r="U815" s="43" t="str">
        <f aca="false">IF($N815="","",IF($Q815="",$N815,$Q815))</f>
        <v/>
      </c>
      <c r="V815" s="36" t="str">
        <f aca="false">IF($F815="","",IF(OR($O815="",$N815=""),0,IF($O815&lt;=$N815,1,0)))</f>
        <v/>
      </c>
      <c r="W815" s="36" t="str">
        <f aca="false">IF($F815="","",IF(OR($O815="",$U815=""),0,IF($O815&lt;=$U815,1,0)))</f>
        <v/>
      </c>
      <c r="X815" s="37" t="str">
        <f aca="false">IF(OR($O815="",$N815=""),"",MAX(0,$O815-$N815))</f>
        <v/>
      </c>
      <c r="Y815" s="36" t="str">
        <f aca="false">IF($F815="","",IF(AND($Q815&lt;&gt;"",$N815&lt;&gt;"",$Q815&lt;&gt;$N815),1,0))</f>
        <v/>
      </c>
      <c r="Z815" s="36" t="str">
        <f aca="false">IF($F815="","",IF($P815="Cancelada",0,IF(OR($O815&lt;&gt;"",$P815="Concluída"),1,0)))</f>
        <v/>
      </c>
    </row>
    <row r="816" customFormat="false" ht="16.5" hidden="false" customHeight="true" outlineLevel="0" collapsed="false">
      <c r="A816" s="36" t="str">
        <f aca="false">IF($F816="","",COUNTA($F$5:$F816))</f>
        <v/>
      </c>
      <c r="B816" s="37" t="str">
        <f aca="true">IF($F816="","",IF($P816="Cancelada","Cancelada",IF(OR($O816&lt;&gt;"",$P816="Concluída"),IF(OR($N816="",$O816="",$O816&lt;=$N816),"Concluída","Concluída com atraso"),IF($N816="","Na carteira",IF($N816&lt;TODAY(),"VENCIDA",IF($P816="Em execução","Em execução",IF($N816=TODAY(),"Hoje","Programada")))))))</f>
        <v/>
      </c>
      <c r="C816" s="38"/>
      <c r="D816" s="38"/>
      <c r="E816" s="38"/>
      <c r="F816" s="38"/>
      <c r="G816" s="39"/>
      <c r="H816" s="39"/>
      <c r="I816" s="40"/>
      <c r="J816" s="40"/>
      <c r="K816" s="40"/>
      <c r="L816" s="41"/>
      <c r="M816" s="42"/>
      <c r="N816" s="43" t="str">
        <f aca="false">IF(OR($L816="",$M816=""),"",$L816+MATCH($M816,Listas!$F$5:$F$11,0)-1)</f>
        <v/>
      </c>
      <c r="O816" s="44"/>
      <c r="P816" s="39"/>
      <c r="Q816" s="44"/>
      <c r="R816" s="38"/>
      <c r="S816" s="38"/>
      <c r="T816" s="36" t="str">
        <f aca="false">IF($F816="","",IF(ISNUMBER(SEARCH("(externo)",$I816&amp;$J816&amp;$K816)),"Terceirizada","Interna"))</f>
        <v/>
      </c>
      <c r="U816" s="43" t="str">
        <f aca="false">IF($N816="","",IF($Q816="",$N816,$Q816))</f>
        <v/>
      </c>
      <c r="V816" s="36" t="str">
        <f aca="false">IF($F816="","",IF(OR($O816="",$N816=""),0,IF($O816&lt;=$N816,1,0)))</f>
        <v/>
      </c>
      <c r="W816" s="36" t="str">
        <f aca="false">IF($F816="","",IF(OR($O816="",$U816=""),0,IF($O816&lt;=$U816,1,0)))</f>
        <v/>
      </c>
      <c r="X816" s="37" t="str">
        <f aca="false">IF(OR($O816="",$N816=""),"",MAX(0,$O816-$N816))</f>
        <v/>
      </c>
      <c r="Y816" s="36" t="str">
        <f aca="false">IF($F816="","",IF(AND($Q816&lt;&gt;"",$N816&lt;&gt;"",$Q816&lt;&gt;$N816),1,0))</f>
        <v/>
      </c>
      <c r="Z816" s="36" t="str">
        <f aca="false">IF($F816="","",IF($P816="Cancelada",0,IF(OR($O816&lt;&gt;"",$P816="Concluída"),1,0)))</f>
        <v/>
      </c>
    </row>
    <row r="817" customFormat="false" ht="16.5" hidden="false" customHeight="true" outlineLevel="0" collapsed="false">
      <c r="A817" s="36" t="str">
        <f aca="false">IF($F817="","",COUNTA($F$5:$F817))</f>
        <v/>
      </c>
      <c r="B817" s="37" t="str">
        <f aca="true">IF($F817="","",IF($P817="Cancelada","Cancelada",IF(OR($O817&lt;&gt;"",$P817="Concluída"),IF(OR($N817="",$O817="",$O817&lt;=$N817),"Concluída","Concluída com atraso"),IF($N817="","Na carteira",IF($N817&lt;TODAY(),"VENCIDA",IF($P817="Em execução","Em execução",IF($N817=TODAY(),"Hoje","Programada")))))))</f>
        <v/>
      </c>
      <c r="C817" s="38"/>
      <c r="D817" s="38"/>
      <c r="E817" s="38"/>
      <c r="F817" s="38"/>
      <c r="G817" s="39"/>
      <c r="H817" s="39"/>
      <c r="I817" s="40"/>
      <c r="J817" s="40"/>
      <c r="K817" s="40"/>
      <c r="L817" s="41"/>
      <c r="M817" s="42"/>
      <c r="N817" s="43" t="str">
        <f aca="false">IF(OR($L817="",$M817=""),"",$L817+MATCH($M817,Listas!$F$5:$F$11,0)-1)</f>
        <v/>
      </c>
      <c r="O817" s="44"/>
      <c r="P817" s="39"/>
      <c r="Q817" s="44"/>
      <c r="R817" s="38"/>
      <c r="S817" s="38"/>
      <c r="T817" s="36" t="str">
        <f aca="false">IF($F817="","",IF(ISNUMBER(SEARCH("(externo)",$I817&amp;$J817&amp;$K817)),"Terceirizada","Interna"))</f>
        <v/>
      </c>
      <c r="U817" s="43" t="str">
        <f aca="false">IF($N817="","",IF($Q817="",$N817,$Q817))</f>
        <v/>
      </c>
      <c r="V817" s="36" t="str">
        <f aca="false">IF($F817="","",IF(OR($O817="",$N817=""),0,IF($O817&lt;=$N817,1,0)))</f>
        <v/>
      </c>
      <c r="W817" s="36" t="str">
        <f aca="false">IF($F817="","",IF(OR($O817="",$U817=""),0,IF($O817&lt;=$U817,1,0)))</f>
        <v/>
      </c>
      <c r="X817" s="37" t="str">
        <f aca="false">IF(OR($O817="",$N817=""),"",MAX(0,$O817-$N817))</f>
        <v/>
      </c>
      <c r="Y817" s="36" t="str">
        <f aca="false">IF($F817="","",IF(AND($Q817&lt;&gt;"",$N817&lt;&gt;"",$Q817&lt;&gt;$N817),1,0))</f>
        <v/>
      </c>
      <c r="Z817" s="36" t="str">
        <f aca="false">IF($F817="","",IF($P817="Cancelada",0,IF(OR($O817&lt;&gt;"",$P817="Concluída"),1,0)))</f>
        <v/>
      </c>
    </row>
    <row r="818" customFormat="false" ht="16.5" hidden="false" customHeight="true" outlineLevel="0" collapsed="false">
      <c r="A818" s="36" t="str">
        <f aca="false">IF($F818="","",COUNTA($F$5:$F818))</f>
        <v/>
      </c>
      <c r="B818" s="37" t="str">
        <f aca="true">IF($F818="","",IF($P818="Cancelada","Cancelada",IF(OR($O818&lt;&gt;"",$P818="Concluída"),IF(OR($N818="",$O818="",$O818&lt;=$N818),"Concluída","Concluída com atraso"),IF($N818="","Na carteira",IF($N818&lt;TODAY(),"VENCIDA",IF($P818="Em execução","Em execução",IF($N818=TODAY(),"Hoje","Programada")))))))</f>
        <v/>
      </c>
      <c r="C818" s="38"/>
      <c r="D818" s="38"/>
      <c r="E818" s="38"/>
      <c r="F818" s="38"/>
      <c r="G818" s="39"/>
      <c r="H818" s="39"/>
      <c r="I818" s="40"/>
      <c r="J818" s="40"/>
      <c r="K818" s="40"/>
      <c r="L818" s="41"/>
      <c r="M818" s="42"/>
      <c r="N818" s="43" t="str">
        <f aca="false">IF(OR($L818="",$M818=""),"",$L818+MATCH($M818,Listas!$F$5:$F$11,0)-1)</f>
        <v/>
      </c>
      <c r="O818" s="44"/>
      <c r="P818" s="39"/>
      <c r="Q818" s="44"/>
      <c r="R818" s="38"/>
      <c r="S818" s="38"/>
      <c r="T818" s="36" t="str">
        <f aca="false">IF($F818="","",IF(ISNUMBER(SEARCH("(externo)",$I818&amp;$J818&amp;$K818)),"Terceirizada","Interna"))</f>
        <v/>
      </c>
      <c r="U818" s="43" t="str">
        <f aca="false">IF($N818="","",IF($Q818="",$N818,$Q818))</f>
        <v/>
      </c>
      <c r="V818" s="36" t="str">
        <f aca="false">IF($F818="","",IF(OR($O818="",$N818=""),0,IF($O818&lt;=$N818,1,0)))</f>
        <v/>
      </c>
      <c r="W818" s="36" t="str">
        <f aca="false">IF($F818="","",IF(OR($O818="",$U818=""),0,IF($O818&lt;=$U818,1,0)))</f>
        <v/>
      </c>
      <c r="X818" s="37" t="str">
        <f aca="false">IF(OR($O818="",$N818=""),"",MAX(0,$O818-$N818))</f>
        <v/>
      </c>
      <c r="Y818" s="36" t="str">
        <f aca="false">IF($F818="","",IF(AND($Q818&lt;&gt;"",$N818&lt;&gt;"",$Q818&lt;&gt;$N818),1,0))</f>
        <v/>
      </c>
      <c r="Z818" s="36" t="str">
        <f aca="false">IF($F818="","",IF($P818="Cancelada",0,IF(OR($O818&lt;&gt;"",$P818="Concluída"),1,0)))</f>
        <v/>
      </c>
    </row>
    <row r="819" customFormat="false" ht="16.5" hidden="false" customHeight="true" outlineLevel="0" collapsed="false">
      <c r="A819" s="36" t="str">
        <f aca="false">IF($F819="","",COUNTA($F$5:$F819))</f>
        <v/>
      </c>
      <c r="B819" s="37" t="str">
        <f aca="true">IF($F819="","",IF($P819="Cancelada","Cancelada",IF(OR($O819&lt;&gt;"",$P819="Concluída"),IF(OR($N819="",$O819="",$O819&lt;=$N819),"Concluída","Concluída com atraso"),IF($N819="","Na carteira",IF($N819&lt;TODAY(),"VENCIDA",IF($P819="Em execução","Em execução",IF($N819=TODAY(),"Hoje","Programada")))))))</f>
        <v/>
      </c>
      <c r="C819" s="38"/>
      <c r="D819" s="38"/>
      <c r="E819" s="38"/>
      <c r="F819" s="38"/>
      <c r="G819" s="39"/>
      <c r="H819" s="39"/>
      <c r="I819" s="40"/>
      <c r="J819" s="40"/>
      <c r="K819" s="40"/>
      <c r="L819" s="41"/>
      <c r="M819" s="42"/>
      <c r="N819" s="43" t="str">
        <f aca="false">IF(OR($L819="",$M819=""),"",$L819+MATCH($M819,Listas!$F$5:$F$11,0)-1)</f>
        <v/>
      </c>
      <c r="O819" s="44"/>
      <c r="P819" s="39"/>
      <c r="Q819" s="44"/>
      <c r="R819" s="38"/>
      <c r="S819" s="38"/>
      <c r="T819" s="36" t="str">
        <f aca="false">IF($F819="","",IF(ISNUMBER(SEARCH("(externo)",$I819&amp;$J819&amp;$K819)),"Terceirizada","Interna"))</f>
        <v/>
      </c>
      <c r="U819" s="43" t="str">
        <f aca="false">IF($N819="","",IF($Q819="",$N819,$Q819))</f>
        <v/>
      </c>
      <c r="V819" s="36" t="str">
        <f aca="false">IF($F819="","",IF(OR($O819="",$N819=""),0,IF($O819&lt;=$N819,1,0)))</f>
        <v/>
      </c>
      <c r="W819" s="36" t="str">
        <f aca="false">IF($F819="","",IF(OR($O819="",$U819=""),0,IF($O819&lt;=$U819,1,0)))</f>
        <v/>
      </c>
      <c r="X819" s="37" t="str">
        <f aca="false">IF(OR($O819="",$N819=""),"",MAX(0,$O819-$N819))</f>
        <v/>
      </c>
      <c r="Y819" s="36" t="str">
        <f aca="false">IF($F819="","",IF(AND($Q819&lt;&gt;"",$N819&lt;&gt;"",$Q819&lt;&gt;$N819),1,0))</f>
        <v/>
      </c>
      <c r="Z819" s="36" t="str">
        <f aca="false">IF($F819="","",IF($P819="Cancelada",0,IF(OR($O819&lt;&gt;"",$P819="Concluída"),1,0)))</f>
        <v/>
      </c>
    </row>
    <row r="820" customFormat="false" ht="16.5" hidden="false" customHeight="true" outlineLevel="0" collapsed="false">
      <c r="A820" s="36" t="str">
        <f aca="false">IF($F820="","",COUNTA($F$5:$F820))</f>
        <v/>
      </c>
      <c r="B820" s="37" t="str">
        <f aca="true">IF($F820="","",IF($P820="Cancelada","Cancelada",IF(OR($O820&lt;&gt;"",$P820="Concluída"),IF(OR($N820="",$O820="",$O820&lt;=$N820),"Concluída","Concluída com atraso"),IF($N820="","Na carteira",IF($N820&lt;TODAY(),"VENCIDA",IF($P820="Em execução","Em execução",IF($N820=TODAY(),"Hoje","Programada")))))))</f>
        <v/>
      </c>
      <c r="C820" s="38"/>
      <c r="D820" s="38"/>
      <c r="E820" s="38"/>
      <c r="F820" s="38"/>
      <c r="G820" s="39"/>
      <c r="H820" s="39"/>
      <c r="I820" s="40"/>
      <c r="J820" s="40"/>
      <c r="K820" s="40"/>
      <c r="L820" s="41"/>
      <c r="M820" s="42"/>
      <c r="N820" s="43" t="str">
        <f aca="false">IF(OR($L820="",$M820=""),"",$L820+MATCH($M820,Listas!$F$5:$F$11,0)-1)</f>
        <v/>
      </c>
      <c r="O820" s="44"/>
      <c r="P820" s="39"/>
      <c r="Q820" s="44"/>
      <c r="R820" s="38"/>
      <c r="S820" s="38"/>
      <c r="T820" s="36" t="str">
        <f aca="false">IF($F820="","",IF(ISNUMBER(SEARCH("(externo)",$I820&amp;$J820&amp;$K820)),"Terceirizada","Interna"))</f>
        <v/>
      </c>
      <c r="U820" s="43" t="str">
        <f aca="false">IF($N820="","",IF($Q820="",$N820,$Q820))</f>
        <v/>
      </c>
      <c r="V820" s="36" t="str">
        <f aca="false">IF($F820="","",IF(OR($O820="",$N820=""),0,IF($O820&lt;=$N820,1,0)))</f>
        <v/>
      </c>
      <c r="W820" s="36" t="str">
        <f aca="false">IF($F820="","",IF(OR($O820="",$U820=""),0,IF($O820&lt;=$U820,1,0)))</f>
        <v/>
      </c>
      <c r="X820" s="37" t="str">
        <f aca="false">IF(OR($O820="",$N820=""),"",MAX(0,$O820-$N820))</f>
        <v/>
      </c>
      <c r="Y820" s="36" t="str">
        <f aca="false">IF($F820="","",IF(AND($Q820&lt;&gt;"",$N820&lt;&gt;"",$Q820&lt;&gt;$N820),1,0))</f>
        <v/>
      </c>
      <c r="Z820" s="36" t="str">
        <f aca="false">IF($F820="","",IF($P820="Cancelada",0,IF(OR($O820&lt;&gt;"",$P820="Concluída"),1,0)))</f>
        <v/>
      </c>
    </row>
    <row r="821" customFormat="false" ht="16.5" hidden="false" customHeight="true" outlineLevel="0" collapsed="false">
      <c r="A821" s="36" t="str">
        <f aca="false">IF($F821="","",COUNTA($F$5:$F821))</f>
        <v/>
      </c>
      <c r="B821" s="37" t="str">
        <f aca="true">IF($F821="","",IF($P821="Cancelada","Cancelada",IF(OR($O821&lt;&gt;"",$P821="Concluída"),IF(OR($N821="",$O821="",$O821&lt;=$N821),"Concluída","Concluída com atraso"),IF($N821="","Na carteira",IF($N821&lt;TODAY(),"VENCIDA",IF($P821="Em execução","Em execução",IF($N821=TODAY(),"Hoje","Programada")))))))</f>
        <v/>
      </c>
      <c r="C821" s="38"/>
      <c r="D821" s="38"/>
      <c r="E821" s="38"/>
      <c r="F821" s="38"/>
      <c r="G821" s="39"/>
      <c r="H821" s="39"/>
      <c r="I821" s="40"/>
      <c r="J821" s="40"/>
      <c r="K821" s="40"/>
      <c r="L821" s="41"/>
      <c r="M821" s="42"/>
      <c r="N821" s="43" t="str">
        <f aca="false">IF(OR($L821="",$M821=""),"",$L821+MATCH($M821,Listas!$F$5:$F$11,0)-1)</f>
        <v/>
      </c>
      <c r="O821" s="44"/>
      <c r="P821" s="39"/>
      <c r="Q821" s="44"/>
      <c r="R821" s="38"/>
      <c r="S821" s="38"/>
      <c r="T821" s="36" t="str">
        <f aca="false">IF($F821="","",IF(ISNUMBER(SEARCH("(externo)",$I821&amp;$J821&amp;$K821)),"Terceirizada","Interna"))</f>
        <v/>
      </c>
      <c r="U821" s="43" t="str">
        <f aca="false">IF($N821="","",IF($Q821="",$N821,$Q821))</f>
        <v/>
      </c>
      <c r="V821" s="36" t="str">
        <f aca="false">IF($F821="","",IF(OR($O821="",$N821=""),0,IF($O821&lt;=$N821,1,0)))</f>
        <v/>
      </c>
      <c r="W821" s="36" t="str">
        <f aca="false">IF($F821="","",IF(OR($O821="",$U821=""),0,IF($O821&lt;=$U821,1,0)))</f>
        <v/>
      </c>
      <c r="X821" s="37" t="str">
        <f aca="false">IF(OR($O821="",$N821=""),"",MAX(0,$O821-$N821))</f>
        <v/>
      </c>
      <c r="Y821" s="36" t="str">
        <f aca="false">IF($F821="","",IF(AND($Q821&lt;&gt;"",$N821&lt;&gt;"",$Q821&lt;&gt;$N821),1,0))</f>
        <v/>
      </c>
      <c r="Z821" s="36" t="str">
        <f aca="false">IF($F821="","",IF($P821="Cancelada",0,IF(OR($O821&lt;&gt;"",$P821="Concluída"),1,0)))</f>
        <v/>
      </c>
    </row>
    <row r="822" customFormat="false" ht="16.5" hidden="false" customHeight="true" outlineLevel="0" collapsed="false">
      <c r="A822" s="36" t="str">
        <f aca="false">IF($F822="","",COUNTA($F$5:$F822))</f>
        <v/>
      </c>
      <c r="B822" s="37" t="str">
        <f aca="true">IF($F822="","",IF($P822="Cancelada","Cancelada",IF(OR($O822&lt;&gt;"",$P822="Concluída"),IF(OR($N822="",$O822="",$O822&lt;=$N822),"Concluída","Concluída com atraso"),IF($N822="","Na carteira",IF($N822&lt;TODAY(),"VENCIDA",IF($P822="Em execução","Em execução",IF($N822=TODAY(),"Hoje","Programada")))))))</f>
        <v/>
      </c>
      <c r="C822" s="38"/>
      <c r="D822" s="38"/>
      <c r="E822" s="38"/>
      <c r="F822" s="38"/>
      <c r="G822" s="39"/>
      <c r="H822" s="39"/>
      <c r="I822" s="40"/>
      <c r="J822" s="40"/>
      <c r="K822" s="40"/>
      <c r="L822" s="41"/>
      <c r="M822" s="42"/>
      <c r="N822" s="43" t="str">
        <f aca="false">IF(OR($L822="",$M822=""),"",$L822+MATCH($M822,Listas!$F$5:$F$11,0)-1)</f>
        <v/>
      </c>
      <c r="O822" s="44"/>
      <c r="P822" s="39"/>
      <c r="Q822" s="44"/>
      <c r="R822" s="38"/>
      <c r="S822" s="38"/>
      <c r="T822" s="36" t="str">
        <f aca="false">IF($F822="","",IF(ISNUMBER(SEARCH("(externo)",$I822&amp;$J822&amp;$K822)),"Terceirizada","Interna"))</f>
        <v/>
      </c>
      <c r="U822" s="43" t="str">
        <f aca="false">IF($N822="","",IF($Q822="",$N822,$Q822))</f>
        <v/>
      </c>
      <c r="V822" s="36" t="str">
        <f aca="false">IF($F822="","",IF(OR($O822="",$N822=""),0,IF($O822&lt;=$N822,1,0)))</f>
        <v/>
      </c>
      <c r="W822" s="36" t="str">
        <f aca="false">IF($F822="","",IF(OR($O822="",$U822=""),0,IF($O822&lt;=$U822,1,0)))</f>
        <v/>
      </c>
      <c r="X822" s="37" t="str">
        <f aca="false">IF(OR($O822="",$N822=""),"",MAX(0,$O822-$N822))</f>
        <v/>
      </c>
      <c r="Y822" s="36" t="str">
        <f aca="false">IF($F822="","",IF(AND($Q822&lt;&gt;"",$N822&lt;&gt;"",$Q822&lt;&gt;$N822),1,0))</f>
        <v/>
      </c>
      <c r="Z822" s="36" t="str">
        <f aca="false">IF($F822="","",IF($P822="Cancelada",0,IF(OR($O822&lt;&gt;"",$P822="Concluída"),1,0)))</f>
        <v/>
      </c>
    </row>
    <row r="823" customFormat="false" ht="16.5" hidden="false" customHeight="true" outlineLevel="0" collapsed="false">
      <c r="A823" s="36" t="str">
        <f aca="false">IF($F823="","",COUNTA($F$5:$F823))</f>
        <v/>
      </c>
      <c r="B823" s="37" t="str">
        <f aca="true">IF($F823="","",IF($P823="Cancelada","Cancelada",IF(OR($O823&lt;&gt;"",$P823="Concluída"),IF(OR($N823="",$O823="",$O823&lt;=$N823),"Concluída","Concluída com atraso"),IF($N823="","Na carteira",IF($N823&lt;TODAY(),"VENCIDA",IF($P823="Em execução","Em execução",IF($N823=TODAY(),"Hoje","Programada")))))))</f>
        <v/>
      </c>
      <c r="C823" s="38"/>
      <c r="D823" s="38"/>
      <c r="E823" s="38"/>
      <c r="F823" s="38"/>
      <c r="G823" s="39"/>
      <c r="H823" s="39"/>
      <c r="I823" s="40"/>
      <c r="J823" s="40"/>
      <c r="K823" s="40"/>
      <c r="L823" s="41"/>
      <c r="M823" s="42"/>
      <c r="N823" s="43" t="str">
        <f aca="false">IF(OR($L823="",$M823=""),"",$L823+MATCH($M823,Listas!$F$5:$F$11,0)-1)</f>
        <v/>
      </c>
      <c r="O823" s="44"/>
      <c r="P823" s="39"/>
      <c r="Q823" s="44"/>
      <c r="R823" s="38"/>
      <c r="S823" s="38"/>
      <c r="T823" s="36" t="str">
        <f aca="false">IF($F823="","",IF(ISNUMBER(SEARCH("(externo)",$I823&amp;$J823&amp;$K823)),"Terceirizada","Interna"))</f>
        <v/>
      </c>
      <c r="U823" s="43" t="str">
        <f aca="false">IF($N823="","",IF($Q823="",$N823,$Q823))</f>
        <v/>
      </c>
      <c r="V823" s="36" t="str">
        <f aca="false">IF($F823="","",IF(OR($O823="",$N823=""),0,IF($O823&lt;=$N823,1,0)))</f>
        <v/>
      </c>
      <c r="W823" s="36" t="str">
        <f aca="false">IF($F823="","",IF(OR($O823="",$U823=""),0,IF($O823&lt;=$U823,1,0)))</f>
        <v/>
      </c>
      <c r="X823" s="37" t="str">
        <f aca="false">IF(OR($O823="",$N823=""),"",MAX(0,$O823-$N823))</f>
        <v/>
      </c>
      <c r="Y823" s="36" t="str">
        <f aca="false">IF($F823="","",IF(AND($Q823&lt;&gt;"",$N823&lt;&gt;"",$Q823&lt;&gt;$N823),1,0))</f>
        <v/>
      </c>
      <c r="Z823" s="36" t="str">
        <f aca="false">IF($F823="","",IF($P823="Cancelada",0,IF(OR($O823&lt;&gt;"",$P823="Concluída"),1,0)))</f>
        <v/>
      </c>
    </row>
    <row r="824" customFormat="false" ht="16.5" hidden="false" customHeight="true" outlineLevel="0" collapsed="false">
      <c r="A824" s="36" t="str">
        <f aca="false">IF($F824="","",COUNTA($F$5:$F824))</f>
        <v/>
      </c>
      <c r="B824" s="37" t="str">
        <f aca="true">IF($F824="","",IF($P824="Cancelada","Cancelada",IF(OR($O824&lt;&gt;"",$P824="Concluída"),IF(OR($N824="",$O824="",$O824&lt;=$N824),"Concluída","Concluída com atraso"),IF($N824="","Na carteira",IF($N824&lt;TODAY(),"VENCIDA",IF($P824="Em execução","Em execução",IF($N824=TODAY(),"Hoje","Programada")))))))</f>
        <v/>
      </c>
      <c r="C824" s="38"/>
      <c r="D824" s="38"/>
      <c r="E824" s="38"/>
      <c r="F824" s="38"/>
      <c r="G824" s="39"/>
      <c r="H824" s="39"/>
      <c r="I824" s="40"/>
      <c r="J824" s="40"/>
      <c r="K824" s="40"/>
      <c r="L824" s="41"/>
      <c r="M824" s="42"/>
      <c r="N824" s="43" t="str">
        <f aca="false">IF(OR($L824="",$M824=""),"",$L824+MATCH($M824,Listas!$F$5:$F$11,0)-1)</f>
        <v/>
      </c>
      <c r="O824" s="44"/>
      <c r="P824" s="39"/>
      <c r="Q824" s="44"/>
      <c r="R824" s="38"/>
      <c r="S824" s="38"/>
      <c r="T824" s="36" t="str">
        <f aca="false">IF($F824="","",IF(ISNUMBER(SEARCH("(externo)",$I824&amp;$J824&amp;$K824)),"Terceirizada","Interna"))</f>
        <v/>
      </c>
      <c r="U824" s="43" t="str">
        <f aca="false">IF($N824="","",IF($Q824="",$N824,$Q824))</f>
        <v/>
      </c>
      <c r="V824" s="36" t="str">
        <f aca="false">IF($F824="","",IF(OR($O824="",$N824=""),0,IF($O824&lt;=$N824,1,0)))</f>
        <v/>
      </c>
      <c r="W824" s="36" t="str">
        <f aca="false">IF($F824="","",IF(OR($O824="",$U824=""),0,IF($O824&lt;=$U824,1,0)))</f>
        <v/>
      </c>
      <c r="X824" s="37" t="str">
        <f aca="false">IF(OR($O824="",$N824=""),"",MAX(0,$O824-$N824))</f>
        <v/>
      </c>
      <c r="Y824" s="36" t="str">
        <f aca="false">IF($F824="","",IF(AND($Q824&lt;&gt;"",$N824&lt;&gt;"",$Q824&lt;&gt;$N824),1,0))</f>
        <v/>
      </c>
      <c r="Z824" s="36" t="str">
        <f aca="false">IF($F824="","",IF($P824="Cancelada",0,IF(OR($O824&lt;&gt;"",$P824="Concluída"),1,0)))</f>
        <v/>
      </c>
    </row>
    <row r="825" customFormat="false" ht="16.5" hidden="false" customHeight="true" outlineLevel="0" collapsed="false">
      <c r="A825" s="36" t="str">
        <f aca="false">IF($F825="","",COUNTA($F$5:$F825))</f>
        <v/>
      </c>
      <c r="B825" s="37" t="str">
        <f aca="true">IF($F825="","",IF($P825="Cancelada","Cancelada",IF(OR($O825&lt;&gt;"",$P825="Concluída"),IF(OR($N825="",$O825="",$O825&lt;=$N825),"Concluída","Concluída com atraso"),IF($N825="","Na carteira",IF($N825&lt;TODAY(),"VENCIDA",IF($P825="Em execução","Em execução",IF($N825=TODAY(),"Hoje","Programada")))))))</f>
        <v/>
      </c>
      <c r="C825" s="38"/>
      <c r="D825" s="38"/>
      <c r="E825" s="38"/>
      <c r="F825" s="38"/>
      <c r="G825" s="39"/>
      <c r="H825" s="39"/>
      <c r="I825" s="40"/>
      <c r="J825" s="40"/>
      <c r="K825" s="40"/>
      <c r="L825" s="41"/>
      <c r="M825" s="42"/>
      <c r="N825" s="43" t="str">
        <f aca="false">IF(OR($L825="",$M825=""),"",$L825+MATCH($M825,Listas!$F$5:$F$11,0)-1)</f>
        <v/>
      </c>
      <c r="O825" s="44"/>
      <c r="P825" s="39"/>
      <c r="Q825" s="44"/>
      <c r="R825" s="38"/>
      <c r="S825" s="38"/>
      <c r="T825" s="36" t="str">
        <f aca="false">IF($F825="","",IF(ISNUMBER(SEARCH("(externo)",$I825&amp;$J825&amp;$K825)),"Terceirizada","Interna"))</f>
        <v/>
      </c>
      <c r="U825" s="43" t="str">
        <f aca="false">IF($N825="","",IF($Q825="",$N825,$Q825))</f>
        <v/>
      </c>
      <c r="V825" s="36" t="str">
        <f aca="false">IF($F825="","",IF(OR($O825="",$N825=""),0,IF($O825&lt;=$N825,1,0)))</f>
        <v/>
      </c>
      <c r="W825" s="36" t="str">
        <f aca="false">IF($F825="","",IF(OR($O825="",$U825=""),0,IF($O825&lt;=$U825,1,0)))</f>
        <v/>
      </c>
      <c r="X825" s="37" t="str">
        <f aca="false">IF(OR($O825="",$N825=""),"",MAX(0,$O825-$N825))</f>
        <v/>
      </c>
      <c r="Y825" s="36" t="str">
        <f aca="false">IF($F825="","",IF(AND($Q825&lt;&gt;"",$N825&lt;&gt;"",$Q825&lt;&gt;$N825),1,0))</f>
        <v/>
      </c>
      <c r="Z825" s="36" t="str">
        <f aca="false">IF($F825="","",IF($P825="Cancelada",0,IF(OR($O825&lt;&gt;"",$P825="Concluída"),1,0)))</f>
        <v/>
      </c>
    </row>
    <row r="826" customFormat="false" ht="16.5" hidden="false" customHeight="true" outlineLevel="0" collapsed="false">
      <c r="A826" s="36" t="str">
        <f aca="false">IF($F826="","",COUNTA($F$5:$F826))</f>
        <v/>
      </c>
      <c r="B826" s="37" t="str">
        <f aca="true">IF($F826="","",IF($P826="Cancelada","Cancelada",IF(OR($O826&lt;&gt;"",$P826="Concluída"),IF(OR($N826="",$O826="",$O826&lt;=$N826),"Concluída","Concluída com atraso"),IF($N826="","Na carteira",IF($N826&lt;TODAY(),"VENCIDA",IF($P826="Em execução","Em execução",IF($N826=TODAY(),"Hoje","Programada")))))))</f>
        <v/>
      </c>
      <c r="C826" s="38"/>
      <c r="D826" s="38"/>
      <c r="E826" s="38"/>
      <c r="F826" s="38"/>
      <c r="G826" s="39"/>
      <c r="H826" s="39"/>
      <c r="I826" s="40"/>
      <c r="J826" s="40"/>
      <c r="K826" s="40"/>
      <c r="L826" s="41"/>
      <c r="M826" s="42"/>
      <c r="N826" s="43" t="str">
        <f aca="false">IF(OR($L826="",$M826=""),"",$L826+MATCH($M826,Listas!$F$5:$F$11,0)-1)</f>
        <v/>
      </c>
      <c r="O826" s="44"/>
      <c r="P826" s="39"/>
      <c r="Q826" s="44"/>
      <c r="R826" s="38"/>
      <c r="S826" s="38"/>
      <c r="T826" s="36" t="str">
        <f aca="false">IF($F826="","",IF(ISNUMBER(SEARCH("(externo)",$I826&amp;$J826&amp;$K826)),"Terceirizada","Interna"))</f>
        <v/>
      </c>
      <c r="U826" s="43" t="str">
        <f aca="false">IF($N826="","",IF($Q826="",$N826,$Q826))</f>
        <v/>
      </c>
      <c r="V826" s="36" t="str">
        <f aca="false">IF($F826="","",IF(OR($O826="",$N826=""),0,IF($O826&lt;=$N826,1,0)))</f>
        <v/>
      </c>
      <c r="W826" s="36" t="str">
        <f aca="false">IF($F826="","",IF(OR($O826="",$U826=""),0,IF($O826&lt;=$U826,1,0)))</f>
        <v/>
      </c>
      <c r="X826" s="37" t="str">
        <f aca="false">IF(OR($O826="",$N826=""),"",MAX(0,$O826-$N826))</f>
        <v/>
      </c>
      <c r="Y826" s="36" t="str">
        <f aca="false">IF($F826="","",IF(AND($Q826&lt;&gt;"",$N826&lt;&gt;"",$Q826&lt;&gt;$N826),1,0))</f>
        <v/>
      </c>
      <c r="Z826" s="36" t="str">
        <f aca="false">IF($F826="","",IF($P826="Cancelada",0,IF(OR($O826&lt;&gt;"",$P826="Concluída"),1,0)))</f>
        <v/>
      </c>
    </row>
    <row r="827" customFormat="false" ht="16.5" hidden="false" customHeight="true" outlineLevel="0" collapsed="false">
      <c r="A827" s="36" t="str">
        <f aca="false">IF($F827="","",COUNTA($F$5:$F827))</f>
        <v/>
      </c>
      <c r="B827" s="37" t="str">
        <f aca="true">IF($F827="","",IF($P827="Cancelada","Cancelada",IF(OR($O827&lt;&gt;"",$P827="Concluída"),IF(OR($N827="",$O827="",$O827&lt;=$N827),"Concluída","Concluída com atraso"),IF($N827="","Na carteira",IF($N827&lt;TODAY(),"VENCIDA",IF($P827="Em execução","Em execução",IF($N827=TODAY(),"Hoje","Programada")))))))</f>
        <v/>
      </c>
      <c r="C827" s="38"/>
      <c r="D827" s="38"/>
      <c r="E827" s="38"/>
      <c r="F827" s="38"/>
      <c r="G827" s="39"/>
      <c r="H827" s="39"/>
      <c r="I827" s="40"/>
      <c r="J827" s="40"/>
      <c r="K827" s="40"/>
      <c r="L827" s="41"/>
      <c r="M827" s="42"/>
      <c r="N827" s="43" t="str">
        <f aca="false">IF(OR($L827="",$M827=""),"",$L827+MATCH($M827,Listas!$F$5:$F$11,0)-1)</f>
        <v/>
      </c>
      <c r="O827" s="44"/>
      <c r="P827" s="39"/>
      <c r="Q827" s="44"/>
      <c r="R827" s="38"/>
      <c r="S827" s="38"/>
      <c r="T827" s="36" t="str">
        <f aca="false">IF($F827="","",IF(ISNUMBER(SEARCH("(externo)",$I827&amp;$J827&amp;$K827)),"Terceirizada","Interna"))</f>
        <v/>
      </c>
      <c r="U827" s="43" t="str">
        <f aca="false">IF($N827="","",IF($Q827="",$N827,$Q827))</f>
        <v/>
      </c>
      <c r="V827" s="36" t="str">
        <f aca="false">IF($F827="","",IF(OR($O827="",$N827=""),0,IF($O827&lt;=$N827,1,0)))</f>
        <v/>
      </c>
      <c r="W827" s="36" t="str">
        <f aca="false">IF($F827="","",IF(OR($O827="",$U827=""),0,IF($O827&lt;=$U827,1,0)))</f>
        <v/>
      </c>
      <c r="X827" s="37" t="str">
        <f aca="false">IF(OR($O827="",$N827=""),"",MAX(0,$O827-$N827))</f>
        <v/>
      </c>
      <c r="Y827" s="36" t="str">
        <f aca="false">IF($F827="","",IF(AND($Q827&lt;&gt;"",$N827&lt;&gt;"",$Q827&lt;&gt;$N827),1,0))</f>
        <v/>
      </c>
      <c r="Z827" s="36" t="str">
        <f aca="false">IF($F827="","",IF($P827="Cancelada",0,IF(OR($O827&lt;&gt;"",$P827="Concluída"),1,0)))</f>
        <v/>
      </c>
    </row>
    <row r="828" customFormat="false" ht="16.5" hidden="false" customHeight="true" outlineLevel="0" collapsed="false">
      <c r="A828" s="36" t="str">
        <f aca="false">IF($F828="","",COUNTA($F$5:$F828))</f>
        <v/>
      </c>
      <c r="B828" s="37" t="str">
        <f aca="true">IF($F828="","",IF($P828="Cancelada","Cancelada",IF(OR($O828&lt;&gt;"",$P828="Concluída"),IF(OR($N828="",$O828="",$O828&lt;=$N828),"Concluída","Concluída com atraso"),IF($N828="","Na carteira",IF($N828&lt;TODAY(),"VENCIDA",IF($P828="Em execução","Em execução",IF($N828=TODAY(),"Hoje","Programada")))))))</f>
        <v/>
      </c>
      <c r="C828" s="38"/>
      <c r="D828" s="38"/>
      <c r="E828" s="38"/>
      <c r="F828" s="38"/>
      <c r="G828" s="39"/>
      <c r="H828" s="39"/>
      <c r="I828" s="40"/>
      <c r="J828" s="40"/>
      <c r="K828" s="40"/>
      <c r="L828" s="41"/>
      <c r="M828" s="42"/>
      <c r="N828" s="43" t="str">
        <f aca="false">IF(OR($L828="",$M828=""),"",$L828+MATCH($M828,Listas!$F$5:$F$11,0)-1)</f>
        <v/>
      </c>
      <c r="O828" s="44"/>
      <c r="P828" s="39"/>
      <c r="Q828" s="44"/>
      <c r="R828" s="38"/>
      <c r="S828" s="38"/>
      <c r="T828" s="36" t="str">
        <f aca="false">IF($F828="","",IF(ISNUMBER(SEARCH("(externo)",$I828&amp;$J828&amp;$K828)),"Terceirizada","Interna"))</f>
        <v/>
      </c>
      <c r="U828" s="43" t="str">
        <f aca="false">IF($N828="","",IF($Q828="",$N828,$Q828))</f>
        <v/>
      </c>
      <c r="V828" s="36" t="str">
        <f aca="false">IF($F828="","",IF(OR($O828="",$N828=""),0,IF($O828&lt;=$N828,1,0)))</f>
        <v/>
      </c>
      <c r="W828" s="36" t="str">
        <f aca="false">IF($F828="","",IF(OR($O828="",$U828=""),0,IF($O828&lt;=$U828,1,0)))</f>
        <v/>
      </c>
      <c r="X828" s="37" t="str">
        <f aca="false">IF(OR($O828="",$N828=""),"",MAX(0,$O828-$N828))</f>
        <v/>
      </c>
      <c r="Y828" s="36" t="str">
        <f aca="false">IF($F828="","",IF(AND($Q828&lt;&gt;"",$N828&lt;&gt;"",$Q828&lt;&gt;$N828),1,0))</f>
        <v/>
      </c>
      <c r="Z828" s="36" t="str">
        <f aca="false">IF($F828="","",IF($P828="Cancelada",0,IF(OR($O828&lt;&gt;"",$P828="Concluída"),1,0)))</f>
        <v/>
      </c>
    </row>
    <row r="829" customFormat="false" ht="16.5" hidden="false" customHeight="true" outlineLevel="0" collapsed="false">
      <c r="A829" s="36" t="str">
        <f aca="false">IF($F829="","",COUNTA($F$5:$F829))</f>
        <v/>
      </c>
      <c r="B829" s="37" t="str">
        <f aca="true">IF($F829="","",IF($P829="Cancelada","Cancelada",IF(OR($O829&lt;&gt;"",$P829="Concluída"),IF(OR($N829="",$O829="",$O829&lt;=$N829),"Concluída","Concluída com atraso"),IF($N829="","Na carteira",IF($N829&lt;TODAY(),"VENCIDA",IF($P829="Em execução","Em execução",IF($N829=TODAY(),"Hoje","Programada")))))))</f>
        <v/>
      </c>
      <c r="C829" s="38"/>
      <c r="D829" s="38"/>
      <c r="E829" s="38"/>
      <c r="F829" s="38"/>
      <c r="G829" s="39"/>
      <c r="H829" s="39"/>
      <c r="I829" s="40"/>
      <c r="J829" s="40"/>
      <c r="K829" s="40"/>
      <c r="L829" s="41"/>
      <c r="M829" s="42"/>
      <c r="N829" s="43" t="str">
        <f aca="false">IF(OR($L829="",$M829=""),"",$L829+MATCH($M829,Listas!$F$5:$F$11,0)-1)</f>
        <v/>
      </c>
      <c r="O829" s="44"/>
      <c r="P829" s="39"/>
      <c r="Q829" s="44"/>
      <c r="R829" s="38"/>
      <c r="S829" s="38"/>
      <c r="T829" s="36" t="str">
        <f aca="false">IF($F829="","",IF(ISNUMBER(SEARCH("(externo)",$I829&amp;$J829&amp;$K829)),"Terceirizada","Interna"))</f>
        <v/>
      </c>
      <c r="U829" s="43" t="str">
        <f aca="false">IF($N829="","",IF($Q829="",$N829,$Q829))</f>
        <v/>
      </c>
      <c r="V829" s="36" t="str">
        <f aca="false">IF($F829="","",IF(OR($O829="",$N829=""),0,IF($O829&lt;=$N829,1,0)))</f>
        <v/>
      </c>
      <c r="W829" s="36" t="str">
        <f aca="false">IF($F829="","",IF(OR($O829="",$U829=""),0,IF($O829&lt;=$U829,1,0)))</f>
        <v/>
      </c>
      <c r="X829" s="37" t="str">
        <f aca="false">IF(OR($O829="",$N829=""),"",MAX(0,$O829-$N829))</f>
        <v/>
      </c>
      <c r="Y829" s="36" t="str">
        <f aca="false">IF($F829="","",IF(AND($Q829&lt;&gt;"",$N829&lt;&gt;"",$Q829&lt;&gt;$N829),1,0))</f>
        <v/>
      </c>
      <c r="Z829" s="36" t="str">
        <f aca="false">IF($F829="","",IF($P829="Cancelada",0,IF(OR($O829&lt;&gt;"",$P829="Concluída"),1,0)))</f>
        <v/>
      </c>
    </row>
    <row r="830" customFormat="false" ht="16.5" hidden="false" customHeight="true" outlineLevel="0" collapsed="false">
      <c r="A830" s="36" t="str">
        <f aca="false">IF($F830="","",COUNTA($F$5:$F830))</f>
        <v/>
      </c>
      <c r="B830" s="37" t="str">
        <f aca="true">IF($F830="","",IF($P830="Cancelada","Cancelada",IF(OR($O830&lt;&gt;"",$P830="Concluída"),IF(OR($N830="",$O830="",$O830&lt;=$N830),"Concluída","Concluída com atraso"),IF($N830="","Na carteira",IF($N830&lt;TODAY(),"VENCIDA",IF($P830="Em execução","Em execução",IF($N830=TODAY(),"Hoje","Programada")))))))</f>
        <v/>
      </c>
      <c r="C830" s="38"/>
      <c r="D830" s="38"/>
      <c r="E830" s="38"/>
      <c r="F830" s="38"/>
      <c r="G830" s="39"/>
      <c r="H830" s="39"/>
      <c r="I830" s="40"/>
      <c r="J830" s="40"/>
      <c r="K830" s="40"/>
      <c r="L830" s="41"/>
      <c r="M830" s="42"/>
      <c r="N830" s="43" t="str">
        <f aca="false">IF(OR($L830="",$M830=""),"",$L830+MATCH($M830,Listas!$F$5:$F$11,0)-1)</f>
        <v/>
      </c>
      <c r="O830" s="44"/>
      <c r="P830" s="39"/>
      <c r="Q830" s="44"/>
      <c r="R830" s="38"/>
      <c r="S830" s="38"/>
      <c r="T830" s="36" t="str">
        <f aca="false">IF($F830="","",IF(ISNUMBER(SEARCH("(externo)",$I830&amp;$J830&amp;$K830)),"Terceirizada","Interna"))</f>
        <v/>
      </c>
      <c r="U830" s="43" t="str">
        <f aca="false">IF($N830="","",IF($Q830="",$N830,$Q830))</f>
        <v/>
      </c>
      <c r="V830" s="36" t="str">
        <f aca="false">IF($F830="","",IF(OR($O830="",$N830=""),0,IF($O830&lt;=$N830,1,0)))</f>
        <v/>
      </c>
      <c r="W830" s="36" t="str">
        <f aca="false">IF($F830="","",IF(OR($O830="",$U830=""),0,IF($O830&lt;=$U830,1,0)))</f>
        <v/>
      </c>
      <c r="X830" s="37" t="str">
        <f aca="false">IF(OR($O830="",$N830=""),"",MAX(0,$O830-$N830))</f>
        <v/>
      </c>
      <c r="Y830" s="36" t="str">
        <f aca="false">IF($F830="","",IF(AND($Q830&lt;&gt;"",$N830&lt;&gt;"",$Q830&lt;&gt;$N830),1,0))</f>
        <v/>
      </c>
      <c r="Z830" s="36" t="str">
        <f aca="false">IF($F830="","",IF($P830="Cancelada",0,IF(OR($O830&lt;&gt;"",$P830="Concluída"),1,0)))</f>
        <v/>
      </c>
    </row>
    <row r="831" customFormat="false" ht="16.5" hidden="false" customHeight="true" outlineLevel="0" collapsed="false">
      <c r="A831" s="36" t="str">
        <f aca="false">IF($F831="","",COUNTA($F$5:$F831))</f>
        <v/>
      </c>
      <c r="B831" s="37" t="str">
        <f aca="true">IF($F831="","",IF($P831="Cancelada","Cancelada",IF(OR($O831&lt;&gt;"",$P831="Concluída"),IF(OR($N831="",$O831="",$O831&lt;=$N831),"Concluída","Concluída com atraso"),IF($N831="","Na carteira",IF($N831&lt;TODAY(),"VENCIDA",IF($P831="Em execução","Em execução",IF($N831=TODAY(),"Hoje","Programada")))))))</f>
        <v/>
      </c>
      <c r="C831" s="38"/>
      <c r="D831" s="38"/>
      <c r="E831" s="38"/>
      <c r="F831" s="38"/>
      <c r="G831" s="39"/>
      <c r="H831" s="39"/>
      <c r="I831" s="40"/>
      <c r="J831" s="40"/>
      <c r="K831" s="40"/>
      <c r="L831" s="41"/>
      <c r="M831" s="42"/>
      <c r="N831" s="43" t="str">
        <f aca="false">IF(OR($L831="",$M831=""),"",$L831+MATCH($M831,Listas!$F$5:$F$11,0)-1)</f>
        <v/>
      </c>
      <c r="O831" s="44"/>
      <c r="P831" s="39"/>
      <c r="Q831" s="44"/>
      <c r="R831" s="38"/>
      <c r="S831" s="38"/>
      <c r="T831" s="36" t="str">
        <f aca="false">IF($F831="","",IF(ISNUMBER(SEARCH("(externo)",$I831&amp;$J831&amp;$K831)),"Terceirizada","Interna"))</f>
        <v/>
      </c>
      <c r="U831" s="43" t="str">
        <f aca="false">IF($N831="","",IF($Q831="",$N831,$Q831))</f>
        <v/>
      </c>
      <c r="V831" s="36" t="str">
        <f aca="false">IF($F831="","",IF(OR($O831="",$N831=""),0,IF($O831&lt;=$N831,1,0)))</f>
        <v/>
      </c>
      <c r="W831" s="36" t="str">
        <f aca="false">IF($F831="","",IF(OR($O831="",$U831=""),0,IF($O831&lt;=$U831,1,0)))</f>
        <v/>
      </c>
      <c r="X831" s="37" t="str">
        <f aca="false">IF(OR($O831="",$N831=""),"",MAX(0,$O831-$N831))</f>
        <v/>
      </c>
      <c r="Y831" s="36" t="str">
        <f aca="false">IF($F831="","",IF(AND($Q831&lt;&gt;"",$N831&lt;&gt;"",$Q831&lt;&gt;$N831),1,0))</f>
        <v/>
      </c>
      <c r="Z831" s="36" t="str">
        <f aca="false">IF($F831="","",IF($P831="Cancelada",0,IF(OR($O831&lt;&gt;"",$P831="Concluída"),1,0)))</f>
        <v/>
      </c>
    </row>
    <row r="832" customFormat="false" ht="16.5" hidden="false" customHeight="true" outlineLevel="0" collapsed="false">
      <c r="A832" s="36" t="str">
        <f aca="false">IF($F832="","",COUNTA($F$5:$F832))</f>
        <v/>
      </c>
      <c r="B832" s="37" t="str">
        <f aca="true">IF($F832="","",IF($P832="Cancelada","Cancelada",IF(OR($O832&lt;&gt;"",$P832="Concluída"),IF(OR($N832="",$O832="",$O832&lt;=$N832),"Concluída","Concluída com atraso"),IF($N832="","Na carteira",IF($N832&lt;TODAY(),"VENCIDA",IF($P832="Em execução","Em execução",IF($N832=TODAY(),"Hoje","Programada")))))))</f>
        <v/>
      </c>
      <c r="C832" s="38"/>
      <c r="D832" s="38"/>
      <c r="E832" s="38"/>
      <c r="F832" s="38"/>
      <c r="G832" s="39"/>
      <c r="H832" s="39"/>
      <c r="I832" s="40"/>
      <c r="J832" s="40"/>
      <c r="K832" s="40"/>
      <c r="L832" s="41"/>
      <c r="M832" s="42"/>
      <c r="N832" s="43" t="str">
        <f aca="false">IF(OR($L832="",$M832=""),"",$L832+MATCH($M832,Listas!$F$5:$F$11,0)-1)</f>
        <v/>
      </c>
      <c r="O832" s="44"/>
      <c r="P832" s="39"/>
      <c r="Q832" s="44"/>
      <c r="R832" s="38"/>
      <c r="S832" s="38"/>
      <c r="T832" s="36" t="str">
        <f aca="false">IF($F832="","",IF(ISNUMBER(SEARCH("(externo)",$I832&amp;$J832&amp;$K832)),"Terceirizada","Interna"))</f>
        <v/>
      </c>
      <c r="U832" s="43" t="str">
        <f aca="false">IF($N832="","",IF($Q832="",$N832,$Q832))</f>
        <v/>
      </c>
      <c r="V832" s="36" t="str">
        <f aca="false">IF($F832="","",IF(OR($O832="",$N832=""),0,IF($O832&lt;=$N832,1,0)))</f>
        <v/>
      </c>
      <c r="W832" s="36" t="str">
        <f aca="false">IF($F832="","",IF(OR($O832="",$U832=""),0,IF($O832&lt;=$U832,1,0)))</f>
        <v/>
      </c>
      <c r="X832" s="37" t="str">
        <f aca="false">IF(OR($O832="",$N832=""),"",MAX(0,$O832-$N832))</f>
        <v/>
      </c>
      <c r="Y832" s="36" t="str">
        <f aca="false">IF($F832="","",IF(AND($Q832&lt;&gt;"",$N832&lt;&gt;"",$Q832&lt;&gt;$N832),1,0))</f>
        <v/>
      </c>
      <c r="Z832" s="36" t="str">
        <f aca="false">IF($F832="","",IF($P832="Cancelada",0,IF(OR($O832&lt;&gt;"",$P832="Concluída"),1,0)))</f>
        <v/>
      </c>
    </row>
    <row r="833" customFormat="false" ht="16.5" hidden="false" customHeight="true" outlineLevel="0" collapsed="false">
      <c r="A833" s="36" t="str">
        <f aca="false">IF($F833="","",COUNTA($F$5:$F833))</f>
        <v/>
      </c>
      <c r="B833" s="37" t="str">
        <f aca="true">IF($F833="","",IF($P833="Cancelada","Cancelada",IF(OR($O833&lt;&gt;"",$P833="Concluída"),IF(OR($N833="",$O833="",$O833&lt;=$N833),"Concluída","Concluída com atraso"),IF($N833="","Na carteira",IF($N833&lt;TODAY(),"VENCIDA",IF($P833="Em execução","Em execução",IF($N833=TODAY(),"Hoje","Programada")))))))</f>
        <v/>
      </c>
      <c r="C833" s="38"/>
      <c r="D833" s="38"/>
      <c r="E833" s="38"/>
      <c r="F833" s="38"/>
      <c r="G833" s="39"/>
      <c r="H833" s="39"/>
      <c r="I833" s="40"/>
      <c r="J833" s="40"/>
      <c r="K833" s="40"/>
      <c r="L833" s="41"/>
      <c r="M833" s="42"/>
      <c r="N833" s="43" t="str">
        <f aca="false">IF(OR($L833="",$M833=""),"",$L833+MATCH($M833,Listas!$F$5:$F$11,0)-1)</f>
        <v/>
      </c>
      <c r="O833" s="44"/>
      <c r="P833" s="39"/>
      <c r="Q833" s="44"/>
      <c r="R833" s="38"/>
      <c r="S833" s="38"/>
      <c r="T833" s="36" t="str">
        <f aca="false">IF($F833="","",IF(ISNUMBER(SEARCH("(externo)",$I833&amp;$J833&amp;$K833)),"Terceirizada","Interna"))</f>
        <v/>
      </c>
      <c r="U833" s="43" t="str">
        <f aca="false">IF($N833="","",IF($Q833="",$N833,$Q833))</f>
        <v/>
      </c>
      <c r="V833" s="36" t="str">
        <f aca="false">IF($F833="","",IF(OR($O833="",$N833=""),0,IF($O833&lt;=$N833,1,0)))</f>
        <v/>
      </c>
      <c r="W833" s="36" t="str">
        <f aca="false">IF($F833="","",IF(OR($O833="",$U833=""),0,IF($O833&lt;=$U833,1,0)))</f>
        <v/>
      </c>
      <c r="X833" s="37" t="str">
        <f aca="false">IF(OR($O833="",$N833=""),"",MAX(0,$O833-$N833))</f>
        <v/>
      </c>
      <c r="Y833" s="36" t="str">
        <f aca="false">IF($F833="","",IF(AND($Q833&lt;&gt;"",$N833&lt;&gt;"",$Q833&lt;&gt;$N833),1,0))</f>
        <v/>
      </c>
      <c r="Z833" s="36" t="str">
        <f aca="false">IF($F833="","",IF($P833="Cancelada",0,IF(OR($O833&lt;&gt;"",$P833="Concluída"),1,0)))</f>
        <v/>
      </c>
    </row>
    <row r="834" customFormat="false" ht="16.5" hidden="false" customHeight="true" outlineLevel="0" collapsed="false">
      <c r="A834" s="36" t="str">
        <f aca="false">IF($F834="","",COUNTA($F$5:$F834))</f>
        <v/>
      </c>
      <c r="B834" s="37" t="str">
        <f aca="true">IF($F834="","",IF($P834="Cancelada","Cancelada",IF(OR($O834&lt;&gt;"",$P834="Concluída"),IF(OR($N834="",$O834="",$O834&lt;=$N834),"Concluída","Concluída com atraso"),IF($N834="","Na carteira",IF($N834&lt;TODAY(),"VENCIDA",IF($P834="Em execução","Em execução",IF($N834=TODAY(),"Hoje","Programada")))))))</f>
        <v/>
      </c>
      <c r="C834" s="38"/>
      <c r="D834" s="38"/>
      <c r="E834" s="38"/>
      <c r="F834" s="38"/>
      <c r="G834" s="39"/>
      <c r="H834" s="39"/>
      <c r="I834" s="40"/>
      <c r="J834" s="40"/>
      <c r="K834" s="40"/>
      <c r="L834" s="41"/>
      <c r="M834" s="42"/>
      <c r="N834" s="43" t="str">
        <f aca="false">IF(OR($L834="",$M834=""),"",$L834+MATCH($M834,Listas!$F$5:$F$11,0)-1)</f>
        <v/>
      </c>
      <c r="O834" s="44"/>
      <c r="P834" s="39"/>
      <c r="Q834" s="44"/>
      <c r="R834" s="38"/>
      <c r="S834" s="38"/>
      <c r="T834" s="36" t="str">
        <f aca="false">IF($F834="","",IF(ISNUMBER(SEARCH("(externo)",$I834&amp;$J834&amp;$K834)),"Terceirizada","Interna"))</f>
        <v/>
      </c>
      <c r="U834" s="43" t="str">
        <f aca="false">IF($N834="","",IF($Q834="",$N834,$Q834))</f>
        <v/>
      </c>
      <c r="V834" s="36" t="str">
        <f aca="false">IF($F834="","",IF(OR($O834="",$N834=""),0,IF($O834&lt;=$N834,1,0)))</f>
        <v/>
      </c>
      <c r="W834" s="36" t="str">
        <f aca="false">IF($F834="","",IF(OR($O834="",$U834=""),0,IF($O834&lt;=$U834,1,0)))</f>
        <v/>
      </c>
      <c r="X834" s="37" t="str">
        <f aca="false">IF(OR($O834="",$N834=""),"",MAX(0,$O834-$N834))</f>
        <v/>
      </c>
      <c r="Y834" s="36" t="str">
        <f aca="false">IF($F834="","",IF(AND($Q834&lt;&gt;"",$N834&lt;&gt;"",$Q834&lt;&gt;$N834),1,0))</f>
        <v/>
      </c>
      <c r="Z834" s="36" t="str">
        <f aca="false">IF($F834="","",IF($P834="Cancelada",0,IF(OR($O834&lt;&gt;"",$P834="Concluída"),1,0)))</f>
        <v/>
      </c>
    </row>
    <row r="835" customFormat="false" ht="16.5" hidden="false" customHeight="true" outlineLevel="0" collapsed="false">
      <c r="A835" s="36" t="str">
        <f aca="false">IF($F835="","",COUNTA($F$5:$F835))</f>
        <v/>
      </c>
      <c r="B835" s="37" t="str">
        <f aca="true">IF($F835="","",IF($P835="Cancelada","Cancelada",IF(OR($O835&lt;&gt;"",$P835="Concluída"),IF(OR($N835="",$O835="",$O835&lt;=$N835),"Concluída","Concluída com atraso"),IF($N835="","Na carteira",IF($N835&lt;TODAY(),"VENCIDA",IF($P835="Em execução","Em execução",IF($N835=TODAY(),"Hoje","Programada")))))))</f>
        <v/>
      </c>
      <c r="C835" s="38"/>
      <c r="D835" s="38"/>
      <c r="E835" s="38"/>
      <c r="F835" s="38"/>
      <c r="G835" s="39"/>
      <c r="H835" s="39"/>
      <c r="I835" s="40"/>
      <c r="J835" s="40"/>
      <c r="K835" s="40"/>
      <c r="L835" s="41"/>
      <c r="M835" s="42"/>
      <c r="N835" s="43" t="str">
        <f aca="false">IF(OR($L835="",$M835=""),"",$L835+MATCH($M835,Listas!$F$5:$F$11,0)-1)</f>
        <v/>
      </c>
      <c r="O835" s="44"/>
      <c r="P835" s="39"/>
      <c r="Q835" s="44"/>
      <c r="R835" s="38"/>
      <c r="S835" s="38"/>
      <c r="T835" s="36" t="str">
        <f aca="false">IF($F835="","",IF(ISNUMBER(SEARCH("(externo)",$I835&amp;$J835&amp;$K835)),"Terceirizada","Interna"))</f>
        <v/>
      </c>
      <c r="U835" s="43" t="str">
        <f aca="false">IF($N835="","",IF($Q835="",$N835,$Q835))</f>
        <v/>
      </c>
      <c r="V835" s="36" t="str">
        <f aca="false">IF($F835="","",IF(OR($O835="",$N835=""),0,IF($O835&lt;=$N835,1,0)))</f>
        <v/>
      </c>
      <c r="W835" s="36" t="str">
        <f aca="false">IF($F835="","",IF(OR($O835="",$U835=""),0,IF($O835&lt;=$U835,1,0)))</f>
        <v/>
      </c>
      <c r="X835" s="37" t="str">
        <f aca="false">IF(OR($O835="",$N835=""),"",MAX(0,$O835-$N835))</f>
        <v/>
      </c>
      <c r="Y835" s="36" t="str">
        <f aca="false">IF($F835="","",IF(AND($Q835&lt;&gt;"",$N835&lt;&gt;"",$Q835&lt;&gt;$N835),1,0))</f>
        <v/>
      </c>
      <c r="Z835" s="36" t="str">
        <f aca="false">IF($F835="","",IF($P835="Cancelada",0,IF(OR($O835&lt;&gt;"",$P835="Concluída"),1,0)))</f>
        <v/>
      </c>
    </row>
    <row r="836" customFormat="false" ht="16.5" hidden="false" customHeight="true" outlineLevel="0" collapsed="false">
      <c r="A836" s="36" t="str">
        <f aca="false">IF($F836="","",COUNTA($F$5:$F836))</f>
        <v/>
      </c>
      <c r="B836" s="37" t="str">
        <f aca="true">IF($F836="","",IF($P836="Cancelada","Cancelada",IF(OR($O836&lt;&gt;"",$P836="Concluída"),IF(OR($N836="",$O836="",$O836&lt;=$N836),"Concluída","Concluída com atraso"),IF($N836="","Na carteira",IF($N836&lt;TODAY(),"VENCIDA",IF($P836="Em execução","Em execução",IF($N836=TODAY(),"Hoje","Programada")))))))</f>
        <v/>
      </c>
      <c r="C836" s="38"/>
      <c r="D836" s="38"/>
      <c r="E836" s="38"/>
      <c r="F836" s="38"/>
      <c r="G836" s="39"/>
      <c r="H836" s="39"/>
      <c r="I836" s="40"/>
      <c r="J836" s="40"/>
      <c r="K836" s="40"/>
      <c r="L836" s="41"/>
      <c r="M836" s="42"/>
      <c r="N836" s="43" t="str">
        <f aca="false">IF(OR($L836="",$M836=""),"",$L836+MATCH($M836,Listas!$F$5:$F$11,0)-1)</f>
        <v/>
      </c>
      <c r="O836" s="44"/>
      <c r="P836" s="39"/>
      <c r="Q836" s="44"/>
      <c r="R836" s="38"/>
      <c r="S836" s="38"/>
      <c r="T836" s="36" t="str">
        <f aca="false">IF($F836="","",IF(ISNUMBER(SEARCH("(externo)",$I836&amp;$J836&amp;$K836)),"Terceirizada","Interna"))</f>
        <v/>
      </c>
      <c r="U836" s="43" t="str">
        <f aca="false">IF($N836="","",IF($Q836="",$N836,$Q836))</f>
        <v/>
      </c>
      <c r="V836" s="36" t="str">
        <f aca="false">IF($F836="","",IF(OR($O836="",$N836=""),0,IF($O836&lt;=$N836,1,0)))</f>
        <v/>
      </c>
      <c r="W836" s="36" t="str">
        <f aca="false">IF($F836="","",IF(OR($O836="",$U836=""),0,IF($O836&lt;=$U836,1,0)))</f>
        <v/>
      </c>
      <c r="X836" s="37" t="str">
        <f aca="false">IF(OR($O836="",$N836=""),"",MAX(0,$O836-$N836))</f>
        <v/>
      </c>
      <c r="Y836" s="36" t="str">
        <f aca="false">IF($F836="","",IF(AND($Q836&lt;&gt;"",$N836&lt;&gt;"",$Q836&lt;&gt;$N836),1,0))</f>
        <v/>
      </c>
      <c r="Z836" s="36" t="str">
        <f aca="false">IF($F836="","",IF($P836="Cancelada",0,IF(OR($O836&lt;&gt;"",$P836="Concluída"),1,0)))</f>
        <v/>
      </c>
    </row>
    <row r="837" customFormat="false" ht="16.5" hidden="false" customHeight="true" outlineLevel="0" collapsed="false">
      <c r="A837" s="36" t="str">
        <f aca="false">IF($F837="","",COUNTA($F$5:$F837))</f>
        <v/>
      </c>
      <c r="B837" s="37" t="str">
        <f aca="true">IF($F837="","",IF($P837="Cancelada","Cancelada",IF(OR($O837&lt;&gt;"",$P837="Concluída"),IF(OR($N837="",$O837="",$O837&lt;=$N837),"Concluída","Concluída com atraso"),IF($N837="","Na carteira",IF($N837&lt;TODAY(),"VENCIDA",IF($P837="Em execução","Em execução",IF($N837=TODAY(),"Hoje","Programada")))))))</f>
        <v/>
      </c>
      <c r="C837" s="38"/>
      <c r="D837" s="38"/>
      <c r="E837" s="38"/>
      <c r="F837" s="38"/>
      <c r="G837" s="39"/>
      <c r="H837" s="39"/>
      <c r="I837" s="40"/>
      <c r="J837" s="40"/>
      <c r="K837" s="40"/>
      <c r="L837" s="41"/>
      <c r="M837" s="42"/>
      <c r="N837" s="43" t="str">
        <f aca="false">IF(OR($L837="",$M837=""),"",$L837+MATCH($M837,Listas!$F$5:$F$11,0)-1)</f>
        <v/>
      </c>
      <c r="O837" s="44"/>
      <c r="P837" s="39"/>
      <c r="Q837" s="44"/>
      <c r="R837" s="38"/>
      <c r="S837" s="38"/>
      <c r="T837" s="36" t="str">
        <f aca="false">IF($F837="","",IF(ISNUMBER(SEARCH("(externo)",$I837&amp;$J837&amp;$K837)),"Terceirizada","Interna"))</f>
        <v/>
      </c>
      <c r="U837" s="43" t="str">
        <f aca="false">IF($N837="","",IF($Q837="",$N837,$Q837))</f>
        <v/>
      </c>
      <c r="V837" s="36" t="str">
        <f aca="false">IF($F837="","",IF(OR($O837="",$N837=""),0,IF($O837&lt;=$N837,1,0)))</f>
        <v/>
      </c>
      <c r="W837" s="36" t="str">
        <f aca="false">IF($F837="","",IF(OR($O837="",$U837=""),0,IF($O837&lt;=$U837,1,0)))</f>
        <v/>
      </c>
      <c r="X837" s="37" t="str">
        <f aca="false">IF(OR($O837="",$N837=""),"",MAX(0,$O837-$N837))</f>
        <v/>
      </c>
      <c r="Y837" s="36" t="str">
        <f aca="false">IF($F837="","",IF(AND($Q837&lt;&gt;"",$N837&lt;&gt;"",$Q837&lt;&gt;$N837),1,0))</f>
        <v/>
      </c>
      <c r="Z837" s="36" t="str">
        <f aca="false">IF($F837="","",IF($P837="Cancelada",0,IF(OR($O837&lt;&gt;"",$P837="Concluída"),1,0)))</f>
        <v/>
      </c>
    </row>
    <row r="838" customFormat="false" ht="16.5" hidden="false" customHeight="true" outlineLevel="0" collapsed="false">
      <c r="A838" s="36" t="str">
        <f aca="false">IF($F838="","",COUNTA($F$5:$F838))</f>
        <v/>
      </c>
      <c r="B838" s="37" t="str">
        <f aca="true">IF($F838="","",IF($P838="Cancelada","Cancelada",IF(OR($O838&lt;&gt;"",$P838="Concluída"),IF(OR($N838="",$O838="",$O838&lt;=$N838),"Concluída","Concluída com atraso"),IF($N838="","Na carteira",IF($N838&lt;TODAY(),"VENCIDA",IF($P838="Em execução","Em execução",IF($N838=TODAY(),"Hoje","Programada")))))))</f>
        <v/>
      </c>
      <c r="C838" s="38"/>
      <c r="D838" s="38"/>
      <c r="E838" s="38"/>
      <c r="F838" s="38"/>
      <c r="G838" s="39"/>
      <c r="H838" s="39"/>
      <c r="I838" s="40"/>
      <c r="J838" s="40"/>
      <c r="K838" s="40"/>
      <c r="L838" s="41"/>
      <c r="M838" s="42"/>
      <c r="N838" s="43" t="str">
        <f aca="false">IF(OR($L838="",$M838=""),"",$L838+MATCH($M838,Listas!$F$5:$F$11,0)-1)</f>
        <v/>
      </c>
      <c r="O838" s="44"/>
      <c r="P838" s="39"/>
      <c r="Q838" s="44"/>
      <c r="R838" s="38"/>
      <c r="S838" s="38"/>
      <c r="T838" s="36" t="str">
        <f aca="false">IF($F838="","",IF(ISNUMBER(SEARCH("(externo)",$I838&amp;$J838&amp;$K838)),"Terceirizada","Interna"))</f>
        <v/>
      </c>
      <c r="U838" s="43" t="str">
        <f aca="false">IF($N838="","",IF($Q838="",$N838,$Q838))</f>
        <v/>
      </c>
      <c r="V838" s="36" t="str">
        <f aca="false">IF($F838="","",IF(OR($O838="",$N838=""),0,IF($O838&lt;=$N838,1,0)))</f>
        <v/>
      </c>
      <c r="W838" s="36" t="str">
        <f aca="false">IF($F838="","",IF(OR($O838="",$U838=""),0,IF($O838&lt;=$U838,1,0)))</f>
        <v/>
      </c>
      <c r="X838" s="37" t="str">
        <f aca="false">IF(OR($O838="",$N838=""),"",MAX(0,$O838-$N838))</f>
        <v/>
      </c>
      <c r="Y838" s="36" t="str">
        <f aca="false">IF($F838="","",IF(AND($Q838&lt;&gt;"",$N838&lt;&gt;"",$Q838&lt;&gt;$N838),1,0))</f>
        <v/>
      </c>
      <c r="Z838" s="36" t="str">
        <f aca="false">IF($F838="","",IF($P838="Cancelada",0,IF(OR($O838&lt;&gt;"",$P838="Concluída"),1,0)))</f>
        <v/>
      </c>
    </row>
    <row r="839" customFormat="false" ht="16.5" hidden="false" customHeight="true" outlineLevel="0" collapsed="false">
      <c r="A839" s="36" t="str">
        <f aca="false">IF($F839="","",COUNTA($F$5:$F839))</f>
        <v/>
      </c>
      <c r="B839" s="37" t="str">
        <f aca="true">IF($F839="","",IF($P839="Cancelada","Cancelada",IF(OR($O839&lt;&gt;"",$P839="Concluída"),IF(OR($N839="",$O839="",$O839&lt;=$N839),"Concluída","Concluída com atraso"),IF($N839="","Na carteira",IF($N839&lt;TODAY(),"VENCIDA",IF($P839="Em execução","Em execução",IF($N839=TODAY(),"Hoje","Programada")))))))</f>
        <v/>
      </c>
      <c r="C839" s="38"/>
      <c r="D839" s="38"/>
      <c r="E839" s="38"/>
      <c r="F839" s="38"/>
      <c r="G839" s="39"/>
      <c r="H839" s="39"/>
      <c r="I839" s="40"/>
      <c r="J839" s="40"/>
      <c r="K839" s="40"/>
      <c r="L839" s="41"/>
      <c r="M839" s="42"/>
      <c r="N839" s="43" t="str">
        <f aca="false">IF(OR($L839="",$M839=""),"",$L839+MATCH($M839,Listas!$F$5:$F$11,0)-1)</f>
        <v/>
      </c>
      <c r="O839" s="44"/>
      <c r="P839" s="39"/>
      <c r="Q839" s="44"/>
      <c r="R839" s="38"/>
      <c r="S839" s="38"/>
      <c r="T839" s="36" t="str">
        <f aca="false">IF($F839="","",IF(ISNUMBER(SEARCH("(externo)",$I839&amp;$J839&amp;$K839)),"Terceirizada","Interna"))</f>
        <v/>
      </c>
      <c r="U839" s="43" t="str">
        <f aca="false">IF($N839="","",IF($Q839="",$N839,$Q839))</f>
        <v/>
      </c>
      <c r="V839" s="36" t="str">
        <f aca="false">IF($F839="","",IF(OR($O839="",$N839=""),0,IF($O839&lt;=$N839,1,0)))</f>
        <v/>
      </c>
      <c r="W839" s="36" t="str">
        <f aca="false">IF($F839="","",IF(OR($O839="",$U839=""),0,IF($O839&lt;=$U839,1,0)))</f>
        <v/>
      </c>
      <c r="X839" s="37" t="str">
        <f aca="false">IF(OR($O839="",$N839=""),"",MAX(0,$O839-$N839))</f>
        <v/>
      </c>
      <c r="Y839" s="36" t="str">
        <f aca="false">IF($F839="","",IF(AND($Q839&lt;&gt;"",$N839&lt;&gt;"",$Q839&lt;&gt;$N839),1,0))</f>
        <v/>
      </c>
      <c r="Z839" s="36" t="str">
        <f aca="false">IF($F839="","",IF($P839="Cancelada",0,IF(OR($O839&lt;&gt;"",$P839="Concluída"),1,0)))</f>
        <v/>
      </c>
    </row>
    <row r="840" customFormat="false" ht="16.5" hidden="false" customHeight="true" outlineLevel="0" collapsed="false">
      <c r="A840" s="36" t="str">
        <f aca="false">IF($F840="","",COUNTA($F$5:$F840))</f>
        <v/>
      </c>
      <c r="B840" s="37" t="str">
        <f aca="true">IF($F840="","",IF($P840="Cancelada","Cancelada",IF(OR($O840&lt;&gt;"",$P840="Concluída"),IF(OR($N840="",$O840="",$O840&lt;=$N840),"Concluída","Concluída com atraso"),IF($N840="","Na carteira",IF($N840&lt;TODAY(),"VENCIDA",IF($P840="Em execução","Em execução",IF($N840=TODAY(),"Hoje","Programada")))))))</f>
        <v/>
      </c>
      <c r="C840" s="38"/>
      <c r="D840" s="38"/>
      <c r="E840" s="38"/>
      <c r="F840" s="38"/>
      <c r="G840" s="39"/>
      <c r="H840" s="39"/>
      <c r="I840" s="40"/>
      <c r="J840" s="40"/>
      <c r="K840" s="40"/>
      <c r="L840" s="41"/>
      <c r="M840" s="42"/>
      <c r="N840" s="43" t="str">
        <f aca="false">IF(OR($L840="",$M840=""),"",$L840+MATCH($M840,Listas!$F$5:$F$11,0)-1)</f>
        <v/>
      </c>
      <c r="O840" s="44"/>
      <c r="P840" s="39"/>
      <c r="Q840" s="44"/>
      <c r="R840" s="38"/>
      <c r="S840" s="38"/>
      <c r="T840" s="36" t="str">
        <f aca="false">IF($F840="","",IF(ISNUMBER(SEARCH("(externo)",$I840&amp;$J840&amp;$K840)),"Terceirizada","Interna"))</f>
        <v/>
      </c>
      <c r="U840" s="43" t="str">
        <f aca="false">IF($N840="","",IF($Q840="",$N840,$Q840))</f>
        <v/>
      </c>
      <c r="V840" s="36" t="str">
        <f aca="false">IF($F840="","",IF(OR($O840="",$N840=""),0,IF($O840&lt;=$N840,1,0)))</f>
        <v/>
      </c>
      <c r="W840" s="36" t="str">
        <f aca="false">IF($F840="","",IF(OR($O840="",$U840=""),0,IF($O840&lt;=$U840,1,0)))</f>
        <v/>
      </c>
      <c r="X840" s="37" t="str">
        <f aca="false">IF(OR($O840="",$N840=""),"",MAX(0,$O840-$N840))</f>
        <v/>
      </c>
      <c r="Y840" s="36" t="str">
        <f aca="false">IF($F840="","",IF(AND($Q840&lt;&gt;"",$N840&lt;&gt;"",$Q840&lt;&gt;$N840),1,0))</f>
        <v/>
      </c>
      <c r="Z840" s="36" t="str">
        <f aca="false">IF($F840="","",IF($P840="Cancelada",0,IF(OR($O840&lt;&gt;"",$P840="Concluída"),1,0)))</f>
        <v/>
      </c>
    </row>
    <row r="841" customFormat="false" ht="16.5" hidden="false" customHeight="true" outlineLevel="0" collapsed="false">
      <c r="A841" s="36" t="str">
        <f aca="false">IF($F841="","",COUNTA($F$5:$F841))</f>
        <v/>
      </c>
      <c r="B841" s="37" t="str">
        <f aca="true">IF($F841="","",IF($P841="Cancelada","Cancelada",IF(OR($O841&lt;&gt;"",$P841="Concluída"),IF(OR($N841="",$O841="",$O841&lt;=$N841),"Concluída","Concluída com atraso"),IF($N841="","Na carteira",IF($N841&lt;TODAY(),"VENCIDA",IF($P841="Em execução","Em execução",IF($N841=TODAY(),"Hoje","Programada")))))))</f>
        <v/>
      </c>
      <c r="C841" s="38"/>
      <c r="D841" s="38"/>
      <c r="E841" s="38"/>
      <c r="F841" s="38"/>
      <c r="G841" s="39"/>
      <c r="H841" s="39"/>
      <c r="I841" s="40"/>
      <c r="J841" s="40"/>
      <c r="K841" s="40"/>
      <c r="L841" s="41"/>
      <c r="M841" s="42"/>
      <c r="N841" s="43" t="str">
        <f aca="false">IF(OR($L841="",$M841=""),"",$L841+MATCH($M841,Listas!$F$5:$F$11,0)-1)</f>
        <v/>
      </c>
      <c r="O841" s="44"/>
      <c r="P841" s="39"/>
      <c r="Q841" s="44"/>
      <c r="R841" s="38"/>
      <c r="S841" s="38"/>
      <c r="T841" s="36" t="str">
        <f aca="false">IF($F841="","",IF(ISNUMBER(SEARCH("(externo)",$I841&amp;$J841&amp;$K841)),"Terceirizada","Interna"))</f>
        <v/>
      </c>
      <c r="U841" s="43" t="str">
        <f aca="false">IF($N841="","",IF($Q841="",$N841,$Q841))</f>
        <v/>
      </c>
      <c r="V841" s="36" t="str">
        <f aca="false">IF($F841="","",IF(OR($O841="",$N841=""),0,IF($O841&lt;=$N841,1,0)))</f>
        <v/>
      </c>
      <c r="W841" s="36" t="str">
        <f aca="false">IF($F841="","",IF(OR($O841="",$U841=""),0,IF($O841&lt;=$U841,1,0)))</f>
        <v/>
      </c>
      <c r="X841" s="37" t="str">
        <f aca="false">IF(OR($O841="",$N841=""),"",MAX(0,$O841-$N841))</f>
        <v/>
      </c>
      <c r="Y841" s="36" t="str">
        <f aca="false">IF($F841="","",IF(AND($Q841&lt;&gt;"",$N841&lt;&gt;"",$Q841&lt;&gt;$N841),1,0))</f>
        <v/>
      </c>
      <c r="Z841" s="36" t="str">
        <f aca="false">IF($F841="","",IF($P841="Cancelada",0,IF(OR($O841&lt;&gt;"",$P841="Concluída"),1,0)))</f>
        <v/>
      </c>
    </row>
    <row r="842" customFormat="false" ht="16.5" hidden="false" customHeight="true" outlineLevel="0" collapsed="false">
      <c r="A842" s="36" t="str">
        <f aca="false">IF($F842="","",COUNTA($F$5:$F842))</f>
        <v/>
      </c>
      <c r="B842" s="37" t="str">
        <f aca="true">IF($F842="","",IF($P842="Cancelada","Cancelada",IF(OR($O842&lt;&gt;"",$P842="Concluída"),IF(OR($N842="",$O842="",$O842&lt;=$N842),"Concluída","Concluída com atraso"),IF($N842="","Na carteira",IF($N842&lt;TODAY(),"VENCIDA",IF($P842="Em execução","Em execução",IF($N842=TODAY(),"Hoje","Programada")))))))</f>
        <v/>
      </c>
      <c r="C842" s="38"/>
      <c r="D842" s="38"/>
      <c r="E842" s="38"/>
      <c r="F842" s="38"/>
      <c r="G842" s="39"/>
      <c r="H842" s="39"/>
      <c r="I842" s="40"/>
      <c r="J842" s="40"/>
      <c r="K842" s="40"/>
      <c r="L842" s="41"/>
      <c r="M842" s="42"/>
      <c r="N842" s="43" t="str">
        <f aca="false">IF(OR($L842="",$M842=""),"",$L842+MATCH($M842,Listas!$F$5:$F$11,0)-1)</f>
        <v/>
      </c>
      <c r="O842" s="44"/>
      <c r="P842" s="39"/>
      <c r="Q842" s="44"/>
      <c r="R842" s="38"/>
      <c r="S842" s="38"/>
      <c r="T842" s="36" t="str">
        <f aca="false">IF($F842="","",IF(ISNUMBER(SEARCH("(externo)",$I842&amp;$J842&amp;$K842)),"Terceirizada","Interna"))</f>
        <v/>
      </c>
      <c r="U842" s="43" t="str">
        <f aca="false">IF($N842="","",IF($Q842="",$N842,$Q842))</f>
        <v/>
      </c>
      <c r="V842" s="36" t="str">
        <f aca="false">IF($F842="","",IF(OR($O842="",$N842=""),0,IF($O842&lt;=$N842,1,0)))</f>
        <v/>
      </c>
      <c r="W842" s="36" t="str">
        <f aca="false">IF($F842="","",IF(OR($O842="",$U842=""),0,IF($O842&lt;=$U842,1,0)))</f>
        <v/>
      </c>
      <c r="X842" s="37" t="str">
        <f aca="false">IF(OR($O842="",$N842=""),"",MAX(0,$O842-$N842))</f>
        <v/>
      </c>
      <c r="Y842" s="36" t="str">
        <f aca="false">IF($F842="","",IF(AND($Q842&lt;&gt;"",$N842&lt;&gt;"",$Q842&lt;&gt;$N842),1,0))</f>
        <v/>
      </c>
      <c r="Z842" s="36" t="str">
        <f aca="false">IF($F842="","",IF($P842="Cancelada",0,IF(OR($O842&lt;&gt;"",$P842="Concluída"),1,0)))</f>
        <v/>
      </c>
    </row>
    <row r="843" customFormat="false" ht="16.5" hidden="false" customHeight="true" outlineLevel="0" collapsed="false">
      <c r="A843" s="36" t="str">
        <f aca="false">IF($F843="","",COUNTA($F$5:$F843))</f>
        <v/>
      </c>
      <c r="B843" s="37" t="str">
        <f aca="true">IF($F843="","",IF($P843="Cancelada","Cancelada",IF(OR($O843&lt;&gt;"",$P843="Concluída"),IF(OR($N843="",$O843="",$O843&lt;=$N843),"Concluída","Concluída com atraso"),IF($N843="","Na carteira",IF($N843&lt;TODAY(),"VENCIDA",IF($P843="Em execução","Em execução",IF($N843=TODAY(),"Hoje","Programada")))))))</f>
        <v/>
      </c>
      <c r="C843" s="38"/>
      <c r="D843" s="38"/>
      <c r="E843" s="38"/>
      <c r="F843" s="38"/>
      <c r="G843" s="39"/>
      <c r="H843" s="39"/>
      <c r="I843" s="40"/>
      <c r="J843" s="40"/>
      <c r="K843" s="40"/>
      <c r="L843" s="41"/>
      <c r="M843" s="42"/>
      <c r="N843" s="43" t="str">
        <f aca="false">IF(OR($L843="",$M843=""),"",$L843+MATCH($M843,Listas!$F$5:$F$11,0)-1)</f>
        <v/>
      </c>
      <c r="O843" s="44"/>
      <c r="P843" s="39"/>
      <c r="Q843" s="44"/>
      <c r="R843" s="38"/>
      <c r="S843" s="38"/>
      <c r="T843" s="36" t="str">
        <f aca="false">IF($F843="","",IF(ISNUMBER(SEARCH("(externo)",$I843&amp;$J843&amp;$K843)),"Terceirizada","Interna"))</f>
        <v/>
      </c>
      <c r="U843" s="43" t="str">
        <f aca="false">IF($N843="","",IF($Q843="",$N843,$Q843))</f>
        <v/>
      </c>
      <c r="V843" s="36" t="str">
        <f aca="false">IF($F843="","",IF(OR($O843="",$N843=""),0,IF($O843&lt;=$N843,1,0)))</f>
        <v/>
      </c>
      <c r="W843" s="36" t="str">
        <f aca="false">IF($F843="","",IF(OR($O843="",$U843=""),0,IF($O843&lt;=$U843,1,0)))</f>
        <v/>
      </c>
      <c r="X843" s="37" t="str">
        <f aca="false">IF(OR($O843="",$N843=""),"",MAX(0,$O843-$N843))</f>
        <v/>
      </c>
      <c r="Y843" s="36" t="str">
        <f aca="false">IF($F843="","",IF(AND($Q843&lt;&gt;"",$N843&lt;&gt;"",$Q843&lt;&gt;$N843),1,0))</f>
        <v/>
      </c>
      <c r="Z843" s="36" t="str">
        <f aca="false">IF($F843="","",IF($P843="Cancelada",0,IF(OR($O843&lt;&gt;"",$P843="Concluída"),1,0)))</f>
        <v/>
      </c>
    </row>
    <row r="844" customFormat="false" ht="16.5" hidden="false" customHeight="true" outlineLevel="0" collapsed="false">
      <c r="A844" s="36" t="str">
        <f aca="false">IF($F844="","",COUNTA($F$5:$F844))</f>
        <v/>
      </c>
      <c r="B844" s="37" t="str">
        <f aca="true">IF($F844="","",IF($P844="Cancelada","Cancelada",IF(OR($O844&lt;&gt;"",$P844="Concluída"),IF(OR($N844="",$O844="",$O844&lt;=$N844),"Concluída","Concluída com atraso"),IF($N844="","Na carteira",IF($N844&lt;TODAY(),"VENCIDA",IF($P844="Em execução","Em execução",IF($N844=TODAY(),"Hoje","Programada")))))))</f>
        <v/>
      </c>
      <c r="C844" s="38"/>
      <c r="D844" s="38"/>
      <c r="E844" s="38"/>
      <c r="F844" s="38"/>
      <c r="G844" s="39"/>
      <c r="H844" s="39"/>
      <c r="I844" s="40"/>
      <c r="J844" s="40"/>
      <c r="K844" s="40"/>
      <c r="L844" s="41"/>
      <c r="M844" s="42"/>
      <c r="N844" s="43" t="str">
        <f aca="false">IF(OR($L844="",$M844=""),"",$L844+MATCH($M844,Listas!$F$5:$F$11,0)-1)</f>
        <v/>
      </c>
      <c r="O844" s="44"/>
      <c r="P844" s="39"/>
      <c r="Q844" s="44"/>
      <c r="R844" s="38"/>
      <c r="S844" s="38"/>
      <c r="T844" s="36" t="str">
        <f aca="false">IF($F844="","",IF(ISNUMBER(SEARCH("(externo)",$I844&amp;$J844&amp;$K844)),"Terceirizada","Interna"))</f>
        <v/>
      </c>
      <c r="U844" s="43" t="str">
        <f aca="false">IF($N844="","",IF($Q844="",$N844,$Q844))</f>
        <v/>
      </c>
      <c r="V844" s="36" t="str">
        <f aca="false">IF($F844="","",IF(OR($O844="",$N844=""),0,IF($O844&lt;=$N844,1,0)))</f>
        <v/>
      </c>
      <c r="W844" s="36" t="str">
        <f aca="false">IF($F844="","",IF(OR($O844="",$U844=""),0,IF($O844&lt;=$U844,1,0)))</f>
        <v/>
      </c>
      <c r="X844" s="37" t="str">
        <f aca="false">IF(OR($O844="",$N844=""),"",MAX(0,$O844-$N844))</f>
        <v/>
      </c>
      <c r="Y844" s="36" t="str">
        <f aca="false">IF($F844="","",IF(AND($Q844&lt;&gt;"",$N844&lt;&gt;"",$Q844&lt;&gt;$N844),1,0))</f>
        <v/>
      </c>
      <c r="Z844" s="36" t="str">
        <f aca="false">IF($F844="","",IF($P844="Cancelada",0,IF(OR($O844&lt;&gt;"",$P844="Concluída"),1,0)))</f>
        <v/>
      </c>
    </row>
    <row r="845" customFormat="false" ht="16.5" hidden="false" customHeight="true" outlineLevel="0" collapsed="false">
      <c r="A845" s="36" t="str">
        <f aca="false">IF($F845="","",COUNTA($F$5:$F845))</f>
        <v/>
      </c>
      <c r="B845" s="37" t="str">
        <f aca="true">IF($F845="","",IF($P845="Cancelada","Cancelada",IF(OR($O845&lt;&gt;"",$P845="Concluída"),IF(OR($N845="",$O845="",$O845&lt;=$N845),"Concluída","Concluída com atraso"),IF($N845="","Na carteira",IF($N845&lt;TODAY(),"VENCIDA",IF($P845="Em execução","Em execução",IF($N845=TODAY(),"Hoje","Programada")))))))</f>
        <v/>
      </c>
      <c r="C845" s="38"/>
      <c r="D845" s="38"/>
      <c r="E845" s="38"/>
      <c r="F845" s="38"/>
      <c r="G845" s="39"/>
      <c r="H845" s="39"/>
      <c r="I845" s="40"/>
      <c r="J845" s="40"/>
      <c r="K845" s="40"/>
      <c r="L845" s="41"/>
      <c r="M845" s="42"/>
      <c r="N845" s="43" t="str">
        <f aca="false">IF(OR($L845="",$M845=""),"",$L845+MATCH($M845,Listas!$F$5:$F$11,0)-1)</f>
        <v/>
      </c>
      <c r="O845" s="44"/>
      <c r="P845" s="39"/>
      <c r="Q845" s="44"/>
      <c r="R845" s="38"/>
      <c r="S845" s="38"/>
      <c r="T845" s="36" t="str">
        <f aca="false">IF($F845="","",IF(ISNUMBER(SEARCH("(externo)",$I845&amp;$J845&amp;$K845)),"Terceirizada","Interna"))</f>
        <v/>
      </c>
      <c r="U845" s="43" t="str">
        <f aca="false">IF($N845="","",IF($Q845="",$N845,$Q845))</f>
        <v/>
      </c>
      <c r="V845" s="36" t="str">
        <f aca="false">IF($F845="","",IF(OR($O845="",$N845=""),0,IF($O845&lt;=$N845,1,0)))</f>
        <v/>
      </c>
      <c r="W845" s="36" t="str">
        <f aca="false">IF($F845="","",IF(OR($O845="",$U845=""),0,IF($O845&lt;=$U845,1,0)))</f>
        <v/>
      </c>
      <c r="X845" s="37" t="str">
        <f aca="false">IF(OR($O845="",$N845=""),"",MAX(0,$O845-$N845))</f>
        <v/>
      </c>
      <c r="Y845" s="36" t="str">
        <f aca="false">IF($F845="","",IF(AND($Q845&lt;&gt;"",$N845&lt;&gt;"",$Q845&lt;&gt;$N845),1,0))</f>
        <v/>
      </c>
      <c r="Z845" s="36" t="str">
        <f aca="false">IF($F845="","",IF($P845="Cancelada",0,IF(OR($O845&lt;&gt;"",$P845="Concluída"),1,0)))</f>
        <v/>
      </c>
    </row>
    <row r="846" customFormat="false" ht="16.5" hidden="false" customHeight="true" outlineLevel="0" collapsed="false">
      <c r="A846" s="36" t="str">
        <f aca="false">IF($F846="","",COUNTA($F$5:$F846))</f>
        <v/>
      </c>
      <c r="B846" s="37" t="str">
        <f aca="true">IF($F846="","",IF($P846="Cancelada","Cancelada",IF(OR($O846&lt;&gt;"",$P846="Concluída"),IF(OR($N846="",$O846="",$O846&lt;=$N846),"Concluída","Concluída com atraso"),IF($N846="","Na carteira",IF($N846&lt;TODAY(),"VENCIDA",IF($P846="Em execução","Em execução",IF($N846=TODAY(),"Hoje","Programada")))))))</f>
        <v/>
      </c>
      <c r="C846" s="38"/>
      <c r="D846" s="38"/>
      <c r="E846" s="38"/>
      <c r="F846" s="38"/>
      <c r="G846" s="39"/>
      <c r="H846" s="39"/>
      <c r="I846" s="40"/>
      <c r="J846" s="40"/>
      <c r="K846" s="40"/>
      <c r="L846" s="41"/>
      <c r="M846" s="42"/>
      <c r="N846" s="43" t="str">
        <f aca="false">IF(OR($L846="",$M846=""),"",$L846+MATCH($M846,Listas!$F$5:$F$11,0)-1)</f>
        <v/>
      </c>
      <c r="O846" s="44"/>
      <c r="P846" s="39"/>
      <c r="Q846" s="44"/>
      <c r="R846" s="38"/>
      <c r="S846" s="38"/>
      <c r="T846" s="36" t="str">
        <f aca="false">IF($F846="","",IF(ISNUMBER(SEARCH("(externo)",$I846&amp;$J846&amp;$K846)),"Terceirizada","Interna"))</f>
        <v/>
      </c>
      <c r="U846" s="43" t="str">
        <f aca="false">IF($N846="","",IF($Q846="",$N846,$Q846))</f>
        <v/>
      </c>
      <c r="V846" s="36" t="str">
        <f aca="false">IF($F846="","",IF(OR($O846="",$N846=""),0,IF($O846&lt;=$N846,1,0)))</f>
        <v/>
      </c>
      <c r="W846" s="36" t="str">
        <f aca="false">IF($F846="","",IF(OR($O846="",$U846=""),0,IF($O846&lt;=$U846,1,0)))</f>
        <v/>
      </c>
      <c r="X846" s="37" t="str">
        <f aca="false">IF(OR($O846="",$N846=""),"",MAX(0,$O846-$N846))</f>
        <v/>
      </c>
      <c r="Y846" s="36" t="str">
        <f aca="false">IF($F846="","",IF(AND($Q846&lt;&gt;"",$N846&lt;&gt;"",$Q846&lt;&gt;$N846),1,0))</f>
        <v/>
      </c>
      <c r="Z846" s="36" t="str">
        <f aca="false">IF($F846="","",IF($P846="Cancelada",0,IF(OR($O846&lt;&gt;"",$P846="Concluída"),1,0)))</f>
        <v/>
      </c>
    </row>
    <row r="847" customFormat="false" ht="16.5" hidden="false" customHeight="true" outlineLevel="0" collapsed="false">
      <c r="A847" s="36" t="str">
        <f aca="false">IF($F847="","",COUNTA($F$5:$F847))</f>
        <v/>
      </c>
      <c r="B847" s="37" t="str">
        <f aca="true">IF($F847="","",IF($P847="Cancelada","Cancelada",IF(OR($O847&lt;&gt;"",$P847="Concluída"),IF(OR($N847="",$O847="",$O847&lt;=$N847),"Concluída","Concluída com atraso"),IF($N847="","Na carteira",IF($N847&lt;TODAY(),"VENCIDA",IF($P847="Em execução","Em execução",IF($N847=TODAY(),"Hoje","Programada")))))))</f>
        <v/>
      </c>
      <c r="C847" s="38"/>
      <c r="D847" s="38"/>
      <c r="E847" s="38"/>
      <c r="F847" s="38"/>
      <c r="G847" s="39"/>
      <c r="H847" s="39"/>
      <c r="I847" s="40"/>
      <c r="J847" s="40"/>
      <c r="K847" s="40"/>
      <c r="L847" s="41"/>
      <c r="M847" s="42"/>
      <c r="N847" s="43" t="str">
        <f aca="false">IF(OR($L847="",$M847=""),"",$L847+MATCH($M847,Listas!$F$5:$F$11,0)-1)</f>
        <v/>
      </c>
      <c r="O847" s="44"/>
      <c r="P847" s="39"/>
      <c r="Q847" s="44"/>
      <c r="R847" s="38"/>
      <c r="S847" s="38"/>
      <c r="T847" s="36" t="str">
        <f aca="false">IF($F847="","",IF(ISNUMBER(SEARCH("(externo)",$I847&amp;$J847&amp;$K847)),"Terceirizada","Interna"))</f>
        <v/>
      </c>
      <c r="U847" s="43" t="str">
        <f aca="false">IF($N847="","",IF($Q847="",$N847,$Q847))</f>
        <v/>
      </c>
      <c r="V847" s="36" t="str">
        <f aca="false">IF($F847="","",IF(OR($O847="",$N847=""),0,IF($O847&lt;=$N847,1,0)))</f>
        <v/>
      </c>
      <c r="W847" s="36" t="str">
        <f aca="false">IF($F847="","",IF(OR($O847="",$U847=""),0,IF($O847&lt;=$U847,1,0)))</f>
        <v/>
      </c>
      <c r="X847" s="37" t="str">
        <f aca="false">IF(OR($O847="",$N847=""),"",MAX(0,$O847-$N847))</f>
        <v/>
      </c>
      <c r="Y847" s="36" t="str">
        <f aca="false">IF($F847="","",IF(AND($Q847&lt;&gt;"",$N847&lt;&gt;"",$Q847&lt;&gt;$N847),1,0))</f>
        <v/>
      </c>
      <c r="Z847" s="36" t="str">
        <f aca="false">IF($F847="","",IF($P847="Cancelada",0,IF(OR($O847&lt;&gt;"",$P847="Concluída"),1,0)))</f>
        <v/>
      </c>
    </row>
    <row r="848" customFormat="false" ht="16.5" hidden="false" customHeight="true" outlineLevel="0" collapsed="false">
      <c r="A848" s="36" t="str">
        <f aca="false">IF($F848="","",COUNTA($F$5:$F848))</f>
        <v/>
      </c>
      <c r="B848" s="37" t="str">
        <f aca="true">IF($F848="","",IF($P848="Cancelada","Cancelada",IF(OR($O848&lt;&gt;"",$P848="Concluída"),IF(OR($N848="",$O848="",$O848&lt;=$N848),"Concluída","Concluída com atraso"),IF($N848="","Na carteira",IF($N848&lt;TODAY(),"VENCIDA",IF($P848="Em execução","Em execução",IF($N848=TODAY(),"Hoje","Programada")))))))</f>
        <v/>
      </c>
      <c r="C848" s="38"/>
      <c r="D848" s="38"/>
      <c r="E848" s="38"/>
      <c r="F848" s="38"/>
      <c r="G848" s="39"/>
      <c r="H848" s="39"/>
      <c r="I848" s="40"/>
      <c r="J848" s="40"/>
      <c r="K848" s="40"/>
      <c r="L848" s="41"/>
      <c r="M848" s="42"/>
      <c r="N848" s="43" t="str">
        <f aca="false">IF(OR($L848="",$M848=""),"",$L848+MATCH($M848,Listas!$F$5:$F$11,0)-1)</f>
        <v/>
      </c>
      <c r="O848" s="44"/>
      <c r="P848" s="39"/>
      <c r="Q848" s="44"/>
      <c r="R848" s="38"/>
      <c r="S848" s="38"/>
      <c r="T848" s="36" t="str">
        <f aca="false">IF($F848="","",IF(ISNUMBER(SEARCH("(externo)",$I848&amp;$J848&amp;$K848)),"Terceirizada","Interna"))</f>
        <v/>
      </c>
      <c r="U848" s="43" t="str">
        <f aca="false">IF($N848="","",IF($Q848="",$N848,$Q848))</f>
        <v/>
      </c>
      <c r="V848" s="36" t="str">
        <f aca="false">IF($F848="","",IF(OR($O848="",$N848=""),0,IF($O848&lt;=$N848,1,0)))</f>
        <v/>
      </c>
      <c r="W848" s="36" t="str">
        <f aca="false">IF($F848="","",IF(OR($O848="",$U848=""),0,IF($O848&lt;=$U848,1,0)))</f>
        <v/>
      </c>
      <c r="X848" s="37" t="str">
        <f aca="false">IF(OR($O848="",$N848=""),"",MAX(0,$O848-$N848))</f>
        <v/>
      </c>
      <c r="Y848" s="36" t="str">
        <f aca="false">IF($F848="","",IF(AND($Q848&lt;&gt;"",$N848&lt;&gt;"",$Q848&lt;&gt;$N848),1,0))</f>
        <v/>
      </c>
      <c r="Z848" s="36" t="str">
        <f aca="false">IF($F848="","",IF($P848="Cancelada",0,IF(OR($O848&lt;&gt;"",$P848="Concluída"),1,0)))</f>
        <v/>
      </c>
    </row>
    <row r="849" customFormat="false" ht="16.5" hidden="false" customHeight="true" outlineLevel="0" collapsed="false">
      <c r="A849" s="36" t="str">
        <f aca="false">IF($F849="","",COUNTA($F$5:$F849))</f>
        <v/>
      </c>
      <c r="B849" s="37" t="str">
        <f aca="true">IF($F849="","",IF($P849="Cancelada","Cancelada",IF(OR($O849&lt;&gt;"",$P849="Concluída"),IF(OR($N849="",$O849="",$O849&lt;=$N849),"Concluída","Concluída com atraso"),IF($N849="","Na carteira",IF($N849&lt;TODAY(),"VENCIDA",IF($P849="Em execução","Em execução",IF($N849=TODAY(),"Hoje","Programada")))))))</f>
        <v/>
      </c>
      <c r="C849" s="38"/>
      <c r="D849" s="38"/>
      <c r="E849" s="38"/>
      <c r="F849" s="38"/>
      <c r="G849" s="39"/>
      <c r="H849" s="39"/>
      <c r="I849" s="40"/>
      <c r="J849" s="40"/>
      <c r="K849" s="40"/>
      <c r="L849" s="41"/>
      <c r="M849" s="42"/>
      <c r="N849" s="43" t="str">
        <f aca="false">IF(OR($L849="",$M849=""),"",$L849+MATCH($M849,Listas!$F$5:$F$11,0)-1)</f>
        <v/>
      </c>
      <c r="O849" s="44"/>
      <c r="P849" s="39"/>
      <c r="Q849" s="44"/>
      <c r="R849" s="38"/>
      <c r="S849" s="38"/>
      <c r="T849" s="36" t="str">
        <f aca="false">IF($F849="","",IF(ISNUMBER(SEARCH("(externo)",$I849&amp;$J849&amp;$K849)),"Terceirizada","Interna"))</f>
        <v/>
      </c>
      <c r="U849" s="43" t="str">
        <f aca="false">IF($N849="","",IF($Q849="",$N849,$Q849))</f>
        <v/>
      </c>
      <c r="V849" s="36" t="str">
        <f aca="false">IF($F849="","",IF(OR($O849="",$N849=""),0,IF($O849&lt;=$N849,1,0)))</f>
        <v/>
      </c>
      <c r="W849" s="36" t="str">
        <f aca="false">IF($F849="","",IF(OR($O849="",$U849=""),0,IF($O849&lt;=$U849,1,0)))</f>
        <v/>
      </c>
      <c r="X849" s="37" t="str">
        <f aca="false">IF(OR($O849="",$N849=""),"",MAX(0,$O849-$N849))</f>
        <v/>
      </c>
      <c r="Y849" s="36" t="str">
        <f aca="false">IF($F849="","",IF(AND($Q849&lt;&gt;"",$N849&lt;&gt;"",$Q849&lt;&gt;$N849),1,0))</f>
        <v/>
      </c>
      <c r="Z849" s="36" t="str">
        <f aca="false">IF($F849="","",IF($P849="Cancelada",0,IF(OR($O849&lt;&gt;"",$P849="Concluída"),1,0)))</f>
        <v/>
      </c>
    </row>
    <row r="850" customFormat="false" ht="16.5" hidden="false" customHeight="true" outlineLevel="0" collapsed="false">
      <c r="A850" s="36" t="str">
        <f aca="false">IF($F850="","",COUNTA($F$5:$F850))</f>
        <v/>
      </c>
      <c r="B850" s="37" t="str">
        <f aca="true">IF($F850="","",IF($P850="Cancelada","Cancelada",IF(OR($O850&lt;&gt;"",$P850="Concluída"),IF(OR($N850="",$O850="",$O850&lt;=$N850),"Concluída","Concluída com atraso"),IF($N850="","Na carteira",IF($N850&lt;TODAY(),"VENCIDA",IF($P850="Em execução","Em execução",IF($N850=TODAY(),"Hoje","Programada")))))))</f>
        <v/>
      </c>
      <c r="C850" s="38"/>
      <c r="D850" s="38"/>
      <c r="E850" s="38"/>
      <c r="F850" s="38"/>
      <c r="G850" s="39"/>
      <c r="H850" s="39"/>
      <c r="I850" s="40"/>
      <c r="J850" s="40"/>
      <c r="K850" s="40"/>
      <c r="L850" s="41"/>
      <c r="M850" s="42"/>
      <c r="N850" s="43" t="str">
        <f aca="false">IF(OR($L850="",$M850=""),"",$L850+MATCH($M850,Listas!$F$5:$F$11,0)-1)</f>
        <v/>
      </c>
      <c r="O850" s="44"/>
      <c r="P850" s="39"/>
      <c r="Q850" s="44"/>
      <c r="R850" s="38"/>
      <c r="S850" s="38"/>
      <c r="T850" s="36" t="str">
        <f aca="false">IF($F850="","",IF(ISNUMBER(SEARCH("(externo)",$I850&amp;$J850&amp;$K850)),"Terceirizada","Interna"))</f>
        <v/>
      </c>
      <c r="U850" s="43" t="str">
        <f aca="false">IF($N850="","",IF($Q850="",$N850,$Q850))</f>
        <v/>
      </c>
      <c r="V850" s="36" t="str">
        <f aca="false">IF($F850="","",IF(OR($O850="",$N850=""),0,IF($O850&lt;=$N850,1,0)))</f>
        <v/>
      </c>
      <c r="W850" s="36" t="str">
        <f aca="false">IF($F850="","",IF(OR($O850="",$U850=""),0,IF($O850&lt;=$U850,1,0)))</f>
        <v/>
      </c>
      <c r="X850" s="37" t="str">
        <f aca="false">IF(OR($O850="",$N850=""),"",MAX(0,$O850-$N850))</f>
        <v/>
      </c>
      <c r="Y850" s="36" t="str">
        <f aca="false">IF($F850="","",IF(AND($Q850&lt;&gt;"",$N850&lt;&gt;"",$Q850&lt;&gt;$N850),1,0))</f>
        <v/>
      </c>
      <c r="Z850" s="36" t="str">
        <f aca="false">IF($F850="","",IF($P850="Cancelada",0,IF(OR($O850&lt;&gt;"",$P850="Concluída"),1,0)))</f>
        <v/>
      </c>
    </row>
    <row r="851" customFormat="false" ht="16.5" hidden="false" customHeight="true" outlineLevel="0" collapsed="false">
      <c r="A851" s="36" t="str">
        <f aca="false">IF($F851="","",COUNTA($F$5:$F851))</f>
        <v/>
      </c>
      <c r="B851" s="37" t="str">
        <f aca="true">IF($F851="","",IF($P851="Cancelada","Cancelada",IF(OR($O851&lt;&gt;"",$P851="Concluída"),IF(OR($N851="",$O851="",$O851&lt;=$N851),"Concluída","Concluída com atraso"),IF($N851="","Na carteira",IF($N851&lt;TODAY(),"VENCIDA",IF($P851="Em execução","Em execução",IF($N851=TODAY(),"Hoje","Programada")))))))</f>
        <v/>
      </c>
      <c r="C851" s="38"/>
      <c r="D851" s="38"/>
      <c r="E851" s="38"/>
      <c r="F851" s="38"/>
      <c r="G851" s="39"/>
      <c r="H851" s="39"/>
      <c r="I851" s="40"/>
      <c r="J851" s="40"/>
      <c r="K851" s="40"/>
      <c r="L851" s="41"/>
      <c r="M851" s="42"/>
      <c r="N851" s="43" t="str">
        <f aca="false">IF(OR($L851="",$M851=""),"",$L851+MATCH($M851,Listas!$F$5:$F$11,0)-1)</f>
        <v/>
      </c>
      <c r="O851" s="44"/>
      <c r="P851" s="39"/>
      <c r="Q851" s="44"/>
      <c r="R851" s="38"/>
      <c r="S851" s="38"/>
      <c r="T851" s="36" t="str">
        <f aca="false">IF($F851="","",IF(ISNUMBER(SEARCH("(externo)",$I851&amp;$J851&amp;$K851)),"Terceirizada","Interna"))</f>
        <v/>
      </c>
      <c r="U851" s="43" t="str">
        <f aca="false">IF($N851="","",IF($Q851="",$N851,$Q851))</f>
        <v/>
      </c>
      <c r="V851" s="36" t="str">
        <f aca="false">IF($F851="","",IF(OR($O851="",$N851=""),0,IF($O851&lt;=$N851,1,0)))</f>
        <v/>
      </c>
      <c r="W851" s="36" t="str">
        <f aca="false">IF($F851="","",IF(OR($O851="",$U851=""),0,IF($O851&lt;=$U851,1,0)))</f>
        <v/>
      </c>
      <c r="X851" s="37" t="str">
        <f aca="false">IF(OR($O851="",$N851=""),"",MAX(0,$O851-$N851))</f>
        <v/>
      </c>
      <c r="Y851" s="36" t="str">
        <f aca="false">IF($F851="","",IF(AND($Q851&lt;&gt;"",$N851&lt;&gt;"",$Q851&lt;&gt;$N851),1,0))</f>
        <v/>
      </c>
      <c r="Z851" s="36" t="str">
        <f aca="false">IF($F851="","",IF($P851="Cancelada",0,IF(OR($O851&lt;&gt;"",$P851="Concluída"),1,0)))</f>
        <v/>
      </c>
    </row>
    <row r="852" customFormat="false" ht="16.5" hidden="false" customHeight="true" outlineLevel="0" collapsed="false">
      <c r="A852" s="36" t="str">
        <f aca="false">IF($F852="","",COUNTA($F$5:$F852))</f>
        <v/>
      </c>
      <c r="B852" s="37" t="str">
        <f aca="true">IF($F852="","",IF($P852="Cancelada","Cancelada",IF(OR($O852&lt;&gt;"",$P852="Concluída"),IF(OR($N852="",$O852="",$O852&lt;=$N852),"Concluída","Concluída com atraso"),IF($N852="","Na carteira",IF($N852&lt;TODAY(),"VENCIDA",IF($P852="Em execução","Em execução",IF($N852=TODAY(),"Hoje","Programada")))))))</f>
        <v/>
      </c>
      <c r="C852" s="38"/>
      <c r="D852" s="38"/>
      <c r="E852" s="38"/>
      <c r="F852" s="38"/>
      <c r="G852" s="39"/>
      <c r="H852" s="39"/>
      <c r="I852" s="40"/>
      <c r="J852" s="40"/>
      <c r="K852" s="40"/>
      <c r="L852" s="41"/>
      <c r="M852" s="42"/>
      <c r="N852" s="43" t="str">
        <f aca="false">IF(OR($L852="",$M852=""),"",$L852+MATCH($M852,Listas!$F$5:$F$11,0)-1)</f>
        <v/>
      </c>
      <c r="O852" s="44"/>
      <c r="P852" s="39"/>
      <c r="Q852" s="44"/>
      <c r="R852" s="38"/>
      <c r="S852" s="38"/>
      <c r="T852" s="36" t="str">
        <f aca="false">IF($F852="","",IF(ISNUMBER(SEARCH("(externo)",$I852&amp;$J852&amp;$K852)),"Terceirizada","Interna"))</f>
        <v/>
      </c>
      <c r="U852" s="43" t="str">
        <f aca="false">IF($N852="","",IF($Q852="",$N852,$Q852))</f>
        <v/>
      </c>
      <c r="V852" s="36" t="str">
        <f aca="false">IF($F852="","",IF(OR($O852="",$N852=""),0,IF($O852&lt;=$N852,1,0)))</f>
        <v/>
      </c>
      <c r="W852" s="36" t="str">
        <f aca="false">IF($F852="","",IF(OR($O852="",$U852=""),0,IF($O852&lt;=$U852,1,0)))</f>
        <v/>
      </c>
      <c r="X852" s="37" t="str">
        <f aca="false">IF(OR($O852="",$N852=""),"",MAX(0,$O852-$N852))</f>
        <v/>
      </c>
      <c r="Y852" s="36" t="str">
        <f aca="false">IF($F852="","",IF(AND($Q852&lt;&gt;"",$N852&lt;&gt;"",$Q852&lt;&gt;$N852),1,0))</f>
        <v/>
      </c>
      <c r="Z852" s="36" t="str">
        <f aca="false">IF($F852="","",IF($P852="Cancelada",0,IF(OR($O852&lt;&gt;"",$P852="Concluída"),1,0)))</f>
        <v/>
      </c>
    </row>
    <row r="853" customFormat="false" ht="16.5" hidden="false" customHeight="true" outlineLevel="0" collapsed="false">
      <c r="A853" s="36" t="str">
        <f aca="false">IF($F853="","",COUNTA($F$5:$F853))</f>
        <v/>
      </c>
      <c r="B853" s="37" t="str">
        <f aca="true">IF($F853="","",IF($P853="Cancelada","Cancelada",IF(OR($O853&lt;&gt;"",$P853="Concluída"),IF(OR($N853="",$O853="",$O853&lt;=$N853),"Concluída","Concluída com atraso"),IF($N853="","Na carteira",IF($N853&lt;TODAY(),"VENCIDA",IF($P853="Em execução","Em execução",IF($N853=TODAY(),"Hoje","Programada")))))))</f>
        <v/>
      </c>
      <c r="C853" s="38"/>
      <c r="D853" s="38"/>
      <c r="E853" s="38"/>
      <c r="F853" s="38"/>
      <c r="G853" s="39"/>
      <c r="H853" s="39"/>
      <c r="I853" s="40"/>
      <c r="J853" s="40"/>
      <c r="K853" s="40"/>
      <c r="L853" s="41"/>
      <c r="M853" s="42"/>
      <c r="N853" s="43" t="str">
        <f aca="false">IF(OR($L853="",$M853=""),"",$L853+MATCH($M853,Listas!$F$5:$F$11,0)-1)</f>
        <v/>
      </c>
      <c r="O853" s="44"/>
      <c r="P853" s="39"/>
      <c r="Q853" s="44"/>
      <c r="R853" s="38"/>
      <c r="S853" s="38"/>
      <c r="T853" s="36" t="str">
        <f aca="false">IF($F853="","",IF(ISNUMBER(SEARCH("(externo)",$I853&amp;$J853&amp;$K853)),"Terceirizada","Interna"))</f>
        <v/>
      </c>
      <c r="U853" s="43" t="str">
        <f aca="false">IF($N853="","",IF($Q853="",$N853,$Q853))</f>
        <v/>
      </c>
      <c r="V853" s="36" t="str">
        <f aca="false">IF($F853="","",IF(OR($O853="",$N853=""),0,IF($O853&lt;=$N853,1,0)))</f>
        <v/>
      </c>
      <c r="W853" s="36" t="str">
        <f aca="false">IF($F853="","",IF(OR($O853="",$U853=""),0,IF($O853&lt;=$U853,1,0)))</f>
        <v/>
      </c>
      <c r="X853" s="37" t="str">
        <f aca="false">IF(OR($O853="",$N853=""),"",MAX(0,$O853-$N853))</f>
        <v/>
      </c>
      <c r="Y853" s="36" t="str">
        <f aca="false">IF($F853="","",IF(AND($Q853&lt;&gt;"",$N853&lt;&gt;"",$Q853&lt;&gt;$N853),1,0))</f>
        <v/>
      </c>
      <c r="Z853" s="36" t="str">
        <f aca="false">IF($F853="","",IF($P853="Cancelada",0,IF(OR($O853&lt;&gt;"",$P853="Concluída"),1,0)))</f>
        <v/>
      </c>
    </row>
    <row r="854" customFormat="false" ht="16.5" hidden="false" customHeight="true" outlineLevel="0" collapsed="false">
      <c r="A854" s="36" t="str">
        <f aca="false">IF($F854="","",COUNTA($F$5:$F854))</f>
        <v/>
      </c>
      <c r="B854" s="37" t="str">
        <f aca="true">IF($F854="","",IF($P854="Cancelada","Cancelada",IF(OR($O854&lt;&gt;"",$P854="Concluída"),IF(OR($N854="",$O854="",$O854&lt;=$N854),"Concluída","Concluída com atraso"),IF($N854="","Na carteira",IF($N854&lt;TODAY(),"VENCIDA",IF($P854="Em execução","Em execução",IF($N854=TODAY(),"Hoje","Programada")))))))</f>
        <v/>
      </c>
      <c r="C854" s="38"/>
      <c r="D854" s="38"/>
      <c r="E854" s="38"/>
      <c r="F854" s="38"/>
      <c r="G854" s="39"/>
      <c r="H854" s="39"/>
      <c r="I854" s="40"/>
      <c r="J854" s="40"/>
      <c r="K854" s="40"/>
      <c r="L854" s="41"/>
      <c r="M854" s="42"/>
      <c r="N854" s="43" t="str">
        <f aca="false">IF(OR($L854="",$M854=""),"",$L854+MATCH($M854,Listas!$F$5:$F$11,0)-1)</f>
        <v/>
      </c>
      <c r="O854" s="44"/>
      <c r="P854" s="39"/>
      <c r="Q854" s="44"/>
      <c r="R854" s="38"/>
      <c r="S854" s="38"/>
      <c r="T854" s="36" t="str">
        <f aca="false">IF($F854="","",IF(ISNUMBER(SEARCH("(externo)",$I854&amp;$J854&amp;$K854)),"Terceirizada","Interna"))</f>
        <v/>
      </c>
      <c r="U854" s="43" t="str">
        <f aca="false">IF($N854="","",IF($Q854="",$N854,$Q854))</f>
        <v/>
      </c>
      <c r="V854" s="36" t="str">
        <f aca="false">IF($F854="","",IF(OR($O854="",$N854=""),0,IF($O854&lt;=$N854,1,0)))</f>
        <v/>
      </c>
      <c r="W854" s="36" t="str">
        <f aca="false">IF($F854="","",IF(OR($O854="",$U854=""),0,IF($O854&lt;=$U854,1,0)))</f>
        <v/>
      </c>
      <c r="X854" s="37" t="str">
        <f aca="false">IF(OR($O854="",$N854=""),"",MAX(0,$O854-$N854))</f>
        <v/>
      </c>
      <c r="Y854" s="36" t="str">
        <f aca="false">IF($F854="","",IF(AND($Q854&lt;&gt;"",$N854&lt;&gt;"",$Q854&lt;&gt;$N854),1,0))</f>
        <v/>
      </c>
      <c r="Z854" s="36" t="str">
        <f aca="false">IF($F854="","",IF($P854="Cancelada",0,IF(OR($O854&lt;&gt;"",$P854="Concluída"),1,0)))</f>
        <v/>
      </c>
    </row>
    <row r="855" customFormat="false" ht="16.5" hidden="false" customHeight="true" outlineLevel="0" collapsed="false">
      <c r="A855" s="36" t="str">
        <f aca="false">IF($F855="","",COUNTA($F$5:$F855))</f>
        <v/>
      </c>
      <c r="B855" s="37" t="str">
        <f aca="true">IF($F855="","",IF($P855="Cancelada","Cancelada",IF(OR($O855&lt;&gt;"",$P855="Concluída"),IF(OR($N855="",$O855="",$O855&lt;=$N855),"Concluída","Concluída com atraso"),IF($N855="","Na carteira",IF($N855&lt;TODAY(),"VENCIDA",IF($P855="Em execução","Em execução",IF($N855=TODAY(),"Hoje","Programada")))))))</f>
        <v/>
      </c>
      <c r="C855" s="38"/>
      <c r="D855" s="38"/>
      <c r="E855" s="38"/>
      <c r="F855" s="38"/>
      <c r="G855" s="39"/>
      <c r="H855" s="39"/>
      <c r="I855" s="40"/>
      <c r="J855" s="40"/>
      <c r="K855" s="40"/>
      <c r="L855" s="41"/>
      <c r="M855" s="42"/>
      <c r="N855" s="43" t="str">
        <f aca="false">IF(OR($L855="",$M855=""),"",$L855+MATCH($M855,Listas!$F$5:$F$11,0)-1)</f>
        <v/>
      </c>
      <c r="O855" s="44"/>
      <c r="P855" s="39"/>
      <c r="Q855" s="44"/>
      <c r="R855" s="38"/>
      <c r="S855" s="38"/>
      <c r="T855" s="36" t="str">
        <f aca="false">IF($F855="","",IF(ISNUMBER(SEARCH("(externo)",$I855&amp;$J855&amp;$K855)),"Terceirizada","Interna"))</f>
        <v/>
      </c>
      <c r="U855" s="43" t="str">
        <f aca="false">IF($N855="","",IF($Q855="",$N855,$Q855))</f>
        <v/>
      </c>
      <c r="V855" s="36" t="str">
        <f aca="false">IF($F855="","",IF(OR($O855="",$N855=""),0,IF($O855&lt;=$N855,1,0)))</f>
        <v/>
      </c>
      <c r="W855" s="36" t="str">
        <f aca="false">IF($F855="","",IF(OR($O855="",$U855=""),0,IF($O855&lt;=$U855,1,0)))</f>
        <v/>
      </c>
      <c r="X855" s="37" t="str">
        <f aca="false">IF(OR($O855="",$N855=""),"",MAX(0,$O855-$N855))</f>
        <v/>
      </c>
      <c r="Y855" s="36" t="str">
        <f aca="false">IF($F855="","",IF(AND($Q855&lt;&gt;"",$N855&lt;&gt;"",$Q855&lt;&gt;$N855),1,0))</f>
        <v/>
      </c>
      <c r="Z855" s="36" t="str">
        <f aca="false">IF($F855="","",IF($P855="Cancelada",0,IF(OR($O855&lt;&gt;"",$P855="Concluída"),1,0)))</f>
        <v/>
      </c>
    </row>
    <row r="856" customFormat="false" ht="16.5" hidden="false" customHeight="true" outlineLevel="0" collapsed="false">
      <c r="A856" s="36" t="str">
        <f aca="false">IF($F856="","",COUNTA($F$5:$F856))</f>
        <v/>
      </c>
      <c r="B856" s="37" t="str">
        <f aca="true">IF($F856="","",IF($P856="Cancelada","Cancelada",IF(OR($O856&lt;&gt;"",$P856="Concluída"),IF(OR($N856="",$O856="",$O856&lt;=$N856),"Concluída","Concluída com atraso"),IF($N856="","Na carteira",IF($N856&lt;TODAY(),"VENCIDA",IF($P856="Em execução","Em execução",IF($N856=TODAY(),"Hoje","Programada")))))))</f>
        <v/>
      </c>
      <c r="C856" s="38"/>
      <c r="D856" s="38"/>
      <c r="E856" s="38"/>
      <c r="F856" s="38"/>
      <c r="G856" s="39"/>
      <c r="H856" s="39"/>
      <c r="I856" s="40"/>
      <c r="J856" s="40"/>
      <c r="K856" s="40"/>
      <c r="L856" s="41"/>
      <c r="M856" s="42"/>
      <c r="N856" s="43" t="str">
        <f aca="false">IF(OR($L856="",$M856=""),"",$L856+MATCH($M856,Listas!$F$5:$F$11,0)-1)</f>
        <v/>
      </c>
      <c r="O856" s="44"/>
      <c r="P856" s="39"/>
      <c r="Q856" s="44"/>
      <c r="R856" s="38"/>
      <c r="S856" s="38"/>
      <c r="T856" s="36" t="str">
        <f aca="false">IF($F856="","",IF(ISNUMBER(SEARCH("(externo)",$I856&amp;$J856&amp;$K856)),"Terceirizada","Interna"))</f>
        <v/>
      </c>
      <c r="U856" s="43" t="str">
        <f aca="false">IF($N856="","",IF($Q856="",$N856,$Q856))</f>
        <v/>
      </c>
      <c r="V856" s="36" t="str">
        <f aca="false">IF($F856="","",IF(OR($O856="",$N856=""),0,IF($O856&lt;=$N856,1,0)))</f>
        <v/>
      </c>
      <c r="W856" s="36" t="str">
        <f aca="false">IF($F856="","",IF(OR($O856="",$U856=""),0,IF($O856&lt;=$U856,1,0)))</f>
        <v/>
      </c>
      <c r="X856" s="37" t="str">
        <f aca="false">IF(OR($O856="",$N856=""),"",MAX(0,$O856-$N856))</f>
        <v/>
      </c>
      <c r="Y856" s="36" t="str">
        <f aca="false">IF($F856="","",IF(AND($Q856&lt;&gt;"",$N856&lt;&gt;"",$Q856&lt;&gt;$N856),1,0))</f>
        <v/>
      </c>
      <c r="Z856" s="36" t="str">
        <f aca="false">IF($F856="","",IF($P856="Cancelada",0,IF(OR($O856&lt;&gt;"",$P856="Concluída"),1,0)))</f>
        <v/>
      </c>
    </row>
    <row r="857" customFormat="false" ht="16.5" hidden="false" customHeight="true" outlineLevel="0" collapsed="false">
      <c r="A857" s="36" t="str">
        <f aca="false">IF($F857="","",COUNTA($F$5:$F857))</f>
        <v/>
      </c>
      <c r="B857" s="37" t="str">
        <f aca="true">IF($F857="","",IF($P857="Cancelada","Cancelada",IF(OR($O857&lt;&gt;"",$P857="Concluída"),IF(OR($N857="",$O857="",$O857&lt;=$N857),"Concluída","Concluída com atraso"),IF($N857="","Na carteira",IF($N857&lt;TODAY(),"VENCIDA",IF($P857="Em execução","Em execução",IF($N857=TODAY(),"Hoje","Programada")))))))</f>
        <v/>
      </c>
      <c r="C857" s="38"/>
      <c r="D857" s="38"/>
      <c r="E857" s="38"/>
      <c r="F857" s="38"/>
      <c r="G857" s="39"/>
      <c r="H857" s="39"/>
      <c r="I857" s="40"/>
      <c r="J857" s="40"/>
      <c r="K857" s="40"/>
      <c r="L857" s="41"/>
      <c r="M857" s="42"/>
      <c r="N857" s="43" t="str">
        <f aca="false">IF(OR($L857="",$M857=""),"",$L857+MATCH($M857,Listas!$F$5:$F$11,0)-1)</f>
        <v/>
      </c>
      <c r="O857" s="44"/>
      <c r="P857" s="39"/>
      <c r="Q857" s="44"/>
      <c r="R857" s="38"/>
      <c r="S857" s="38"/>
      <c r="T857" s="36" t="str">
        <f aca="false">IF($F857="","",IF(ISNUMBER(SEARCH("(externo)",$I857&amp;$J857&amp;$K857)),"Terceirizada","Interna"))</f>
        <v/>
      </c>
      <c r="U857" s="43" t="str">
        <f aca="false">IF($N857="","",IF($Q857="",$N857,$Q857))</f>
        <v/>
      </c>
      <c r="V857" s="36" t="str">
        <f aca="false">IF($F857="","",IF(OR($O857="",$N857=""),0,IF($O857&lt;=$N857,1,0)))</f>
        <v/>
      </c>
      <c r="W857" s="36" t="str">
        <f aca="false">IF($F857="","",IF(OR($O857="",$U857=""),0,IF($O857&lt;=$U857,1,0)))</f>
        <v/>
      </c>
      <c r="X857" s="37" t="str">
        <f aca="false">IF(OR($O857="",$N857=""),"",MAX(0,$O857-$N857))</f>
        <v/>
      </c>
      <c r="Y857" s="36" t="str">
        <f aca="false">IF($F857="","",IF(AND($Q857&lt;&gt;"",$N857&lt;&gt;"",$Q857&lt;&gt;$N857),1,0))</f>
        <v/>
      </c>
      <c r="Z857" s="36" t="str">
        <f aca="false">IF($F857="","",IF($P857="Cancelada",0,IF(OR($O857&lt;&gt;"",$P857="Concluída"),1,0)))</f>
        <v/>
      </c>
    </row>
    <row r="858" customFormat="false" ht="16.5" hidden="false" customHeight="true" outlineLevel="0" collapsed="false">
      <c r="A858" s="36" t="str">
        <f aca="false">IF($F858="","",COUNTA($F$5:$F858))</f>
        <v/>
      </c>
      <c r="B858" s="37" t="str">
        <f aca="true">IF($F858="","",IF($P858="Cancelada","Cancelada",IF(OR($O858&lt;&gt;"",$P858="Concluída"),IF(OR($N858="",$O858="",$O858&lt;=$N858),"Concluída","Concluída com atraso"),IF($N858="","Na carteira",IF($N858&lt;TODAY(),"VENCIDA",IF($P858="Em execução","Em execução",IF($N858=TODAY(),"Hoje","Programada")))))))</f>
        <v/>
      </c>
      <c r="C858" s="38"/>
      <c r="D858" s="38"/>
      <c r="E858" s="38"/>
      <c r="F858" s="38"/>
      <c r="G858" s="39"/>
      <c r="H858" s="39"/>
      <c r="I858" s="40"/>
      <c r="J858" s="40"/>
      <c r="K858" s="40"/>
      <c r="L858" s="41"/>
      <c r="M858" s="42"/>
      <c r="N858" s="43" t="str">
        <f aca="false">IF(OR($L858="",$M858=""),"",$L858+MATCH($M858,Listas!$F$5:$F$11,0)-1)</f>
        <v/>
      </c>
      <c r="O858" s="44"/>
      <c r="P858" s="39"/>
      <c r="Q858" s="44"/>
      <c r="R858" s="38"/>
      <c r="S858" s="38"/>
      <c r="T858" s="36" t="str">
        <f aca="false">IF($F858="","",IF(ISNUMBER(SEARCH("(externo)",$I858&amp;$J858&amp;$K858)),"Terceirizada","Interna"))</f>
        <v/>
      </c>
      <c r="U858" s="43" t="str">
        <f aca="false">IF($N858="","",IF($Q858="",$N858,$Q858))</f>
        <v/>
      </c>
      <c r="V858" s="36" t="str">
        <f aca="false">IF($F858="","",IF(OR($O858="",$N858=""),0,IF($O858&lt;=$N858,1,0)))</f>
        <v/>
      </c>
      <c r="W858" s="36" t="str">
        <f aca="false">IF($F858="","",IF(OR($O858="",$U858=""),0,IF($O858&lt;=$U858,1,0)))</f>
        <v/>
      </c>
      <c r="X858" s="37" t="str">
        <f aca="false">IF(OR($O858="",$N858=""),"",MAX(0,$O858-$N858))</f>
        <v/>
      </c>
      <c r="Y858" s="36" t="str">
        <f aca="false">IF($F858="","",IF(AND($Q858&lt;&gt;"",$N858&lt;&gt;"",$Q858&lt;&gt;$N858),1,0))</f>
        <v/>
      </c>
      <c r="Z858" s="36" t="str">
        <f aca="false">IF($F858="","",IF($P858="Cancelada",0,IF(OR($O858&lt;&gt;"",$P858="Concluída"),1,0)))</f>
        <v/>
      </c>
    </row>
    <row r="859" customFormat="false" ht="16.5" hidden="false" customHeight="true" outlineLevel="0" collapsed="false">
      <c r="A859" s="36" t="str">
        <f aca="false">IF($F859="","",COUNTA($F$5:$F859))</f>
        <v/>
      </c>
      <c r="B859" s="37" t="str">
        <f aca="true">IF($F859="","",IF($P859="Cancelada","Cancelada",IF(OR($O859&lt;&gt;"",$P859="Concluída"),IF(OR($N859="",$O859="",$O859&lt;=$N859),"Concluída","Concluída com atraso"),IF($N859="","Na carteira",IF($N859&lt;TODAY(),"VENCIDA",IF($P859="Em execução","Em execução",IF($N859=TODAY(),"Hoje","Programada")))))))</f>
        <v/>
      </c>
      <c r="C859" s="38"/>
      <c r="D859" s="38"/>
      <c r="E859" s="38"/>
      <c r="F859" s="38"/>
      <c r="G859" s="39"/>
      <c r="H859" s="39"/>
      <c r="I859" s="40"/>
      <c r="J859" s="40"/>
      <c r="K859" s="40"/>
      <c r="L859" s="41"/>
      <c r="M859" s="42"/>
      <c r="N859" s="43" t="str">
        <f aca="false">IF(OR($L859="",$M859=""),"",$L859+MATCH($M859,Listas!$F$5:$F$11,0)-1)</f>
        <v/>
      </c>
      <c r="O859" s="44"/>
      <c r="P859" s="39"/>
      <c r="Q859" s="44"/>
      <c r="R859" s="38"/>
      <c r="S859" s="38"/>
      <c r="T859" s="36" t="str">
        <f aca="false">IF($F859="","",IF(ISNUMBER(SEARCH("(externo)",$I859&amp;$J859&amp;$K859)),"Terceirizada","Interna"))</f>
        <v/>
      </c>
      <c r="U859" s="43" t="str">
        <f aca="false">IF($N859="","",IF($Q859="",$N859,$Q859))</f>
        <v/>
      </c>
      <c r="V859" s="36" t="str">
        <f aca="false">IF($F859="","",IF(OR($O859="",$N859=""),0,IF($O859&lt;=$N859,1,0)))</f>
        <v/>
      </c>
      <c r="W859" s="36" t="str">
        <f aca="false">IF($F859="","",IF(OR($O859="",$U859=""),0,IF($O859&lt;=$U859,1,0)))</f>
        <v/>
      </c>
      <c r="X859" s="37" t="str">
        <f aca="false">IF(OR($O859="",$N859=""),"",MAX(0,$O859-$N859))</f>
        <v/>
      </c>
      <c r="Y859" s="36" t="str">
        <f aca="false">IF($F859="","",IF(AND($Q859&lt;&gt;"",$N859&lt;&gt;"",$Q859&lt;&gt;$N859),1,0))</f>
        <v/>
      </c>
      <c r="Z859" s="36" t="str">
        <f aca="false">IF($F859="","",IF($P859="Cancelada",0,IF(OR($O859&lt;&gt;"",$P859="Concluída"),1,0)))</f>
        <v/>
      </c>
    </row>
    <row r="860" customFormat="false" ht="16.5" hidden="false" customHeight="true" outlineLevel="0" collapsed="false">
      <c r="A860" s="36" t="str">
        <f aca="false">IF($F860="","",COUNTA($F$5:$F860))</f>
        <v/>
      </c>
      <c r="B860" s="37" t="str">
        <f aca="true">IF($F860="","",IF($P860="Cancelada","Cancelada",IF(OR($O860&lt;&gt;"",$P860="Concluída"),IF(OR($N860="",$O860="",$O860&lt;=$N860),"Concluída","Concluída com atraso"),IF($N860="","Na carteira",IF($N860&lt;TODAY(),"VENCIDA",IF($P860="Em execução","Em execução",IF($N860=TODAY(),"Hoje","Programada")))))))</f>
        <v/>
      </c>
      <c r="C860" s="38"/>
      <c r="D860" s="38"/>
      <c r="E860" s="38"/>
      <c r="F860" s="38"/>
      <c r="G860" s="39"/>
      <c r="H860" s="39"/>
      <c r="I860" s="40"/>
      <c r="J860" s="40"/>
      <c r="K860" s="40"/>
      <c r="L860" s="41"/>
      <c r="M860" s="42"/>
      <c r="N860" s="43" t="str">
        <f aca="false">IF(OR($L860="",$M860=""),"",$L860+MATCH($M860,Listas!$F$5:$F$11,0)-1)</f>
        <v/>
      </c>
      <c r="O860" s="44"/>
      <c r="P860" s="39"/>
      <c r="Q860" s="44"/>
      <c r="R860" s="38"/>
      <c r="S860" s="38"/>
      <c r="T860" s="36" t="str">
        <f aca="false">IF($F860="","",IF(ISNUMBER(SEARCH("(externo)",$I860&amp;$J860&amp;$K860)),"Terceirizada","Interna"))</f>
        <v/>
      </c>
      <c r="U860" s="43" t="str">
        <f aca="false">IF($N860="","",IF($Q860="",$N860,$Q860))</f>
        <v/>
      </c>
      <c r="V860" s="36" t="str">
        <f aca="false">IF($F860="","",IF(OR($O860="",$N860=""),0,IF($O860&lt;=$N860,1,0)))</f>
        <v/>
      </c>
      <c r="W860" s="36" t="str">
        <f aca="false">IF($F860="","",IF(OR($O860="",$U860=""),0,IF($O860&lt;=$U860,1,0)))</f>
        <v/>
      </c>
      <c r="X860" s="37" t="str">
        <f aca="false">IF(OR($O860="",$N860=""),"",MAX(0,$O860-$N860))</f>
        <v/>
      </c>
      <c r="Y860" s="36" t="str">
        <f aca="false">IF($F860="","",IF(AND($Q860&lt;&gt;"",$N860&lt;&gt;"",$Q860&lt;&gt;$N860),1,0))</f>
        <v/>
      </c>
      <c r="Z860" s="36" t="str">
        <f aca="false">IF($F860="","",IF($P860="Cancelada",0,IF(OR($O860&lt;&gt;"",$P860="Concluída"),1,0)))</f>
        <v/>
      </c>
    </row>
    <row r="861" customFormat="false" ht="16.5" hidden="false" customHeight="true" outlineLevel="0" collapsed="false">
      <c r="A861" s="36" t="str">
        <f aca="false">IF($F861="","",COUNTA($F$5:$F861))</f>
        <v/>
      </c>
      <c r="B861" s="37" t="str">
        <f aca="true">IF($F861="","",IF($P861="Cancelada","Cancelada",IF(OR($O861&lt;&gt;"",$P861="Concluída"),IF(OR($N861="",$O861="",$O861&lt;=$N861),"Concluída","Concluída com atraso"),IF($N861="","Na carteira",IF($N861&lt;TODAY(),"VENCIDA",IF($P861="Em execução","Em execução",IF($N861=TODAY(),"Hoje","Programada")))))))</f>
        <v/>
      </c>
      <c r="C861" s="38"/>
      <c r="D861" s="38"/>
      <c r="E861" s="38"/>
      <c r="F861" s="38"/>
      <c r="G861" s="39"/>
      <c r="H861" s="39"/>
      <c r="I861" s="40"/>
      <c r="J861" s="40"/>
      <c r="K861" s="40"/>
      <c r="L861" s="41"/>
      <c r="M861" s="42"/>
      <c r="N861" s="43" t="str">
        <f aca="false">IF(OR($L861="",$M861=""),"",$L861+MATCH($M861,Listas!$F$5:$F$11,0)-1)</f>
        <v/>
      </c>
      <c r="O861" s="44"/>
      <c r="P861" s="39"/>
      <c r="Q861" s="44"/>
      <c r="R861" s="38"/>
      <c r="S861" s="38"/>
      <c r="T861" s="36" t="str">
        <f aca="false">IF($F861="","",IF(ISNUMBER(SEARCH("(externo)",$I861&amp;$J861&amp;$K861)),"Terceirizada","Interna"))</f>
        <v/>
      </c>
      <c r="U861" s="43" t="str">
        <f aca="false">IF($N861="","",IF($Q861="",$N861,$Q861))</f>
        <v/>
      </c>
      <c r="V861" s="36" t="str">
        <f aca="false">IF($F861="","",IF(OR($O861="",$N861=""),0,IF($O861&lt;=$N861,1,0)))</f>
        <v/>
      </c>
      <c r="W861" s="36" t="str">
        <f aca="false">IF($F861="","",IF(OR($O861="",$U861=""),0,IF($O861&lt;=$U861,1,0)))</f>
        <v/>
      </c>
      <c r="X861" s="37" t="str">
        <f aca="false">IF(OR($O861="",$N861=""),"",MAX(0,$O861-$N861))</f>
        <v/>
      </c>
      <c r="Y861" s="36" t="str">
        <f aca="false">IF($F861="","",IF(AND($Q861&lt;&gt;"",$N861&lt;&gt;"",$Q861&lt;&gt;$N861),1,0))</f>
        <v/>
      </c>
      <c r="Z861" s="36" t="str">
        <f aca="false">IF($F861="","",IF($P861="Cancelada",0,IF(OR($O861&lt;&gt;"",$P861="Concluída"),1,0)))</f>
        <v/>
      </c>
    </row>
    <row r="862" customFormat="false" ht="16.5" hidden="false" customHeight="true" outlineLevel="0" collapsed="false">
      <c r="A862" s="36" t="str">
        <f aca="false">IF($F862="","",COUNTA($F$5:$F862))</f>
        <v/>
      </c>
      <c r="B862" s="37" t="str">
        <f aca="true">IF($F862="","",IF($P862="Cancelada","Cancelada",IF(OR($O862&lt;&gt;"",$P862="Concluída"),IF(OR($N862="",$O862="",$O862&lt;=$N862),"Concluída","Concluída com atraso"),IF($N862="","Na carteira",IF($N862&lt;TODAY(),"VENCIDA",IF($P862="Em execução","Em execução",IF($N862=TODAY(),"Hoje","Programada")))))))</f>
        <v/>
      </c>
      <c r="C862" s="38"/>
      <c r="D862" s="38"/>
      <c r="E862" s="38"/>
      <c r="F862" s="38"/>
      <c r="G862" s="39"/>
      <c r="H862" s="39"/>
      <c r="I862" s="40"/>
      <c r="J862" s="40"/>
      <c r="K862" s="40"/>
      <c r="L862" s="41"/>
      <c r="M862" s="42"/>
      <c r="N862" s="43" t="str">
        <f aca="false">IF(OR($L862="",$M862=""),"",$L862+MATCH($M862,Listas!$F$5:$F$11,0)-1)</f>
        <v/>
      </c>
      <c r="O862" s="44"/>
      <c r="P862" s="39"/>
      <c r="Q862" s="44"/>
      <c r="R862" s="38"/>
      <c r="S862" s="38"/>
      <c r="T862" s="36" t="str">
        <f aca="false">IF($F862="","",IF(ISNUMBER(SEARCH("(externo)",$I862&amp;$J862&amp;$K862)),"Terceirizada","Interna"))</f>
        <v/>
      </c>
      <c r="U862" s="43" t="str">
        <f aca="false">IF($N862="","",IF($Q862="",$N862,$Q862))</f>
        <v/>
      </c>
      <c r="V862" s="36" t="str">
        <f aca="false">IF($F862="","",IF(OR($O862="",$N862=""),0,IF($O862&lt;=$N862,1,0)))</f>
        <v/>
      </c>
      <c r="W862" s="36" t="str">
        <f aca="false">IF($F862="","",IF(OR($O862="",$U862=""),0,IF($O862&lt;=$U862,1,0)))</f>
        <v/>
      </c>
      <c r="X862" s="37" t="str">
        <f aca="false">IF(OR($O862="",$N862=""),"",MAX(0,$O862-$N862))</f>
        <v/>
      </c>
      <c r="Y862" s="36" t="str">
        <f aca="false">IF($F862="","",IF(AND($Q862&lt;&gt;"",$N862&lt;&gt;"",$Q862&lt;&gt;$N862),1,0))</f>
        <v/>
      </c>
      <c r="Z862" s="36" t="str">
        <f aca="false">IF($F862="","",IF($P862="Cancelada",0,IF(OR($O862&lt;&gt;"",$P862="Concluída"),1,0)))</f>
        <v/>
      </c>
    </row>
    <row r="863" customFormat="false" ht="16.5" hidden="false" customHeight="true" outlineLevel="0" collapsed="false">
      <c r="A863" s="36" t="str">
        <f aca="false">IF($F863="","",COUNTA($F$5:$F863))</f>
        <v/>
      </c>
      <c r="B863" s="37" t="str">
        <f aca="true">IF($F863="","",IF($P863="Cancelada","Cancelada",IF(OR($O863&lt;&gt;"",$P863="Concluída"),IF(OR($N863="",$O863="",$O863&lt;=$N863),"Concluída","Concluída com atraso"),IF($N863="","Na carteira",IF($N863&lt;TODAY(),"VENCIDA",IF($P863="Em execução","Em execução",IF($N863=TODAY(),"Hoje","Programada")))))))</f>
        <v/>
      </c>
      <c r="C863" s="38"/>
      <c r="D863" s="38"/>
      <c r="E863" s="38"/>
      <c r="F863" s="38"/>
      <c r="G863" s="39"/>
      <c r="H863" s="39"/>
      <c r="I863" s="40"/>
      <c r="J863" s="40"/>
      <c r="K863" s="40"/>
      <c r="L863" s="41"/>
      <c r="M863" s="42"/>
      <c r="N863" s="43" t="str">
        <f aca="false">IF(OR($L863="",$M863=""),"",$L863+MATCH($M863,Listas!$F$5:$F$11,0)-1)</f>
        <v/>
      </c>
      <c r="O863" s="44"/>
      <c r="P863" s="39"/>
      <c r="Q863" s="44"/>
      <c r="R863" s="38"/>
      <c r="S863" s="38"/>
      <c r="T863" s="36" t="str">
        <f aca="false">IF($F863="","",IF(ISNUMBER(SEARCH("(externo)",$I863&amp;$J863&amp;$K863)),"Terceirizada","Interna"))</f>
        <v/>
      </c>
      <c r="U863" s="43" t="str">
        <f aca="false">IF($N863="","",IF($Q863="",$N863,$Q863))</f>
        <v/>
      </c>
      <c r="V863" s="36" t="str">
        <f aca="false">IF($F863="","",IF(OR($O863="",$N863=""),0,IF($O863&lt;=$N863,1,0)))</f>
        <v/>
      </c>
      <c r="W863" s="36" t="str">
        <f aca="false">IF($F863="","",IF(OR($O863="",$U863=""),0,IF($O863&lt;=$U863,1,0)))</f>
        <v/>
      </c>
      <c r="X863" s="37" t="str">
        <f aca="false">IF(OR($O863="",$N863=""),"",MAX(0,$O863-$N863))</f>
        <v/>
      </c>
      <c r="Y863" s="36" t="str">
        <f aca="false">IF($F863="","",IF(AND($Q863&lt;&gt;"",$N863&lt;&gt;"",$Q863&lt;&gt;$N863),1,0))</f>
        <v/>
      </c>
      <c r="Z863" s="36" t="str">
        <f aca="false">IF($F863="","",IF($P863="Cancelada",0,IF(OR($O863&lt;&gt;"",$P863="Concluída"),1,0)))</f>
        <v/>
      </c>
    </row>
    <row r="864" customFormat="false" ht="16.5" hidden="false" customHeight="true" outlineLevel="0" collapsed="false">
      <c r="A864" s="36" t="str">
        <f aca="false">IF($F864="","",COUNTA($F$5:$F864))</f>
        <v/>
      </c>
      <c r="B864" s="37" t="str">
        <f aca="true">IF($F864="","",IF($P864="Cancelada","Cancelada",IF(OR($O864&lt;&gt;"",$P864="Concluída"),IF(OR($N864="",$O864="",$O864&lt;=$N864),"Concluída","Concluída com atraso"),IF($N864="","Na carteira",IF($N864&lt;TODAY(),"VENCIDA",IF($P864="Em execução","Em execução",IF($N864=TODAY(),"Hoje","Programada")))))))</f>
        <v/>
      </c>
      <c r="C864" s="38"/>
      <c r="D864" s="38"/>
      <c r="E864" s="38"/>
      <c r="F864" s="38"/>
      <c r="G864" s="39"/>
      <c r="H864" s="39"/>
      <c r="I864" s="40"/>
      <c r="J864" s="40"/>
      <c r="K864" s="40"/>
      <c r="L864" s="41"/>
      <c r="M864" s="42"/>
      <c r="N864" s="43" t="str">
        <f aca="false">IF(OR($L864="",$M864=""),"",$L864+MATCH($M864,Listas!$F$5:$F$11,0)-1)</f>
        <v/>
      </c>
      <c r="O864" s="44"/>
      <c r="P864" s="39"/>
      <c r="Q864" s="44"/>
      <c r="R864" s="38"/>
      <c r="S864" s="38"/>
      <c r="T864" s="36" t="str">
        <f aca="false">IF($F864="","",IF(ISNUMBER(SEARCH("(externo)",$I864&amp;$J864&amp;$K864)),"Terceirizada","Interna"))</f>
        <v/>
      </c>
      <c r="U864" s="43" t="str">
        <f aca="false">IF($N864="","",IF($Q864="",$N864,$Q864))</f>
        <v/>
      </c>
      <c r="V864" s="36" t="str">
        <f aca="false">IF($F864="","",IF(OR($O864="",$N864=""),0,IF($O864&lt;=$N864,1,0)))</f>
        <v/>
      </c>
      <c r="W864" s="36" t="str">
        <f aca="false">IF($F864="","",IF(OR($O864="",$U864=""),0,IF($O864&lt;=$U864,1,0)))</f>
        <v/>
      </c>
      <c r="X864" s="37" t="str">
        <f aca="false">IF(OR($O864="",$N864=""),"",MAX(0,$O864-$N864))</f>
        <v/>
      </c>
      <c r="Y864" s="36" t="str">
        <f aca="false">IF($F864="","",IF(AND($Q864&lt;&gt;"",$N864&lt;&gt;"",$Q864&lt;&gt;$N864),1,0))</f>
        <v/>
      </c>
      <c r="Z864" s="36" t="str">
        <f aca="false">IF($F864="","",IF($P864="Cancelada",0,IF(OR($O864&lt;&gt;"",$P864="Concluída"),1,0)))</f>
        <v/>
      </c>
    </row>
    <row r="865" customFormat="false" ht="16.5" hidden="false" customHeight="true" outlineLevel="0" collapsed="false">
      <c r="A865" s="36" t="str">
        <f aca="false">IF($F865="","",COUNTA($F$5:$F865))</f>
        <v/>
      </c>
      <c r="B865" s="37" t="str">
        <f aca="true">IF($F865="","",IF($P865="Cancelada","Cancelada",IF(OR($O865&lt;&gt;"",$P865="Concluída"),IF(OR($N865="",$O865="",$O865&lt;=$N865),"Concluída","Concluída com atraso"),IF($N865="","Na carteira",IF($N865&lt;TODAY(),"VENCIDA",IF($P865="Em execução","Em execução",IF($N865=TODAY(),"Hoje","Programada")))))))</f>
        <v/>
      </c>
      <c r="C865" s="38"/>
      <c r="D865" s="38"/>
      <c r="E865" s="38"/>
      <c r="F865" s="38"/>
      <c r="G865" s="39"/>
      <c r="H865" s="39"/>
      <c r="I865" s="40"/>
      <c r="J865" s="40"/>
      <c r="K865" s="40"/>
      <c r="L865" s="41"/>
      <c r="M865" s="42"/>
      <c r="N865" s="43" t="str">
        <f aca="false">IF(OR($L865="",$M865=""),"",$L865+MATCH($M865,Listas!$F$5:$F$11,0)-1)</f>
        <v/>
      </c>
      <c r="O865" s="44"/>
      <c r="P865" s="39"/>
      <c r="Q865" s="44"/>
      <c r="R865" s="38"/>
      <c r="S865" s="38"/>
      <c r="T865" s="36" t="str">
        <f aca="false">IF($F865="","",IF(ISNUMBER(SEARCH("(externo)",$I865&amp;$J865&amp;$K865)),"Terceirizada","Interna"))</f>
        <v/>
      </c>
      <c r="U865" s="43" t="str">
        <f aca="false">IF($N865="","",IF($Q865="",$N865,$Q865))</f>
        <v/>
      </c>
      <c r="V865" s="36" t="str">
        <f aca="false">IF($F865="","",IF(OR($O865="",$N865=""),0,IF($O865&lt;=$N865,1,0)))</f>
        <v/>
      </c>
      <c r="W865" s="36" t="str">
        <f aca="false">IF($F865="","",IF(OR($O865="",$U865=""),0,IF($O865&lt;=$U865,1,0)))</f>
        <v/>
      </c>
      <c r="X865" s="37" t="str">
        <f aca="false">IF(OR($O865="",$N865=""),"",MAX(0,$O865-$N865))</f>
        <v/>
      </c>
      <c r="Y865" s="36" t="str">
        <f aca="false">IF($F865="","",IF(AND($Q865&lt;&gt;"",$N865&lt;&gt;"",$Q865&lt;&gt;$N865),1,0))</f>
        <v/>
      </c>
      <c r="Z865" s="36" t="str">
        <f aca="false">IF($F865="","",IF($P865="Cancelada",0,IF(OR($O865&lt;&gt;"",$P865="Concluída"),1,0)))</f>
        <v/>
      </c>
    </row>
    <row r="866" customFormat="false" ht="16.5" hidden="false" customHeight="true" outlineLevel="0" collapsed="false">
      <c r="A866" s="36" t="str">
        <f aca="false">IF($F866="","",COUNTA($F$5:$F866))</f>
        <v/>
      </c>
      <c r="B866" s="37" t="str">
        <f aca="true">IF($F866="","",IF($P866="Cancelada","Cancelada",IF(OR($O866&lt;&gt;"",$P866="Concluída"),IF(OR($N866="",$O866="",$O866&lt;=$N866),"Concluída","Concluída com atraso"),IF($N866="","Na carteira",IF($N866&lt;TODAY(),"VENCIDA",IF($P866="Em execução","Em execução",IF($N866=TODAY(),"Hoje","Programada")))))))</f>
        <v/>
      </c>
      <c r="C866" s="38"/>
      <c r="D866" s="38"/>
      <c r="E866" s="38"/>
      <c r="F866" s="38"/>
      <c r="G866" s="39"/>
      <c r="H866" s="39"/>
      <c r="I866" s="40"/>
      <c r="J866" s="40"/>
      <c r="K866" s="40"/>
      <c r="L866" s="41"/>
      <c r="M866" s="42"/>
      <c r="N866" s="43" t="str">
        <f aca="false">IF(OR($L866="",$M866=""),"",$L866+MATCH($M866,Listas!$F$5:$F$11,0)-1)</f>
        <v/>
      </c>
      <c r="O866" s="44"/>
      <c r="P866" s="39"/>
      <c r="Q866" s="44"/>
      <c r="R866" s="38"/>
      <c r="S866" s="38"/>
      <c r="T866" s="36" t="str">
        <f aca="false">IF($F866="","",IF(ISNUMBER(SEARCH("(externo)",$I866&amp;$J866&amp;$K866)),"Terceirizada","Interna"))</f>
        <v/>
      </c>
      <c r="U866" s="43" t="str">
        <f aca="false">IF($N866="","",IF($Q866="",$N866,$Q866))</f>
        <v/>
      </c>
      <c r="V866" s="36" t="str">
        <f aca="false">IF($F866="","",IF(OR($O866="",$N866=""),0,IF($O866&lt;=$N866,1,0)))</f>
        <v/>
      </c>
      <c r="W866" s="36" t="str">
        <f aca="false">IF($F866="","",IF(OR($O866="",$U866=""),0,IF($O866&lt;=$U866,1,0)))</f>
        <v/>
      </c>
      <c r="X866" s="37" t="str">
        <f aca="false">IF(OR($O866="",$N866=""),"",MAX(0,$O866-$N866))</f>
        <v/>
      </c>
      <c r="Y866" s="36" t="str">
        <f aca="false">IF($F866="","",IF(AND($Q866&lt;&gt;"",$N866&lt;&gt;"",$Q866&lt;&gt;$N866),1,0))</f>
        <v/>
      </c>
      <c r="Z866" s="36" t="str">
        <f aca="false">IF($F866="","",IF($P866="Cancelada",0,IF(OR($O866&lt;&gt;"",$P866="Concluída"),1,0)))</f>
        <v/>
      </c>
    </row>
    <row r="867" customFormat="false" ht="16.5" hidden="false" customHeight="true" outlineLevel="0" collapsed="false">
      <c r="A867" s="36" t="str">
        <f aca="false">IF($F867="","",COUNTA($F$5:$F867))</f>
        <v/>
      </c>
      <c r="B867" s="37" t="str">
        <f aca="true">IF($F867="","",IF($P867="Cancelada","Cancelada",IF(OR($O867&lt;&gt;"",$P867="Concluída"),IF(OR($N867="",$O867="",$O867&lt;=$N867),"Concluída","Concluída com atraso"),IF($N867="","Na carteira",IF($N867&lt;TODAY(),"VENCIDA",IF($P867="Em execução","Em execução",IF($N867=TODAY(),"Hoje","Programada")))))))</f>
        <v/>
      </c>
      <c r="C867" s="38"/>
      <c r="D867" s="38"/>
      <c r="E867" s="38"/>
      <c r="F867" s="38"/>
      <c r="G867" s="39"/>
      <c r="H867" s="39"/>
      <c r="I867" s="40"/>
      <c r="J867" s="40"/>
      <c r="K867" s="40"/>
      <c r="L867" s="41"/>
      <c r="M867" s="42"/>
      <c r="N867" s="43" t="str">
        <f aca="false">IF(OR($L867="",$M867=""),"",$L867+MATCH($M867,Listas!$F$5:$F$11,0)-1)</f>
        <v/>
      </c>
      <c r="O867" s="44"/>
      <c r="P867" s="39"/>
      <c r="Q867" s="44"/>
      <c r="R867" s="38"/>
      <c r="S867" s="38"/>
      <c r="T867" s="36" t="str">
        <f aca="false">IF($F867="","",IF(ISNUMBER(SEARCH("(externo)",$I867&amp;$J867&amp;$K867)),"Terceirizada","Interna"))</f>
        <v/>
      </c>
      <c r="U867" s="43" t="str">
        <f aca="false">IF($N867="","",IF($Q867="",$N867,$Q867))</f>
        <v/>
      </c>
      <c r="V867" s="36" t="str">
        <f aca="false">IF($F867="","",IF(OR($O867="",$N867=""),0,IF($O867&lt;=$N867,1,0)))</f>
        <v/>
      </c>
      <c r="W867" s="36" t="str">
        <f aca="false">IF($F867="","",IF(OR($O867="",$U867=""),0,IF($O867&lt;=$U867,1,0)))</f>
        <v/>
      </c>
      <c r="X867" s="37" t="str">
        <f aca="false">IF(OR($O867="",$N867=""),"",MAX(0,$O867-$N867))</f>
        <v/>
      </c>
      <c r="Y867" s="36" t="str">
        <f aca="false">IF($F867="","",IF(AND($Q867&lt;&gt;"",$N867&lt;&gt;"",$Q867&lt;&gt;$N867),1,0))</f>
        <v/>
      </c>
      <c r="Z867" s="36" t="str">
        <f aca="false">IF($F867="","",IF($P867="Cancelada",0,IF(OR($O867&lt;&gt;"",$P867="Concluída"),1,0)))</f>
        <v/>
      </c>
    </row>
    <row r="868" customFormat="false" ht="16.5" hidden="false" customHeight="true" outlineLevel="0" collapsed="false">
      <c r="A868" s="36" t="str">
        <f aca="false">IF($F868="","",COUNTA($F$5:$F868))</f>
        <v/>
      </c>
      <c r="B868" s="37" t="str">
        <f aca="true">IF($F868="","",IF($P868="Cancelada","Cancelada",IF(OR($O868&lt;&gt;"",$P868="Concluída"),IF(OR($N868="",$O868="",$O868&lt;=$N868),"Concluída","Concluída com atraso"),IF($N868="","Na carteira",IF($N868&lt;TODAY(),"VENCIDA",IF($P868="Em execução","Em execução",IF($N868=TODAY(),"Hoje","Programada")))))))</f>
        <v/>
      </c>
      <c r="C868" s="38"/>
      <c r="D868" s="38"/>
      <c r="E868" s="38"/>
      <c r="F868" s="38"/>
      <c r="G868" s="39"/>
      <c r="H868" s="39"/>
      <c r="I868" s="40"/>
      <c r="J868" s="40"/>
      <c r="K868" s="40"/>
      <c r="L868" s="41"/>
      <c r="M868" s="42"/>
      <c r="N868" s="43" t="str">
        <f aca="false">IF(OR($L868="",$M868=""),"",$L868+MATCH($M868,Listas!$F$5:$F$11,0)-1)</f>
        <v/>
      </c>
      <c r="O868" s="44"/>
      <c r="P868" s="39"/>
      <c r="Q868" s="44"/>
      <c r="R868" s="38"/>
      <c r="S868" s="38"/>
      <c r="T868" s="36" t="str">
        <f aca="false">IF($F868="","",IF(ISNUMBER(SEARCH("(externo)",$I868&amp;$J868&amp;$K868)),"Terceirizada","Interna"))</f>
        <v/>
      </c>
      <c r="U868" s="43" t="str">
        <f aca="false">IF($N868="","",IF($Q868="",$N868,$Q868))</f>
        <v/>
      </c>
      <c r="V868" s="36" t="str">
        <f aca="false">IF($F868="","",IF(OR($O868="",$N868=""),0,IF($O868&lt;=$N868,1,0)))</f>
        <v/>
      </c>
      <c r="W868" s="36" t="str">
        <f aca="false">IF($F868="","",IF(OR($O868="",$U868=""),0,IF($O868&lt;=$U868,1,0)))</f>
        <v/>
      </c>
      <c r="X868" s="37" t="str">
        <f aca="false">IF(OR($O868="",$N868=""),"",MAX(0,$O868-$N868))</f>
        <v/>
      </c>
      <c r="Y868" s="36" t="str">
        <f aca="false">IF($F868="","",IF(AND($Q868&lt;&gt;"",$N868&lt;&gt;"",$Q868&lt;&gt;$N868),1,0))</f>
        <v/>
      </c>
      <c r="Z868" s="36" t="str">
        <f aca="false">IF($F868="","",IF($P868="Cancelada",0,IF(OR($O868&lt;&gt;"",$P868="Concluída"),1,0)))</f>
        <v/>
      </c>
    </row>
    <row r="869" customFormat="false" ht="16.5" hidden="false" customHeight="true" outlineLevel="0" collapsed="false">
      <c r="A869" s="36" t="str">
        <f aca="false">IF($F869="","",COUNTA($F$5:$F869))</f>
        <v/>
      </c>
      <c r="B869" s="37" t="str">
        <f aca="true">IF($F869="","",IF($P869="Cancelada","Cancelada",IF(OR($O869&lt;&gt;"",$P869="Concluída"),IF(OR($N869="",$O869="",$O869&lt;=$N869),"Concluída","Concluída com atraso"),IF($N869="","Na carteira",IF($N869&lt;TODAY(),"VENCIDA",IF($P869="Em execução","Em execução",IF($N869=TODAY(),"Hoje","Programada")))))))</f>
        <v/>
      </c>
      <c r="C869" s="38"/>
      <c r="D869" s="38"/>
      <c r="E869" s="38"/>
      <c r="F869" s="38"/>
      <c r="G869" s="39"/>
      <c r="H869" s="39"/>
      <c r="I869" s="40"/>
      <c r="J869" s="40"/>
      <c r="K869" s="40"/>
      <c r="L869" s="41"/>
      <c r="M869" s="42"/>
      <c r="N869" s="43" t="str">
        <f aca="false">IF(OR($L869="",$M869=""),"",$L869+MATCH($M869,Listas!$F$5:$F$11,0)-1)</f>
        <v/>
      </c>
      <c r="O869" s="44"/>
      <c r="P869" s="39"/>
      <c r="Q869" s="44"/>
      <c r="R869" s="38"/>
      <c r="S869" s="38"/>
      <c r="T869" s="36" t="str">
        <f aca="false">IF($F869="","",IF(ISNUMBER(SEARCH("(externo)",$I869&amp;$J869&amp;$K869)),"Terceirizada","Interna"))</f>
        <v/>
      </c>
      <c r="U869" s="43" t="str">
        <f aca="false">IF($N869="","",IF($Q869="",$N869,$Q869))</f>
        <v/>
      </c>
      <c r="V869" s="36" t="str">
        <f aca="false">IF($F869="","",IF(OR($O869="",$N869=""),0,IF($O869&lt;=$N869,1,0)))</f>
        <v/>
      </c>
      <c r="W869" s="36" t="str">
        <f aca="false">IF($F869="","",IF(OR($O869="",$U869=""),0,IF($O869&lt;=$U869,1,0)))</f>
        <v/>
      </c>
      <c r="X869" s="37" t="str">
        <f aca="false">IF(OR($O869="",$N869=""),"",MAX(0,$O869-$N869))</f>
        <v/>
      </c>
      <c r="Y869" s="36" t="str">
        <f aca="false">IF($F869="","",IF(AND($Q869&lt;&gt;"",$N869&lt;&gt;"",$Q869&lt;&gt;$N869),1,0))</f>
        <v/>
      </c>
      <c r="Z869" s="36" t="str">
        <f aca="false">IF($F869="","",IF($P869="Cancelada",0,IF(OR($O869&lt;&gt;"",$P869="Concluída"),1,0)))</f>
        <v/>
      </c>
    </row>
    <row r="870" customFormat="false" ht="16.5" hidden="false" customHeight="true" outlineLevel="0" collapsed="false">
      <c r="A870" s="36" t="str">
        <f aca="false">IF($F870="","",COUNTA($F$5:$F870))</f>
        <v/>
      </c>
      <c r="B870" s="37" t="str">
        <f aca="true">IF($F870="","",IF($P870="Cancelada","Cancelada",IF(OR($O870&lt;&gt;"",$P870="Concluída"),IF(OR($N870="",$O870="",$O870&lt;=$N870),"Concluída","Concluída com atraso"),IF($N870="","Na carteira",IF($N870&lt;TODAY(),"VENCIDA",IF($P870="Em execução","Em execução",IF($N870=TODAY(),"Hoje","Programada")))))))</f>
        <v/>
      </c>
      <c r="C870" s="38"/>
      <c r="D870" s="38"/>
      <c r="E870" s="38"/>
      <c r="F870" s="38"/>
      <c r="G870" s="39"/>
      <c r="H870" s="39"/>
      <c r="I870" s="40"/>
      <c r="J870" s="40"/>
      <c r="K870" s="40"/>
      <c r="L870" s="41"/>
      <c r="M870" s="42"/>
      <c r="N870" s="43" t="str">
        <f aca="false">IF(OR($L870="",$M870=""),"",$L870+MATCH($M870,Listas!$F$5:$F$11,0)-1)</f>
        <v/>
      </c>
      <c r="O870" s="44"/>
      <c r="P870" s="39"/>
      <c r="Q870" s="44"/>
      <c r="R870" s="38"/>
      <c r="S870" s="38"/>
      <c r="T870" s="36" t="str">
        <f aca="false">IF($F870="","",IF(ISNUMBER(SEARCH("(externo)",$I870&amp;$J870&amp;$K870)),"Terceirizada","Interna"))</f>
        <v/>
      </c>
      <c r="U870" s="43" t="str">
        <f aca="false">IF($N870="","",IF($Q870="",$N870,$Q870))</f>
        <v/>
      </c>
      <c r="V870" s="36" t="str">
        <f aca="false">IF($F870="","",IF(OR($O870="",$N870=""),0,IF($O870&lt;=$N870,1,0)))</f>
        <v/>
      </c>
      <c r="W870" s="36" t="str">
        <f aca="false">IF($F870="","",IF(OR($O870="",$U870=""),0,IF($O870&lt;=$U870,1,0)))</f>
        <v/>
      </c>
      <c r="X870" s="37" t="str">
        <f aca="false">IF(OR($O870="",$N870=""),"",MAX(0,$O870-$N870))</f>
        <v/>
      </c>
      <c r="Y870" s="36" t="str">
        <f aca="false">IF($F870="","",IF(AND($Q870&lt;&gt;"",$N870&lt;&gt;"",$Q870&lt;&gt;$N870),1,0))</f>
        <v/>
      </c>
      <c r="Z870" s="36" t="str">
        <f aca="false">IF($F870="","",IF($P870="Cancelada",0,IF(OR($O870&lt;&gt;"",$P870="Concluída"),1,0)))</f>
        <v/>
      </c>
    </row>
    <row r="871" customFormat="false" ht="16.5" hidden="false" customHeight="true" outlineLevel="0" collapsed="false">
      <c r="A871" s="36" t="str">
        <f aca="false">IF($F871="","",COUNTA($F$5:$F871))</f>
        <v/>
      </c>
      <c r="B871" s="37" t="str">
        <f aca="true">IF($F871="","",IF($P871="Cancelada","Cancelada",IF(OR($O871&lt;&gt;"",$P871="Concluída"),IF(OR($N871="",$O871="",$O871&lt;=$N871),"Concluída","Concluída com atraso"),IF($N871="","Na carteira",IF($N871&lt;TODAY(),"VENCIDA",IF($P871="Em execução","Em execução",IF($N871=TODAY(),"Hoje","Programada")))))))</f>
        <v/>
      </c>
      <c r="C871" s="38"/>
      <c r="D871" s="38"/>
      <c r="E871" s="38"/>
      <c r="F871" s="38"/>
      <c r="G871" s="39"/>
      <c r="H871" s="39"/>
      <c r="I871" s="40"/>
      <c r="J871" s="40"/>
      <c r="K871" s="40"/>
      <c r="L871" s="41"/>
      <c r="M871" s="42"/>
      <c r="N871" s="43" t="str">
        <f aca="false">IF(OR($L871="",$M871=""),"",$L871+MATCH($M871,Listas!$F$5:$F$11,0)-1)</f>
        <v/>
      </c>
      <c r="O871" s="44"/>
      <c r="P871" s="39"/>
      <c r="Q871" s="44"/>
      <c r="R871" s="38"/>
      <c r="S871" s="38"/>
      <c r="T871" s="36" t="str">
        <f aca="false">IF($F871="","",IF(ISNUMBER(SEARCH("(externo)",$I871&amp;$J871&amp;$K871)),"Terceirizada","Interna"))</f>
        <v/>
      </c>
      <c r="U871" s="43" t="str">
        <f aca="false">IF($N871="","",IF($Q871="",$N871,$Q871))</f>
        <v/>
      </c>
      <c r="V871" s="36" t="str">
        <f aca="false">IF($F871="","",IF(OR($O871="",$N871=""),0,IF($O871&lt;=$N871,1,0)))</f>
        <v/>
      </c>
      <c r="W871" s="36" t="str">
        <f aca="false">IF($F871="","",IF(OR($O871="",$U871=""),0,IF($O871&lt;=$U871,1,0)))</f>
        <v/>
      </c>
      <c r="X871" s="37" t="str">
        <f aca="false">IF(OR($O871="",$N871=""),"",MAX(0,$O871-$N871))</f>
        <v/>
      </c>
      <c r="Y871" s="36" t="str">
        <f aca="false">IF($F871="","",IF(AND($Q871&lt;&gt;"",$N871&lt;&gt;"",$Q871&lt;&gt;$N871),1,0))</f>
        <v/>
      </c>
      <c r="Z871" s="36" t="str">
        <f aca="false">IF($F871="","",IF($P871="Cancelada",0,IF(OR($O871&lt;&gt;"",$P871="Concluída"),1,0)))</f>
        <v/>
      </c>
    </row>
    <row r="872" customFormat="false" ht="16.5" hidden="false" customHeight="true" outlineLevel="0" collapsed="false">
      <c r="A872" s="36" t="str">
        <f aca="false">IF($F872="","",COUNTA($F$5:$F872))</f>
        <v/>
      </c>
      <c r="B872" s="37" t="str">
        <f aca="true">IF($F872="","",IF($P872="Cancelada","Cancelada",IF(OR($O872&lt;&gt;"",$P872="Concluída"),IF(OR($N872="",$O872="",$O872&lt;=$N872),"Concluída","Concluída com atraso"),IF($N872="","Na carteira",IF($N872&lt;TODAY(),"VENCIDA",IF($P872="Em execução","Em execução",IF($N872=TODAY(),"Hoje","Programada")))))))</f>
        <v/>
      </c>
      <c r="C872" s="38"/>
      <c r="D872" s="38"/>
      <c r="E872" s="38"/>
      <c r="F872" s="38"/>
      <c r="G872" s="39"/>
      <c r="H872" s="39"/>
      <c r="I872" s="40"/>
      <c r="J872" s="40"/>
      <c r="K872" s="40"/>
      <c r="L872" s="41"/>
      <c r="M872" s="42"/>
      <c r="N872" s="43" t="str">
        <f aca="false">IF(OR($L872="",$M872=""),"",$L872+MATCH($M872,Listas!$F$5:$F$11,0)-1)</f>
        <v/>
      </c>
      <c r="O872" s="44"/>
      <c r="P872" s="39"/>
      <c r="Q872" s="44"/>
      <c r="R872" s="38"/>
      <c r="S872" s="38"/>
      <c r="T872" s="36" t="str">
        <f aca="false">IF($F872="","",IF(ISNUMBER(SEARCH("(externo)",$I872&amp;$J872&amp;$K872)),"Terceirizada","Interna"))</f>
        <v/>
      </c>
      <c r="U872" s="43" t="str">
        <f aca="false">IF($N872="","",IF($Q872="",$N872,$Q872))</f>
        <v/>
      </c>
      <c r="V872" s="36" t="str">
        <f aca="false">IF($F872="","",IF(OR($O872="",$N872=""),0,IF($O872&lt;=$N872,1,0)))</f>
        <v/>
      </c>
      <c r="W872" s="36" t="str">
        <f aca="false">IF($F872="","",IF(OR($O872="",$U872=""),0,IF($O872&lt;=$U872,1,0)))</f>
        <v/>
      </c>
      <c r="X872" s="37" t="str">
        <f aca="false">IF(OR($O872="",$N872=""),"",MAX(0,$O872-$N872))</f>
        <v/>
      </c>
      <c r="Y872" s="36" t="str">
        <f aca="false">IF($F872="","",IF(AND($Q872&lt;&gt;"",$N872&lt;&gt;"",$Q872&lt;&gt;$N872),1,0))</f>
        <v/>
      </c>
      <c r="Z872" s="36" t="str">
        <f aca="false">IF($F872="","",IF($P872="Cancelada",0,IF(OR($O872&lt;&gt;"",$P872="Concluída"),1,0)))</f>
        <v/>
      </c>
    </row>
    <row r="873" customFormat="false" ht="16.5" hidden="false" customHeight="true" outlineLevel="0" collapsed="false">
      <c r="A873" s="36" t="str">
        <f aca="false">IF($F873="","",COUNTA($F$5:$F873))</f>
        <v/>
      </c>
      <c r="B873" s="37" t="str">
        <f aca="true">IF($F873="","",IF($P873="Cancelada","Cancelada",IF(OR($O873&lt;&gt;"",$P873="Concluída"),IF(OR($N873="",$O873="",$O873&lt;=$N873),"Concluída","Concluída com atraso"),IF($N873="","Na carteira",IF($N873&lt;TODAY(),"VENCIDA",IF($P873="Em execução","Em execução",IF($N873=TODAY(),"Hoje","Programada")))))))</f>
        <v/>
      </c>
      <c r="C873" s="38"/>
      <c r="D873" s="38"/>
      <c r="E873" s="38"/>
      <c r="F873" s="38"/>
      <c r="G873" s="39"/>
      <c r="H873" s="39"/>
      <c r="I873" s="40"/>
      <c r="J873" s="40"/>
      <c r="K873" s="40"/>
      <c r="L873" s="41"/>
      <c r="M873" s="42"/>
      <c r="N873" s="43" t="str">
        <f aca="false">IF(OR($L873="",$M873=""),"",$L873+MATCH($M873,Listas!$F$5:$F$11,0)-1)</f>
        <v/>
      </c>
      <c r="O873" s="44"/>
      <c r="P873" s="39"/>
      <c r="Q873" s="44"/>
      <c r="R873" s="38"/>
      <c r="S873" s="38"/>
      <c r="T873" s="36" t="str">
        <f aca="false">IF($F873="","",IF(ISNUMBER(SEARCH("(externo)",$I873&amp;$J873&amp;$K873)),"Terceirizada","Interna"))</f>
        <v/>
      </c>
      <c r="U873" s="43" t="str">
        <f aca="false">IF($N873="","",IF($Q873="",$N873,$Q873))</f>
        <v/>
      </c>
      <c r="V873" s="36" t="str">
        <f aca="false">IF($F873="","",IF(OR($O873="",$N873=""),0,IF($O873&lt;=$N873,1,0)))</f>
        <v/>
      </c>
      <c r="W873" s="36" t="str">
        <f aca="false">IF($F873="","",IF(OR($O873="",$U873=""),0,IF($O873&lt;=$U873,1,0)))</f>
        <v/>
      </c>
      <c r="X873" s="37" t="str">
        <f aca="false">IF(OR($O873="",$N873=""),"",MAX(0,$O873-$N873))</f>
        <v/>
      </c>
      <c r="Y873" s="36" t="str">
        <f aca="false">IF($F873="","",IF(AND($Q873&lt;&gt;"",$N873&lt;&gt;"",$Q873&lt;&gt;$N873),1,0))</f>
        <v/>
      </c>
      <c r="Z873" s="36" t="str">
        <f aca="false">IF($F873="","",IF($P873="Cancelada",0,IF(OR($O873&lt;&gt;"",$P873="Concluída"),1,0)))</f>
        <v/>
      </c>
    </row>
    <row r="874" customFormat="false" ht="16.5" hidden="false" customHeight="true" outlineLevel="0" collapsed="false">
      <c r="A874" s="36" t="str">
        <f aca="false">IF($F874="","",COUNTA($F$5:$F874))</f>
        <v/>
      </c>
      <c r="B874" s="37" t="str">
        <f aca="true">IF($F874="","",IF($P874="Cancelada","Cancelada",IF(OR($O874&lt;&gt;"",$P874="Concluída"),IF(OR($N874="",$O874="",$O874&lt;=$N874),"Concluída","Concluída com atraso"),IF($N874="","Na carteira",IF($N874&lt;TODAY(),"VENCIDA",IF($P874="Em execução","Em execução",IF($N874=TODAY(),"Hoje","Programada")))))))</f>
        <v/>
      </c>
      <c r="C874" s="38"/>
      <c r="D874" s="38"/>
      <c r="E874" s="38"/>
      <c r="F874" s="38"/>
      <c r="G874" s="39"/>
      <c r="H874" s="39"/>
      <c r="I874" s="40"/>
      <c r="J874" s="40"/>
      <c r="K874" s="40"/>
      <c r="L874" s="41"/>
      <c r="M874" s="42"/>
      <c r="N874" s="43" t="str">
        <f aca="false">IF(OR($L874="",$M874=""),"",$L874+MATCH($M874,Listas!$F$5:$F$11,0)-1)</f>
        <v/>
      </c>
      <c r="O874" s="44"/>
      <c r="P874" s="39"/>
      <c r="Q874" s="44"/>
      <c r="R874" s="38"/>
      <c r="S874" s="38"/>
      <c r="T874" s="36" t="str">
        <f aca="false">IF($F874="","",IF(ISNUMBER(SEARCH("(externo)",$I874&amp;$J874&amp;$K874)),"Terceirizada","Interna"))</f>
        <v/>
      </c>
      <c r="U874" s="43" t="str">
        <f aca="false">IF($N874="","",IF($Q874="",$N874,$Q874))</f>
        <v/>
      </c>
      <c r="V874" s="36" t="str">
        <f aca="false">IF($F874="","",IF(OR($O874="",$N874=""),0,IF($O874&lt;=$N874,1,0)))</f>
        <v/>
      </c>
      <c r="W874" s="36" t="str">
        <f aca="false">IF($F874="","",IF(OR($O874="",$U874=""),0,IF($O874&lt;=$U874,1,0)))</f>
        <v/>
      </c>
      <c r="X874" s="37" t="str">
        <f aca="false">IF(OR($O874="",$N874=""),"",MAX(0,$O874-$N874))</f>
        <v/>
      </c>
      <c r="Y874" s="36" t="str">
        <f aca="false">IF($F874="","",IF(AND($Q874&lt;&gt;"",$N874&lt;&gt;"",$Q874&lt;&gt;$N874),1,0))</f>
        <v/>
      </c>
      <c r="Z874" s="36" t="str">
        <f aca="false">IF($F874="","",IF($P874="Cancelada",0,IF(OR($O874&lt;&gt;"",$P874="Concluída"),1,0)))</f>
        <v/>
      </c>
    </row>
    <row r="875" customFormat="false" ht="16.5" hidden="false" customHeight="true" outlineLevel="0" collapsed="false">
      <c r="A875" s="36" t="str">
        <f aca="false">IF($F875="","",COUNTA($F$5:$F875))</f>
        <v/>
      </c>
      <c r="B875" s="37" t="str">
        <f aca="true">IF($F875="","",IF($P875="Cancelada","Cancelada",IF(OR($O875&lt;&gt;"",$P875="Concluída"),IF(OR($N875="",$O875="",$O875&lt;=$N875),"Concluída","Concluída com atraso"),IF($N875="","Na carteira",IF($N875&lt;TODAY(),"VENCIDA",IF($P875="Em execução","Em execução",IF($N875=TODAY(),"Hoje","Programada")))))))</f>
        <v/>
      </c>
      <c r="C875" s="38"/>
      <c r="D875" s="38"/>
      <c r="E875" s="38"/>
      <c r="F875" s="38"/>
      <c r="G875" s="39"/>
      <c r="H875" s="39"/>
      <c r="I875" s="40"/>
      <c r="J875" s="40"/>
      <c r="K875" s="40"/>
      <c r="L875" s="41"/>
      <c r="M875" s="42"/>
      <c r="N875" s="43" t="str">
        <f aca="false">IF(OR($L875="",$M875=""),"",$L875+MATCH($M875,Listas!$F$5:$F$11,0)-1)</f>
        <v/>
      </c>
      <c r="O875" s="44"/>
      <c r="P875" s="39"/>
      <c r="Q875" s="44"/>
      <c r="R875" s="38"/>
      <c r="S875" s="38"/>
      <c r="T875" s="36" t="str">
        <f aca="false">IF($F875="","",IF(ISNUMBER(SEARCH("(externo)",$I875&amp;$J875&amp;$K875)),"Terceirizada","Interna"))</f>
        <v/>
      </c>
      <c r="U875" s="43" t="str">
        <f aca="false">IF($N875="","",IF($Q875="",$N875,$Q875))</f>
        <v/>
      </c>
      <c r="V875" s="36" t="str">
        <f aca="false">IF($F875="","",IF(OR($O875="",$N875=""),0,IF($O875&lt;=$N875,1,0)))</f>
        <v/>
      </c>
      <c r="W875" s="36" t="str">
        <f aca="false">IF($F875="","",IF(OR($O875="",$U875=""),0,IF($O875&lt;=$U875,1,0)))</f>
        <v/>
      </c>
      <c r="X875" s="37" t="str">
        <f aca="false">IF(OR($O875="",$N875=""),"",MAX(0,$O875-$N875))</f>
        <v/>
      </c>
      <c r="Y875" s="36" t="str">
        <f aca="false">IF($F875="","",IF(AND($Q875&lt;&gt;"",$N875&lt;&gt;"",$Q875&lt;&gt;$N875),1,0))</f>
        <v/>
      </c>
      <c r="Z875" s="36" t="str">
        <f aca="false">IF($F875="","",IF($P875="Cancelada",0,IF(OR($O875&lt;&gt;"",$P875="Concluída"),1,0)))</f>
        <v/>
      </c>
    </row>
    <row r="876" customFormat="false" ht="16.5" hidden="false" customHeight="true" outlineLevel="0" collapsed="false">
      <c r="A876" s="36" t="str">
        <f aca="false">IF($F876="","",COUNTA($F$5:$F876))</f>
        <v/>
      </c>
      <c r="B876" s="37" t="str">
        <f aca="true">IF($F876="","",IF($P876="Cancelada","Cancelada",IF(OR($O876&lt;&gt;"",$P876="Concluída"),IF(OR($N876="",$O876="",$O876&lt;=$N876),"Concluída","Concluída com atraso"),IF($N876="","Na carteira",IF($N876&lt;TODAY(),"VENCIDA",IF($P876="Em execução","Em execução",IF($N876=TODAY(),"Hoje","Programada")))))))</f>
        <v/>
      </c>
      <c r="C876" s="38"/>
      <c r="D876" s="38"/>
      <c r="E876" s="38"/>
      <c r="F876" s="38"/>
      <c r="G876" s="39"/>
      <c r="H876" s="39"/>
      <c r="I876" s="40"/>
      <c r="J876" s="40"/>
      <c r="K876" s="40"/>
      <c r="L876" s="41"/>
      <c r="M876" s="42"/>
      <c r="N876" s="43" t="str">
        <f aca="false">IF(OR($L876="",$M876=""),"",$L876+MATCH($M876,Listas!$F$5:$F$11,0)-1)</f>
        <v/>
      </c>
      <c r="O876" s="44"/>
      <c r="P876" s="39"/>
      <c r="Q876" s="44"/>
      <c r="R876" s="38"/>
      <c r="S876" s="38"/>
      <c r="T876" s="36" t="str">
        <f aca="false">IF($F876="","",IF(ISNUMBER(SEARCH("(externo)",$I876&amp;$J876&amp;$K876)),"Terceirizada","Interna"))</f>
        <v/>
      </c>
      <c r="U876" s="43" t="str">
        <f aca="false">IF($N876="","",IF($Q876="",$N876,$Q876))</f>
        <v/>
      </c>
      <c r="V876" s="36" t="str">
        <f aca="false">IF($F876="","",IF(OR($O876="",$N876=""),0,IF($O876&lt;=$N876,1,0)))</f>
        <v/>
      </c>
      <c r="W876" s="36" t="str">
        <f aca="false">IF($F876="","",IF(OR($O876="",$U876=""),0,IF($O876&lt;=$U876,1,0)))</f>
        <v/>
      </c>
      <c r="X876" s="37" t="str">
        <f aca="false">IF(OR($O876="",$N876=""),"",MAX(0,$O876-$N876))</f>
        <v/>
      </c>
      <c r="Y876" s="36" t="str">
        <f aca="false">IF($F876="","",IF(AND($Q876&lt;&gt;"",$N876&lt;&gt;"",$Q876&lt;&gt;$N876),1,0))</f>
        <v/>
      </c>
      <c r="Z876" s="36" t="str">
        <f aca="false">IF($F876="","",IF($P876="Cancelada",0,IF(OR($O876&lt;&gt;"",$P876="Concluída"),1,0)))</f>
        <v/>
      </c>
    </row>
    <row r="877" customFormat="false" ht="16.5" hidden="false" customHeight="true" outlineLevel="0" collapsed="false">
      <c r="A877" s="36" t="str">
        <f aca="false">IF($F877="","",COUNTA($F$5:$F877))</f>
        <v/>
      </c>
      <c r="B877" s="37" t="str">
        <f aca="true">IF($F877="","",IF($P877="Cancelada","Cancelada",IF(OR($O877&lt;&gt;"",$P877="Concluída"),IF(OR($N877="",$O877="",$O877&lt;=$N877),"Concluída","Concluída com atraso"),IF($N877="","Na carteira",IF($N877&lt;TODAY(),"VENCIDA",IF($P877="Em execução","Em execução",IF($N877=TODAY(),"Hoje","Programada")))))))</f>
        <v/>
      </c>
      <c r="C877" s="38"/>
      <c r="D877" s="38"/>
      <c r="E877" s="38"/>
      <c r="F877" s="38"/>
      <c r="G877" s="39"/>
      <c r="H877" s="39"/>
      <c r="I877" s="40"/>
      <c r="J877" s="40"/>
      <c r="K877" s="40"/>
      <c r="L877" s="41"/>
      <c r="M877" s="42"/>
      <c r="N877" s="43" t="str">
        <f aca="false">IF(OR($L877="",$M877=""),"",$L877+MATCH($M877,Listas!$F$5:$F$11,0)-1)</f>
        <v/>
      </c>
      <c r="O877" s="44"/>
      <c r="P877" s="39"/>
      <c r="Q877" s="44"/>
      <c r="R877" s="38"/>
      <c r="S877" s="38"/>
      <c r="T877" s="36" t="str">
        <f aca="false">IF($F877="","",IF(ISNUMBER(SEARCH("(externo)",$I877&amp;$J877&amp;$K877)),"Terceirizada","Interna"))</f>
        <v/>
      </c>
      <c r="U877" s="43" t="str">
        <f aca="false">IF($N877="","",IF($Q877="",$N877,$Q877))</f>
        <v/>
      </c>
      <c r="V877" s="36" t="str">
        <f aca="false">IF($F877="","",IF(OR($O877="",$N877=""),0,IF($O877&lt;=$N877,1,0)))</f>
        <v/>
      </c>
      <c r="W877" s="36" t="str">
        <f aca="false">IF($F877="","",IF(OR($O877="",$U877=""),0,IF($O877&lt;=$U877,1,0)))</f>
        <v/>
      </c>
      <c r="X877" s="37" t="str">
        <f aca="false">IF(OR($O877="",$N877=""),"",MAX(0,$O877-$N877))</f>
        <v/>
      </c>
      <c r="Y877" s="36" t="str">
        <f aca="false">IF($F877="","",IF(AND($Q877&lt;&gt;"",$N877&lt;&gt;"",$Q877&lt;&gt;$N877),1,0))</f>
        <v/>
      </c>
      <c r="Z877" s="36" t="str">
        <f aca="false">IF($F877="","",IF($P877="Cancelada",0,IF(OR($O877&lt;&gt;"",$P877="Concluída"),1,0)))</f>
        <v/>
      </c>
    </row>
    <row r="878" customFormat="false" ht="16.5" hidden="false" customHeight="true" outlineLevel="0" collapsed="false">
      <c r="A878" s="36" t="str">
        <f aca="false">IF($F878="","",COUNTA($F$5:$F878))</f>
        <v/>
      </c>
      <c r="B878" s="37" t="str">
        <f aca="true">IF($F878="","",IF($P878="Cancelada","Cancelada",IF(OR($O878&lt;&gt;"",$P878="Concluída"),IF(OR($N878="",$O878="",$O878&lt;=$N878),"Concluída","Concluída com atraso"),IF($N878="","Na carteira",IF($N878&lt;TODAY(),"VENCIDA",IF($P878="Em execução","Em execução",IF($N878=TODAY(),"Hoje","Programada")))))))</f>
        <v/>
      </c>
      <c r="C878" s="38"/>
      <c r="D878" s="38"/>
      <c r="E878" s="38"/>
      <c r="F878" s="38"/>
      <c r="G878" s="39"/>
      <c r="H878" s="39"/>
      <c r="I878" s="40"/>
      <c r="J878" s="40"/>
      <c r="K878" s="40"/>
      <c r="L878" s="41"/>
      <c r="M878" s="42"/>
      <c r="N878" s="43" t="str">
        <f aca="false">IF(OR($L878="",$M878=""),"",$L878+MATCH($M878,Listas!$F$5:$F$11,0)-1)</f>
        <v/>
      </c>
      <c r="O878" s="44"/>
      <c r="P878" s="39"/>
      <c r="Q878" s="44"/>
      <c r="R878" s="38"/>
      <c r="S878" s="38"/>
      <c r="T878" s="36" t="str">
        <f aca="false">IF($F878="","",IF(ISNUMBER(SEARCH("(externo)",$I878&amp;$J878&amp;$K878)),"Terceirizada","Interna"))</f>
        <v/>
      </c>
      <c r="U878" s="43" t="str">
        <f aca="false">IF($N878="","",IF($Q878="",$N878,$Q878))</f>
        <v/>
      </c>
      <c r="V878" s="36" t="str">
        <f aca="false">IF($F878="","",IF(OR($O878="",$N878=""),0,IF($O878&lt;=$N878,1,0)))</f>
        <v/>
      </c>
      <c r="W878" s="36" t="str">
        <f aca="false">IF($F878="","",IF(OR($O878="",$U878=""),0,IF($O878&lt;=$U878,1,0)))</f>
        <v/>
      </c>
      <c r="X878" s="37" t="str">
        <f aca="false">IF(OR($O878="",$N878=""),"",MAX(0,$O878-$N878))</f>
        <v/>
      </c>
      <c r="Y878" s="36" t="str">
        <f aca="false">IF($F878="","",IF(AND($Q878&lt;&gt;"",$N878&lt;&gt;"",$Q878&lt;&gt;$N878),1,0))</f>
        <v/>
      </c>
      <c r="Z878" s="36" t="str">
        <f aca="false">IF($F878="","",IF($P878="Cancelada",0,IF(OR($O878&lt;&gt;"",$P878="Concluída"),1,0)))</f>
        <v/>
      </c>
    </row>
    <row r="879" customFormat="false" ht="16.5" hidden="false" customHeight="true" outlineLevel="0" collapsed="false">
      <c r="A879" s="36" t="str">
        <f aca="false">IF($F879="","",COUNTA($F$5:$F879))</f>
        <v/>
      </c>
      <c r="B879" s="37" t="str">
        <f aca="true">IF($F879="","",IF($P879="Cancelada","Cancelada",IF(OR($O879&lt;&gt;"",$P879="Concluída"),IF(OR($N879="",$O879="",$O879&lt;=$N879),"Concluída","Concluída com atraso"),IF($N879="","Na carteira",IF($N879&lt;TODAY(),"VENCIDA",IF($P879="Em execução","Em execução",IF($N879=TODAY(),"Hoje","Programada")))))))</f>
        <v/>
      </c>
      <c r="C879" s="38"/>
      <c r="D879" s="38"/>
      <c r="E879" s="38"/>
      <c r="F879" s="38"/>
      <c r="G879" s="39"/>
      <c r="H879" s="39"/>
      <c r="I879" s="40"/>
      <c r="J879" s="40"/>
      <c r="K879" s="40"/>
      <c r="L879" s="41"/>
      <c r="M879" s="42"/>
      <c r="N879" s="43" t="str">
        <f aca="false">IF(OR($L879="",$M879=""),"",$L879+MATCH($M879,Listas!$F$5:$F$11,0)-1)</f>
        <v/>
      </c>
      <c r="O879" s="44"/>
      <c r="P879" s="39"/>
      <c r="Q879" s="44"/>
      <c r="R879" s="38"/>
      <c r="S879" s="38"/>
      <c r="T879" s="36" t="str">
        <f aca="false">IF($F879="","",IF(ISNUMBER(SEARCH("(externo)",$I879&amp;$J879&amp;$K879)),"Terceirizada","Interna"))</f>
        <v/>
      </c>
      <c r="U879" s="43" t="str">
        <f aca="false">IF($N879="","",IF($Q879="",$N879,$Q879))</f>
        <v/>
      </c>
      <c r="V879" s="36" t="str">
        <f aca="false">IF($F879="","",IF(OR($O879="",$N879=""),0,IF($O879&lt;=$N879,1,0)))</f>
        <v/>
      </c>
      <c r="W879" s="36" t="str">
        <f aca="false">IF($F879="","",IF(OR($O879="",$U879=""),0,IF($O879&lt;=$U879,1,0)))</f>
        <v/>
      </c>
      <c r="X879" s="37" t="str">
        <f aca="false">IF(OR($O879="",$N879=""),"",MAX(0,$O879-$N879))</f>
        <v/>
      </c>
      <c r="Y879" s="36" t="str">
        <f aca="false">IF($F879="","",IF(AND($Q879&lt;&gt;"",$N879&lt;&gt;"",$Q879&lt;&gt;$N879),1,0))</f>
        <v/>
      </c>
      <c r="Z879" s="36" t="str">
        <f aca="false">IF($F879="","",IF($P879="Cancelada",0,IF(OR($O879&lt;&gt;"",$P879="Concluída"),1,0)))</f>
        <v/>
      </c>
    </row>
    <row r="880" customFormat="false" ht="16.5" hidden="false" customHeight="true" outlineLevel="0" collapsed="false">
      <c r="A880" s="36" t="str">
        <f aca="false">IF($F880="","",COUNTA($F$5:$F880))</f>
        <v/>
      </c>
      <c r="B880" s="37" t="str">
        <f aca="true">IF($F880="","",IF($P880="Cancelada","Cancelada",IF(OR($O880&lt;&gt;"",$P880="Concluída"),IF(OR($N880="",$O880="",$O880&lt;=$N880),"Concluída","Concluída com atraso"),IF($N880="","Na carteira",IF($N880&lt;TODAY(),"VENCIDA",IF($P880="Em execução","Em execução",IF($N880=TODAY(),"Hoje","Programada")))))))</f>
        <v/>
      </c>
      <c r="C880" s="38"/>
      <c r="D880" s="38"/>
      <c r="E880" s="38"/>
      <c r="F880" s="38"/>
      <c r="G880" s="39"/>
      <c r="H880" s="39"/>
      <c r="I880" s="40"/>
      <c r="J880" s="40"/>
      <c r="K880" s="40"/>
      <c r="L880" s="41"/>
      <c r="M880" s="42"/>
      <c r="N880" s="43" t="str">
        <f aca="false">IF(OR($L880="",$M880=""),"",$L880+MATCH($M880,Listas!$F$5:$F$11,0)-1)</f>
        <v/>
      </c>
      <c r="O880" s="44"/>
      <c r="P880" s="39"/>
      <c r="Q880" s="44"/>
      <c r="R880" s="38"/>
      <c r="S880" s="38"/>
      <c r="T880" s="36" t="str">
        <f aca="false">IF($F880="","",IF(ISNUMBER(SEARCH("(externo)",$I880&amp;$J880&amp;$K880)),"Terceirizada","Interna"))</f>
        <v/>
      </c>
      <c r="U880" s="43" t="str">
        <f aca="false">IF($N880="","",IF($Q880="",$N880,$Q880))</f>
        <v/>
      </c>
      <c r="V880" s="36" t="str">
        <f aca="false">IF($F880="","",IF(OR($O880="",$N880=""),0,IF($O880&lt;=$N880,1,0)))</f>
        <v/>
      </c>
      <c r="W880" s="36" t="str">
        <f aca="false">IF($F880="","",IF(OR($O880="",$U880=""),0,IF($O880&lt;=$U880,1,0)))</f>
        <v/>
      </c>
      <c r="X880" s="37" t="str">
        <f aca="false">IF(OR($O880="",$N880=""),"",MAX(0,$O880-$N880))</f>
        <v/>
      </c>
      <c r="Y880" s="36" t="str">
        <f aca="false">IF($F880="","",IF(AND($Q880&lt;&gt;"",$N880&lt;&gt;"",$Q880&lt;&gt;$N880),1,0))</f>
        <v/>
      </c>
      <c r="Z880" s="36" t="str">
        <f aca="false">IF($F880="","",IF($P880="Cancelada",0,IF(OR($O880&lt;&gt;"",$P880="Concluída"),1,0)))</f>
        <v/>
      </c>
    </row>
    <row r="881" customFormat="false" ht="16.5" hidden="false" customHeight="true" outlineLevel="0" collapsed="false">
      <c r="A881" s="36" t="str">
        <f aca="false">IF($F881="","",COUNTA($F$5:$F881))</f>
        <v/>
      </c>
      <c r="B881" s="37" t="str">
        <f aca="true">IF($F881="","",IF($P881="Cancelada","Cancelada",IF(OR($O881&lt;&gt;"",$P881="Concluída"),IF(OR($N881="",$O881="",$O881&lt;=$N881),"Concluída","Concluída com atraso"),IF($N881="","Na carteira",IF($N881&lt;TODAY(),"VENCIDA",IF($P881="Em execução","Em execução",IF($N881=TODAY(),"Hoje","Programada")))))))</f>
        <v/>
      </c>
      <c r="C881" s="38"/>
      <c r="D881" s="38"/>
      <c r="E881" s="38"/>
      <c r="F881" s="38"/>
      <c r="G881" s="39"/>
      <c r="H881" s="39"/>
      <c r="I881" s="40"/>
      <c r="J881" s="40"/>
      <c r="K881" s="40"/>
      <c r="L881" s="41"/>
      <c r="M881" s="42"/>
      <c r="N881" s="43" t="str">
        <f aca="false">IF(OR($L881="",$M881=""),"",$L881+MATCH($M881,Listas!$F$5:$F$11,0)-1)</f>
        <v/>
      </c>
      <c r="O881" s="44"/>
      <c r="P881" s="39"/>
      <c r="Q881" s="44"/>
      <c r="R881" s="38"/>
      <c r="S881" s="38"/>
      <c r="T881" s="36" t="str">
        <f aca="false">IF($F881="","",IF(ISNUMBER(SEARCH("(externo)",$I881&amp;$J881&amp;$K881)),"Terceirizada","Interna"))</f>
        <v/>
      </c>
      <c r="U881" s="43" t="str">
        <f aca="false">IF($N881="","",IF($Q881="",$N881,$Q881))</f>
        <v/>
      </c>
      <c r="V881" s="36" t="str">
        <f aca="false">IF($F881="","",IF(OR($O881="",$N881=""),0,IF($O881&lt;=$N881,1,0)))</f>
        <v/>
      </c>
      <c r="W881" s="36" t="str">
        <f aca="false">IF($F881="","",IF(OR($O881="",$U881=""),0,IF($O881&lt;=$U881,1,0)))</f>
        <v/>
      </c>
      <c r="X881" s="37" t="str">
        <f aca="false">IF(OR($O881="",$N881=""),"",MAX(0,$O881-$N881))</f>
        <v/>
      </c>
      <c r="Y881" s="36" t="str">
        <f aca="false">IF($F881="","",IF(AND($Q881&lt;&gt;"",$N881&lt;&gt;"",$Q881&lt;&gt;$N881),1,0))</f>
        <v/>
      </c>
      <c r="Z881" s="36" t="str">
        <f aca="false">IF($F881="","",IF($P881="Cancelada",0,IF(OR($O881&lt;&gt;"",$P881="Concluída"),1,0)))</f>
        <v/>
      </c>
    </row>
    <row r="882" customFormat="false" ht="16.5" hidden="false" customHeight="true" outlineLevel="0" collapsed="false">
      <c r="A882" s="36" t="str">
        <f aca="false">IF($F882="","",COUNTA($F$5:$F882))</f>
        <v/>
      </c>
      <c r="B882" s="37" t="str">
        <f aca="true">IF($F882="","",IF($P882="Cancelada","Cancelada",IF(OR($O882&lt;&gt;"",$P882="Concluída"),IF(OR($N882="",$O882="",$O882&lt;=$N882),"Concluída","Concluída com atraso"),IF($N882="","Na carteira",IF($N882&lt;TODAY(),"VENCIDA",IF($P882="Em execução","Em execução",IF($N882=TODAY(),"Hoje","Programada")))))))</f>
        <v/>
      </c>
      <c r="C882" s="38"/>
      <c r="D882" s="38"/>
      <c r="E882" s="38"/>
      <c r="F882" s="38"/>
      <c r="G882" s="39"/>
      <c r="H882" s="39"/>
      <c r="I882" s="40"/>
      <c r="J882" s="40"/>
      <c r="K882" s="40"/>
      <c r="L882" s="41"/>
      <c r="M882" s="42"/>
      <c r="N882" s="43" t="str">
        <f aca="false">IF(OR($L882="",$M882=""),"",$L882+MATCH($M882,Listas!$F$5:$F$11,0)-1)</f>
        <v/>
      </c>
      <c r="O882" s="44"/>
      <c r="P882" s="39"/>
      <c r="Q882" s="44"/>
      <c r="R882" s="38"/>
      <c r="S882" s="38"/>
      <c r="T882" s="36" t="str">
        <f aca="false">IF($F882="","",IF(ISNUMBER(SEARCH("(externo)",$I882&amp;$J882&amp;$K882)),"Terceirizada","Interna"))</f>
        <v/>
      </c>
      <c r="U882" s="43" t="str">
        <f aca="false">IF($N882="","",IF($Q882="",$N882,$Q882))</f>
        <v/>
      </c>
      <c r="V882" s="36" t="str">
        <f aca="false">IF($F882="","",IF(OR($O882="",$N882=""),0,IF($O882&lt;=$N882,1,0)))</f>
        <v/>
      </c>
      <c r="W882" s="36" t="str">
        <f aca="false">IF($F882="","",IF(OR($O882="",$U882=""),0,IF($O882&lt;=$U882,1,0)))</f>
        <v/>
      </c>
      <c r="X882" s="37" t="str">
        <f aca="false">IF(OR($O882="",$N882=""),"",MAX(0,$O882-$N882))</f>
        <v/>
      </c>
      <c r="Y882" s="36" t="str">
        <f aca="false">IF($F882="","",IF(AND($Q882&lt;&gt;"",$N882&lt;&gt;"",$Q882&lt;&gt;$N882),1,0))</f>
        <v/>
      </c>
      <c r="Z882" s="36" t="str">
        <f aca="false">IF($F882="","",IF($P882="Cancelada",0,IF(OR($O882&lt;&gt;"",$P882="Concluída"),1,0)))</f>
        <v/>
      </c>
    </row>
    <row r="883" customFormat="false" ht="16.5" hidden="false" customHeight="true" outlineLevel="0" collapsed="false">
      <c r="A883" s="36" t="str">
        <f aca="false">IF($F883="","",COUNTA($F$5:$F883))</f>
        <v/>
      </c>
      <c r="B883" s="37" t="str">
        <f aca="true">IF($F883="","",IF($P883="Cancelada","Cancelada",IF(OR($O883&lt;&gt;"",$P883="Concluída"),IF(OR($N883="",$O883="",$O883&lt;=$N883),"Concluída","Concluída com atraso"),IF($N883="","Na carteira",IF($N883&lt;TODAY(),"VENCIDA",IF($P883="Em execução","Em execução",IF($N883=TODAY(),"Hoje","Programada")))))))</f>
        <v/>
      </c>
      <c r="C883" s="38"/>
      <c r="D883" s="38"/>
      <c r="E883" s="38"/>
      <c r="F883" s="38"/>
      <c r="G883" s="39"/>
      <c r="H883" s="39"/>
      <c r="I883" s="40"/>
      <c r="J883" s="40"/>
      <c r="K883" s="40"/>
      <c r="L883" s="41"/>
      <c r="M883" s="42"/>
      <c r="N883" s="43" t="str">
        <f aca="false">IF(OR($L883="",$M883=""),"",$L883+MATCH($M883,Listas!$F$5:$F$11,0)-1)</f>
        <v/>
      </c>
      <c r="O883" s="44"/>
      <c r="P883" s="39"/>
      <c r="Q883" s="44"/>
      <c r="R883" s="38"/>
      <c r="S883" s="38"/>
      <c r="T883" s="36" t="str">
        <f aca="false">IF($F883="","",IF(ISNUMBER(SEARCH("(externo)",$I883&amp;$J883&amp;$K883)),"Terceirizada","Interna"))</f>
        <v/>
      </c>
      <c r="U883" s="43" t="str">
        <f aca="false">IF($N883="","",IF($Q883="",$N883,$Q883))</f>
        <v/>
      </c>
      <c r="V883" s="36" t="str">
        <f aca="false">IF($F883="","",IF(OR($O883="",$N883=""),0,IF($O883&lt;=$N883,1,0)))</f>
        <v/>
      </c>
      <c r="W883" s="36" t="str">
        <f aca="false">IF($F883="","",IF(OR($O883="",$U883=""),0,IF($O883&lt;=$U883,1,0)))</f>
        <v/>
      </c>
      <c r="X883" s="37" t="str">
        <f aca="false">IF(OR($O883="",$N883=""),"",MAX(0,$O883-$N883))</f>
        <v/>
      </c>
      <c r="Y883" s="36" t="str">
        <f aca="false">IF($F883="","",IF(AND($Q883&lt;&gt;"",$N883&lt;&gt;"",$Q883&lt;&gt;$N883),1,0))</f>
        <v/>
      </c>
      <c r="Z883" s="36" t="str">
        <f aca="false">IF($F883="","",IF($P883="Cancelada",0,IF(OR($O883&lt;&gt;"",$P883="Concluída"),1,0)))</f>
        <v/>
      </c>
    </row>
    <row r="884" customFormat="false" ht="16.5" hidden="false" customHeight="true" outlineLevel="0" collapsed="false">
      <c r="A884" s="36" t="str">
        <f aca="false">IF($F884="","",COUNTA($F$5:$F884))</f>
        <v/>
      </c>
      <c r="B884" s="37" t="str">
        <f aca="true">IF($F884="","",IF($P884="Cancelada","Cancelada",IF(OR($O884&lt;&gt;"",$P884="Concluída"),IF(OR($N884="",$O884="",$O884&lt;=$N884),"Concluída","Concluída com atraso"),IF($N884="","Na carteira",IF($N884&lt;TODAY(),"VENCIDA",IF($P884="Em execução","Em execução",IF($N884=TODAY(),"Hoje","Programada")))))))</f>
        <v/>
      </c>
      <c r="C884" s="38"/>
      <c r="D884" s="38"/>
      <c r="E884" s="38"/>
      <c r="F884" s="38"/>
      <c r="G884" s="39"/>
      <c r="H884" s="39"/>
      <c r="I884" s="40"/>
      <c r="J884" s="40"/>
      <c r="K884" s="40"/>
      <c r="L884" s="41"/>
      <c r="M884" s="42"/>
      <c r="N884" s="43" t="str">
        <f aca="false">IF(OR($L884="",$M884=""),"",$L884+MATCH($M884,Listas!$F$5:$F$11,0)-1)</f>
        <v/>
      </c>
      <c r="O884" s="44"/>
      <c r="P884" s="39"/>
      <c r="Q884" s="44"/>
      <c r="R884" s="38"/>
      <c r="S884" s="38"/>
      <c r="T884" s="36" t="str">
        <f aca="false">IF($F884="","",IF(ISNUMBER(SEARCH("(externo)",$I884&amp;$J884&amp;$K884)),"Terceirizada","Interna"))</f>
        <v/>
      </c>
      <c r="U884" s="43" t="str">
        <f aca="false">IF($N884="","",IF($Q884="",$N884,$Q884))</f>
        <v/>
      </c>
      <c r="V884" s="36" t="str">
        <f aca="false">IF($F884="","",IF(OR($O884="",$N884=""),0,IF($O884&lt;=$N884,1,0)))</f>
        <v/>
      </c>
      <c r="W884" s="36" t="str">
        <f aca="false">IF($F884="","",IF(OR($O884="",$U884=""),0,IF($O884&lt;=$U884,1,0)))</f>
        <v/>
      </c>
      <c r="X884" s="37" t="str">
        <f aca="false">IF(OR($O884="",$N884=""),"",MAX(0,$O884-$N884))</f>
        <v/>
      </c>
      <c r="Y884" s="36" t="str">
        <f aca="false">IF($F884="","",IF(AND($Q884&lt;&gt;"",$N884&lt;&gt;"",$Q884&lt;&gt;$N884),1,0))</f>
        <v/>
      </c>
      <c r="Z884" s="36" t="str">
        <f aca="false">IF($F884="","",IF($P884="Cancelada",0,IF(OR($O884&lt;&gt;"",$P884="Concluída"),1,0)))</f>
        <v/>
      </c>
    </row>
    <row r="885" customFormat="false" ht="16.5" hidden="false" customHeight="true" outlineLevel="0" collapsed="false">
      <c r="A885" s="36" t="str">
        <f aca="false">IF($F885="","",COUNTA($F$5:$F885))</f>
        <v/>
      </c>
      <c r="B885" s="37" t="str">
        <f aca="true">IF($F885="","",IF($P885="Cancelada","Cancelada",IF(OR($O885&lt;&gt;"",$P885="Concluída"),IF(OR($N885="",$O885="",$O885&lt;=$N885),"Concluída","Concluída com atraso"),IF($N885="","Na carteira",IF($N885&lt;TODAY(),"VENCIDA",IF($P885="Em execução","Em execução",IF($N885=TODAY(),"Hoje","Programada")))))))</f>
        <v/>
      </c>
      <c r="C885" s="38"/>
      <c r="D885" s="38"/>
      <c r="E885" s="38"/>
      <c r="F885" s="38"/>
      <c r="G885" s="39"/>
      <c r="H885" s="39"/>
      <c r="I885" s="40"/>
      <c r="J885" s="40"/>
      <c r="K885" s="40"/>
      <c r="L885" s="41"/>
      <c r="M885" s="42"/>
      <c r="N885" s="43" t="str">
        <f aca="false">IF(OR($L885="",$M885=""),"",$L885+MATCH($M885,Listas!$F$5:$F$11,0)-1)</f>
        <v/>
      </c>
      <c r="O885" s="44"/>
      <c r="P885" s="39"/>
      <c r="Q885" s="44"/>
      <c r="R885" s="38"/>
      <c r="S885" s="38"/>
      <c r="T885" s="36" t="str">
        <f aca="false">IF($F885="","",IF(ISNUMBER(SEARCH("(externo)",$I885&amp;$J885&amp;$K885)),"Terceirizada","Interna"))</f>
        <v/>
      </c>
      <c r="U885" s="43" t="str">
        <f aca="false">IF($N885="","",IF($Q885="",$N885,$Q885))</f>
        <v/>
      </c>
      <c r="V885" s="36" t="str">
        <f aca="false">IF($F885="","",IF(OR($O885="",$N885=""),0,IF($O885&lt;=$N885,1,0)))</f>
        <v/>
      </c>
      <c r="W885" s="36" t="str">
        <f aca="false">IF($F885="","",IF(OR($O885="",$U885=""),0,IF($O885&lt;=$U885,1,0)))</f>
        <v/>
      </c>
      <c r="X885" s="37" t="str">
        <f aca="false">IF(OR($O885="",$N885=""),"",MAX(0,$O885-$N885))</f>
        <v/>
      </c>
      <c r="Y885" s="36" t="str">
        <f aca="false">IF($F885="","",IF(AND($Q885&lt;&gt;"",$N885&lt;&gt;"",$Q885&lt;&gt;$N885),1,0))</f>
        <v/>
      </c>
      <c r="Z885" s="36" t="str">
        <f aca="false">IF($F885="","",IF($P885="Cancelada",0,IF(OR($O885&lt;&gt;"",$P885="Concluída"),1,0)))</f>
        <v/>
      </c>
    </row>
    <row r="886" customFormat="false" ht="16.5" hidden="false" customHeight="true" outlineLevel="0" collapsed="false">
      <c r="A886" s="36" t="str">
        <f aca="false">IF($F886="","",COUNTA($F$5:$F886))</f>
        <v/>
      </c>
      <c r="B886" s="37" t="str">
        <f aca="true">IF($F886="","",IF($P886="Cancelada","Cancelada",IF(OR($O886&lt;&gt;"",$P886="Concluída"),IF(OR($N886="",$O886="",$O886&lt;=$N886),"Concluída","Concluída com atraso"),IF($N886="","Na carteira",IF($N886&lt;TODAY(),"VENCIDA",IF($P886="Em execução","Em execução",IF($N886=TODAY(),"Hoje","Programada")))))))</f>
        <v/>
      </c>
      <c r="C886" s="38"/>
      <c r="D886" s="38"/>
      <c r="E886" s="38"/>
      <c r="F886" s="38"/>
      <c r="G886" s="39"/>
      <c r="H886" s="39"/>
      <c r="I886" s="40"/>
      <c r="J886" s="40"/>
      <c r="K886" s="40"/>
      <c r="L886" s="41"/>
      <c r="M886" s="42"/>
      <c r="N886" s="43" t="str">
        <f aca="false">IF(OR($L886="",$M886=""),"",$L886+MATCH($M886,Listas!$F$5:$F$11,0)-1)</f>
        <v/>
      </c>
      <c r="O886" s="44"/>
      <c r="P886" s="39"/>
      <c r="Q886" s="44"/>
      <c r="R886" s="38"/>
      <c r="S886" s="38"/>
      <c r="T886" s="36" t="str">
        <f aca="false">IF($F886="","",IF(ISNUMBER(SEARCH("(externo)",$I886&amp;$J886&amp;$K886)),"Terceirizada","Interna"))</f>
        <v/>
      </c>
      <c r="U886" s="43" t="str">
        <f aca="false">IF($N886="","",IF($Q886="",$N886,$Q886))</f>
        <v/>
      </c>
      <c r="V886" s="36" t="str">
        <f aca="false">IF($F886="","",IF(OR($O886="",$N886=""),0,IF($O886&lt;=$N886,1,0)))</f>
        <v/>
      </c>
      <c r="W886" s="36" t="str">
        <f aca="false">IF($F886="","",IF(OR($O886="",$U886=""),0,IF($O886&lt;=$U886,1,0)))</f>
        <v/>
      </c>
      <c r="X886" s="37" t="str">
        <f aca="false">IF(OR($O886="",$N886=""),"",MAX(0,$O886-$N886))</f>
        <v/>
      </c>
      <c r="Y886" s="36" t="str">
        <f aca="false">IF($F886="","",IF(AND($Q886&lt;&gt;"",$N886&lt;&gt;"",$Q886&lt;&gt;$N886),1,0))</f>
        <v/>
      </c>
      <c r="Z886" s="36" t="str">
        <f aca="false">IF($F886="","",IF($P886="Cancelada",0,IF(OR($O886&lt;&gt;"",$P886="Concluída"),1,0)))</f>
        <v/>
      </c>
    </row>
    <row r="887" customFormat="false" ht="16.5" hidden="false" customHeight="true" outlineLevel="0" collapsed="false">
      <c r="A887" s="36" t="str">
        <f aca="false">IF($F887="","",COUNTA($F$5:$F887))</f>
        <v/>
      </c>
      <c r="B887" s="37" t="str">
        <f aca="true">IF($F887="","",IF($P887="Cancelada","Cancelada",IF(OR($O887&lt;&gt;"",$P887="Concluída"),IF(OR($N887="",$O887="",$O887&lt;=$N887),"Concluída","Concluída com atraso"),IF($N887="","Na carteira",IF($N887&lt;TODAY(),"VENCIDA",IF($P887="Em execução","Em execução",IF($N887=TODAY(),"Hoje","Programada")))))))</f>
        <v/>
      </c>
      <c r="C887" s="38"/>
      <c r="D887" s="38"/>
      <c r="E887" s="38"/>
      <c r="F887" s="38"/>
      <c r="G887" s="39"/>
      <c r="H887" s="39"/>
      <c r="I887" s="40"/>
      <c r="J887" s="40"/>
      <c r="K887" s="40"/>
      <c r="L887" s="41"/>
      <c r="M887" s="42"/>
      <c r="N887" s="43" t="str">
        <f aca="false">IF(OR($L887="",$M887=""),"",$L887+MATCH($M887,Listas!$F$5:$F$11,0)-1)</f>
        <v/>
      </c>
      <c r="O887" s="44"/>
      <c r="P887" s="39"/>
      <c r="Q887" s="44"/>
      <c r="R887" s="38"/>
      <c r="S887" s="38"/>
      <c r="T887" s="36" t="str">
        <f aca="false">IF($F887="","",IF(ISNUMBER(SEARCH("(externo)",$I887&amp;$J887&amp;$K887)),"Terceirizada","Interna"))</f>
        <v/>
      </c>
      <c r="U887" s="43" t="str">
        <f aca="false">IF($N887="","",IF($Q887="",$N887,$Q887))</f>
        <v/>
      </c>
      <c r="V887" s="36" t="str">
        <f aca="false">IF($F887="","",IF(OR($O887="",$N887=""),0,IF($O887&lt;=$N887,1,0)))</f>
        <v/>
      </c>
      <c r="W887" s="36" t="str">
        <f aca="false">IF($F887="","",IF(OR($O887="",$U887=""),0,IF($O887&lt;=$U887,1,0)))</f>
        <v/>
      </c>
      <c r="X887" s="37" t="str">
        <f aca="false">IF(OR($O887="",$N887=""),"",MAX(0,$O887-$N887))</f>
        <v/>
      </c>
      <c r="Y887" s="36" t="str">
        <f aca="false">IF($F887="","",IF(AND($Q887&lt;&gt;"",$N887&lt;&gt;"",$Q887&lt;&gt;$N887),1,0))</f>
        <v/>
      </c>
      <c r="Z887" s="36" t="str">
        <f aca="false">IF($F887="","",IF($P887="Cancelada",0,IF(OR($O887&lt;&gt;"",$P887="Concluída"),1,0)))</f>
        <v/>
      </c>
    </row>
    <row r="888" customFormat="false" ht="16.5" hidden="false" customHeight="true" outlineLevel="0" collapsed="false">
      <c r="A888" s="36" t="str">
        <f aca="false">IF($F888="","",COUNTA($F$5:$F888))</f>
        <v/>
      </c>
      <c r="B888" s="37" t="str">
        <f aca="true">IF($F888="","",IF($P888="Cancelada","Cancelada",IF(OR($O888&lt;&gt;"",$P888="Concluída"),IF(OR($N888="",$O888="",$O888&lt;=$N888),"Concluída","Concluída com atraso"),IF($N888="","Na carteira",IF($N888&lt;TODAY(),"VENCIDA",IF($P888="Em execução","Em execução",IF($N888=TODAY(),"Hoje","Programada")))))))</f>
        <v/>
      </c>
      <c r="C888" s="38"/>
      <c r="D888" s="38"/>
      <c r="E888" s="38"/>
      <c r="F888" s="38"/>
      <c r="G888" s="39"/>
      <c r="H888" s="39"/>
      <c r="I888" s="40"/>
      <c r="J888" s="40"/>
      <c r="K888" s="40"/>
      <c r="L888" s="41"/>
      <c r="M888" s="42"/>
      <c r="N888" s="43" t="str">
        <f aca="false">IF(OR($L888="",$M888=""),"",$L888+MATCH($M888,Listas!$F$5:$F$11,0)-1)</f>
        <v/>
      </c>
      <c r="O888" s="44"/>
      <c r="P888" s="39"/>
      <c r="Q888" s="44"/>
      <c r="R888" s="38"/>
      <c r="S888" s="38"/>
      <c r="T888" s="36" t="str">
        <f aca="false">IF($F888="","",IF(ISNUMBER(SEARCH("(externo)",$I888&amp;$J888&amp;$K888)),"Terceirizada","Interna"))</f>
        <v/>
      </c>
      <c r="U888" s="43" t="str">
        <f aca="false">IF($N888="","",IF($Q888="",$N888,$Q888))</f>
        <v/>
      </c>
      <c r="V888" s="36" t="str">
        <f aca="false">IF($F888="","",IF(OR($O888="",$N888=""),0,IF($O888&lt;=$N888,1,0)))</f>
        <v/>
      </c>
      <c r="W888" s="36" t="str">
        <f aca="false">IF($F888="","",IF(OR($O888="",$U888=""),0,IF($O888&lt;=$U888,1,0)))</f>
        <v/>
      </c>
      <c r="X888" s="37" t="str">
        <f aca="false">IF(OR($O888="",$N888=""),"",MAX(0,$O888-$N888))</f>
        <v/>
      </c>
      <c r="Y888" s="36" t="str">
        <f aca="false">IF($F888="","",IF(AND($Q888&lt;&gt;"",$N888&lt;&gt;"",$Q888&lt;&gt;$N888),1,0))</f>
        <v/>
      </c>
      <c r="Z888" s="36" t="str">
        <f aca="false">IF($F888="","",IF($P888="Cancelada",0,IF(OR($O888&lt;&gt;"",$P888="Concluída"),1,0)))</f>
        <v/>
      </c>
    </row>
    <row r="889" customFormat="false" ht="16.5" hidden="false" customHeight="true" outlineLevel="0" collapsed="false">
      <c r="A889" s="36" t="str">
        <f aca="false">IF($F889="","",COUNTA($F$5:$F889))</f>
        <v/>
      </c>
      <c r="B889" s="37" t="str">
        <f aca="true">IF($F889="","",IF($P889="Cancelada","Cancelada",IF(OR($O889&lt;&gt;"",$P889="Concluída"),IF(OR($N889="",$O889="",$O889&lt;=$N889),"Concluída","Concluída com atraso"),IF($N889="","Na carteira",IF($N889&lt;TODAY(),"VENCIDA",IF($P889="Em execução","Em execução",IF($N889=TODAY(),"Hoje","Programada")))))))</f>
        <v/>
      </c>
      <c r="C889" s="38"/>
      <c r="D889" s="38"/>
      <c r="E889" s="38"/>
      <c r="F889" s="38"/>
      <c r="G889" s="39"/>
      <c r="H889" s="39"/>
      <c r="I889" s="40"/>
      <c r="J889" s="40"/>
      <c r="K889" s="40"/>
      <c r="L889" s="41"/>
      <c r="M889" s="42"/>
      <c r="N889" s="43" t="str">
        <f aca="false">IF(OR($L889="",$M889=""),"",$L889+MATCH($M889,Listas!$F$5:$F$11,0)-1)</f>
        <v/>
      </c>
      <c r="O889" s="44"/>
      <c r="P889" s="39"/>
      <c r="Q889" s="44"/>
      <c r="R889" s="38"/>
      <c r="S889" s="38"/>
      <c r="T889" s="36" t="str">
        <f aca="false">IF($F889="","",IF(ISNUMBER(SEARCH("(externo)",$I889&amp;$J889&amp;$K889)),"Terceirizada","Interna"))</f>
        <v/>
      </c>
      <c r="U889" s="43" t="str">
        <f aca="false">IF($N889="","",IF($Q889="",$N889,$Q889))</f>
        <v/>
      </c>
      <c r="V889" s="36" t="str">
        <f aca="false">IF($F889="","",IF(OR($O889="",$N889=""),0,IF($O889&lt;=$N889,1,0)))</f>
        <v/>
      </c>
      <c r="W889" s="36" t="str">
        <f aca="false">IF($F889="","",IF(OR($O889="",$U889=""),0,IF($O889&lt;=$U889,1,0)))</f>
        <v/>
      </c>
      <c r="X889" s="37" t="str">
        <f aca="false">IF(OR($O889="",$N889=""),"",MAX(0,$O889-$N889))</f>
        <v/>
      </c>
      <c r="Y889" s="36" t="str">
        <f aca="false">IF($F889="","",IF(AND($Q889&lt;&gt;"",$N889&lt;&gt;"",$Q889&lt;&gt;$N889),1,0))</f>
        <v/>
      </c>
      <c r="Z889" s="36" t="str">
        <f aca="false">IF($F889="","",IF($P889="Cancelada",0,IF(OR($O889&lt;&gt;"",$P889="Concluída"),1,0)))</f>
        <v/>
      </c>
    </row>
    <row r="890" customFormat="false" ht="16.5" hidden="false" customHeight="true" outlineLevel="0" collapsed="false">
      <c r="A890" s="36" t="str">
        <f aca="false">IF($F890="","",COUNTA($F$5:$F890))</f>
        <v/>
      </c>
      <c r="B890" s="37" t="str">
        <f aca="true">IF($F890="","",IF($P890="Cancelada","Cancelada",IF(OR($O890&lt;&gt;"",$P890="Concluída"),IF(OR($N890="",$O890="",$O890&lt;=$N890),"Concluída","Concluída com atraso"),IF($N890="","Na carteira",IF($N890&lt;TODAY(),"VENCIDA",IF($P890="Em execução","Em execução",IF($N890=TODAY(),"Hoje","Programada")))))))</f>
        <v/>
      </c>
      <c r="C890" s="38"/>
      <c r="D890" s="38"/>
      <c r="E890" s="38"/>
      <c r="F890" s="38"/>
      <c r="G890" s="39"/>
      <c r="H890" s="39"/>
      <c r="I890" s="40"/>
      <c r="J890" s="40"/>
      <c r="K890" s="40"/>
      <c r="L890" s="41"/>
      <c r="M890" s="42"/>
      <c r="N890" s="43" t="str">
        <f aca="false">IF(OR($L890="",$M890=""),"",$L890+MATCH($M890,Listas!$F$5:$F$11,0)-1)</f>
        <v/>
      </c>
      <c r="O890" s="44"/>
      <c r="P890" s="39"/>
      <c r="Q890" s="44"/>
      <c r="R890" s="38"/>
      <c r="S890" s="38"/>
      <c r="T890" s="36" t="str">
        <f aca="false">IF($F890="","",IF(ISNUMBER(SEARCH("(externo)",$I890&amp;$J890&amp;$K890)),"Terceirizada","Interna"))</f>
        <v/>
      </c>
      <c r="U890" s="43" t="str">
        <f aca="false">IF($N890="","",IF($Q890="",$N890,$Q890))</f>
        <v/>
      </c>
      <c r="V890" s="36" t="str">
        <f aca="false">IF($F890="","",IF(OR($O890="",$N890=""),0,IF($O890&lt;=$N890,1,0)))</f>
        <v/>
      </c>
      <c r="W890" s="36" t="str">
        <f aca="false">IF($F890="","",IF(OR($O890="",$U890=""),0,IF($O890&lt;=$U890,1,0)))</f>
        <v/>
      </c>
      <c r="X890" s="37" t="str">
        <f aca="false">IF(OR($O890="",$N890=""),"",MAX(0,$O890-$N890))</f>
        <v/>
      </c>
      <c r="Y890" s="36" t="str">
        <f aca="false">IF($F890="","",IF(AND($Q890&lt;&gt;"",$N890&lt;&gt;"",$Q890&lt;&gt;$N890),1,0))</f>
        <v/>
      </c>
      <c r="Z890" s="36" t="str">
        <f aca="false">IF($F890="","",IF($P890="Cancelada",0,IF(OR($O890&lt;&gt;"",$P890="Concluída"),1,0)))</f>
        <v/>
      </c>
    </row>
    <row r="891" customFormat="false" ht="16.5" hidden="false" customHeight="true" outlineLevel="0" collapsed="false">
      <c r="A891" s="36" t="str">
        <f aca="false">IF($F891="","",COUNTA($F$5:$F891))</f>
        <v/>
      </c>
      <c r="B891" s="37" t="str">
        <f aca="true">IF($F891="","",IF($P891="Cancelada","Cancelada",IF(OR($O891&lt;&gt;"",$P891="Concluída"),IF(OR($N891="",$O891="",$O891&lt;=$N891),"Concluída","Concluída com atraso"),IF($N891="","Na carteira",IF($N891&lt;TODAY(),"VENCIDA",IF($P891="Em execução","Em execução",IF($N891=TODAY(),"Hoje","Programada")))))))</f>
        <v/>
      </c>
      <c r="C891" s="38"/>
      <c r="D891" s="38"/>
      <c r="E891" s="38"/>
      <c r="F891" s="38"/>
      <c r="G891" s="39"/>
      <c r="H891" s="39"/>
      <c r="I891" s="40"/>
      <c r="J891" s="40"/>
      <c r="K891" s="40"/>
      <c r="L891" s="41"/>
      <c r="M891" s="42"/>
      <c r="N891" s="43" t="str">
        <f aca="false">IF(OR($L891="",$M891=""),"",$L891+MATCH($M891,Listas!$F$5:$F$11,0)-1)</f>
        <v/>
      </c>
      <c r="O891" s="44"/>
      <c r="P891" s="39"/>
      <c r="Q891" s="44"/>
      <c r="R891" s="38"/>
      <c r="S891" s="38"/>
      <c r="T891" s="36" t="str">
        <f aca="false">IF($F891="","",IF(ISNUMBER(SEARCH("(externo)",$I891&amp;$J891&amp;$K891)),"Terceirizada","Interna"))</f>
        <v/>
      </c>
      <c r="U891" s="43" t="str">
        <f aca="false">IF($N891="","",IF($Q891="",$N891,$Q891))</f>
        <v/>
      </c>
      <c r="V891" s="36" t="str">
        <f aca="false">IF($F891="","",IF(OR($O891="",$N891=""),0,IF($O891&lt;=$N891,1,0)))</f>
        <v/>
      </c>
      <c r="W891" s="36" t="str">
        <f aca="false">IF($F891="","",IF(OR($O891="",$U891=""),0,IF($O891&lt;=$U891,1,0)))</f>
        <v/>
      </c>
      <c r="X891" s="37" t="str">
        <f aca="false">IF(OR($O891="",$N891=""),"",MAX(0,$O891-$N891))</f>
        <v/>
      </c>
      <c r="Y891" s="36" t="str">
        <f aca="false">IF($F891="","",IF(AND($Q891&lt;&gt;"",$N891&lt;&gt;"",$Q891&lt;&gt;$N891),1,0))</f>
        <v/>
      </c>
      <c r="Z891" s="36" t="str">
        <f aca="false">IF($F891="","",IF($P891="Cancelada",0,IF(OR($O891&lt;&gt;"",$P891="Concluída"),1,0)))</f>
        <v/>
      </c>
    </row>
    <row r="892" customFormat="false" ht="16.5" hidden="false" customHeight="true" outlineLevel="0" collapsed="false">
      <c r="A892" s="36" t="str">
        <f aca="false">IF($F892="","",COUNTA($F$5:$F892))</f>
        <v/>
      </c>
      <c r="B892" s="37" t="str">
        <f aca="true">IF($F892="","",IF($P892="Cancelada","Cancelada",IF(OR($O892&lt;&gt;"",$P892="Concluída"),IF(OR($N892="",$O892="",$O892&lt;=$N892),"Concluída","Concluída com atraso"),IF($N892="","Na carteira",IF($N892&lt;TODAY(),"VENCIDA",IF($P892="Em execução","Em execução",IF($N892=TODAY(),"Hoje","Programada")))))))</f>
        <v/>
      </c>
      <c r="C892" s="38"/>
      <c r="D892" s="38"/>
      <c r="E892" s="38"/>
      <c r="F892" s="38"/>
      <c r="G892" s="39"/>
      <c r="H892" s="39"/>
      <c r="I892" s="40"/>
      <c r="J892" s="40"/>
      <c r="K892" s="40"/>
      <c r="L892" s="41"/>
      <c r="M892" s="42"/>
      <c r="N892" s="43" t="str">
        <f aca="false">IF(OR($L892="",$M892=""),"",$L892+MATCH($M892,Listas!$F$5:$F$11,0)-1)</f>
        <v/>
      </c>
      <c r="O892" s="44"/>
      <c r="P892" s="39"/>
      <c r="Q892" s="44"/>
      <c r="R892" s="38"/>
      <c r="S892" s="38"/>
      <c r="T892" s="36" t="str">
        <f aca="false">IF($F892="","",IF(ISNUMBER(SEARCH("(externo)",$I892&amp;$J892&amp;$K892)),"Terceirizada","Interna"))</f>
        <v/>
      </c>
      <c r="U892" s="43" t="str">
        <f aca="false">IF($N892="","",IF($Q892="",$N892,$Q892))</f>
        <v/>
      </c>
      <c r="V892" s="36" t="str">
        <f aca="false">IF($F892="","",IF(OR($O892="",$N892=""),0,IF($O892&lt;=$N892,1,0)))</f>
        <v/>
      </c>
      <c r="W892" s="36" t="str">
        <f aca="false">IF($F892="","",IF(OR($O892="",$U892=""),0,IF($O892&lt;=$U892,1,0)))</f>
        <v/>
      </c>
      <c r="X892" s="37" t="str">
        <f aca="false">IF(OR($O892="",$N892=""),"",MAX(0,$O892-$N892))</f>
        <v/>
      </c>
      <c r="Y892" s="36" t="str">
        <f aca="false">IF($F892="","",IF(AND($Q892&lt;&gt;"",$N892&lt;&gt;"",$Q892&lt;&gt;$N892),1,0))</f>
        <v/>
      </c>
      <c r="Z892" s="36" t="str">
        <f aca="false">IF($F892="","",IF($P892="Cancelada",0,IF(OR($O892&lt;&gt;"",$P892="Concluída"),1,0)))</f>
        <v/>
      </c>
    </row>
    <row r="893" customFormat="false" ht="16.5" hidden="false" customHeight="true" outlineLevel="0" collapsed="false">
      <c r="A893" s="36" t="str">
        <f aca="false">IF($F893="","",COUNTA($F$5:$F893))</f>
        <v/>
      </c>
      <c r="B893" s="37" t="str">
        <f aca="true">IF($F893="","",IF($P893="Cancelada","Cancelada",IF(OR($O893&lt;&gt;"",$P893="Concluída"),IF(OR($N893="",$O893="",$O893&lt;=$N893),"Concluída","Concluída com atraso"),IF($N893="","Na carteira",IF($N893&lt;TODAY(),"VENCIDA",IF($P893="Em execução","Em execução",IF($N893=TODAY(),"Hoje","Programada")))))))</f>
        <v/>
      </c>
      <c r="C893" s="38"/>
      <c r="D893" s="38"/>
      <c r="E893" s="38"/>
      <c r="F893" s="38"/>
      <c r="G893" s="39"/>
      <c r="H893" s="39"/>
      <c r="I893" s="40"/>
      <c r="J893" s="40"/>
      <c r="K893" s="40"/>
      <c r="L893" s="41"/>
      <c r="M893" s="42"/>
      <c r="N893" s="43" t="str">
        <f aca="false">IF(OR($L893="",$M893=""),"",$L893+MATCH($M893,Listas!$F$5:$F$11,0)-1)</f>
        <v/>
      </c>
      <c r="O893" s="44"/>
      <c r="P893" s="39"/>
      <c r="Q893" s="44"/>
      <c r="R893" s="38"/>
      <c r="S893" s="38"/>
      <c r="T893" s="36" t="str">
        <f aca="false">IF($F893="","",IF(ISNUMBER(SEARCH("(externo)",$I893&amp;$J893&amp;$K893)),"Terceirizada","Interna"))</f>
        <v/>
      </c>
      <c r="U893" s="43" t="str">
        <f aca="false">IF($N893="","",IF($Q893="",$N893,$Q893))</f>
        <v/>
      </c>
      <c r="V893" s="36" t="str">
        <f aca="false">IF($F893="","",IF(OR($O893="",$N893=""),0,IF($O893&lt;=$N893,1,0)))</f>
        <v/>
      </c>
      <c r="W893" s="36" t="str">
        <f aca="false">IF($F893="","",IF(OR($O893="",$U893=""),0,IF($O893&lt;=$U893,1,0)))</f>
        <v/>
      </c>
      <c r="X893" s="37" t="str">
        <f aca="false">IF(OR($O893="",$N893=""),"",MAX(0,$O893-$N893))</f>
        <v/>
      </c>
      <c r="Y893" s="36" t="str">
        <f aca="false">IF($F893="","",IF(AND($Q893&lt;&gt;"",$N893&lt;&gt;"",$Q893&lt;&gt;$N893),1,0))</f>
        <v/>
      </c>
      <c r="Z893" s="36" t="str">
        <f aca="false">IF($F893="","",IF($P893="Cancelada",0,IF(OR($O893&lt;&gt;"",$P893="Concluída"),1,0)))</f>
        <v/>
      </c>
    </row>
    <row r="894" customFormat="false" ht="16.5" hidden="false" customHeight="true" outlineLevel="0" collapsed="false">
      <c r="A894" s="36" t="str">
        <f aca="false">IF($F894="","",COUNTA($F$5:$F894))</f>
        <v/>
      </c>
      <c r="B894" s="37" t="str">
        <f aca="true">IF($F894="","",IF($P894="Cancelada","Cancelada",IF(OR($O894&lt;&gt;"",$P894="Concluída"),IF(OR($N894="",$O894="",$O894&lt;=$N894),"Concluída","Concluída com atraso"),IF($N894="","Na carteira",IF($N894&lt;TODAY(),"VENCIDA",IF($P894="Em execução","Em execução",IF($N894=TODAY(),"Hoje","Programada")))))))</f>
        <v/>
      </c>
      <c r="C894" s="38"/>
      <c r="D894" s="38"/>
      <c r="E894" s="38"/>
      <c r="F894" s="38"/>
      <c r="G894" s="39"/>
      <c r="H894" s="39"/>
      <c r="I894" s="40"/>
      <c r="J894" s="40"/>
      <c r="K894" s="40"/>
      <c r="L894" s="41"/>
      <c r="M894" s="42"/>
      <c r="N894" s="43" t="str">
        <f aca="false">IF(OR($L894="",$M894=""),"",$L894+MATCH($M894,Listas!$F$5:$F$11,0)-1)</f>
        <v/>
      </c>
      <c r="O894" s="44"/>
      <c r="P894" s="39"/>
      <c r="Q894" s="44"/>
      <c r="R894" s="38"/>
      <c r="S894" s="38"/>
      <c r="T894" s="36" t="str">
        <f aca="false">IF($F894="","",IF(ISNUMBER(SEARCH("(externo)",$I894&amp;$J894&amp;$K894)),"Terceirizada","Interna"))</f>
        <v/>
      </c>
      <c r="U894" s="43" t="str">
        <f aca="false">IF($N894="","",IF($Q894="",$N894,$Q894))</f>
        <v/>
      </c>
      <c r="V894" s="36" t="str">
        <f aca="false">IF($F894="","",IF(OR($O894="",$N894=""),0,IF($O894&lt;=$N894,1,0)))</f>
        <v/>
      </c>
      <c r="W894" s="36" t="str">
        <f aca="false">IF($F894="","",IF(OR($O894="",$U894=""),0,IF($O894&lt;=$U894,1,0)))</f>
        <v/>
      </c>
      <c r="X894" s="37" t="str">
        <f aca="false">IF(OR($O894="",$N894=""),"",MAX(0,$O894-$N894))</f>
        <v/>
      </c>
      <c r="Y894" s="36" t="str">
        <f aca="false">IF($F894="","",IF(AND($Q894&lt;&gt;"",$N894&lt;&gt;"",$Q894&lt;&gt;$N894),1,0))</f>
        <v/>
      </c>
      <c r="Z894" s="36" t="str">
        <f aca="false">IF($F894="","",IF($P894="Cancelada",0,IF(OR($O894&lt;&gt;"",$P894="Concluída"),1,0)))</f>
        <v/>
      </c>
    </row>
    <row r="895" customFormat="false" ht="16.5" hidden="false" customHeight="true" outlineLevel="0" collapsed="false">
      <c r="A895" s="36" t="str">
        <f aca="false">IF($F895="","",COUNTA($F$5:$F895))</f>
        <v/>
      </c>
      <c r="B895" s="37" t="str">
        <f aca="true">IF($F895="","",IF($P895="Cancelada","Cancelada",IF(OR($O895&lt;&gt;"",$P895="Concluída"),IF(OR($N895="",$O895="",$O895&lt;=$N895),"Concluída","Concluída com atraso"),IF($N895="","Na carteira",IF($N895&lt;TODAY(),"VENCIDA",IF($P895="Em execução","Em execução",IF($N895=TODAY(),"Hoje","Programada")))))))</f>
        <v/>
      </c>
      <c r="C895" s="38"/>
      <c r="D895" s="38"/>
      <c r="E895" s="38"/>
      <c r="F895" s="38"/>
      <c r="G895" s="39"/>
      <c r="H895" s="39"/>
      <c r="I895" s="40"/>
      <c r="J895" s="40"/>
      <c r="K895" s="40"/>
      <c r="L895" s="41"/>
      <c r="M895" s="42"/>
      <c r="N895" s="43" t="str">
        <f aca="false">IF(OR($L895="",$M895=""),"",$L895+MATCH($M895,Listas!$F$5:$F$11,0)-1)</f>
        <v/>
      </c>
      <c r="O895" s="44"/>
      <c r="P895" s="39"/>
      <c r="Q895" s="44"/>
      <c r="R895" s="38"/>
      <c r="S895" s="38"/>
      <c r="T895" s="36" t="str">
        <f aca="false">IF($F895="","",IF(ISNUMBER(SEARCH("(externo)",$I895&amp;$J895&amp;$K895)),"Terceirizada","Interna"))</f>
        <v/>
      </c>
      <c r="U895" s="43" t="str">
        <f aca="false">IF($N895="","",IF($Q895="",$N895,$Q895))</f>
        <v/>
      </c>
      <c r="V895" s="36" t="str">
        <f aca="false">IF($F895="","",IF(OR($O895="",$N895=""),0,IF($O895&lt;=$N895,1,0)))</f>
        <v/>
      </c>
      <c r="W895" s="36" t="str">
        <f aca="false">IF($F895="","",IF(OR($O895="",$U895=""),0,IF($O895&lt;=$U895,1,0)))</f>
        <v/>
      </c>
      <c r="X895" s="37" t="str">
        <f aca="false">IF(OR($O895="",$N895=""),"",MAX(0,$O895-$N895))</f>
        <v/>
      </c>
      <c r="Y895" s="36" t="str">
        <f aca="false">IF($F895="","",IF(AND($Q895&lt;&gt;"",$N895&lt;&gt;"",$Q895&lt;&gt;$N895),1,0))</f>
        <v/>
      </c>
      <c r="Z895" s="36" t="str">
        <f aca="false">IF($F895="","",IF($P895="Cancelada",0,IF(OR($O895&lt;&gt;"",$P895="Concluída"),1,0)))</f>
        <v/>
      </c>
    </row>
    <row r="896" customFormat="false" ht="16.5" hidden="false" customHeight="true" outlineLevel="0" collapsed="false">
      <c r="A896" s="36" t="str">
        <f aca="false">IF($F896="","",COUNTA($F$5:$F896))</f>
        <v/>
      </c>
      <c r="B896" s="37" t="str">
        <f aca="true">IF($F896="","",IF($P896="Cancelada","Cancelada",IF(OR($O896&lt;&gt;"",$P896="Concluída"),IF(OR($N896="",$O896="",$O896&lt;=$N896),"Concluída","Concluída com atraso"),IF($N896="","Na carteira",IF($N896&lt;TODAY(),"VENCIDA",IF($P896="Em execução","Em execução",IF($N896=TODAY(),"Hoje","Programada")))))))</f>
        <v/>
      </c>
      <c r="C896" s="38"/>
      <c r="D896" s="38"/>
      <c r="E896" s="38"/>
      <c r="F896" s="38"/>
      <c r="G896" s="39"/>
      <c r="H896" s="39"/>
      <c r="I896" s="40"/>
      <c r="J896" s="40"/>
      <c r="K896" s="40"/>
      <c r="L896" s="41"/>
      <c r="M896" s="42"/>
      <c r="N896" s="43" t="str">
        <f aca="false">IF(OR($L896="",$M896=""),"",$L896+MATCH($M896,Listas!$F$5:$F$11,0)-1)</f>
        <v/>
      </c>
      <c r="O896" s="44"/>
      <c r="P896" s="39"/>
      <c r="Q896" s="44"/>
      <c r="R896" s="38"/>
      <c r="S896" s="38"/>
      <c r="T896" s="36" t="str">
        <f aca="false">IF($F896="","",IF(ISNUMBER(SEARCH("(externo)",$I896&amp;$J896&amp;$K896)),"Terceirizada","Interna"))</f>
        <v/>
      </c>
      <c r="U896" s="43" t="str">
        <f aca="false">IF($N896="","",IF($Q896="",$N896,$Q896))</f>
        <v/>
      </c>
      <c r="V896" s="36" t="str">
        <f aca="false">IF($F896="","",IF(OR($O896="",$N896=""),0,IF($O896&lt;=$N896,1,0)))</f>
        <v/>
      </c>
      <c r="W896" s="36" t="str">
        <f aca="false">IF($F896="","",IF(OR($O896="",$U896=""),0,IF($O896&lt;=$U896,1,0)))</f>
        <v/>
      </c>
      <c r="X896" s="37" t="str">
        <f aca="false">IF(OR($O896="",$N896=""),"",MAX(0,$O896-$N896))</f>
        <v/>
      </c>
      <c r="Y896" s="36" t="str">
        <f aca="false">IF($F896="","",IF(AND($Q896&lt;&gt;"",$N896&lt;&gt;"",$Q896&lt;&gt;$N896),1,0))</f>
        <v/>
      </c>
      <c r="Z896" s="36" t="str">
        <f aca="false">IF($F896="","",IF($P896="Cancelada",0,IF(OR($O896&lt;&gt;"",$P896="Concluída"),1,0)))</f>
        <v/>
      </c>
    </row>
    <row r="897" customFormat="false" ht="16.5" hidden="false" customHeight="true" outlineLevel="0" collapsed="false">
      <c r="A897" s="36" t="str">
        <f aca="false">IF($F897="","",COUNTA($F$5:$F897))</f>
        <v/>
      </c>
      <c r="B897" s="37" t="str">
        <f aca="true">IF($F897="","",IF($P897="Cancelada","Cancelada",IF(OR($O897&lt;&gt;"",$P897="Concluída"),IF(OR($N897="",$O897="",$O897&lt;=$N897),"Concluída","Concluída com atraso"),IF($N897="","Na carteira",IF($N897&lt;TODAY(),"VENCIDA",IF($P897="Em execução","Em execução",IF($N897=TODAY(),"Hoje","Programada")))))))</f>
        <v/>
      </c>
      <c r="C897" s="38"/>
      <c r="D897" s="38"/>
      <c r="E897" s="38"/>
      <c r="F897" s="38"/>
      <c r="G897" s="39"/>
      <c r="H897" s="39"/>
      <c r="I897" s="40"/>
      <c r="J897" s="40"/>
      <c r="K897" s="40"/>
      <c r="L897" s="41"/>
      <c r="M897" s="42"/>
      <c r="N897" s="43" t="str">
        <f aca="false">IF(OR($L897="",$M897=""),"",$L897+MATCH($M897,Listas!$F$5:$F$11,0)-1)</f>
        <v/>
      </c>
      <c r="O897" s="44"/>
      <c r="P897" s="39"/>
      <c r="Q897" s="44"/>
      <c r="R897" s="38"/>
      <c r="S897" s="38"/>
      <c r="T897" s="36" t="str">
        <f aca="false">IF($F897="","",IF(ISNUMBER(SEARCH("(externo)",$I897&amp;$J897&amp;$K897)),"Terceirizada","Interna"))</f>
        <v/>
      </c>
      <c r="U897" s="43" t="str">
        <f aca="false">IF($N897="","",IF($Q897="",$N897,$Q897))</f>
        <v/>
      </c>
      <c r="V897" s="36" t="str">
        <f aca="false">IF($F897="","",IF(OR($O897="",$N897=""),0,IF($O897&lt;=$N897,1,0)))</f>
        <v/>
      </c>
      <c r="W897" s="36" t="str">
        <f aca="false">IF($F897="","",IF(OR($O897="",$U897=""),0,IF($O897&lt;=$U897,1,0)))</f>
        <v/>
      </c>
      <c r="X897" s="37" t="str">
        <f aca="false">IF(OR($O897="",$N897=""),"",MAX(0,$O897-$N897))</f>
        <v/>
      </c>
      <c r="Y897" s="36" t="str">
        <f aca="false">IF($F897="","",IF(AND($Q897&lt;&gt;"",$N897&lt;&gt;"",$Q897&lt;&gt;$N897),1,0))</f>
        <v/>
      </c>
      <c r="Z897" s="36" t="str">
        <f aca="false">IF($F897="","",IF($P897="Cancelada",0,IF(OR($O897&lt;&gt;"",$P897="Concluída"),1,0)))</f>
        <v/>
      </c>
    </row>
    <row r="898" customFormat="false" ht="16.5" hidden="false" customHeight="true" outlineLevel="0" collapsed="false">
      <c r="A898" s="36" t="str">
        <f aca="false">IF($F898="","",COUNTA($F$5:$F898))</f>
        <v/>
      </c>
      <c r="B898" s="37" t="str">
        <f aca="true">IF($F898="","",IF($P898="Cancelada","Cancelada",IF(OR($O898&lt;&gt;"",$P898="Concluída"),IF(OR($N898="",$O898="",$O898&lt;=$N898),"Concluída","Concluída com atraso"),IF($N898="","Na carteira",IF($N898&lt;TODAY(),"VENCIDA",IF($P898="Em execução","Em execução",IF($N898=TODAY(),"Hoje","Programada")))))))</f>
        <v/>
      </c>
      <c r="C898" s="38"/>
      <c r="D898" s="38"/>
      <c r="E898" s="38"/>
      <c r="F898" s="38"/>
      <c r="G898" s="39"/>
      <c r="H898" s="39"/>
      <c r="I898" s="40"/>
      <c r="J898" s="40"/>
      <c r="K898" s="40"/>
      <c r="L898" s="41"/>
      <c r="M898" s="42"/>
      <c r="N898" s="43" t="str">
        <f aca="false">IF(OR($L898="",$M898=""),"",$L898+MATCH($M898,Listas!$F$5:$F$11,0)-1)</f>
        <v/>
      </c>
      <c r="O898" s="44"/>
      <c r="P898" s="39"/>
      <c r="Q898" s="44"/>
      <c r="R898" s="38"/>
      <c r="S898" s="38"/>
      <c r="T898" s="36" t="str">
        <f aca="false">IF($F898="","",IF(ISNUMBER(SEARCH("(externo)",$I898&amp;$J898&amp;$K898)),"Terceirizada","Interna"))</f>
        <v/>
      </c>
      <c r="U898" s="43" t="str">
        <f aca="false">IF($N898="","",IF($Q898="",$N898,$Q898))</f>
        <v/>
      </c>
      <c r="V898" s="36" t="str">
        <f aca="false">IF($F898="","",IF(OR($O898="",$N898=""),0,IF($O898&lt;=$N898,1,0)))</f>
        <v/>
      </c>
      <c r="W898" s="36" t="str">
        <f aca="false">IF($F898="","",IF(OR($O898="",$U898=""),0,IF($O898&lt;=$U898,1,0)))</f>
        <v/>
      </c>
      <c r="X898" s="37" t="str">
        <f aca="false">IF(OR($O898="",$N898=""),"",MAX(0,$O898-$N898))</f>
        <v/>
      </c>
      <c r="Y898" s="36" t="str">
        <f aca="false">IF($F898="","",IF(AND($Q898&lt;&gt;"",$N898&lt;&gt;"",$Q898&lt;&gt;$N898),1,0))</f>
        <v/>
      </c>
      <c r="Z898" s="36" t="str">
        <f aca="false">IF($F898="","",IF($P898="Cancelada",0,IF(OR($O898&lt;&gt;"",$P898="Concluída"),1,0)))</f>
        <v/>
      </c>
    </row>
    <row r="899" customFormat="false" ht="16.5" hidden="false" customHeight="true" outlineLevel="0" collapsed="false">
      <c r="A899" s="36" t="str">
        <f aca="false">IF($F899="","",COUNTA($F$5:$F899))</f>
        <v/>
      </c>
      <c r="B899" s="37" t="str">
        <f aca="true">IF($F899="","",IF($P899="Cancelada","Cancelada",IF(OR($O899&lt;&gt;"",$P899="Concluída"),IF(OR($N899="",$O899="",$O899&lt;=$N899),"Concluída","Concluída com atraso"),IF($N899="","Na carteira",IF($N899&lt;TODAY(),"VENCIDA",IF($P899="Em execução","Em execução",IF($N899=TODAY(),"Hoje","Programada")))))))</f>
        <v/>
      </c>
      <c r="C899" s="38"/>
      <c r="D899" s="38"/>
      <c r="E899" s="38"/>
      <c r="F899" s="38"/>
      <c r="G899" s="39"/>
      <c r="H899" s="39"/>
      <c r="I899" s="40"/>
      <c r="J899" s="40"/>
      <c r="K899" s="40"/>
      <c r="L899" s="41"/>
      <c r="M899" s="42"/>
      <c r="N899" s="43" t="str">
        <f aca="false">IF(OR($L899="",$M899=""),"",$L899+MATCH($M899,Listas!$F$5:$F$11,0)-1)</f>
        <v/>
      </c>
      <c r="O899" s="44"/>
      <c r="P899" s="39"/>
      <c r="Q899" s="44"/>
      <c r="R899" s="38"/>
      <c r="S899" s="38"/>
      <c r="T899" s="36" t="str">
        <f aca="false">IF($F899="","",IF(ISNUMBER(SEARCH("(externo)",$I899&amp;$J899&amp;$K899)),"Terceirizada","Interna"))</f>
        <v/>
      </c>
      <c r="U899" s="43" t="str">
        <f aca="false">IF($N899="","",IF($Q899="",$N899,$Q899))</f>
        <v/>
      </c>
      <c r="V899" s="36" t="str">
        <f aca="false">IF($F899="","",IF(OR($O899="",$N899=""),0,IF($O899&lt;=$N899,1,0)))</f>
        <v/>
      </c>
      <c r="W899" s="36" t="str">
        <f aca="false">IF($F899="","",IF(OR($O899="",$U899=""),0,IF($O899&lt;=$U899,1,0)))</f>
        <v/>
      </c>
      <c r="X899" s="37" t="str">
        <f aca="false">IF(OR($O899="",$N899=""),"",MAX(0,$O899-$N899))</f>
        <v/>
      </c>
      <c r="Y899" s="36" t="str">
        <f aca="false">IF($F899="","",IF(AND($Q899&lt;&gt;"",$N899&lt;&gt;"",$Q899&lt;&gt;$N899),1,0))</f>
        <v/>
      </c>
      <c r="Z899" s="36" t="str">
        <f aca="false">IF($F899="","",IF($P899="Cancelada",0,IF(OR($O899&lt;&gt;"",$P899="Concluída"),1,0)))</f>
        <v/>
      </c>
    </row>
    <row r="900" customFormat="false" ht="16.5" hidden="false" customHeight="true" outlineLevel="0" collapsed="false">
      <c r="A900" s="36" t="str">
        <f aca="false">IF($F900="","",COUNTA($F$5:$F900))</f>
        <v/>
      </c>
      <c r="B900" s="37" t="str">
        <f aca="true">IF($F900="","",IF($P900="Cancelada","Cancelada",IF(OR($O900&lt;&gt;"",$P900="Concluída"),IF(OR($N900="",$O900="",$O900&lt;=$N900),"Concluída","Concluída com atraso"),IF($N900="","Na carteira",IF($N900&lt;TODAY(),"VENCIDA",IF($P900="Em execução","Em execução",IF($N900=TODAY(),"Hoje","Programada")))))))</f>
        <v/>
      </c>
      <c r="C900" s="38"/>
      <c r="D900" s="38"/>
      <c r="E900" s="38"/>
      <c r="F900" s="38"/>
      <c r="G900" s="39"/>
      <c r="H900" s="39"/>
      <c r="I900" s="40"/>
      <c r="J900" s="40"/>
      <c r="K900" s="40"/>
      <c r="L900" s="41"/>
      <c r="M900" s="42"/>
      <c r="N900" s="43" t="str">
        <f aca="false">IF(OR($L900="",$M900=""),"",$L900+MATCH($M900,Listas!$F$5:$F$11,0)-1)</f>
        <v/>
      </c>
      <c r="O900" s="44"/>
      <c r="P900" s="39"/>
      <c r="Q900" s="44"/>
      <c r="R900" s="38"/>
      <c r="S900" s="38"/>
      <c r="T900" s="36" t="str">
        <f aca="false">IF($F900="","",IF(ISNUMBER(SEARCH("(externo)",$I900&amp;$J900&amp;$K900)),"Terceirizada","Interna"))</f>
        <v/>
      </c>
      <c r="U900" s="43" t="str">
        <f aca="false">IF($N900="","",IF($Q900="",$N900,$Q900))</f>
        <v/>
      </c>
      <c r="V900" s="36" t="str">
        <f aca="false">IF($F900="","",IF(OR($O900="",$N900=""),0,IF($O900&lt;=$N900,1,0)))</f>
        <v/>
      </c>
      <c r="W900" s="36" t="str">
        <f aca="false">IF($F900="","",IF(OR($O900="",$U900=""),0,IF($O900&lt;=$U900,1,0)))</f>
        <v/>
      </c>
      <c r="X900" s="37" t="str">
        <f aca="false">IF(OR($O900="",$N900=""),"",MAX(0,$O900-$N900))</f>
        <v/>
      </c>
      <c r="Y900" s="36" t="str">
        <f aca="false">IF($F900="","",IF(AND($Q900&lt;&gt;"",$N900&lt;&gt;"",$Q900&lt;&gt;$N900),1,0))</f>
        <v/>
      </c>
      <c r="Z900" s="36" t="str">
        <f aca="false">IF($F900="","",IF($P900="Cancelada",0,IF(OR($O900&lt;&gt;"",$P900="Concluída"),1,0)))</f>
        <v/>
      </c>
    </row>
    <row r="901" customFormat="false" ht="16.5" hidden="false" customHeight="true" outlineLevel="0" collapsed="false">
      <c r="A901" s="36" t="str">
        <f aca="false">IF($F901="","",COUNTA($F$5:$F901))</f>
        <v/>
      </c>
      <c r="B901" s="37" t="str">
        <f aca="true">IF($F901="","",IF($P901="Cancelada","Cancelada",IF(OR($O901&lt;&gt;"",$P901="Concluída"),IF(OR($N901="",$O901="",$O901&lt;=$N901),"Concluída","Concluída com atraso"),IF($N901="","Na carteira",IF($N901&lt;TODAY(),"VENCIDA",IF($P901="Em execução","Em execução",IF($N901=TODAY(),"Hoje","Programada")))))))</f>
        <v/>
      </c>
      <c r="C901" s="38"/>
      <c r="D901" s="38"/>
      <c r="E901" s="38"/>
      <c r="F901" s="38"/>
      <c r="G901" s="39"/>
      <c r="H901" s="39"/>
      <c r="I901" s="40"/>
      <c r="J901" s="40"/>
      <c r="K901" s="40"/>
      <c r="L901" s="41"/>
      <c r="M901" s="42"/>
      <c r="N901" s="43" t="str">
        <f aca="false">IF(OR($L901="",$M901=""),"",$L901+MATCH($M901,Listas!$F$5:$F$11,0)-1)</f>
        <v/>
      </c>
      <c r="O901" s="44"/>
      <c r="P901" s="39"/>
      <c r="Q901" s="44"/>
      <c r="R901" s="38"/>
      <c r="S901" s="38"/>
      <c r="T901" s="36" t="str">
        <f aca="false">IF($F901="","",IF(ISNUMBER(SEARCH("(externo)",$I901&amp;$J901&amp;$K901)),"Terceirizada","Interna"))</f>
        <v/>
      </c>
      <c r="U901" s="43" t="str">
        <f aca="false">IF($N901="","",IF($Q901="",$N901,$Q901))</f>
        <v/>
      </c>
      <c r="V901" s="36" t="str">
        <f aca="false">IF($F901="","",IF(OR($O901="",$N901=""),0,IF($O901&lt;=$N901,1,0)))</f>
        <v/>
      </c>
      <c r="W901" s="36" t="str">
        <f aca="false">IF($F901="","",IF(OR($O901="",$U901=""),0,IF($O901&lt;=$U901,1,0)))</f>
        <v/>
      </c>
      <c r="X901" s="37" t="str">
        <f aca="false">IF(OR($O901="",$N901=""),"",MAX(0,$O901-$N901))</f>
        <v/>
      </c>
      <c r="Y901" s="36" t="str">
        <f aca="false">IF($F901="","",IF(AND($Q901&lt;&gt;"",$N901&lt;&gt;"",$Q901&lt;&gt;$N901),1,0))</f>
        <v/>
      </c>
      <c r="Z901" s="36" t="str">
        <f aca="false">IF($F901="","",IF($P901="Cancelada",0,IF(OR($O901&lt;&gt;"",$P901="Concluída"),1,0)))</f>
        <v/>
      </c>
    </row>
    <row r="902" customFormat="false" ht="16.5" hidden="false" customHeight="true" outlineLevel="0" collapsed="false">
      <c r="A902" s="36" t="str">
        <f aca="false">IF($F902="","",COUNTA($F$5:$F902))</f>
        <v/>
      </c>
      <c r="B902" s="37" t="str">
        <f aca="true">IF($F902="","",IF($P902="Cancelada","Cancelada",IF(OR($O902&lt;&gt;"",$P902="Concluída"),IF(OR($N902="",$O902="",$O902&lt;=$N902),"Concluída","Concluída com atraso"),IF($N902="","Na carteira",IF($N902&lt;TODAY(),"VENCIDA",IF($P902="Em execução","Em execução",IF($N902=TODAY(),"Hoje","Programada")))))))</f>
        <v/>
      </c>
      <c r="C902" s="38"/>
      <c r="D902" s="38"/>
      <c r="E902" s="38"/>
      <c r="F902" s="38"/>
      <c r="G902" s="39"/>
      <c r="H902" s="39"/>
      <c r="I902" s="40"/>
      <c r="J902" s="40"/>
      <c r="K902" s="40"/>
      <c r="L902" s="41"/>
      <c r="M902" s="42"/>
      <c r="N902" s="43" t="str">
        <f aca="false">IF(OR($L902="",$M902=""),"",$L902+MATCH($M902,Listas!$F$5:$F$11,0)-1)</f>
        <v/>
      </c>
      <c r="O902" s="44"/>
      <c r="P902" s="39"/>
      <c r="Q902" s="44"/>
      <c r="R902" s="38"/>
      <c r="S902" s="38"/>
      <c r="T902" s="36" t="str">
        <f aca="false">IF($F902="","",IF(ISNUMBER(SEARCH("(externo)",$I902&amp;$J902&amp;$K902)),"Terceirizada","Interna"))</f>
        <v/>
      </c>
      <c r="U902" s="43" t="str">
        <f aca="false">IF($N902="","",IF($Q902="",$N902,$Q902))</f>
        <v/>
      </c>
      <c r="V902" s="36" t="str">
        <f aca="false">IF($F902="","",IF(OR($O902="",$N902=""),0,IF($O902&lt;=$N902,1,0)))</f>
        <v/>
      </c>
      <c r="W902" s="36" t="str">
        <f aca="false">IF($F902="","",IF(OR($O902="",$U902=""),0,IF($O902&lt;=$U902,1,0)))</f>
        <v/>
      </c>
      <c r="X902" s="37" t="str">
        <f aca="false">IF(OR($O902="",$N902=""),"",MAX(0,$O902-$N902))</f>
        <v/>
      </c>
      <c r="Y902" s="36" t="str">
        <f aca="false">IF($F902="","",IF(AND($Q902&lt;&gt;"",$N902&lt;&gt;"",$Q902&lt;&gt;$N902),1,0))</f>
        <v/>
      </c>
      <c r="Z902" s="36" t="str">
        <f aca="false">IF($F902="","",IF($P902="Cancelada",0,IF(OR($O902&lt;&gt;"",$P902="Concluída"),1,0)))</f>
        <v/>
      </c>
    </row>
    <row r="903" customFormat="false" ht="16.5" hidden="false" customHeight="true" outlineLevel="0" collapsed="false">
      <c r="A903" s="36" t="str">
        <f aca="false">IF($F903="","",COUNTA($F$5:$F903))</f>
        <v/>
      </c>
      <c r="B903" s="37" t="str">
        <f aca="true">IF($F903="","",IF($P903="Cancelada","Cancelada",IF(OR($O903&lt;&gt;"",$P903="Concluída"),IF(OR($N903="",$O903="",$O903&lt;=$N903),"Concluída","Concluída com atraso"),IF($N903="","Na carteira",IF($N903&lt;TODAY(),"VENCIDA",IF($P903="Em execução","Em execução",IF($N903=TODAY(),"Hoje","Programada")))))))</f>
        <v/>
      </c>
      <c r="C903" s="38"/>
      <c r="D903" s="38"/>
      <c r="E903" s="38"/>
      <c r="F903" s="38"/>
      <c r="G903" s="39"/>
      <c r="H903" s="39"/>
      <c r="I903" s="40"/>
      <c r="J903" s="40"/>
      <c r="K903" s="40"/>
      <c r="L903" s="41"/>
      <c r="M903" s="42"/>
      <c r="N903" s="43" t="str">
        <f aca="false">IF(OR($L903="",$M903=""),"",$L903+MATCH($M903,Listas!$F$5:$F$11,0)-1)</f>
        <v/>
      </c>
      <c r="O903" s="44"/>
      <c r="P903" s="39"/>
      <c r="Q903" s="44"/>
      <c r="R903" s="38"/>
      <c r="S903" s="38"/>
      <c r="T903" s="36" t="str">
        <f aca="false">IF($F903="","",IF(ISNUMBER(SEARCH("(externo)",$I903&amp;$J903&amp;$K903)),"Terceirizada","Interna"))</f>
        <v/>
      </c>
      <c r="U903" s="43" t="str">
        <f aca="false">IF($N903="","",IF($Q903="",$N903,$Q903))</f>
        <v/>
      </c>
      <c r="V903" s="36" t="str">
        <f aca="false">IF($F903="","",IF(OR($O903="",$N903=""),0,IF($O903&lt;=$N903,1,0)))</f>
        <v/>
      </c>
      <c r="W903" s="36" t="str">
        <f aca="false">IF($F903="","",IF(OR($O903="",$U903=""),0,IF($O903&lt;=$U903,1,0)))</f>
        <v/>
      </c>
      <c r="X903" s="37" t="str">
        <f aca="false">IF(OR($O903="",$N903=""),"",MAX(0,$O903-$N903))</f>
        <v/>
      </c>
      <c r="Y903" s="36" t="str">
        <f aca="false">IF($F903="","",IF(AND($Q903&lt;&gt;"",$N903&lt;&gt;"",$Q903&lt;&gt;$N903),1,0))</f>
        <v/>
      </c>
      <c r="Z903" s="36" t="str">
        <f aca="false">IF($F903="","",IF($P903="Cancelada",0,IF(OR($O903&lt;&gt;"",$P903="Concluída"),1,0)))</f>
        <v/>
      </c>
    </row>
    <row r="904" customFormat="false" ht="16.5" hidden="false" customHeight="true" outlineLevel="0" collapsed="false">
      <c r="A904" s="36" t="str">
        <f aca="false">IF($F904="","",COUNTA($F$5:$F904))</f>
        <v/>
      </c>
      <c r="B904" s="37" t="str">
        <f aca="true">IF($F904="","",IF($P904="Cancelada","Cancelada",IF(OR($O904&lt;&gt;"",$P904="Concluída"),IF(OR($N904="",$O904="",$O904&lt;=$N904),"Concluída","Concluída com atraso"),IF($N904="","Na carteira",IF($N904&lt;TODAY(),"VENCIDA",IF($P904="Em execução","Em execução",IF($N904=TODAY(),"Hoje","Programada")))))))</f>
        <v/>
      </c>
      <c r="C904" s="38"/>
      <c r="D904" s="38"/>
      <c r="E904" s="38"/>
      <c r="F904" s="38"/>
      <c r="G904" s="39"/>
      <c r="H904" s="39"/>
      <c r="I904" s="40"/>
      <c r="J904" s="40"/>
      <c r="K904" s="40"/>
      <c r="L904" s="41"/>
      <c r="M904" s="42"/>
      <c r="N904" s="43" t="str">
        <f aca="false">IF(OR($L904="",$M904=""),"",$L904+MATCH($M904,Listas!$F$5:$F$11,0)-1)</f>
        <v/>
      </c>
      <c r="O904" s="44"/>
      <c r="P904" s="39"/>
      <c r="Q904" s="44"/>
      <c r="R904" s="38"/>
      <c r="S904" s="38"/>
      <c r="T904" s="36" t="str">
        <f aca="false">IF($F904="","",IF(ISNUMBER(SEARCH("(externo)",$I904&amp;$J904&amp;$K904)),"Terceirizada","Interna"))</f>
        <v/>
      </c>
      <c r="U904" s="43" t="str">
        <f aca="false">IF($N904="","",IF($Q904="",$N904,$Q904))</f>
        <v/>
      </c>
      <c r="V904" s="36" t="str">
        <f aca="false">IF($F904="","",IF(OR($O904="",$N904=""),0,IF($O904&lt;=$N904,1,0)))</f>
        <v/>
      </c>
      <c r="W904" s="36" t="str">
        <f aca="false">IF($F904="","",IF(OR($O904="",$U904=""),0,IF($O904&lt;=$U904,1,0)))</f>
        <v/>
      </c>
      <c r="X904" s="37" t="str">
        <f aca="false">IF(OR($O904="",$N904=""),"",MAX(0,$O904-$N904))</f>
        <v/>
      </c>
      <c r="Y904" s="36" t="str">
        <f aca="false">IF($F904="","",IF(AND($Q904&lt;&gt;"",$N904&lt;&gt;"",$Q904&lt;&gt;$N904),1,0))</f>
        <v/>
      </c>
      <c r="Z904" s="36" t="str">
        <f aca="false">IF($F904="","",IF($P904="Cancelada",0,IF(OR($O904&lt;&gt;"",$P904="Concluída"),1,0)))</f>
        <v/>
      </c>
    </row>
    <row r="905" customFormat="false" ht="16.5" hidden="false" customHeight="true" outlineLevel="0" collapsed="false">
      <c r="A905" s="36" t="str">
        <f aca="false">IF($F905="","",COUNTA($F$5:$F905))</f>
        <v/>
      </c>
      <c r="B905" s="37" t="str">
        <f aca="true">IF($F905="","",IF($P905="Cancelada","Cancelada",IF(OR($O905&lt;&gt;"",$P905="Concluída"),IF(OR($N905="",$O905="",$O905&lt;=$N905),"Concluída","Concluída com atraso"),IF($N905="","Na carteira",IF($N905&lt;TODAY(),"VENCIDA",IF($P905="Em execução","Em execução",IF($N905=TODAY(),"Hoje","Programada")))))))</f>
        <v/>
      </c>
      <c r="C905" s="38"/>
      <c r="D905" s="38"/>
      <c r="E905" s="38"/>
      <c r="F905" s="38"/>
      <c r="G905" s="39"/>
      <c r="H905" s="39"/>
      <c r="I905" s="40"/>
      <c r="J905" s="40"/>
      <c r="K905" s="40"/>
      <c r="L905" s="41"/>
      <c r="M905" s="42"/>
      <c r="N905" s="43" t="str">
        <f aca="false">IF(OR($L905="",$M905=""),"",$L905+MATCH($M905,Listas!$F$5:$F$11,0)-1)</f>
        <v/>
      </c>
      <c r="O905" s="44"/>
      <c r="P905" s="39"/>
      <c r="Q905" s="44"/>
      <c r="R905" s="38"/>
      <c r="S905" s="38"/>
      <c r="T905" s="36" t="str">
        <f aca="false">IF($F905="","",IF(ISNUMBER(SEARCH("(externo)",$I905&amp;$J905&amp;$K905)),"Terceirizada","Interna"))</f>
        <v/>
      </c>
      <c r="U905" s="43" t="str">
        <f aca="false">IF($N905="","",IF($Q905="",$N905,$Q905))</f>
        <v/>
      </c>
      <c r="V905" s="36" t="str">
        <f aca="false">IF($F905="","",IF(OR($O905="",$N905=""),0,IF($O905&lt;=$N905,1,0)))</f>
        <v/>
      </c>
      <c r="W905" s="36" t="str">
        <f aca="false">IF($F905="","",IF(OR($O905="",$U905=""),0,IF($O905&lt;=$U905,1,0)))</f>
        <v/>
      </c>
      <c r="X905" s="37" t="str">
        <f aca="false">IF(OR($O905="",$N905=""),"",MAX(0,$O905-$N905))</f>
        <v/>
      </c>
      <c r="Y905" s="36" t="str">
        <f aca="false">IF($F905="","",IF(AND($Q905&lt;&gt;"",$N905&lt;&gt;"",$Q905&lt;&gt;$N905),1,0))</f>
        <v/>
      </c>
      <c r="Z905" s="36" t="str">
        <f aca="false">IF($F905="","",IF($P905="Cancelada",0,IF(OR($O905&lt;&gt;"",$P905="Concluída"),1,0)))</f>
        <v/>
      </c>
    </row>
    <row r="906" customFormat="false" ht="16.5" hidden="false" customHeight="true" outlineLevel="0" collapsed="false">
      <c r="A906" s="36" t="str">
        <f aca="false">IF($F906="","",COUNTA($F$5:$F906))</f>
        <v/>
      </c>
      <c r="B906" s="37" t="str">
        <f aca="true">IF($F906="","",IF($P906="Cancelada","Cancelada",IF(OR($O906&lt;&gt;"",$P906="Concluída"),IF(OR($N906="",$O906="",$O906&lt;=$N906),"Concluída","Concluída com atraso"),IF($N906="","Na carteira",IF($N906&lt;TODAY(),"VENCIDA",IF($P906="Em execução","Em execução",IF($N906=TODAY(),"Hoje","Programada")))))))</f>
        <v/>
      </c>
      <c r="C906" s="38"/>
      <c r="D906" s="38"/>
      <c r="E906" s="38"/>
      <c r="F906" s="38"/>
      <c r="G906" s="39"/>
      <c r="H906" s="39"/>
      <c r="I906" s="40"/>
      <c r="J906" s="40"/>
      <c r="K906" s="40"/>
      <c r="L906" s="41"/>
      <c r="M906" s="42"/>
      <c r="N906" s="43" t="str">
        <f aca="false">IF(OR($L906="",$M906=""),"",$L906+MATCH($M906,Listas!$F$5:$F$11,0)-1)</f>
        <v/>
      </c>
      <c r="O906" s="44"/>
      <c r="P906" s="39"/>
      <c r="Q906" s="44"/>
      <c r="R906" s="38"/>
      <c r="S906" s="38"/>
      <c r="T906" s="36" t="str">
        <f aca="false">IF($F906="","",IF(ISNUMBER(SEARCH("(externo)",$I906&amp;$J906&amp;$K906)),"Terceirizada","Interna"))</f>
        <v/>
      </c>
      <c r="U906" s="43" t="str">
        <f aca="false">IF($N906="","",IF($Q906="",$N906,$Q906))</f>
        <v/>
      </c>
      <c r="V906" s="36" t="str">
        <f aca="false">IF($F906="","",IF(OR($O906="",$N906=""),0,IF($O906&lt;=$N906,1,0)))</f>
        <v/>
      </c>
      <c r="W906" s="36" t="str">
        <f aca="false">IF($F906="","",IF(OR($O906="",$U906=""),0,IF($O906&lt;=$U906,1,0)))</f>
        <v/>
      </c>
      <c r="X906" s="37" t="str">
        <f aca="false">IF(OR($O906="",$N906=""),"",MAX(0,$O906-$N906))</f>
        <v/>
      </c>
      <c r="Y906" s="36" t="str">
        <f aca="false">IF($F906="","",IF(AND($Q906&lt;&gt;"",$N906&lt;&gt;"",$Q906&lt;&gt;$N906),1,0))</f>
        <v/>
      </c>
      <c r="Z906" s="36" t="str">
        <f aca="false">IF($F906="","",IF($P906="Cancelada",0,IF(OR($O906&lt;&gt;"",$P906="Concluída"),1,0)))</f>
        <v/>
      </c>
    </row>
    <row r="907" customFormat="false" ht="16.5" hidden="false" customHeight="true" outlineLevel="0" collapsed="false">
      <c r="A907" s="36" t="str">
        <f aca="false">IF($F907="","",COUNTA($F$5:$F907))</f>
        <v/>
      </c>
      <c r="B907" s="37" t="str">
        <f aca="true">IF($F907="","",IF($P907="Cancelada","Cancelada",IF(OR($O907&lt;&gt;"",$P907="Concluída"),IF(OR($N907="",$O907="",$O907&lt;=$N907),"Concluída","Concluída com atraso"),IF($N907="","Na carteira",IF($N907&lt;TODAY(),"VENCIDA",IF($P907="Em execução","Em execução",IF($N907=TODAY(),"Hoje","Programada")))))))</f>
        <v/>
      </c>
      <c r="C907" s="38"/>
      <c r="D907" s="38"/>
      <c r="E907" s="38"/>
      <c r="F907" s="38"/>
      <c r="G907" s="39"/>
      <c r="H907" s="39"/>
      <c r="I907" s="40"/>
      <c r="J907" s="40"/>
      <c r="K907" s="40"/>
      <c r="L907" s="41"/>
      <c r="M907" s="42"/>
      <c r="N907" s="43" t="str">
        <f aca="false">IF(OR($L907="",$M907=""),"",$L907+MATCH($M907,Listas!$F$5:$F$11,0)-1)</f>
        <v/>
      </c>
      <c r="O907" s="44"/>
      <c r="P907" s="39"/>
      <c r="Q907" s="44"/>
      <c r="R907" s="38"/>
      <c r="S907" s="38"/>
      <c r="T907" s="36" t="str">
        <f aca="false">IF($F907="","",IF(ISNUMBER(SEARCH("(externo)",$I907&amp;$J907&amp;$K907)),"Terceirizada","Interna"))</f>
        <v/>
      </c>
      <c r="U907" s="43" t="str">
        <f aca="false">IF($N907="","",IF($Q907="",$N907,$Q907))</f>
        <v/>
      </c>
      <c r="V907" s="36" t="str">
        <f aca="false">IF($F907="","",IF(OR($O907="",$N907=""),0,IF($O907&lt;=$N907,1,0)))</f>
        <v/>
      </c>
      <c r="W907" s="36" t="str">
        <f aca="false">IF($F907="","",IF(OR($O907="",$U907=""),0,IF($O907&lt;=$U907,1,0)))</f>
        <v/>
      </c>
      <c r="X907" s="37" t="str">
        <f aca="false">IF(OR($O907="",$N907=""),"",MAX(0,$O907-$N907))</f>
        <v/>
      </c>
      <c r="Y907" s="36" t="str">
        <f aca="false">IF($F907="","",IF(AND($Q907&lt;&gt;"",$N907&lt;&gt;"",$Q907&lt;&gt;$N907),1,0))</f>
        <v/>
      </c>
      <c r="Z907" s="36" t="str">
        <f aca="false">IF($F907="","",IF($P907="Cancelada",0,IF(OR($O907&lt;&gt;"",$P907="Concluída"),1,0)))</f>
        <v/>
      </c>
    </row>
    <row r="908" customFormat="false" ht="16.5" hidden="false" customHeight="true" outlineLevel="0" collapsed="false">
      <c r="A908" s="36" t="str">
        <f aca="false">IF($F908="","",COUNTA($F$5:$F908))</f>
        <v/>
      </c>
      <c r="B908" s="37" t="str">
        <f aca="true">IF($F908="","",IF($P908="Cancelada","Cancelada",IF(OR($O908&lt;&gt;"",$P908="Concluída"),IF(OR($N908="",$O908="",$O908&lt;=$N908),"Concluída","Concluída com atraso"),IF($N908="","Na carteira",IF($N908&lt;TODAY(),"VENCIDA",IF($P908="Em execução","Em execução",IF($N908=TODAY(),"Hoje","Programada")))))))</f>
        <v/>
      </c>
      <c r="C908" s="38"/>
      <c r="D908" s="38"/>
      <c r="E908" s="38"/>
      <c r="F908" s="38"/>
      <c r="G908" s="39"/>
      <c r="H908" s="39"/>
      <c r="I908" s="40"/>
      <c r="J908" s="40"/>
      <c r="K908" s="40"/>
      <c r="L908" s="41"/>
      <c r="M908" s="42"/>
      <c r="N908" s="43" t="str">
        <f aca="false">IF(OR($L908="",$M908=""),"",$L908+MATCH($M908,Listas!$F$5:$F$11,0)-1)</f>
        <v/>
      </c>
      <c r="O908" s="44"/>
      <c r="P908" s="39"/>
      <c r="Q908" s="44"/>
      <c r="R908" s="38"/>
      <c r="S908" s="38"/>
      <c r="T908" s="36" t="str">
        <f aca="false">IF($F908="","",IF(ISNUMBER(SEARCH("(externo)",$I908&amp;$J908&amp;$K908)),"Terceirizada","Interna"))</f>
        <v/>
      </c>
      <c r="U908" s="43" t="str">
        <f aca="false">IF($N908="","",IF($Q908="",$N908,$Q908))</f>
        <v/>
      </c>
      <c r="V908" s="36" t="str">
        <f aca="false">IF($F908="","",IF(OR($O908="",$N908=""),0,IF($O908&lt;=$N908,1,0)))</f>
        <v/>
      </c>
      <c r="W908" s="36" t="str">
        <f aca="false">IF($F908="","",IF(OR($O908="",$U908=""),0,IF($O908&lt;=$U908,1,0)))</f>
        <v/>
      </c>
      <c r="X908" s="37" t="str">
        <f aca="false">IF(OR($O908="",$N908=""),"",MAX(0,$O908-$N908))</f>
        <v/>
      </c>
      <c r="Y908" s="36" t="str">
        <f aca="false">IF($F908="","",IF(AND($Q908&lt;&gt;"",$N908&lt;&gt;"",$Q908&lt;&gt;$N908),1,0))</f>
        <v/>
      </c>
      <c r="Z908" s="36" t="str">
        <f aca="false">IF($F908="","",IF($P908="Cancelada",0,IF(OR($O908&lt;&gt;"",$P908="Concluída"),1,0)))</f>
        <v/>
      </c>
    </row>
    <row r="909" customFormat="false" ht="16.5" hidden="false" customHeight="true" outlineLevel="0" collapsed="false">
      <c r="A909" s="36" t="str">
        <f aca="false">IF($F909="","",COUNTA($F$5:$F909))</f>
        <v/>
      </c>
      <c r="B909" s="37" t="str">
        <f aca="true">IF($F909="","",IF($P909="Cancelada","Cancelada",IF(OR($O909&lt;&gt;"",$P909="Concluída"),IF(OR($N909="",$O909="",$O909&lt;=$N909),"Concluída","Concluída com atraso"),IF($N909="","Na carteira",IF($N909&lt;TODAY(),"VENCIDA",IF($P909="Em execução","Em execução",IF($N909=TODAY(),"Hoje","Programada")))))))</f>
        <v/>
      </c>
      <c r="C909" s="38"/>
      <c r="D909" s="38"/>
      <c r="E909" s="38"/>
      <c r="F909" s="38"/>
      <c r="G909" s="39"/>
      <c r="H909" s="39"/>
      <c r="I909" s="40"/>
      <c r="J909" s="40"/>
      <c r="K909" s="40"/>
      <c r="L909" s="41"/>
      <c r="M909" s="42"/>
      <c r="N909" s="43" t="str">
        <f aca="false">IF(OR($L909="",$M909=""),"",$L909+MATCH($M909,Listas!$F$5:$F$11,0)-1)</f>
        <v/>
      </c>
      <c r="O909" s="44"/>
      <c r="P909" s="39"/>
      <c r="Q909" s="44"/>
      <c r="R909" s="38"/>
      <c r="S909" s="38"/>
      <c r="T909" s="36" t="str">
        <f aca="false">IF($F909="","",IF(ISNUMBER(SEARCH("(externo)",$I909&amp;$J909&amp;$K909)),"Terceirizada","Interna"))</f>
        <v/>
      </c>
      <c r="U909" s="43" t="str">
        <f aca="false">IF($N909="","",IF($Q909="",$N909,$Q909))</f>
        <v/>
      </c>
      <c r="V909" s="36" t="str">
        <f aca="false">IF($F909="","",IF(OR($O909="",$N909=""),0,IF($O909&lt;=$N909,1,0)))</f>
        <v/>
      </c>
      <c r="W909" s="36" t="str">
        <f aca="false">IF($F909="","",IF(OR($O909="",$U909=""),0,IF($O909&lt;=$U909,1,0)))</f>
        <v/>
      </c>
      <c r="X909" s="37" t="str">
        <f aca="false">IF(OR($O909="",$N909=""),"",MAX(0,$O909-$N909))</f>
        <v/>
      </c>
      <c r="Y909" s="36" t="str">
        <f aca="false">IF($F909="","",IF(AND($Q909&lt;&gt;"",$N909&lt;&gt;"",$Q909&lt;&gt;$N909),1,0))</f>
        <v/>
      </c>
      <c r="Z909" s="36" t="str">
        <f aca="false">IF($F909="","",IF($P909="Cancelada",0,IF(OR($O909&lt;&gt;"",$P909="Concluída"),1,0)))</f>
        <v/>
      </c>
    </row>
    <row r="910" customFormat="false" ht="16.5" hidden="false" customHeight="true" outlineLevel="0" collapsed="false">
      <c r="A910" s="36" t="str">
        <f aca="false">IF($F910="","",COUNTA($F$5:$F910))</f>
        <v/>
      </c>
      <c r="B910" s="37" t="str">
        <f aca="true">IF($F910="","",IF($P910="Cancelada","Cancelada",IF(OR($O910&lt;&gt;"",$P910="Concluída"),IF(OR($N910="",$O910="",$O910&lt;=$N910),"Concluída","Concluída com atraso"),IF($N910="","Na carteira",IF($N910&lt;TODAY(),"VENCIDA",IF($P910="Em execução","Em execução",IF($N910=TODAY(),"Hoje","Programada")))))))</f>
        <v/>
      </c>
      <c r="C910" s="38"/>
      <c r="D910" s="38"/>
      <c r="E910" s="38"/>
      <c r="F910" s="38"/>
      <c r="G910" s="39"/>
      <c r="H910" s="39"/>
      <c r="I910" s="40"/>
      <c r="J910" s="40"/>
      <c r="K910" s="40"/>
      <c r="L910" s="41"/>
      <c r="M910" s="42"/>
      <c r="N910" s="43" t="str">
        <f aca="false">IF(OR($L910="",$M910=""),"",$L910+MATCH($M910,Listas!$F$5:$F$11,0)-1)</f>
        <v/>
      </c>
      <c r="O910" s="44"/>
      <c r="P910" s="39"/>
      <c r="Q910" s="44"/>
      <c r="R910" s="38"/>
      <c r="S910" s="38"/>
      <c r="T910" s="36" t="str">
        <f aca="false">IF($F910="","",IF(ISNUMBER(SEARCH("(externo)",$I910&amp;$J910&amp;$K910)),"Terceirizada","Interna"))</f>
        <v/>
      </c>
      <c r="U910" s="43" t="str">
        <f aca="false">IF($N910="","",IF($Q910="",$N910,$Q910))</f>
        <v/>
      </c>
      <c r="V910" s="36" t="str">
        <f aca="false">IF($F910="","",IF(OR($O910="",$N910=""),0,IF($O910&lt;=$N910,1,0)))</f>
        <v/>
      </c>
      <c r="W910" s="36" t="str">
        <f aca="false">IF($F910="","",IF(OR($O910="",$U910=""),0,IF($O910&lt;=$U910,1,0)))</f>
        <v/>
      </c>
      <c r="X910" s="37" t="str">
        <f aca="false">IF(OR($O910="",$N910=""),"",MAX(0,$O910-$N910))</f>
        <v/>
      </c>
      <c r="Y910" s="36" t="str">
        <f aca="false">IF($F910="","",IF(AND($Q910&lt;&gt;"",$N910&lt;&gt;"",$Q910&lt;&gt;$N910),1,0))</f>
        <v/>
      </c>
      <c r="Z910" s="36" t="str">
        <f aca="false">IF($F910="","",IF($P910="Cancelada",0,IF(OR($O910&lt;&gt;"",$P910="Concluída"),1,0)))</f>
        <v/>
      </c>
    </row>
    <row r="911" customFormat="false" ht="16.5" hidden="false" customHeight="true" outlineLevel="0" collapsed="false">
      <c r="A911" s="36" t="str">
        <f aca="false">IF($F911="","",COUNTA($F$5:$F911))</f>
        <v/>
      </c>
      <c r="B911" s="37" t="str">
        <f aca="true">IF($F911="","",IF($P911="Cancelada","Cancelada",IF(OR($O911&lt;&gt;"",$P911="Concluída"),IF(OR($N911="",$O911="",$O911&lt;=$N911),"Concluída","Concluída com atraso"),IF($N911="","Na carteira",IF($N911&lt;TODAY(),"VENCIDA",IF($P911="Em execução","Em execução",IF($N911=TODAY(),"Hoje","Programada")))))))</f>
        <v/>
      </c>
      <c r="C911" s="38"/>
      <c r="D911" s="38"/>
      <c r="E911" s="38"/>
      <c r="F911" s="38"/>
      <c r="G911" s="39"/>
      <c r="H911" s="39"/>
      <c r="I911" s="40"/>
      <c r="J911" s="40"/>
      <c r="K911" s="40"/>
      <c r="L911" s="41"/>
      <c r="M911" s="42"/>
      <c r="N911" s="43" t="str">
        <f aca="false">IF(OR($L911="",$M911=""),"",$L911+MATCH($M911,Listas!$F$5:$F$11,0)-1)</f>
        <v/>
      </c>
      <c r="O911" s="44"/>
      <c r="P911" s="39"/>
      <c r="Q911" s="44"/>
      <c r="R911" s="38"/>
      <c r="S911" s="38"/>
      <c r="T911" s="36" t="str">
        <f aca="false">IF($F911="","",IF(ISNUMBER(SEARCH("(externo)",$I911&amp;$J911&amp;$K911)),"Terceirizada","Interna"))</f>
        <v/>
      </c>
      <c r="U911" s="43" t="str">
        <f aca="false">IF($N911="","",IF($Q911="",$N911,$Q911))</f>
        <v/>
      </c>
      <c r="V911" s="36" t="str">
        <f aca="false">IF($F911="","",IF(OR($O911="",$N911=""),0,IF($O911&lt;=$N911,1,0)))</f>
        <v/>
      </c>
      <c r="W911" s="36" t="str">
        <f aca="false">IF($F911="","",IF(OR($O911="",$U911=""),0,IF($O911&lt;=$U911,1,0)))</f>
        <v/>
      </c>
      <c r="X911" s="37" t="str">
        <f aca="false">IF(OR($O911="",$N911=""),"",MAX(0,$O911-$N911))</f>
        <v/>
      </c>
      <c r="Y911" s="36" t="str">
        <f aca="false">IF($F911="","",IF(AND($Q911&lt;&gt;"",$N911&lt;&gt;"",$Q911&lt;&gt;$N911),1,0))</f>
        <v/>
      </c>
      <c r="Z911" s="36" t="str">
        <f aca="false">IF($F911="","",IF($P911="Cancelada",0,IF(OR($O911&lt;&gt;"",$P911="Concluída"),1,0)))</f>
        <v/>
      </c>
    </row>
    <row r="912" customFormat="false" ht="16.5" hidden="false" customHeight="true" outlineLevel="0" collapsed="false">
      <c r="A912" s="36" t="str">
        <f aca="false">IF($F912="","",COUNTA($F$5:$F912))</f>
        <v/>
      </c>
      <c r="B912" s="37" t="str">
        <f aca="true">IF($F912="","",IF($P912="Cancelada","Cancelada",IF(OR($O912&lt;&gt;"",$P912="Concluída"),IF(OR($N912="",$O912="",$O912&lt;=$N912),"Concluída","Concluída com atraso"),IF($N912="","Na carteira",IF($N912&lt;TODAY(),"VENCIDA",IF($P912="Em execução","Em execução",IF($N912=TODAY(),"Hoje","Programada")))))))</f>
        <v/>
      </c>
      <c r="C912" s="38"/>
      <c r="D912" s="38"/>
      <c r="E912" s="38"/>
      <c r="F912" s="38"/>
      <c r="G912" s="39"/>
      <c r="H912" s="39"/>
      <c r="I912" s="40"/>
      <c r="J912" s="40"/>
      <c r="K912" s="40"/>
      <c r="L912" s="41"/>
      <c r="M912" s="42"/>
      <c r="N912" s="43" t="str">
        <f aca="false">IF(OR($L912="",$M912=""),"",$L912+MATCH($M912,Listas!$F$5:$F$11,0)-1)</f>
        <v/>
      </c>
      <c r="O912" s="44"/>
      <c r="P912" s="39"/>
      <c r="Q912" s="44"/>
      <c r="R912" s="38"/>
      <c r="S912" s="38"/>
      <c r="T912" s="36" t="str">
        <f aca="false">IF($F912="","",IF(ISNUMBER(SEARCH("(externo)",$I912&amp;$J912&amp;$K912)),"Terceirizada","Interna"))</f>
        <v/>
      </c>
      <c r="U912" s="43" t="str">
        <f aca="false">IF($N912="","",IF($Q912="",$N912,$Q912))</f>
        <v/>
      </c>
      <c r="V912" s="36" t="str">
        <f aca="false">IF($F912="","",IF(OR($O912="",$N912=""),0,IF($O912&lt;=$N912,1,0)))</f>
        <v/>
      </c>
      <c r="W912" s="36" t="str">
        <f aca="false">IF($F912="","",IF(OR($O912="",$U912=""),0,IF($O912&lt;=$U912,1,0)))</f>
        <v/>
      </c>
      <c r="X912" s="37" t="str">
        <f aca="false">IF(OR($O912="",$N912=""),"",MAX(0,$O912-$N912))</f>
        <v/>
      </c>
      <c r="Y912" s="36" t="str">
        <f aca="false">IF($F912="","",IF(AND($Q912&lt;&gt;"",$N912&lt;&gt;"",$Q912&lt;&gt;$N912),1,0))</f>
        <v/>
      </c>
      <c r="Z912" s="36" t="str">
        <f aca="false">IF($F912="","",IF($P912="Cancelada",0,IF(OR($O912&lt;&gt;"",$P912="Concluída"),1,0)))</f>
        <v/>
      </c>
    </row>
    <row r="913" customFormat="false" ht="16.5" hidden="false" customHeight="true" outlineLevel="0" collapsed="false">
      <c r="A913" s="36" t="str">
        <f aca="false">IF($F913="","",COUNTA($F$5:$F913))</f>
        <v/>
      </c>
      <c r="B913" s="37" t="str">
        <f aca="true">IF($F913="","",IF($P913="Cancelada","Cancelada",IF(OR($O913&lt;&gt;"",$P913="Concluída"),IF(OR($N913="",$O913="",$O913&lt;=$N913),"Concluída","Concluída com atraso"),IF($N913="","Na carteira",IF($N913&lt;TODAY(),"VENCIDA",IF($P913="Em execução","Em execução",IF($N913=TODAY(),"Hoje","Programada")))))))</f>
        <v/>
      </c>
      <c r="C913" s="38"/>
      <c r="D913" s="38"/>
      <c r="E913" s="38"/>
      <c r="F913" s="38"/>
      <c r="G913" s="39"/>
      <c r="H913" s="39"/>
      <c r="I913" s="40"/>
      <c r="J913" s="40"/>
      <c r="K913" s="40"/>
      <c r="L913" s="41"/>
      <c r="M913" s="42"/>
      <c r="N913" s="43" t="str">
        <f aca="false">IF(OR($L913="",$M913=""),"",$L913+MATCH($M913,Listas!$F$5:$F$11,0)-1)</f>
        <v/>
      </c>
      <c r="O913" s="44"/>
      <c r="P913" s="39"/>
      <c r="Q913" s="44"/>
      <c r="R913" s="38"/>
      <c r="S913" s="38"/>
      <c r="T913" s="36" t="str">
        <f aca="false">IF($F913="","",IF(ISNUMBER(SEARCH("(externo)",$I913&amp;$J913&amp;$K913)),"Terceirizada","Interna"))</f>
        <v/>
      </c>
      <c r="U913" s="43" t="str">
        <f aca="false">IF($N913="","",IF($Q913="",$N913,$Q913))</f>
        <v/>
      </c>
      <c r="V913" s="36" t="str">
        <f aca="false">IF($F913="","",IF(OR($O913="",$N913=""),0,IF($O913&lt;=$N913,1,0)))</f>
        <v/>
      </c>
      <c r="W913" s="36" t="str">
        <f aca="false">IF($F913="","",IF(OR($O913="",$U913=""),0,IF($O913&lt;=$U913,1,0)))</f>
        <v/>
      </c>
      <c r="X913" s="37" t="str">
        <f aca="false">IF(OR($O913="",$N913=""),"",MAX(0,$O913-$N913))</f>
        <v/>
      </c>
      <c r="Y913" s="36" t="str">
        <f aca="false">IF($F913="","",IF(AND($Q913&lt;&gt;"",$N913&lt;&gt;"",$Q913&lt;&gt;$N913),1,0))</f>
        <v/>
      </c>
      <c r="Z913" s="36" t="str">
        <f aca="false">IF($F913="","",IF($P913="Cancelada",0,IF(OR($O913&lt;&gt;"",$P913="Concluída"),1,0)))</f>
        <v/>
      </c>
    </row>
    <row r="914" customFormat="false" ht="16.5" hidden="false" customHeight="true" outlineLevel="0" collapsed="false">
      <c r="A914" s="36" t="str">
        <f aca="false">IF($F914="","",COUNTA($F$5:$F914))</f>
        <v/>
      </c>
      <c r="B914" s="37" t="str">
        <f aca="true">IF($F914="","",IF($P914="Cancelada","Cancelada",IF(OR($O914&lt;&gt;"",$P914="Concluída"),IF(OR($N914="",$O914="",$O914&lt;=$N914),"Concluída","Concluída com atraso"),IF($N914="","Na carteira",IF($N914&lt;TODAY(),"VENCIDA",IF($P914="Em execução","Em execução",IF($N914=TODAY(),"Hoje","Programada")))))))</f>
        <v/>
      </c>
      <c r="C914" s="38"/>
      <c r="D914" s="38"/>
      <c r="E914" s="38"/>
      <c r="F914" s="38"/>
      <c r="G914" s="39"/>
      <c r="H914" s="39"/>
      <c r="I914" s="40"/>
      <c r="J914" s="40"/>
      <c r="K914" s="40"/>
      <c r="L914" s="41"/>
      <c r="M914" s="42"/>
      <c r="N914" s="43" t="str">
        <f aca="false">IF(OR($L914="",$M914=""),"",$L914+MATCH($M914,Listas!$F$5:$F$11,0)-1)</f>
        <v/>
      </c>
      <c r="O914" s="44"/>
      <c r="P914" s="39"/>
      <c r="Q914" s="44"/>
      <c r="R914" s="38"/>
      <c r="S914" s="38"/>
      <c r="T914" s="36" t="str">
        <f aca="false">IF($F914="","",IF(ISNUMBER(SEARCH("(externo)",$I914&amp;$J914&amp;$K914)),"Terceirizada","Interna"))</f>
        <v/>
      </c>
      <c r="U914" s="43" t="str">
        <f aca="false">IF($N914="","",IF($Q914="",$N914,$Q914))</f>
        <v/>
      </c>
      <c r="V914" s="36" t="str">
        <f aca="false">IF($F914="","",IF(OR($O914="",$N914=""),0,IF($O914&lt;=$N914,1,0)))</f>
        <v/>
      </c>
      <c r="W914" s="36" t="str">
        <f aca="false">IF($F914="","",IF(OR($O914="",$U914=""),0,IF($O914&lt;=$U914,1,0)))</f>
        <v/>
      </c>
      <c r="X914" s="37" t="str">
        <f aca="false">IF(OR($O914="",$N914=""),"",MAX(0,$O914-$N914))</f>
        <v/>
      </c>
      <c r="Y914" s="36" t="str">
        <f aca="false">IF($F914="","",IF(AND($Q914&lt;&gt;"",$N914&lt;&gt;"",$Q914&lt;&gt;$N914),1,0))</f>
        <v/>
      </c>
      <c r="Z914" s="36" t="str">
        <f aca="false">IF($F914="","",IF($P914="Cancelada",0,IF(OR($O914&lt;&gt;"",$P914="Concluída"),1,0)))</f>
        <v/>
      </c>
    </row>
    <row r="915" customFormat="false" ht="16.5" hidden="false" customHeight="true" outlineLevel="0" collapsed="false">
      <c r="A915" s="36" t="str">
        <f aca="false">IF($F915="","",COUNTA($F$5:$F915))</f>
        <v/>
      </c>
      <c r="B915" s="37" t="str">
        <f aca="true">IF($F915="","",IF($P915="Cancelada","Cancelada",IF(OR($O915&lt;&gt;"",$P915="Concluída"),IF(OR($N915="",$O915="",$O915&lt;=$N915),"Concluída","Concluída com atraso"),IF($N915="","Na carteira",IF($N915&lt;TODAY(),"VENCIDA",IF($P915="Em execução","Em execução",IF($N915=TODAY(),"Hoje","Programada")))))))</f>
        <v/>
      </c>
      <c r="C915" s="38"/>
      <c r="D915" s="38"/>
      <c r="E915" s="38"/>
      <c r="F915" s="38"/>
      <c r="G915" s="39"/>
      <c r="H915" s="39"/>
      <c r="I915" s="40"/>
      <c r="J915" s="40"/>
      <c r="K915" s="40"/>
      <c r="L915" s="41"/>
      <c r="M915" s="42"/>
      <c r="N915" s="43" t="str">
        <f aca="false">IF(OR($L915="",$M915=""),"",$L915+MATCH($M915,Listas!$F$5:$F$11,0)-1)</f>
        <v/>
      </c>
      <c r="O915" s="44"/>
      <c r="P915" s="39"/>
      <c r="Q915" s="44"/>
      <c r="R915" s="38"/>
      <c r="S915" s="38"/>
      <c r="T915" s="36" t="str">
        <f aca="false">IF($F915="","",IF(ISNUMBER(SEARCH("(externo)",$I915&amp;$J915&amp;$K915)),"Terceirizada","Interna"))</f>
        <v/>
      </c>
      <c r="U915" s="43" t="str">
        <f aca="false">IF($N915="","",IF($Q915="",$N915,$Q915))</f>
        <v/>
      </c>
      <c r="V915" s="36" t="str">
        <f aca="false">IF($F915="","",IF(OR($O915="",$N915=""),0,IF($O915&lt;=$N915,1,0)))</f>
        <v/>
      </c>
      <c r="W915" s="36" t="str">
        <f aca="false">IF($F915="","",IF(OR($O915="",$U915=""),0,IF($O915&lt;=$U915,1,0)))</f>
        <v/>
      </c>
      <c r="X915" s="37" t="str">
        <f aca="false">IF(OR($O915="",$N915=""),"",MAX(0,$O915-$N915))</f>
        <v/>
      </c>
      <c r="Y915" s="36" t="str">
        <f aca="false">IF($F915="","",IF(AND($Q915&lt;&gt;"",$N915&lt;&gt;"",$Q915&lt;&gt;$N915),1,0))</f>
        <v/>
      </c>
      <c r="Z915" s="36" t="str">
        <f aca="false">IF($F915="","",IF($P915="Cancelada",0,IF(OR($O915&lt;&gt;"",$P915="Concluída"),1,0)))</f>
        <v/>
      </c>
    </row>
    <row r="916" customFormat="false" ht="16.5" hidden="false" customHeight="true" outlineLevel="0" collapsed="false">
      <c r="A916" s="36" t="str">
        <f aca="false">IF($F916="","",COUNTA($F$5:$F916))</f>
        <v/>
      </c>
      <c r="B916" s="37" t="str">
        <f aca="true">IF($F916="","",IF($P916="Cancelada","Cancelada",IF(OR($O916&lt;&gt;"",$P916="Concluída"),IF(OR($N916="",$O916="",$O916&lt;=$N916),"Concluída","Concluída com atraso"),IF($N916="","Na carteira",IF($N916&lt;TODAY(),"VENCIDA",IF($P916="Em execução","Em execução",IF($N916=TODAY(),"Hoje","Programada")))))))</f>
        <v/>
      </c>
      <c r="C916" s="38"/>
      <c r="D916" s="38"/>
      <c r="E916" s="38"/>
      <c r="F916" s="38"/>
      <c r="G916" s="39"/>
      <c r="H916" s="39"/>
      <c r="I916" s="40"/>
      <c r="J916" s="40"/>
      <c r="K916" s="40"/>
      <c r="L916" s="41"/>
      <c r="M916" s="42"/>
      <c r="N916" s="43" t="str">
        <f aca="false">IF(OR($L916="",$M916=""),"",$L916+MATCH($M916,Listas!$F$5:$F$11,0)-1)</f>
        <v/>
      </c>
      <c r="O916" s="44"/>
      <c r="P916" s="39"/>
      <c r="Q916" s="44"/>
      <c r="R916" s="38"/>
      <c r="S916" s="38"/>
      <c r="T916" s="36" t="str">
        <f aca="false">IF($F916="","",IF(ISNUMBER(SEARCH("(externo)",$I916&amp;$J916&amp;$K916)),"Terceirizada","Interna"))</f>
        <v/>
      </c>
      <c r="U916" s="43" t="str">
        <f aca="false">IF($N916="","",IF($Q916="",$N916,$Q916))</f>
        <v/>
      </c>
      <c r="V916" s="36" t="str">
        <f aca="false">IF($F916="","",IF(OR($O916="",$N916=""),0,IF($O916&lt;=$N916,1,0)))</f>
        <v/>
      </c>
      <c r="W916" s="36" t="str">
        <f aca="false">IF($F916="","",IF(OR($O916="",$U916=""),0,IF($O916&lt;=$U916,1,0)))</f>
        <v/>
      </c>
      <c r="X916" s="37" t="str">
        <f aca="false">IF(OR($O916="",$N916=""),"",MAX(0,$O916-$N916))</f>
        <v/>
      </c>
      <c r="Y916" s="36" t="str">
        <f aca="false">IF($F916="","",IF(AND($Q916&lt;&gt;"",$N916&lt;&gt;"",$Q916&lt;&gt;$N916),1,0))</f>
        <v/>
      </c>
      <c r="Z916" s="36" t="str">
        <f aca="false">IF($F916="","",IF($P916="Cancelada",0,IF(OR($O916&lt;&gt;"",$P916="Concluída"),1,0)))</f>
        <v/>
      </c>
    </row>
    <row r="917" customFormat="false" ht="16.5" hidden="false" customHeight="true" outlineLevel="0" collapsed="false">
      <c r="A917" s="36" t="str">
        <f aca="false">IF($F917="","",COUNTA($F$5:$F917))</f>
        <v/>
      </c>
      <c r="B917" s="37" t="str">
        <f aca="true">IF($F917="","",IF($P917="Cancelada","Cancelada",IF(OR($O917&lt;&gt;"",$P917="Concluída"),IF(OR($N917="",$O917="",$O917&lt;=$N917),"Concluída","Concluída com atraso"),IF($N917="","Na carteira",IF($N917&lt;TODAY(),"VENCIDA",IF($P917="Em execução","Em execução",IF($N917=TODAY(),"Hoje","Programada")))))))</f>
        <v/>
      </c>
      <c r="C917" s="38"/>
      <c r="D917" s="38"/>
      <c r="E917" s="38"/>
      <c r="F917" s="38"/>
      <c r="G917" s="39"/>
      <c r="H917" s="39"/>
      <c r="I917" s="40"/>
      <c r="J917" s="40"/>
      <c r="K917" s="40"/>
      <c r="L917" s="41"/>
      <c r="M917" s="42"/>
      <c r="N917" s="43" t="str">
        <f aca="false">IF(OR($L917="",$M917=""),"",$L917+MATCH($M917,Listas!$F$5:$F$11,0)-1)</f>
        <v/>
      </c>
      <c r="O917" s="44"/>
      <c r="P917" s="39"/>
      <c r="Q917" s="44"/>
      <c r="R917" s="38"/>
      <c r="S917" s="38"/>
      <c r="T917" s="36" t="str">
        <f aca="false">IF($F917="","",IF(ISNUMBER(SEARCH("(externo)",$I917&amp;$J917&amp;$K917)),"Terceirizada","Interna"))</f>
        <v/>
      </c>
      <c r="U917" s="43" t="str">
        <f aca="false">IF($N917="","",IF($Q917="",$N917,$Q917))</f>
        <v/>
      </c>
      <c r="V917" s="36" t="str">
        <f aca="false">IF($F917="","",IF(OR($O917="",$N917=""),0,IF($O917&lt;=$N917,1,0)))</f>
        <v/>
      </c>
      <c r="W917" s="36" t="str">
        <f aca="false">IF($F917="","",IF(OR($O917="",$U917=""),0,IF($O917&lt;=$U917,1,0)))</f>
        <v/>
      </c>
      <c r="X917" s="37" t="str">
        <f aca="false">IF(OR($O917="",$N917=""),"",MAX(0,$O917-$N917))</f>
        <v/>
      </c>
      <c r="Y917" s="36" t="str">
        <f aca="false">IF($F917="","",IF(AND($Q917&lt;&gt;"",$N917&lt;&gt;"",$Q917&lt;&gt;$N917),1,0))</f>
        <v/>
      </c>
      <c r="Z917" s="36" t="str">
        <f aca="false">IF($F917="","",IF($P917="Cancelada",0,IF(OR($O917&lt;&gt;"",$P917="Concluída"),1,0)))</f>
        <v/>
      </c>
    </row>
    <row r="918" customFormat="false" ht="16.5" hidden="false" customHeight="true" outlineLevel="0" collapsed="false">
      <c r="A918" s="36" t="str">
        <f aca="false">IF($F918="","",COUNTA($F$5:$F918))</f>
        <v/>
      </c>
      <c r="B918" s="37" t="str">
        <f aca="true">IF($F918="","",IF($P918="Cancelada","Cancelada",IF(OR($O918&lt;&gt;"",$P918="Concluída"),IF(OR($N918="",$O918="",$O918&lt;=$N918),"Concluída","Concluída com atraso"),IF($N918="","Na carteira",IF($N918&lt;TODAY(),"VENCIDA",IF($P918="Em execução","Em execução",IF($N918=TODAY(),"Hoje","Programada")))))))</f>
        <v/>
      </c>
      <c r="C918" s="38"/>
      <c r="D918" s="38"/>
      <c r="E918" s="38"/>
      <c r="F918" s="38"/>
      <c r="G918" s="39"/>
      <c r="H918" s="39"/>
      <c r="I918" s="40"/>
      <c r="J918" s="40"/>
      <c r="K918" s="40"/>
      <c r="L918" s="41"/>
      <c r="M918" s="42"/>
      <c r="N918" s="43" t="str">
        <f aca="false">IF(OR($L918="",$M918=""),"",$L918+MATCH($M918,Listas!$F$5:$F$11,0)-1)</f>
        <v/>
      </c>
      <c r="O918" s="44"/>
      <c r="P918" s="39"/>
      <c r="Q918" s="44"/>
      <c r="R918" s="38"/>
      <c r="S918" s="38"/>
      <c r="T918" s="36" t="str">
        <f aca="false">IF($F918="","",IF(ISNUMBER(SEARCH("(externo)",$I918&amp;$J918&amp;$K918)),"Terceirizada","Interna"))</f>
        <v/>
      </c>
      <c r="U918" s="43" t="str">
        <f aca="false">IF($N918="","",IF($Q918="",$N918,$Q918))</f>
        <v/>
      </c>
      <c r="V918" s="36" t="str">
        <f aca="false">IF($F918="","",IF(OR($O918="",$N918=""),0,IF($O918&lt;=$N918,1,0)))</f>
        <v/>
      </c>
      <c r="W918" s="36" t="str">
        <f aca="false">IF($F918="","",IF(OR($O918="",$U918=""),0,IF($O918&lt;=$U918,1,0)))</f>
        <v/>
      </c>
      <c r="X918" s="37" t="str">
        <f aca="false">IF(OR($O918="",$N918=""),"",MAX(0,$O918-$N918))</f>
        <v/>
      </c>
      <c r="Y918" s="36" t="str">
        <f aca="false">IF($F918="","",IF(AND($Q918&lt;&gt;"",$N918&lt;&gt;"",$Q918&lt;&gt;$N918),1,0))</f>
        <v/>
      </c>
      <c r="Z918" s="36" t="str">
        <f aca="false">IF($F918="","",IF($P918="Cancelada",0,IF(OR($O918&lt;&gt;"",$P918="Concluída"),1,0)))</f>
        <v/>
      </c>
    </row>
    <row r="919" customFormat="false" ht="16.5" hidden="false" customHeight="true" outlineLevel="0" collapsed="false">
      <c r="A919" s="36" t="str">
        <f aca="false">IF($F919="","",COUNTA($F$5:$F919))</f>
        <v/>
      </c>
      <c r="B919" s="37" t="str">
        <f aca="true">IF($F919="","",IF($P919="Cancelada","Cancelada",IF(OR($O919&lt;&gt;"",$P919="Concluída"),IF(OR($N919="",$O919="",$O919&lt;=$N919),"Concluída","Concluída com atraso"),IF($N919="","Na carteira",IF($N919&lt;TODAY(),"VENCIDA",IF($P919="Em execução","Em execução",IF($N919=TODAY(),"Hoje","Programada")))))))</f>
        <v/>
      </c>
      <c r="C919" s="38"/>
      <c r="D919" s="38"/>
      <c r="E919" s="38"/>
      <c r="F919" s="38"/>
      <c r="G919" s="39"/>
      <c r="H919" s="39"/>
      <c r="I919" s="40"/>
      <c r="J919" s="40"/>
      <c r="K919" s="40"/>
      <c r="L919" s="41"/>
      <c r="M919" s="42"/>
      <c r="N919" s="43" t="str">
        <f aca="false">IF(OR($L919="",$M919=""),"",$L919+MATCH($M919,Listas!$F$5:$F$11,0)-1)</f>
        <v/>
      </c>
      <c r="O919" s="44"/>
      <c r="P919" s="39"/>
      <c r="Q919" s="44"/>
      <c r="R919" s="38"/>
      <c r="S919" s="38"/>
      <c r="T919" s="36" t="str">
        <f aca="false">IF($F919="","",IF(ISNUMBER(SEARCH("(externo)",$I919&amp;$J919&amp;$K919)),"Terceirizada","Interna"))</f>
        <v/>
      </c>
      <c r="U919" s="43" t="str">
        <f aca="false">IF($N919="","",IF($Q919="",$N919,$Q919))</f>
        <v/>
      </c>
      <c r="V919" s="36" t="str">
        <f aca="false">IF($F919="","",IF(OR($O919="",$N919=""),0,IF($O919&lt;=$N919,1,0)))</f>
        <v/>
      </c>
      <c r="W919" s="36" t="str">
        <f aca="false">IF($F919="","",IF(OR($O919="",$U919=""),0,IF($O919&lt;=$U919,1,0)))</f>
        <v/>
      </c>
      <c r="X919" s="37" t="str">
        <f aca="false">IF(OR($O919="",$N919=""),"",MAX(0,$O919-$N919))</f>
        <v/>
      </c>
      <c r="Y919" s="36" t="str">
        <f aca="false">IF($F919="","",IF(AND($Q919&lt;&gt;"",$N919&lt;&gt;"",$Q919&lt;&gt;$N919),1,0))</f>
        <v/>
      </c>
      <c r="Z919" s="36" t="str">
        <f aca="false">IF($F919="","",IF($P919="Cancelada",0,IF(OR($O919&lt;&gt;"",$P919="Concluída"),1,0)))</f>
        <v/>
      </c>
    </row>
    <row r="920" customFormat="false" ht="16.5" hidden="false" customHeight="true" outlineLevel="0" collapsed="false">
      <c r="A920" s="36" t="str">
        <f aca="false">IF($F920="","",COUNTA($F$5:$F920))</f>
        <v/>
      </c>
      <c r="B920" s="37" t="str">
        <f aca="true">IF($F920="","",IF($P920="Cancelada","Cancelada",IF(OR($O920&lt;&gt;"",$P920="Concluída"),IF(OR($N920="",$O920="",$O920&lt;=$N920),"Concluída","Concluída com atraso"),IF($N920="","Na carteira",IF($N920&lt;TODAY(),"VENCIDA",IF($P920="Em execução","Em execução",IF($N920=TODAY(),"Hoje","Programada")))))))</f>
        <v/>
      </c>
      <c r="C920" s="38"/>
      <c r="D920" s="38"/>
      <c r="E920" s="38"/>
      <c r="F920" s="38"/>
      <c r="G920" s="39"/>
      <c r="H920" s="39"/>
      <c r="I920" s="40"/>
      <c r="J920" s="40"/>
      <c r="K920" s="40"/>
      <c r="L920" s="41"/>
      <c r="M920" s="42"/>
      <c r="N920" s="43" t="str">
        <f aca="false">IF(OR($L920="",$M920=""),"",$L920+MATCH($M920,Listas!$F$5:$F$11,0)-1)</f>
        <v/>
      </c>
      <c r="O920" s="44"/>
      <c r="P920" s="39"/>
      <c r="Q920" s="44"/>
      <c r="R920" s="38"/>
      <c r="S920" s="38"/>
      <c r="T920" s="36" t="str">
        <f aca="false">IF($F920="","",IF(ISNUMBER(SEARCH("(externo)",$I920&amp;$J920&amp;$K920)),"Terceirizada","Interna"))</f>
        <v/>
      </c>
      <c r="U920" s="43" t="str">
        <f aca="false">IF($N920="","",IF($Q920="",$N920,$Q920))</f>
        <v/>
      </c>
      <c r="V920" s="36" t="str">
        <f aca="false">IF($F920="","",IF(OR($O920="",$N920=""),0,IF($O920&lt;=$N920,1,0)))</f>
        <v/>
      </c>
      <c r="W920" s="36" t="str">
        <f aca="false">IF($F920="","",IF(OR($O920="",$U920=""),0,IF($O920&lt;=$U920,1,0)))</f>
        <v/>
      </c>
      <c r="X920" s="37" t="str">
        <f aca="false">IF(OR($O920="",$N920=""),"",MAX(0,$O920-$N920))</f>
        <v/>
      </c>
      <c r="Y920" s="36" t="str">
        <f aca="false">IF($F920="","",IF(AND($Q920&lt;&gt;"",$N920&lt;&gt;"",$Q920&lt;&gt;$N920),1,0))</f>
        <v/>
      </c>
      <c r="Z920" s="36" t="str">
        <f aca="false">IF($F920="","",IF($P920="Cancelada",0,IF(OR($O920&lt;&gt;"",$P920="Concluída"),1,0)))</f>
        <v/>
      </c>
    </row>
    <row r="921" customFormat="false" ht="16.5" hidden="false" customHeight="true" outlineLevel="0" collapsed="false">
      <c r="A921" s="36" t="str">
        <f aca="false">IF($F921="","",COUNTA($F$5:$F921))</f>
        <v/>
      </c>
      <c r="B921" s="37" t="str">
        <f aca="true">IF($F921="","",IF($P921="Cancelada","Cancelada",IF(OR($O921&lt;&gt;"",$P921="Concluída"),IF(OR($N921="",$O921="",$O921&lt;=$N921),"Concluída","Concluída com atraso"),IF($N921="","Na carteira",IF($N921&lt;TODAY(),"VENCIDA",IF($P921="Em execução","Em execução",IF($N921=TODAY(),"Hoje","Programada")))))))</f>
        <v/>
      </c>
      <c r="C921" s="38"/>
      <c r="D921" s="38"/>
      <c r="E921" s="38"/>
      <c r="F921" s="38"/>
      <c r="G921" s="39"/>
      <c r="H921" s="39"/>
      <c r="I921" s="40"/>
      <c r="J921" s="40"/>
      <c r="K921" s="40"/>
      <c r="L921" s="41"/>
      <c r="M921" s="42"/>
      <c r="N921" s="43" t="str">
        <f aca="false">IF(OR($L921="",$M921=""),"",$L921+MATCH($M921,Listas!$F$5:$F$11,0)-1)</f>
        <v/>
      </c>
      <c r="O921" s="44"/>
      <c r="P921" s="39"/>
      <c r="Q921" s="44"/>
      <c r="R921" s="38"/>
      <c r="S921" s="38"/>
      <c r="T921" s="36" t="str">
        <f aca="false">IF($F921="","",IF(ISNUMBER(SEARCH("(externo)",$I921&amp;$J921&amp;$K921)),"Terceirizada","Interna"))</f>
        <v/>
      </c>
      <c r="U921" s="43" t="str">
        <f aca="false">IF($N921="","",IF($Q921="",$N921,$Q921))</f>
        <v/>
      </c>
      <c r="V921" s="36" t="str">
        <f aca="false">IF($F921="","",IF(OR($O921="",$N921=""),0,IF($O921&lt;=$N921,1,0)))</f>
        <v/>
      </c>
      <c r="W921" s="36" t="str">
        <f aca="false">IF($F921="","",IF(OR($O921="",$U921=""),0,IF($O921&lt;=$U921,1,0)))</f>
        <v/>
      </c>
      <c r="X921" s="37" t="str">
        <f aca="false">IF(OR($O921="",$N921=""),"",MAX(0,$O921-$N921))</f>
        <v/>
      </c>
      <c r="Y921" s="36" t="str">
        <f aca="false">IF($F921="","",IF(AND($Q921&lt;&gt;"",$N921&lt;&gt;"",$Q921&lt;&gt;$N921),1,0))</f>
        <v/>
      </c>
      <c r="Z921" s="36" t="str">
        <f aca="false">IF($F921="","",IF($P921="Cancelada",0,IF(OR($O921&lt;&gt;"",$P921="Concluída"),1,0)))</f>
        <v/>
      </c>
    </row>
    <row r="922" customFormat="false" ht="16.5" hidden="false" customHeight="true" outlineLevel="0" collapsed="false">
      <c r="A922" s="36" t="str">
        <f aca="false">IF($F922="","",COUNTA($F$5:$F922))</f>
        <v/>
      </c>
      <c r="B922" s="37" t="str">
        <f aca="true">IF($F922="","",IF($P922="Cancelada","Cancelada",IF(OR($O922&lt;&gt;"",$P922="Concluída"),IF(OR($N922="",$O922="",$O922&lt;=$N922),"Concluída","Concluída com atraso"),IF($N922="","Na carteira",IF($N922&lt;TODAY(),"VENCIDA",IF($P922="Em execução","Em execução",IF($N922=TODAY(),"Hoje","Programada")))))))</f>
        <v/>
      </c>
      <c r="C922" s="38"/>
      <c r="D922" s="38"/>
      <c r="E922" s="38"/>
      <c r="F922" s="38"/>
      <c r="G922" s="39"/>
      <c r="H922" s="39"/>
      <c r="I922" s="40"/>
      <c r="J922" s="40"/>
      <c r="K922" s="40"/>
      <c r="L922" s="41"/>
      <c r="M922" s="42"/>
      <c r="N922" s="43" t="str">
        <f aca="false">IF(OR($L922="",$M922=""),"",$L922+MATCH($M922,Listas!$F$5:$F$11,0)-1)</f>
        <v/>
      </c>
      <c r="O922" s="44"/>
      <c r="P922" s="39"/>
      <c r="Q922" s="44"/>
      <c r="R922" s="38"/>
      <c r="S922" s="38"/>
      <c r="T922" s="36" t="str">
        <f aca="false">IF($F922="","",IF(ISNUMBER(SEARCH("(externo)",$I922&amp;$J922&amp;$K922)),"Terceirizada","Interna"))</f>
        <v/>
      </c>
      <c r="U922" s="43" t="str">
        <f aca="false">IF($N922="","",IF($Q922="",$N922,$Q922))</f>
        <v/>
      </c>
      <c r="V922" s="36" t="str">
        <f aca="false">IF($F922="","",IF(OR($O922="",$N922=""),0,IF($O922&lt;=$N922,1,0)))</f>
        <v/>
      </c>
      <c r="W922" s="36" t="str">
        <f aca="false">IF($F922="","",IF(OR($O922="",$U922=""),0,IF($O922&lt;=$U922,1,0)))</f>
        <v/>
      </c>
      <c r="X922" s="37" t="str">
        <f aca="false">IF(OR($O922="",$N922=""),"",MAX(0,$O922-$N922))</f>
        <v/>
      </c>
      <c r="Y922" s="36" t="str">
        <f aca="false">IF($F922="","",IF(AND($Q922&lt;&gt;"",$N922&lt;&gt;"",$Q922&lt;&gt;$N922),1,0))</f>
        <v/>
      </c>
      <c r="Z922" s="36" t="str">
        <f aca="false">IF($F922="","",IF($P922="Cancelada",0,IF(OR($O922&lt;&gt;"",$P922="Concluída"),1,0)))</f>
        <v/>
      </c>
    </row>
    <row r="923" customFormat="false" ht="16.5" hidden="false" customHeight="true" outlineLevel="0" collapsed="false">
      <c r="A923" s="36" t="str">
        <f aca="false">IF($F923="","",COUNTA($F$5:$F923))</f>
        <v/>
      </c>
      <c r="B923" s="37" t="str">
        <f aca="true">IF($F923="","",IF($P923="Cancelada","Cancelada",IF(OR($O923&lt;&gt;"",$P923="Concluída"),IF(OR($N923="",$O923="",$O923&lt;=$N923),"Concluída","Concluída com atraso"),IF($N923="","Na carteira",IF($N923&lt;TODAY(),"VENCIDA",IF($P923="Em execução","Em execução",IF($N923=TODAY(),"Hoje","Programada")))))))</f>
        <v/>
      </c>
      <c r="C923" s="38"/>
      <c r="D923" s="38"/>
      <c r="E923" s="38"/>
      <c r="F923" s="38"/>
      <c r="G923" s="39"/>
      <c r="H923" s="39"/>
      <c r="I923" s="40"/>
      <c r="J923" s="40"/>
      <c r="K923" s="40"/>
      <c r="L923" s="41"/>
      <c r="M923" s="42"/>
      <c r="N923" s="43" t="str">
        <f aca="false">IF(OR($L923="",$M923=""),"",$L923+MATCH($M923,Listas!$F$5:$F$11,0)-1)</f>
        <v/>
      </c>
      <c r="O923" s="44"/>
      <c r="P923" s="39"/>
      <c r="Q923" s="44"/>
      <c r="R923" s="38"/>
      <c r="S923" s="38"/>
      <c r="T923" s="36" t="str">
        <f aca="false">IF($F923="","",IF(ISNUMBER(SEARCH("(externo)",$I923&amp;$J923&amp;$K923)),"Terceirizada","Interna"))</f>
        <v/>
      </c>
      <c r="U923" s="43" t="str">
        <f aca="false">IF($N923="","",IF($Q923="",$N923,$Q923))</f>
        <v/>
      </c>
      <c r="V923" s="36" t="str">
        <f aca="false">IF($F923="","",IF(OR($O923="",$N923=""),0,IF($O923&lt;=$N923,1,0)))</f>
        <v/>
      </c>
      <c r="W923" s="36" t="str">
        <f aca="false">IF($F923="","",IF(OR($O923="",$U923=""),0,IF($O923&lt;=$U923,1,0)))</f>
        <v/>
      </c>
      <c r="X923" s="37" t="str">
        <f aca="false">IF(OR($O923="",$N923=""),"",MAX(0,$O923-$N923))</f>
        <v/>
      </c>
      <c r="Y923" s="36" t="str">
        <f aca="false">IF($F923="","",IF(AND($Q923&lt;&gt;"",$N923&lt;&gt;"",$Q923&lt;&gt;$N923),1,0))</f>
        <v/>
      </c>
      <c r="Z923" s="36" t="str">
        <f aca="false">IF($F923="","",IF($P923="Cancelada",0,IF(OR($O923&lt;&gt;"",$P923="Concluída"),1,0)))</f>
        <v/>
      </c>
    </row>
    <row r="924" customFormat="false" ht="16.5" hidden="false" customHeight="true" outlineLevel="0" collapsed="false">
      <c r="A924" s="36" t="str">
        <f aca="false">IF($F924="","",COUNTA($F$5:$F924))</f>
        <v/>
      </c>
      <c r="B924" s="37" t="str">
        <f aca="true">IF($F924="","",IF($P924="Cancelada","Cancelada",IF(OR($O924&lt;&gt;"",$P924="Concluída"),IF(OR($N924="",$O924="",$O924&lt;=$N924),"Concluída","Concluída com atraso"),IF($N924="","Na carteira",IF($N924&lt;TODAY(),"VENCIDA",IF($P924="Em execução","Em execução",IF($N924=TODAY(),"Hoje","Programada")))))))</f>
        <v/>
      </c>
      <c r="C924" s="38"/>
      <c r="D924" s="38"/>
      <c r="E924" s="38"/>
      <c r="F924" s="38"/>
      <c r="G924" s="39"/>
      <c r="H924" s="39"/>
      <c r="I924" s="40"/>
      <c r="J924" s="40"/>
      <c r="K924" s="40"/>
      <c r="L924" s="41"/>
      <c r="M924" s="42"/>
      <c r="N924" s="43" t="str">
        <f aca="false">IF(OR($L924="",$M924=""),"",$L924+MATCH($M924,Listas!$F$5:$F$11,0)-1)</f>
        <v/>
      </c>
      <c r="O924" s="44"/>
      <c r="P924" s="39"/>
      <c r="Q924" s="44"/>
      <c r="R924" s="38"/>
      <c r="S924" s="38"/>
      <c r="T924" s="36" t="str">
        <f aca="false">IF($F924="","",IF(ISNUMBER(SEARCH("(externo)",$I924&amp;$J924&amp;$K924)),"Terceirizada","Interna"))</f>
        <v/>
      </c>
      <c r="U924" s="43" t="str">
        <f aca="false">IF($N924="","",IF($Q924="",$N924,$Q924))</f>
        <v/>
      </c>
      <c r="V924" s="36" t="str">
        <f aca="false">IF($F924="","",IF(OR($O924="",$N924=""),0,IF($O924&lt;=$N924,1,0)))</f>
        <v/>
      </c>
      <c r="W924" s="36" t="str">
        <f aca="false">IF($F924="","",IF(OR($O924="",$U924=""),0,IF($O924&lt;=$U924,1,0)))</f>
        <v/>
      </c>
      <c r="X924" s="37" t="str">
        <f aca="false">IF(OR($O924="",$N924=""),"",MAX(0,$O924-$N924))</f>
        <v/>
      </c>
      <c r="Y924" s="36" t="str">
        <f aca="false">IF($F924="","",IF(AND($Q924&lt;&gt;"",$N924&lt;&gt;"",$Q924&lt;&gt;$N924),1,0))</f>
        <v/>
      </c>
      <c r="Z924" s="36" t="str">
        <f aca="false">IF($F924="","",IF($P924="Cancelada",0,IF(OR($O924&lt;&gt;"",$P924="Concluída"),1,0)))</f>
        <v/>
      </c>
    </row>
    <row r="925" customFormat="false" ht="16.5" hidden="false" customHeight="true" outlineLevel="0" collapsed="false">
      <c r="A925" s="36" t="str">
        <f aca="false">IF($F925="","",COUNTA($F$5:$F925))</f>
        <v/>
      </c>
      <c r="B925" s="37" t="str">
        <f aca="true">IF($F925="","",IF($P925="Cancelada","Cancelada",IF(OR($O925&lt;&gt;"",$P925="Concluída"),IF(OR($N925="",$O925="",$O925&lt;=$N925),"Concluída","Concluída com atraso"),IF($N925="","Na carteira",IF($N925&lt;TODAY(),"VENCIDA",IF($P925="Em execução","Em execução",IF($N925=TODAY(),"Hoje","Programada")))))))</f>
        <v/>
      </c>
      <c r="C925" s="38"/>
      <c r="D925" s="38"/>
      <c r="E925" s="38"/>
      <c r="F925" s="38"/>
      <c r="G925" s="39"/>
      <c r="H925" s="39"/>
      <c r="I925" s="40"/>
      <c r="J925" s="40"/>
      <c r="K925" s="40"/>
      <c r="L925" s="41"/>
      <c r="M925" s="42"/>
      <c r="N925" s="43" t="str">
        <f aca="false">IF(OR($L925="",$M925=""),"",$L925+MATCH($M925,Listas!$F$5:$F$11,0)-1)</f>
        <v/>
      </c>
      <c r="O925" s="44"/>
      <c r="P925" s="39"/>
      <c r="Q925" s="44"/>
      <c r="R925" s="38"/>
      <c r="S925" s="38"/>
      <c r="T925" s="36" t="str">
        <f aca="false">IF($F925="","",IF(ISNUMBER(SEARCH("(externo)",$I925&amp;$J925&amp;$K925)),"Terceirizada","Interna"))</f>
        <v/>
      </c>
      <c r="U925" s="43" t="str">
        <f aca="false">IF($N925="","",IF($Q925="",$N925,$Q925))</f>
        <v/>
      </c>
      <c r="V925" s="36" t="str">
        <f aca="false">IF($F925="","",IF(OR($O925="",$N925=""),0,IF($O925&lt;=$N925,1,0)))</f>
        <v/>
      </c>
      <c r="W925" s="36" t="str">
        <f aca="false">IF($F925="","",IF(OR($O925="",$U925=""),0,IF($O925&lt;=$U925,1,0)))</f>
        <v/>
      </c>
      <c r="X925" s="37" t="str">
        <f aca="false">IF(OR($O925="",$N925=""),"",MAX(0,$O925-$N925))</f>
        <v/>
      </c>
      <c r="Y925" s="36" t="str">
        <f aca="false">IF($F925="","",IF(AND($Q925&lt;&gt;"",$N925&lt;&gt;"",$Q925&lt;&gt;$N925),1,0))</f>
        <v/>
      </c>
      <c r="Z925" s="36" t="str">
        <f aca="false">IF($F925="","",IF($P925="Cancelada",0,IF(OR($O925&lt;&gt;"",$P925="Concluída"),1,0)))</f>
        <v/>
      </c>
    </row>
    <row r="926" customFormat="false" ht="16.5" hidden="false" customHeight="true" outlineLevel="0" collapsed="false">
      <c r="A926" s="36" t="str">
        <f aca="false">IF($F926="","",COUNTA($F$5:$F926))</f>
        <v/>
      </c>
      <c r="B926" s="37" t="str">
        <f aca="true">IF($F926="","",IF($P926="Cancelada","Cancelada",IF(OR($O926&lt;&gt;"",$P926="Concluída"),IF(OR($N926="",$O926="",$O926&lt;=$N926),"Concluída","Concluída com atraso"),IF($N926="","Na carteira",IF($N926&lt;TODAY(),"VENCIDA",IF($P926="Em execução","Em execução",IF($N926=TODAY(),"Hoje","Programada")))))))</f>
        <v/>
      </c>
      <c r="C926" s="38"/>
      <c r="D926" s="38"/>
      <c r="E926" s="38"/>
      <c r="F926" s="38"/>
      <c r="G926" s="39"/>
      <c r="H926" s="39"/>
      <c r="I926" s="40"/>
      <c r="J926" s="40"/>
      <c r="K926" s="40"/>
      <c r="L926" s="41"/>
      <c r="M926" s="42"/>
      <c r="N926" s="43" t="str">
        <f aca="false">IF(OR($L926="",$M926=""),"",$L926+MATCH($M926,Listas!$F$5:$F$11,0)-1)</f>
        <v/>
      </c>
      <c r="O926" s="44"/>
      <c r="P926" s="39"/>
      <c r="Q926" s="44"/>
      <c r="R926" s="38"/>
      <c r="S926" s="38"/>
      <c r="T926" s="36" t="str">
        <f aca="false">IF($F926="","",IF(ISNUMBER(SEARCH("(externo)",$I926&amp;$J926&amp;$K926)),"Terceirizada","Interna"))</f>
        <v/>
      </c>
      <c r="U926" s="43" t="str">
        <f aca="false">IF($N926="","",IF($Q926="",$N926,$Q926))</f>
        <v/>
      </c>
      <c r="V926" s="36" t="str">
        <f aca="false">IF($F926="","",IF(OR($O926="",$N926=""),0,IF($O926&lt;=$N926,1,0)))</f>
        <v/>
      </c>
      <c r="W926" s="36" t="str">
        <f aca="false">IF($F926="","",IF(OR($O926="",$U926=""),0,IF($O926&lt;=$U926,1,0)))</f>
        <v/>
      </c>
      <c r="X926" s="37" t="str">
        <f aca="false">IF(OR($O926="",$N926=""),"",MAX(0,$O926-$N926))</f>
        <v/>
      </c>
      <c r="Y926" s="36" t="str">
        <f aca="false">IF($F926="","",IF(AND($Q926&lt;&gt;"",$N926&lt;&gt;"",$Q926&lt;&gt;$N926),1,0))</f>
        <v/>
      </c>
      <c r="Z926" s="36" t="str">
        <f aca="false">IF($F926="","",IF($P926="Cancelada",0,IF(OR($O926&lt;&gt;"",$P926="Concluída"),1,0)))</f>
        <v/>
      </c>
    </row>
    <row r="927" customFormat="false" ht="16.5" hidden="false" customHeight="true" outlineLevel="0" collapsed="false">
      <c r="A927" s="36" t="str">
        <f aca="false">IF($F927="","",COUNTA($F$5:$F927))</f>
        <v/>
      </c>
      <c r="B927" s="37" t="str">
        <f aca="true">IF($F927="","",IF($P927="Cancelada","Cancelada",IF(OR($O927&lt;&gt;"",$P927="Concluída"),IF(OR($N927="",$O927="",$O927&lt;=$N927),"Concluída","Concluída com atraso"),IF($N927="","Na carteira",IF($N927&lt;TODAY(),"VENCIDA",IF($P927="Em execução","Em execução",IF($N927=TODAY(),"Hoje","Programada")))))))</f>
        <v/>
      </c>
      <c r="C927" s="38"/>
      <c r="D927" s="38"/>
      <c r="E927" s="38"/>
      <c r="F927" s="38"/>
      <c r="G927" s="39"/>
      <c r="H927" s="39"/>
      <c r="I927" s="40"/>
      <c r="J927" s="40"/>
      <c r="K927" s="40"/>
      <c r="L927" s="41"/>
      <c r="M927" s="42"/>
      <c r="N927" s="43" t="str">
        <f aca="false">IF(OR($L927="",$M927=""),"",$L927+MATCH($M927,Listas!$F$5:$F$11,0)-1)</f>
        <v/>
      </c>
      <c r="O927" s="44"/>
      <c r="P927" s="39"/>
      <c r="Q927" s="44"/>
      <c r="R927" s="38"/>
      <c r="S927" s="38"/>
      <c r="T927" s="36" t="str">
        <f aca="false">IF($F927="","",IF(ISNUMBER(SEARCH("(externo)",$I927&amp;$J927&amp;$K927)),"Terceirizada","Interna"))</f>
        <v/>
      </c>
      <c r="U927" s="43" t="str">
        <f aca="false">IF($N927="","",IF($Q927="",$N927,$Q927))</f>
        <v/>
      </c>
      <c r="V927" s="36" t="str">
        <f aca="false">IF($F927="","",IF(OR($O927="",$N927=""),0,IF($O927&lt;=$N927,1,0)))</f>
        <v/>
      </c>
      <c r="W927" s="36" t="str">
        <f aca="false">IF($F927="","",IF(OR($O927="",$U927=""),0,IF($O927&lt;=$U927,1,0)))</f>
        <v/>
      </c>
      <c r="X927" s="37" t="str">
        <f aca="false">IF(OR($O927="",$N927=""),"",MAX(0,$O927-$N927))</f>
        <v/>
      </c>
      <c r="Y927" s="36" t="str">
        <f aca="false">IF($F927="","",IF(AND($Q927&lt;&gt;"",$N927&lt;&gt;"",$Q927&lt;&gt;$N927),1,0))</f>
        <v/>
      </c>
      <c r="Z927" s="36" t="str">
        <f aca="false">IF($F927="","",IF($P927="Cancelada",0,IF(OR($O927&lt;&gt;"",$P927="Concluída"),1,0)))</f>
        <v/>
      </c>
    </row>
    <row r="928" customFormat="false" ht="16.5" hidden="false" customHeight="true" outlineLevel="0" collapsed="false">
      <c r="A928" s="36" t="str">
        <f aca="false">IF($F928="","",COUNTA($F$5:$F928))</f>
        <v/>
      </c>
      <c r="B928" s="37" t="str">
        <f aca="true">IF($F928="","",IF($P928="Cancelada","Cancelada",IF(OR($O928&lt;&gt;"",$P928="Concluída"),IF(OR($N928="",$O928="",$O928&lt;=$N928),"Concluída","Concluída com atraso"),IF($N928="","Na carteira",IF($N928&lt;TODAY(),"VENCIDA",IF($P928="Em execução","Em execução",IF($N928=TODAY(),"Hoje","Programada")))))))</f>
        <v/>
      </c>
      <c r="C928" s="38"/>
      <c r="D928" s="38"/>
      <c r="E928" s="38"/>
      <c r="F928" s="38"/>
      <c r="G928" s="39"/>
      <c r="H928" s="39"/>
      <c r="I928" s="40"/>
      <c r="J928" s="40"/>
      <c r="K928" s="40"/>
      <c r="L928" s="41"/>
      <c r="M928" s="42"/>
      <c r="N928" s="43" t="str">
        <f aca="false">IF(OR($L928="",$M928=""),"",$L928+MATCH($M928,Listas!$F$5:$F$11,0)-1)</f>
        <v/>
      </c>
      <c r="O928" s="44"/>
      <c r="P928" s="39"/>
      <c r="Q928" s="44"/>
      <c r="R928" s="38"/>
      <c r="S928" s="38"/>
      <c r="T928" s="36" t="str">
        <f aca="false">IF($F928="","",IF(ISNUMBER(SEARCH("(externo)",$I928&amp;$J928&amp;$K928)),"Terceirizada","Interna"))</f>
        <v/>
      </c>
      <c r="U928" s="43" t="str">
        <f aca="false">IF($N928="","",IF($Q928="",$N928,$Q928))</f>
        <v/>
      </c>
      <c r="V928" s="36" t="str">
        <f aca="false">IF($F928="","",IF(OR($O928="",$N928=""),0,IF($O928&lt;=$N928,1,0)))</f>
        <v/>
      </c>
      <c r="W928" s="36" t="str">
        <f aca="false">IF($F928="","",IF(OR($O928="",$U928=""),0,IF($O928&lt;=$U928,1,0)))</f>
        <v/>
      </c>
      <c r="X928" s="37" t="str">
        <f aca="false">IF(OR($O928="",$N928=""),"",MAX(0,$O928-$N928))</f>
        <v/>
      </c>
      <c r="Y928" s="36" t="str">
        <f aca="false">IF($F928="","",IF(AND($Q928&lt;&gt;"",$N928&lt;&gt;"",$Q928&lt;&gt;$N928),1,0))</f>
        <v/>
      </c>
      <c r="Z928" s="36" t="str">
        <f aca="false">IF($F928="","",IF($P928="Cancelada",0,IF(OR($O928&lt;&gt;"",$P928="Concluída"),1,0)))</f>
        <v/>
      </c>
    </row>
    <row r="929" customFormat="false" ht="16.5" hidden="false" customHeight="true" outlineLevel="0" collapsed="false">
      <c r="A929" s="36" t="str">
        <f aca="false">IF($F929="","",COUNTA($F$5:$F929))</f>
        <v/>
      </c>
      <c r="B929" s="37" t="str">
        <f aca="true">IF($F929="","",IF($P929="Cancelada","Cancelada",IF(OR($O929&lt;&gt;"",$P929="Concluída"),IF(OR($N929="",$O929="",$O929&lt;=$N929),"Concluída","Concluída com atraso"),IF($N929="","Na carteira",IF($N929&lt;TODAY(),"VENCIDA",IF($P929="Em execução","Em execução",IF($N929=TODAY(),"Hoje","Programada")))))))</f>
        <v/>
      </c>
      <c r="C929" s="38"/>
      <c r="D929" s="38"/>
      <c r="E929" s="38"/>
      <c r="F929" s="38"/>
      <c r="G929" s="39"/>
      <c r="H929" s="39"/>
      <c r="I929" s="40"/>
      <c r="J929" s="40"/>
      <c r="K929" s="40"/>
      <c r="L929" s="41"/>
      <c r="M929" s="42"/>
      <c r="N929" s="43" t="str">
        <f aca="false">IF(OR($L929="",$M929=""),"",$L929+MATCH($M929,Listas!$F$5:$F$11,0)-1)</f>
        <v/>
      </c>
      <c r="O929" s="44"/>
      <c r="P929" s="39"/>
      <c r="Q929" s="44"/>
      <c r="R929" s="38"/>
      <c r="S929" s="38"/>
      <c r="T929" s="36" t="str">
        <f aca="false">IF($F929="","",IF(ISNUMBER(SEARCH("(externo)",$I929&amp;$J929&amp;$K929)),"Terceirizada","Interna"))</f>
        <v/>
      </c>
      <c r="U929" s="43" t="str">
        <f aca="false">IF($N929="","",IF($Q929="",$N929,$Q929))</f>
        <v/>
      </c>
      <c r="V929" s="36" t="str">
        <f aca="false">IF($F929="","",IF(OR($O929="",$N929=""),0,IF($O929&lt;=$N929,1,0)))</f>
        <v/>
      </c>
      <c r="W929" s="36" t="str">
        <f aca="false">IF($F929="","",IF(OR($O929="",$U929=""),0,IF($O929&lt;=$U929,1,0)))</f>
        <v/>
      </c>
      <c r="X929" s="37" t="str">
        <f aca="false">IF(OR($O929="",$N929=""),"",MAX(0,$O929-$N929))</f>
        <v/>
      </c>
      <c r="Y929" s="36" t="str">
        <f aca="false">IF($F929="","",IF(AND($Q929&lt;&gt;"",$N929&lt;&gt;"",$Q929&lt;&gt;$N929),1,0))</f>
        <v/>
      </c>
      <c r="Z929" s="36" t="str">
        <f aca="false">IF($F929="","",IF($P929="Cancelada",0,IF(OR($O929&lt;&gt;"",$P929="Concluída"),1,0)))</f>
        <v/>
      </c>
    </row>
    <row r="930" customFormat="false" ht="16.5" hidden="false" customHeight="true" outlineLevel="0" collapsed="false">
      <c r="A930" s="36" t="str">
        <f aca="false">IF($F930="","",COUNTA($F$5:$F930))</f>
        <v/>
      </c>
      <c r="B930" s="37" t="str">
        <f aca="true">IF($F930="","",IF($P930="Cancelada","Cancelada",IF(OR($O930&lt;&gt;"",$P930="Concluída"),IF(OR($N930="",$O930="",$O930&lt;=$N930),"Concluída","Concluída com atraso"),IF($N930="","Na carteira",IF($N930&lt;TODAY(),"VENCIDA",IF($P930="Em execução","Em execução",IF($N930=TODAY(),"Hoje","Programada")))))))</f>
        <v/>
      </c>
      <c r="C930" s="38"/>
      <c r="D930" s="38"/>
      <c r="E930" s="38"/>
      <c r="F930" s="38"/>
      <c r="G930" s="39"/>
      <c r="H930" s="39"/>
      <c r="I930" s="40"/>
      <c r="J930" s="40"/>
      <c r="K930" s="40"/>
      <c r="L930" s="41"/>
      <c r="M930" s="42"/>
      <c r="N930" s="43" t="str">
        <f aca="false">IF(OR($L930="",$M930=""),"",$L930+MATCH($M930,Listas!$F$5:$F$11,0)-1)</f>
        <v/>
      </c>
      <c r="O930" s="44"/>
      <c r="P930" s="39"/>
      <c r="Q930" s="44"/>
      <c r="R930" s="38"/>
      <c r="S930" s="38"/>
      <c r="T930" s="36" t="str">
        <f aca="false">IF($F930="","",IF(ISNUMBER(SEARCH("(externo)",$I930&amp;$J930&amp;$K930)),"Terceirizada","Interna"))</f>
        <v/>
      </c>
      <c r="U930" s="43" t="str">
        <f aca="false">IF($N930="","",IF($Q930="",$N930,$Q930))</f>
        <v/>
      </c>
      <c r="V930" s="36" t="str">
        <f aca="false">IF($F930="","",IF(OR($O930="",$N930=""),0,IF($O930&lt;=$N930,1,0)))</f>
        <v/>
      </c>
      <c r="W930" s="36" t="str">
        <f aca="false">IF($F930="","",IF(OR($O930="",$U930=""),0,IF($O930&lt;=$U930,1,0)))</f>
        <v/>
      </c>
      <c r="X930" s="37" t="str">
        <f aca="false">IF(OR($O930="",$N930=""),"",MAX(0,$O930-$N930))</f>
        <v/>
      </c>
      <c r="Y930" s="36" t="str">
        <f aca="false">IF($F930="","",IF(AND($Q930&lt;&gt;"",$N930&lt;&gt;"",$Q930&lt;&gt;$N930),1,0))</f>
        <v/>
      </c>
      <c r="Z930" s="36" t="str">
        <f aca="false">IF($F930="","",IF($P930="Cancelada",0,IF(OR($O930&lt;&gt;"",$P930="Concluída"),1,0)))</f>
        <v/>
      </c>
    </row>
    <row r="931" customFormat="false" ht="16.5" hidden="false" customHeight="true" outlineLevel="0" collapsed="false">
      <c r="A931" s="36" t="str">
        <f aca="false">IF($F931="","",COUNTA($F$5:$F931))</f>
        <v/>
      </c>
      <c r="B931" s="37" t="str">
        <f aca="true">IF($F931="","",IF($P931="Cancelada","Cancelada",IF(OR($O931&lt;&gt;"",$P931="Concluída"),IF(OR($N931="",$O931="",$O931&lt;=$N931),"Concluída","Concluída com atraso"),IF($N931="","Na carteira",IF($N931&lt;TODAY(),"VENCIDA",IF($P931="Em execução","Em execução",IF($N931=TODAY(),"Hoje","Programada")))))))</f>
        <v/>
      </c>
      <c r="C931" s="38"/>
      <c r="D931" s="38"/>
      <c r="E931" s="38"/>
      <c r="F931" s="38"/>
      <c r="G931" s="39"/>
      <c r="H931" s="39"/>
      <c r="I931" s="40"/>
      <c r="J931" s="40"/>
      <c r="K931" s="40"/>
      <c r="L931" s="41"/>
      <c r="M931" s="42"/>
      <c r="N931" s="43" t="str">
        <f aca="false">IF(OR($L931="",$M931=""),"",$L931+MATCH($M931,Listas!$F$5:$F$11,0)-1)</f>
        <v/>
      </c>
      <c r="O931" s="44"/>
      <c r="P931" s="39"/>
      <c r="Q931" s="44"/>
      <c r="R931" s="38"/>
      <c r="S931" s="38"/>
      <c r="T931" s="36" t="str">
        <f aca="false">IF($F931="","",IF(ISNUMBER(SEARCH("(externo)",$I931&amp;$J931&amp;$K931)),"Terceirizada","Interna"))</f>
        <v/>
      </c>
      <c r="U931" s="43" t="str">
        <f aca="false">IF($N931="","",IF($Q931="",$N931,$Q931))</f>
        <v/>
      </c>
      <c r="V931" s="36" t="str">
        <f aca="false">IF($F931="","",IF(OR($O931="",$N931=""),0,IF($O931&lt;=$N931,1,0)))</f>
        <v/>
      </c>
      <c r="W931" s="36" t="str">
        <f aca="false">IF($F931="","",IF(OR($O931="",$U931=""),0,IF($O931&lt;=$U931,1,0)))</f>
        <v/>
      </c>
      <c r="X931" s="37" t="str">
        <f aca="false">IF(OR($O931="",$N931=""),"",MAX(0,$O931-$N931))</f>
        <v/>
      </c>
      <c r="Y931" s="36" t="str">
        <f aca="false">IF($F931="","",IF(AND($Q931&lt;&gt;"",$N931&lt;&gt;"",$Q931&lt;&gt;$N931),1,0))</f>
        <v/>
      </c>
      <c r="Z931" s="36" t="str">
        <f aca="false">IF($F931="","",IF($P931="Cancelada",0,IF(OR($O931&lt;&gt;"",$P931="Concluída"),1,0)))</f>
        <v/>
      </c>
    </row>
    <row r="932" customFormat="false" ht="16.5" hidden="false" customHeight="true" outlineLevel="0" collapsed="false">
      <c r="A932" s="36" t="str">
        <f aca="false">IF($F932="","",COUNTA($F$5:$F932))</f>
        <v/>
      </c>
      <c r="B932" s="37" t="str">
        <f aca="true">IF($F932="","",IF($P932="Cancelada","Cancelada",IF(OR($O932&lt;&gt;"",$P932="Concluída"),IF(OR($N932="",$O932="",$O932&lt;=$N932),"Concluída","Concluída com atraso"),IF($N932="","Na carteira",IF($N932&lt;TODAY(),"VENCIDA",IF($P932="Em execução","Em execução",IF($N932=TODAY(),"Hoje","Programada")))))))</f>
        <v/>
      </c>
      <c r="C932" s="38"/>
      <c r="D932" s="38"/>
      <c r="E932" s="38"/>
      <c r="F932" s="38"/>
      <c r="G932" s="39"/>
      <c r="H932" s="39"/>
      <c r="I932" s="40"/>
      <c r="J932" s="40"/>
      <c r="K932" s="40"/>
      <c r="L932" s="41"/>
      <c r="M932" s="42"/>
      <c r="N932" s="43" t="str">
        <f aca="false">IF(OR($L932="",$M932=""),"",$L932+MATCH($M932,Listas!$F$5:$F$11,0)-1)</f>
        <v/>
      </c>
      <c r="O932" s="44"/>
      <c r="P932" s="39"/>
      <c r="Q932" s="44"/>
      <c r="R932" s="38"/>
      <c r="S932" s="38"/>
      <c r="T932" s="36" t="str">
        <f aca="false">IF($F932="","",IF(ISNUMBER(SEARCH("(externo)",$I932&amp;$J932&amp;$K932)),"Terceirizada","Interna"))</f>
        <v/>
      </c>
      <c r="U932" s="43" t="str">
        <f aca="false">IF($N932="","",IF($Q932="",$N932,$Q932))</f>
        <v/>
      </c>
      <c r="V932" s="36" t="str">
        <f aca="false">IF($F932="","",IF(OR($O932="",$N932=""),0,IF($O932&lt;=$N932,1,0)))</f>
        <v/>
      </c>
      <c r="W932" s="36" t="str">
        <f aca="false">IF($F932="","",IF(OR($O932="",$U932=""),0,IF($O932&lt;=$U932,1,0)))</f>
        <v/>
      </c>
      <c r="X932" s="37" t="str">
        <f aca="false">IF(OR($O932="",$N932=""),"",MAX(0,$O932-$N932))</f>
        <v/>
      </c>
      <c r="Y932" s="36" t="str">
        <f aca="false">IF($F932="","",IF(AND($Q932&lt;&gt;"",$N932&lt;&gt;"",$Q932&lt;&gt;$N932),1,0))</f>
        <v/>
      </c>
      <c r="Z932" s="36" t="str">
        <f aca="false">IF($F932="","",IF($P932="Cancelada",0,IF(OR($O932&lt;&gt;"",$P932="Concluída"),1,0)))</f>
        <v/>
      </c>
    </row>
    <row r="933" customFormat="false" ht="16.5" hidden="false" customHeight="true" outlineLevel="0" collapsed="false">
      <c r="A933" s="36" t="str">
        <f aca="false">IF($F933="","",COUNTA($F$5:$F933))</f>
        <v/>
      </c>
      <c r="B933" s="37" t="str">
        <f aca="true">IF($F933="","",IF($P933="Cancelada","Cancelada",IF(OR($O933&lt;&gt;"",$P933="Concluída"),IF(OR($N933="",$O933="",$O933&lt;=$N933),"Concluída","Concluída com atraso"),IF($N933="","Na carteira",IF($N933&lt;TODAY(),"VENCIDA",IF($P933="Em execução","Em execução",IF($N933=TODAY(),"Hoje","Programada")))))))</f>
        <v/>
      </c>
      <c r="C933" s="38"/>
      <c r="D933" s="38"/>
      <c r="E933" s="38"/>
      <c r="F933" s="38"/>
      <c r="G933" s="39"/>
      <c r="H933" s="39"/>
      <c r="I933" s="40"/>
      <c r="J933" s="40"/>
      <c r="K933" s="40"/>
      <c r="L933" s="41"/>
      <c r="M933" s="42"/>
      <c r="N933" s="43" t="str">
        <f aca="false">IF(OR($L933="",$M933=""),"",$L933+MATCH($M933,Listas!$F$5:$F$11,0)-1)</f>
        <v/>
      </c>
      <c r="O933" s="44"/>
      <c r="P933" s="39"/>
      <c r="Q933" s="44"/>
      <c r="R933" s="38"/>
      <c r="S933" s="38"/>
      <c r="T933" s="36" t="str">
        <f aca="false">IF($F933="","",IF(ISNUMBER(SEARCH("(externo)",$I933&amp;$J933&amp;$K933)),"Terceirizada","Interna"))</f>
        <v/>
      </c>
      <c r="U933" s="43" t="str">
        <f aca="false">IF($N933="","",IF($Q933="",$N933,$Q933))</f>
        <v/>
      </c>
      <c r="V933" s="36" t="str">
        <f aca="false">IF($F933="","",IF(OR($O933="",$N933=""),0,IF($O933&lt;=$N933,1,0)))</f>
        <v/>
      </c>
      <c r="W933" s="36" t="str">
        <f aca="false">IF($F933="","",IF(OR($O933="",$U933=""),0,IF($O933&lt;=$U933,1,0)))</f>
        <v/>
      </c>
      <c r="X933" s="37" t="str">
        <f aca="false">IF(OR($O933="",$N933=""),"",MAX(0,$O933-$N933))</f>
        <v/>
      </c>
      <c r="Y933" s="36" t="str">
        <f aca="false">IF($F933="","",IF(AND($Q933&lt;&gt;"",$N933&lt;&gt;"",$Q933&lt;&gt;$N933),1,0))</f>
        <v/>
      </c>
      <c r="Z933" s="36" t="str">
        <f aca="false">IF($F933="","",IF($P933="Cancelada",0,IF(OR($O933&lt;&gt;"",$P933="Concluída"),1,0)))</f>
        <v/>
      </c>
    </row>
    <row r="934" customFormat="false" ht="16.5" hidden="false" customHeight="true" outlineLevel="0" collapsed="false">
      <c r="A934" s="36" t="str">
        <f aca="false">IF($F934="","",COUNTA($F$5:$F934))</f>
        <v/>
      </c>
      <c r="B934" s="37" t="str">
        <f aca="true">IF($F934="","",IF($P934="Cancelada","Cancelada",IF(OR($O934&lt;&gt;"",$P934="Concluída"),IF(OR($N934="",$O934="",$O934&lt;=$N934),"Concluída","Concluída com atraso"),IF($N934="","Na carteira",IF($N934&lt;TODAY(),"VENCIDA",IF($P934="Em execução","Em execução",IF($N934=TODAY(),"Hoje","Programada")))))))</f>
        <v/>
      </c>
      <c r="C934" s="38"/>
      <c r="D934" s="38"/>
      <c r="E934" s="38"/>
      <c r="F934" s="38"/>
      <c r="G934" s="39"/>
      <c r="H934" s="39"/>
      <c r="I934" s="40"/>
      <c r="J934" s="40"/>
      <c r="K934" s="40"/>
      <c r="L934" s="41"/>
      <c r="M934" s="42"/>
      <c r="N934" s="43" t="str">
        <f aca="false">IF(OR($L934="",$M934=""),"",$L934+MATCH($M934,Listas!$F$5:$F$11,0)-1)</f>
        <v/>
      </c>
      <c r="O934" s="44"/>
      <c r="P934" s="39"/>
      <c r="Q934" s="44"/>
      <c r="R934" s="38"/>
      <c r="S934" s="38"/>
      <c r="T934" s="36" t="str">
        <f aca="false">IF($F934="","",IF(ISNUMBER(SEARCH("(externo)",$I934&amp;$J934&amp;$K934)),"Terceirizada","Interna"))</f>
        <v/>
      </c>
      <c r="U934" s="43" t="str">
        <f aca="false">IF($N934="","",IF($Q934="",$N934,$Q934))</f>
        <v/>
      </c>
      <c r="V934" s="36" t="str">
        <f aca="false">IF($F934="","",IF(OR($O934="",$N934=""),0,IF($O934&lt;=$N934,1,0)))</f>
        <v/>
      </c>
      <c r="W934" s="36" t="str">
        <f aca="false">IF($F934="","",IF(OR($O934="",$U934=""),0,IF($O934&lt;=$U934,1,0)))</f>
        <v/>
      </c>
      <c r="X934" s="37" t="str">
        <f aca="false">IF(OR($O934="",$N934=""),"",MAX(0,$O934-$N934))</f>
        <v/>
      </c>
      <c r="Y934" s="36" t="str">
        <f aca="false">IF($F934="","",IF(AND($Q934&lt;&gt;"",$N934&lt;&gt;"",$Q934&lt;&gt;$N934),1,0))</f>
        <v/>
      </c>
      <c r="Z934" s="36" t="str">
        <f aca="false">IF($F934="","",IF($P934="Cancelada",0,IF(OR($O934&lt;&gt;"",$P934="Concluída"),1,0)))</f>
        <v/>
      </c>
    </row>
    <row r="935" customFormat="false" ht="16.5" hidden="false" customHeight="true" outlineLevel="0" collapsed="false">
      <c r="A935" s="36" t="str">
        <f aca="false">IF($F935="","",COUNTA($F$5:$F935))</f>
        <v/>
      </c>
      <c r="B935" s="37" t="str">
        <f aca="true">IF($F935="","",IF($P935="Cancelada","Cancelada",IF(OR($O935&lt;&gt;"",$P935="Concluída"),IF(OR($N935="",$O935="",$O935&lt;=$N935),"Concluída","Concluída com atraso"),IF($N935="","Na carteira",IF($N935&lt;TODAY(),"VENCIDA",IF($P935="Em execução","Em execução",IF($N935=TODAY(),"Hoje","Programada")))))))</f>
        <v/>
      </c>
      <c r="C935" s="38"/>
      <c r="D935" s="38"/>
      <c r="E935" s="38"/>
      <c r="F935" s="38"/>
      <c r="G935" s="39"/>
      <c r="H935" s="39"/>
      <c r="I935" s="40"/>
      <c r="J935" s="40"/>
      <c r="K935" s="40"/>
      <c r="L935" s="41"/>
      <c r="M935" s="42"/>
      <c r="N935" s="43" t="str">
        <f aca="false">IF(OR($L935="",$M935=""),"",$L935+MATCH($M935,Listas!$F$5:$F$11,0)-1)</f>
        <v/>
      </c>
      <c r="O935" s="44"/>
      <c r="P935" s="39"/>
      <c r="Q935" s="44"/>
      <c r="R935" s="38"/>
      <c r="S935" s="38"/>
      <c r="T935" s="36" t="str">
        <f aca="false">IF($F935="","",IF(ISNUMBER(SEARCH("(externo)",$I935&amp;$J935&amp;$K935)),"Terceirizada","Interna"))</f>
        <v/>
      </c>
      <c r="U935" s="43" t="str">
        <f aca="false">IF($N935="","",IF($Q935="",$N935,$Q935))</f>
        <v/>
      </c>
      <c r="V935" s="36" t="str">
        <f aca="false">IF($F935="","",IF(OR($O935="",$N935=""),0,IF($O935&lt;=$N935,1,0)))</f>
        <v/>
      </c>
      <c r="W935" s="36" t="str">
        <f aca="false">IF($F935="","",IF(OR($O935="",$U935=""),0,IF($O935&lt;=$U935,1,0)))</f>
        <v/>
      </c>
      <c r="X935" s="37" t="str">
        <f aca="false">IF(OR($O935="",$N935=""),"",MAX(0,$O935-$N935))</f>
        <v/>
      </c>
      <c r="Y935" s="36" t="str">
        <f aca="false">IF($F935="","",IF(AND($Q935&lt;&gt;"",$N935&lt;&gt;"",$Q935&lt;&gt;$N935),1,0))</f>
        <v/>
      </c>
      <c r="Z935" s="36" t="str">
        <f aca="false">IF($F935="","",IF($P935="Cancelada",0,IF(OR($O935&lt;&gt;"",$P935="Concluída"),1,0)))</f>
        <v/>
      </c>
    </row>
    <row r="936" customFormat="false" ht="16.5" hidden="false" customHeight="true" outlineLevel="0" collapsed="false">
      <c r="A936" s="36" t="str">
        <f aca="false">IF($F936="","",COUNTA($F$5:$F936))</f>
        <v/>
      </c>
      <c r="B936" s="37" t="str">
        <f aca="true">IF($F936="","",IF($P936="Cancelada","Cancelada",IF(OR($O936&lt;&gt;"",$P936="Concluída"),IF(OR($N936="",$O936="",$O936&lt;=$N936),"Concluída","Concluída com atraso"),IF($N936="","Na carteira",IF($N936&lt;TODAY(),"VENCIDA",IF($P936="Em execução","Em execução",IF($N936=TODAY(),"Hoje","Programada")))))))</f>
        <v/>
      </c>
      <c r="C936" s="38"/>
      <c r="D936" s="38"/>
      <c r="E936" s="38"/>
      <c r="F936" s="38"/>
      <c r="G936" s="39"/>
      <c r="H936" s="39"/>
      <c r="I936" s="40"/>
      <c r="J936" s="40"/>
      <c r="K936" s="40"/>
      <c r="L936" s="41"/>
      <c r="M936" s="42"/>
      <c r="N936" s="43" t="str">
        <f aca="false">IF(OR($L936="",$M936=""),"",$L936+MATCH($M936,Listas!$F$5:$F$11,0)-1)</f>
        <v/>
      </c>
      <c r="O936" s="44"/>
      <c r="P936" s="39"/>
      <c r="Q936" s="44"/>
      <c r="R936" s="38"/>
      <c r="S936" s="38"/>
      <c r="T936" s="36" t="str">
        <f aca="false">IF($F936="","",IF(ISNUMBER(SEARCH("(externo)",$I936&amp;$J936&amp;$K936)),"Terceirizada","Interna"))</f>
        <v/>
      </c>
      <c r="U936" s="43" t="str">
        <f aca="false">IF($N936="","",IF($Q936="",$N936,$Q936))</f>
        <v/>
      </c>
      <c r="V936" s="36" t="str">
        <f aca="false">IF($F936="","",IF(OR($O936="",$N936=""),0,IF($O936&lt;=$N936,1,0)))</f>
        <v/>
      </c>
      <c r="W936" s="36" t="str">
        <f aca="false">IF($F936="","",IF(OR($O936="",$U936=""),0,IF($O936&lt;=$U936,1,0)))</f>
        <v/>
      </c>
      <c r="X936" s="37" t="str">
        <f aca="false">IF(OR($O936="",$N936=""),"",MAX(0,$O936-$N936))</f>
        <v/>
      </c>
      <c r="Y936" s="36" t="str">
        <f aca="false">IF($F936="","",IF(AND($Q936&lt;&gt;"",$N936&lt;&gt;"",$Q936&lt;&gt;$N936),1,0))</f>
        <v/>
      </c>
      <c r="Z936" s="36" t="str">
        <f aca="false">IF($F936="","",IF($P936="Cancelada",0,IF(OR($O936&lt;&gt;"",$P936="Concluída"),1,0)))</f>
        <v/>
      </c>
    </row>
    <row r="937" customFormat="false" ht="16.5" hidden="false" customHeight="true" outlineLevel="0" collapsed="false">
      <c r="A937" s="36" t="str">
        <f aca="false">IF($F937="","",COUNTA($F$5:$F937))</f>
        <v/>
      </c>
      <c r="B937" s="37" t="str">
        <f aca="true">IF($F937="","",IF($P937="Cancelada","Cancelada",IF(OR($O937&lt;&gt;"",$P937="Concluída"),IF(OR($N937="",$O937="",$O937&lt;=$N937),"Concluída","Concluída com atraso"),IF($N937="","Na carteira",IF($N937&lt;TODAY(),"VENCIDA",IF($P937="Em execução","Em execução",IF($N937=TODAY(),"Hoje","Programada")))))))</f>
        <v/>
      </c>
      <c r="C937" s="38"/>
      <c r="D937" s="38"/>
      <c r="E937" s="38"/>
      <c r="F937" s="38"/>
      <c r="G937" s="39"/>
      <c r="H937" s="39"/>
      <c r="I937" s="40"/>
      <c r="J937" s="40"/>
      <c r="K937" s="40"/>
      <c r="L937" s="41"/>
      <c r="M937" s="42"/>
      <c r="N937" s="43" t="str">
        <f aca="false">IF(OR($L937="",$M937=""),"",$L937+MATCH($M937,Listas!$F$5:$F$11,0)-1)</f>
        <v/>
      </c>
      <c r="O937" s="44"/>
      <c r="P937" s="39"/>
      <c r="Q937" s="44"/>
      <c r="R937" s="38"/>
      <c r="S937" s="38"/>
      <c r="T937" s="36" t="str">
        <f aca="false">IF($F937="","",IF(ISNUMBER(SEARCH("(externo)",$I937&amp;$J937&amp;$K937)),"Terceirizada","Interna"))</f>
        <v/>
      </c>
      <c r="U937" s="43" t="str">
        <f aca="false">IF($N937="","",IF($Q937="",$N937,$Q937))</f>
        <v/>
      </c>
      <c r="V937" s="36" t="str">
        <f aca="false">IF($F937="","",IF(OR($O937="",$N937=""),0,IF($O937&lt;=$N937,1,0)))</f>
        <v/>
      </c>
      <c r="W937" s="36" t="str">
        <f aca="false">IF($F937="","",IF(OR($O937="",$U937=""),0,IF($O937&lt;=$U937,1,0)))</f>
        <v/>
      </c>
      <c r="X937" s="37" t="str">
        <f aca="false">IF(OR($O937="",$N937=""),"",MAX(0,$O937-$N937))</f>
        <v/>
      </c>
      <c r="Y937" s="36" t="str">
        <f aca="false">IF($F937="","",IF(AND($Q937&lt;&gt;"",$N937&lt;&gt;"",$Q937&lt;&gt;$N937),1,0))</f>
        <v/>
      </c>
      <c r="Z937" s="36" t="str">
        <f aca="false">IF($F937="","",IF($P937="Cancelada",0,IF(OR($O937&lt;&gt;"",$P937="Concluída"),1,0)))</f>
        <v/>
      </c>
    </row>
    <row r="938" customFormat="false" ht="16.5" hidden="false" customHeight="true" outlineLevel="0" collapsed="false">
      <c r="A938" s="36" t="str">
        <f aca="false">IF($F938="","",COUNTA($F$5:$F938))</f>
        <v/>
      </c>
      <c r="B938" s="37" t="str">
        <f aca="true">IF($F938="","",IF($P938="Cancelada","Cancelada",IF(OR($O938&lt;&gt;"",$P938="Concluída"),IF(OR($N938="",$O938="",$O938&lt;=$N938),"Concluída","Concluída com atraso"),IF($N938="","Na carteira",IF($N938&lt;TODAY(),"VENCIDA",IF($P938="Em execução","Em execução",IF($N938=TODAY(),"Hoje","Programada")))))))</f>
        <v/>
      </c>
      <c r="C938" s="38"/>
      <c r="D938" s="38"/>
      <c r="E938" s="38"/>
      <c r="F938" s="38"/>
      <c r="G938" s="39"/>
      <c r="H938" s="39"/>
      <c r="I938" s="40"/>
      <c r="J938" s="40"/>
      <c r="K938" s="40"/>
      <c r="L938" s="41"/>
      <c r="M938" s="42"/>
      <c r="N938" s="43" t="str">
        <f aca="false">IF(OR($L938="",$M938=""),"",$L938+MATCH($M938,Listas!$F$5:$F$11,0)-1)</f>
        <v/>
      </c>
      <c r="O938" s="44"/>
      <c r="P938" s="39"/>
      <c r="Q938" s="44"/>
      <c r="R938" s="38"/>
      <c r="S938" s="38"/>
      <c r="T938" s="36" t="str">
        <f aca="false">IF($F938="","",IF(ISNUMBER(SEARCH("(externo)",$I938&amp;$J938&amp;$K938)),"Terceirizada","Interna"))</f>
        <v/>
      </c>
      <c r="U938" s="43" t="str">
        <f aca="false">IF($N938="","",IF($Q938="",$N938,$Q938))</f>
        <v/>
      </c>
      <c r="V938" s="36" t="str">
        <f aca="false">IF($F938="","",IF(OR($O938="",$N938=""),0,IF($O938&lt;=$N938,1,0)))</f>
        <v/>
      </c>
      <c r="W938" s="36" t="str">
        <f aca="false">IF($F938="","",IF(OR($O938="",$U938=""),0,IF($O938&lt;=$U938,1,0)))</f>
        <v/>
      </c>
      <c r="X938" s="37" t="str">
        <f aca="false">IF(OR($O938="",$N938=""),"",MAX(0,$O938-$N938))</f>
        <v/>
      </c>
      <c r="Y938" s="36" t="str">
        <f aca="false">IF($F938="","",IF(AND($Q938&lt;&gt;"",$N938&lt;&gt;"",$Q938&lt;&gt;$N938),1,0))</f>
        <v/>
      </c>
      <c r="Z938" s="36" t="str">
        <f aca="false">IF($F938="","",IF($P938="Cancelada",0,IF(OR($O938&lt;&gt;"",$P938="Concluída"),1,0)))</f>
        <v/>
      </c>
    </row>
    <row r="939" customFormat="false" ht="16.5" hidden="false" customHeight="true" outlineLevel="0" collapsed="false">
      <c r="A939" s="36" t="str">
        <f aca="false">IF($F939="","",COUNTA($F$5:$F939))</f>
        <v/>
      </c>
      <c r="B939" s="37" t="str">
        <f aca="true">IF($F939="","",IF($P939="Cancelada","Cancelada",IF(OR($O939&lt;&gt;"",$P939="Concluída"),IF(OR($N939="",$O939="",$O939&lt;=$N939),"Concluída","Concluída com atraso"),IF($N939="","Na carteira",IF($N939&lt;TODAY(),"VENCIDA",IF($P939="Em execução","Em execução",IF($N939=TODAY(),"Hoje","Programada")))))))</f>
        <v/>
      </c>
      <c r="C939" s="38"/>
      <c r="D939" s="38"/>
      <c r="E939" s="38"/>
      <c r="F939" s="38"/>
      <c r="G939" s="39"/>
      <c r="H939" s="39"/>
      <c r="I939" s="40"/>
      <c r="J939" s="40"/>
      <c r="K939" s="40"/>
      <c r="L939" s="41"/>
      <c r="M939" s="42"/>
      <c r="N939" s="43" t="str">
        <f aca="false">IF(OR($L939="",$M939=""),"",$L939+MATCH($M939,Listas!$F$5:$F$11,0)-1)</f>
        <v/>
      </c>
      <c r="O939" s="44"/>
      <c r="P939" s="39"/>
      <c r="Q939" s="44"/>
      <c r="R939" s="38"/>
      <c r="S939" s="38"/>
      <c r="T939" s="36" t="str">
        <f aca="false">IF($F939="","",IF(ISNUMBER(SEARCH("(externo)",$I939&amp;$J939&amp;$K939)),"Terceirizada","Interna"))</f>
        <v/>
      </c>
      <c r="U939" s="43" t="str">
        <f aca="false">IF($N939="","",IF($Q939="",$N939,$Q939))</f>
        <v/>
      </c>
      <c r="V939" s="36" t="str">
        <f aca="false">IF($F939="","",IF(OR($O939="",$N939=""),0,IF($O939&lt;=$N939,1,0)))</f>
        <v/>
      </c>
      <c r="W939" s="36" t="str">
        <f aca="false">IF($F939="","",IF(OR($O939="",$U939=""),0,IF($O939&lt;=$U939,1,0)))</f>
        <v/>
      </c>
      <c r="X939" s="37" t="str">
        <f aca="false">IF(OR($O939="",$N939=""),"",MAX(0,$O939-$N939))</f>
        <v/>
      </c>
      <c r="Y939" s="36" t="str">
        <f aca="false">IF($F939="","",IF(AND($Q939&lt;&gt;"",$N939&lt;&gt;"",$Q939&lt;&gt;$N939),1,0))</f>
        <v/>
      </c>
      <c r="Z939" s="36" t="str">
        <f aca="false">IF($F939="","",IF($P939="Cancelada",0,IF(OR($O939&lt;&gt;"",$P939="Concluída"),1,0)))</f>
        <v/>
      </c>
    </row>
    <row r="940" customFormat="false" ht="16.5" hidden="false" customHeight="true" outlineLevel="0" collapsed="false">
      <c r="A940" s="36" t="str">
        <f aca="false">IF($F940="","",COUNTA($F$5:$F940))</f>
        <v/>
      </c>
      <c r="B940" s="37" t="str">
        <f aca="true">IF($F940="","",IF($P940="Cancelada","Cancelada",IF(OR($O940&lt;&gt;"",$P940="Concluída"),IF(OR($N940="",$O940="",$O940&lt;=$N940),"Concluída","Concluída com atraso"),IF($N940="","Na carteira",IF($N940&lt;TODAY(),"VENCIDA",IF($P940="Em execução","Em execução",IF($N940=TODAY(),"Hoje","Programada")))))))</f>
        <v/>
      </c>
      <c r="C940" s="38"/>
      <c r="D940" s="38"/>
      <c r="E940" s="38"/>
      <c r="F940" s="38"/>
      <c r="G940" s="39"/>
      <c r="H940" s="39"/>
      <c r="I940" s="40"/>
      <c r="J940" s="40"/>
      <c r="K940" s="40"/>
      <c r="L940" s="41"/>
      <c r="M940" s="42"/>
      <c r="N940" s="43" t="str">
        <f aca="false">IF(OR($L940="",$M940=""),"",$L940+MATCH($M940,Listas!$F$5:$F$11,0)-1)</f>
        <v/>
      </c>
      <c r="O940" s="44"/>
      <c r="P940" s="39"/>
      <c r="Q940" s="44"/>
      <c r="R940" s="38"/>
      <c r="S940" s="38"/>
      <c r="T940" s="36" t="str">
        <f aca="false">IF($F940="","",IF(ISNUMBER(SEARCH("(externo)",$I940&amp;$J940&amp;$K940)),"Terceirizada","Interna"))</f>
        <v/>
      </c>
      <c r="U940" s="43" t="str">
        <f aca="false">IF($N940="","",IF($Q940="",$N940,$Q940))</f>
        <v/>
      </c>
      <c r="V940" s="36" t="str">
        <f aca="false">IF($F940="","",IF(OR($O940="",$N940=""),0,IF($O940&lt;=$N940,1,0)))</f>
        <v/>
      </c>
      <c r="W940" s="36" t="str">
        <f aca="false">IF($F940="","",IF(OR($O940="",$U940=""),0,IF($O940&lt;=$U940,1,0)))</f>
        <v/>
      </c>
      <c r="X940" s="37" t="str">
        <f aca="false">IF(OR($O940="",$N940=""),"",MAX(0,$O940-$N940))</f>
        <v/>
      </c>
      <c r="Y940" s="36" t="str">
        <f aca="false">IF($F940="","",IF(AND($Q940&lt;&gt;"",$N940&lt;&gt;"",$Q940&lt;&gt;$N940),1,0))</f>
        <v/>
      </c>
      <c r="Z940" s="36" t="str">
        <f aca="false">IF($F940="","",IF($P940="Cancelada",0,IF(OR($O940&lt;&gt;"",$P940="Concluída"),1,0)))</f>
        <v/>
      </c>
    </row>
    <row r="941" customFormat="false" ht="16.5" hidden="false" customHeight="true" outlineLevel="0" collapsed="false">
      <c r="A941" s="36" t="str">
        <f aca="false">IF($F941="","",COUNTA($F$5:$F941))</f>
        <v/>
      </c>
      <c r="B941" s="37" t="str">
        <f aca="true">IF($F941="","",IF($P941="Cancelada","Cancelada",IF(OR($O941&lt;&gt;"",$P941="Concluída"),IF(OR($N941="",$O941="",$O941&lt;=$N941),"Concluída","Concluída com atraso"),IF($N941="","Na carteira",IF($N941&lt;TODAY(),"VENCIDA",IF($P941="Em execução","Em execução",IF($N941=TODAY(),"Hoje","Programada")))))))</f>
        <v/>
      </c>
      <c r="C941" s="38"/>
      <c r="D941" s="38"/>
      <c r="E941" s="38"/>
      <c r="F941" s="38"/>
      <c r="G941" s="39"/>
      <c r="H941" s="39"/>
      <c r="I941" s="40"/>
      <c r="J941" s="40"/>
      <c r="K941" s="40"/>
      <c r="L941" s="41"/>
      <c r="M941" s="42"/>
      <c r="N941" s="43" t="str">
        <f aca="false">IF(OR($L941="",$M941=""),"",$L941+MATCH($M941,Listas!$F$5:$F$11,0)-1)</f>
        <v/>
      </c>
      <c r="O941" s="44"/>
      <c r="P941" s="39"/>
      <c r="Q941" s="44"/>
      <c r="R941" s="38"/>
      <c r="S941" s="38"/>
      <c r="T941" s="36" t="str">
        <f aca="false">IF($F941="","",IF(ISNUMBER(SEARCH("(externo)",$I941&amp;$J941&amp;$K941)),"Terceirizada","Interna"))</f>
        <v/>
      </c>
      <c r="U941" s="43" t="str">
        <f aca="false">IF($N941="","",IF($Q941="",$N941,$Q941))</f>
        <v/>
      </c>
      <c r="V941" s="36" t="str">
        <f aca="false">IF($F941="","",IF(OR($O941="",$N941=""),0,IF($O941&lt;=$N941,1,0)))</f>
        <v/>
      </c>
      <c r="W941" s="36" t="str">
        <f aca="false">IF($F941="","",IF(OR($O941="",$U941=""),0,IF($O941&lt;=$U941,1,0)))</f>
        <v/>
      </c>
      <c r="X941" s="37" t="str">
        <f aca="false">IF(OR($O941="",$N941=""),"",MAX(0,$O941-$N941))</f>
        <v/>
      </c>
      <c r="Y941" s="36" t="str">
        <f aca="false">IF($F941="","",IF(AND($Q941&lt;&gt;"",$N941&lt;&gt;"",$Q941&lt;&gt;$N941),1,0))</f>
        <v/>
      </c>
      <c r="Z941" s="36" t="str">
        <f aca="false">IF($F941="","",IF($P941="Cancelada",0,IF(OR($O941&lt;&gt;"",$P941="Concluída"),1,0)))</f>
        <v/>
      </c>
    </row>
    <row r="942" customFormat="false" ht="16.5" hidden="false" customHeight="true" outlineLevel="0" collapsed="false">
      <c r="A942" s="36" t="str">
        <f aca="false">IF($F942="","",COUNTA($F$5:$F942))</f>
        <v/>
      </c>
      <c r="B942" s="37" t="str">
        <f aca="true">IF($F942="","",IF($P942="Cancelada","Cancelada",IF(OR($O942&lt;&gt;"",$P942="Concluída"),IF(OR($N942="",$O942="",$O942&lt;=$N942),"Concluída","Concluída com atraso"),IF($N942="","Na carteira",IF($N942&lt;TODAY(),"VENCIDA",IF($P942="Em execução","Em execução",IF($N942=TODAY(),"Hoje","Programada")))))))</f>
        <v/>
      </c>
      <c r="C942" s="38"/>
      <c r="D942" s="38"/>
      <c r="E942" s="38"/>
      <c r="F942" s="38"/>
      <c r="G942" s="39"/>
      <c r="H942" s="39"/>
      <c r="I942" s="40"/>
      <c r="J942" s="40"/>
      <c r="K942" s="40"/>
      <c r="L942" s="41"/>
      <c r="M942" s="42"/>
      <c r="N942" s="43" t="str">
        <f aca="false">IF(OR($L942="",$M942=""),"",$L942+MATCH($M942,Listas!$F$5:$F$11,0)-1)</f>
        <v/>
      </c>
      <c r="O942" s="44"/>
      <c r="P942" s="39"/>
      <c r="Q942" s="44"/>
      <c r="R942" s="38"/>
      <c r="S942" s="38"/>
      <c r="T942" s="36" t="str">
        <f aca="false">IF($F942="","",IF(ISNUMBER(SEARCH("(externo)",$I942&amp;$J942&amp;$K942)),"Terceirizada","Interna"))</f>
        <v/>
      </c>
      <c r="U942" s="43" t="str">
        <f aca="false">IF($N942="","",IF($Q942="",$N942,$Q942))</f>
        <v/>
      </c>
      <c r="V942" s="36" t="str">
        <f aca="false">IF($F942="","",IF(OR($O942="",$N942=""),0,IF($O942&lt;=$N942,1,0)))</f>
        <v/>
      </c>
      <c r="W942" s="36" t="str">
        <f aca="false">IF($F942="","",IF(OR($O942="",$U942=""),0,IF($O942&lt;=$U942,1,0)))</f>
        <v/>
      </c>
      <c r="X942" s="37" t="str">
        <f aca="false">IF(OR($O942="",$N942=""),"",MAX(0,$O942-$N942))</f>
        <v/>
      </c>
      <c r="Y942" s="36" t="str">
        <f aca="false">IF($F942="","",IF(AND($Q942&lt;&gt;"",$N942&lt;&gt;"",$Q942&lt;&gt;$N942),1,0))</f>
        <v/>
      </c>
      <c r="Z942" s="36" t="str">
        <f aca="false">IF($F942="","",IF($P942="Cancelada",0,IF(OR($O942&lt;&gt;"",$P942="Concluída"),1,0)))</f>
        <v/>
      </c>
    </row>
    <row r="943" customFormat="false" ht="16.5" hidden="false" customHeight="true" outlineLevel="0" collapsed="false">
      <c r="A943" s="36" t="str">
        <f aca="false">IF($F943="","",COUNTA($F$5:$F943))</f>
        <v/>
      </c>
      <c r="B943" s="37" t="str">
        <f aca="true">IF($F943="","",IF($P943="Cancelada","Cancelada",IF(OR($O943&lt;&gt;"",$P943="Concluída"),IF(OR($N943="",$O943="",$O943&lt;=$N943),"Concluída","Concluída com atraso"),IF($N943="","Na carteira",IF($N943&lt;TODAY(),"VENCIDA",IF($P943="Em execução","Em execução",IF($N943=TODAY(),"Hoje","Programada")))))))</f>
        <v/>
      </c>
      <c r="C943" s="38"/>
      <c r="D943" s="38"/>
      <c r="E943" s="38"/>
      <c r="F943" s="38"/>
      <c r="G943" s="39"/>
      <c r="H943" s="39"/>
      <c r="I943" s="40"/>
      <c r="J943" s="40"/>
      <c r="K943" s="40"/>
      <c r="L943" s="41"/>
      <c r="M943" s="42"/>
      <c r="N943" s="43" t="str">
        <f aca="false">IF(OR($L943="",$M943=""),"",$L943+MATCH($M943,Listas!$F$5:$F$11,0)-1)</f>
        <v/>
      </c>
      <c r="O943" s="44"/>
      <c r="P943" s="39"/>
      <c r="Q943" s="44"/>
      <c r="R943" s="38"/>
      <c r="S943" s="38"/>
      <c r="T943" s="36" t="str">
        <f aca="false">IF($F943="","",IF(ISNUMBER(SEARCH("(externo)",$I943&amp;$J943&amp;$K943)),"Terceirizada","Interna"))</f>
        <v/>
      </c>
      <c r="U943" s="43" t="str">
        <f aca="false">IF($N943="","",IF($Q943="",$N943,$Q943))</f>
        <v/>
      </c>
      <c r="V943" s="36" t="str">
        <f aca="false">IF($F943="","",IF(OR($O943="",$N943=""),0,IF($O943&lt;=$N943,1,0)))</f>
        <v/>
      </c>
      <c r="W943" s="36" t="str">
        <f aca="false">IF($F943="","",IF(OR($O943="",$U943=""),0,IF($O943&lt;=$U943,1,0)))</f>
        <v/>
      </c>
      <c r="X943" s="37" t="str">
        <f aca="false">IF(OR($O943="",$N943=""),"",MAX(0,$O943-$N943))</f>
        <v/>
      </c>
      <c r="Y943" s="36" t="str">
        <f aca="false">IF($F943="","",IF(AND($Q943&lt;&gt;"",$N943&lt;&gt;"",$Q943&lt;&gt;$N943),1,0))</f>
        <v/>
      </c>
      <c r="Z943" s="36" t="str">
        <f aca="false">IF($F943="","",IF($P943="Cancelada",0,IF(OR($O943&lt;&gt;"",$P943="Concluída"),1,0)))</f>
        <v/>
      </c>
    </row>
    <row r="944" customFormat="false" ht="16.5" hidden="false" customHeight="true" outlineLevel="0" collapsed="false">
      <c r="A944" s="36" t="str">
        <f aca="false">IF($F944="","",COUNTA($F$5:$F944))</f>
        <v/>
      </c>
      <c r="B944" s="37" t="str">
        <f aca="true">IF($F944="","",IF($P944="Cancelada","Cancelada",IF(OR($O944&lt;&gt;"",$P944="Concluída"),IF(OR($N944="",$O944="",$O944&lt;=$N944),"Concluída","Concluída com atraso"),IF($N944="","Na carteira",IF($N944&lt;TODAY(),"VENCIDA",IF($P944="Em execução","Em execução",IF($N944=TODAY(),"Hoje","Programada")))))))</f>
        <v/>
      </c>
      <c r="C944" s="38"/>
      <c r="D944" s="38"/>
      <c r="E944" s="38"/>
      <c r="F944" s="38"/>
      <c r="G944" s="39"/>
      <c r="H944" s="39"/>
      <c r="I944" s="40"/>
      <c r="J944" s="40"/>
      <c r="K944" s="40"/>
      <c r="L944" s="41"/>
      <c r="M944" s="42"/>
      <c r="N944" s="43" t="str">
        <f aca="false">IF(OR($L944="",$M944=""),"",$L944+MATCH($M944,Listas!$F$5:$F$11,0)-1)</f>
        <v/>
      </c>
      <c r="O944" s="44"/>
      <c r="P944" s="39"/>
      <c r="Q944" s="44"/>
      <c r="R944" s="38"/>
      <c r="S944" s="38"/>
      <c r="T944" s="36" t="str">
        <f aca="false">IF($F944="","",IF(ISNUMBER(SEARCH("(externo)",$I944&amp;$J944&amp;$K944)),"Terceirizada","Interna"))</f>
        <v/>
      </c>
      <c r="U944" s="43" t="str">
        <f aca="false">IF($N944="","",IF($Q944="",$N944,$Q944))</f>
        <v/>
      </c>
      <c r="V944" s="36" t="str">
        <f aca="false">IF($F944="","",IF(OR($O944="",$N944=""),0,IF($O944&lt;=$N944,1,0)))</f>
        <v/>
      </c>
      <c r="W944" s="36" t="str">
        <f aca="false">IF($F944="","",IF(OR($O944="",$U944=""),0,IF($O944&lt;=$U944,1,0)))</f>
        <v/>
      </c>
      <c r="X944" s="37" t="str">
        <f aca="false">IF(OR($O944="",$N944=""),"",MAX(0,$O944-$N944))</f>
        <v/>
      </c>
      <c r="Y944" s="36" t="str">
        <f aca="false">IF($F944="","",IF(AND($Q944&lt;&gt;"",$N944&lt;&gt;"",$Q944&lt;&gt;$N944),1,0))</f>
        <v/>
      </c>
      <c r="Z944" s="36" t="str">
        <f aca="false">IF($F944="","",IF($P944="Cancelada",0,IF(OR($O944&lt;&gt;"",$P944="Concluída"),1,0)))</f>
        <v/>
      </c>
    </row>
    <row r="945" customFormat="false" ht="16.5" hidden="false" customHeight="true" outlineLevel="0" collapsed="false">
      <c r="A945" s="36" t="str">
        <f aca="false">IF($F945="","",COUNTA($F$5:$F945))</f>
        <v/>
      </c>
      <c r="B945" s="37" t="str">
        <f aca="true">IF($F945="","",IF($P945="Cancelada","Cancelada",IF(OR($O945&lt;&gt;"",$P945="Concluída"),IF(OR($N945="",$O945="",$O945&lt;=$N945),"Concluída","Concluída com atraso"),IF($N945="","Na carteira",IF($N945&lt;TODAY(),"VENCIDA",IF($P945="Em execução","Em execução",IF($N945=TODAY(),"Hoje","Programada")))))))</f>
        <v/>
      </c>
      <c r="C945" s="38"/>
      <c r="D945" s="38"/>
      <c r="E945" s="38"/>
      <c r="F945" s="38"/>
      <c r="G945" s="39"/>
      <c r="H945" s="39"/>
      <c r="I945" s="40"/>
      <c r="J945" s="40"/>
      <c r="K945" s="40"/>
      <c r="L945" s="41"/>
      <c r="M945" s="42"/>
      <c r="N945" s="43" t="str">
        <f aca="false">IF(OR($L945="",$M945=""),"",$L945+MATCH($M945,Listas!$F$5:$F$11,0)-1)</f>
        <v/>
      </c>
      <c r="O945" s="44"/>
      <c r="P945" s="39"/>
      <c r="Q945" s="44"/>
      <c r="R945" s="38"/>
      <c r="S945" s="38"/>
      <c r="T945" s="36" t="str">
        <f aca="false">IF($F945="","",IF(ISNUMBER(SEARCH("(externo)",$I945&amp;$J945&amp;$K945)),"Terceirizada","Interna"))</f>
        <v/>
      </c>
      <c r="U945" s="43" t="str">
        <f aca="false">IF($N945="","",IF($Q945="",$N945,$Q945))</f>
        <v/>
      </c>
      <c r="V945" s="36" t="str">
        <f aca="false">IF($F945="","",IF(OR($O945="",$N945=""),0,IF($O945&lt;=$N945,1,0)))</f>
        <v/>
      </c>
      <c r="W945" s="36" t="str">
        <f aca="false">IF($F945="","",IF(OR($O945="",$U945=""),0,IF($O945&lt;=$U945,1,0)))</f>
        <v/>
      </c>
      <c r="X945" s="37" t="str">
        <f aca="false">IF(OR($O945="",$N945=""),"",MAX(0,$O945-$N945))</f>
        <v/>
      </c>
      <c r="Y945" s="36" t="str">
        <f aca="false">IF($F945="","",IF(AND($Q945&lt;&gt;"",$N945&lt;&gt;"",$Q945&lt;&gt;$N945),1,0))</f>
        <v/>
      </c>
      <c r="Z945" s="36" t="str">
        <f aca="false">IF($F945="","",IF($P945="Cancelada",0,IF(OR($O945&lt;&gt;"",$P945="Concluída"),1,0)))</f>
        <v/>
      </c>
    </row>
    <row r="946" customFormat="false" ht="16.5" hidden="false" customHeight="true" outlineLevel="0" collapsed="false">
      <c r="A946" s="36" t="str">
        <f aca="false">IF($F946="","",COUNTA($F$5:$F946))</f>
        <v/>
      </c>
      <c r="B946" s="37" t="str">
        <f aca="true">IF($F946="","",IF($P946="Cancelada","Cancelada",IF(OR($O946&lt;&gt;"",$P946="Concluída"),IF(OR($N946="",$O946="",$O946&lt;=$N946),"Concluída","Concluída com atraso"),IF($N946="","Na carteira",IF($N946&lt;TODAY(),"VENCIDA",IF($P946="Em execução","Em execução",IF($N946=TODAY(),"Hoje","Programada")))))))</f>
        <v/>
      </c>
      <c r="C946" s="38"/>
      <c r="D946" s="38"/>
      <c r="E946" s="38"/>
      <c r="F946" s="38"/>
      <c r="G946" s="39"/>
      <c r="H946" s="39"/>
      <c r="I946" s="40"/>
      <c r="J946" s="40"/>
      <c r="K946" s="40"/>
      <c r="L946" s="41"/>
      <c r="M946" s="42"/>
      <c r="N946" s="43" t="str">
        <f aca="false">IF(OR($L946="",$M946=""),"",$L946+MATCH($M946,Listas!$F$5:$F$11,0)-1)</f>
        <v/>
      </c>
      <c r="O946" s="44"/>
      <c r="P946" s="39"/>
      <c r="Q946" s="44"/>
      <c r="R946" s="38"/>
      <c r="S946" s="38"/>
      <c r="T946" s="36" t="str">
        <f aca="false">IF($F946="","",IF(ISNUMBER(SEARCH("(externo)",$I946&amp;$J946&amp;$K946)),"Terceirizada","Interna"))</f>
        <v/>
      </c>
      <c r="U946" s="43" t="str">
        <f aca="false">IF($N946="","",IF($Q946="",$N946,$Q946))</f>
        <v/>
      </c>
      <c r="V946" s="36" t="str">
        <f aca="false">IF($F946="","",IF(OR($O946="",$N946=""),0,IF($O946&lt;=$N946,1,0)))</f>
        <v/>
      </c>
      <c r="W946" s="36" t="str">
        <f aca="false">IF($F946="","",IF(OR($O946="",$U946=""),0,IF($O946&lt;=$U946,1,0)))</f>
        <v/>
      </c>
      <c r="X946" s="37" t="str">
        <f aca="false">IF(OR($O946="",$N946=""),"",MAX(0,$O946-$N946))</f>
        <v/>
      </c>
      <c r="Y946" s="36" t="str">
        <f aca="false">IF($F946="","",IF(AND($Q946&lt;&gt;"",$N946&lt;&gt;"",$Q946&lt;&gt;$N946),1,0))</f>
        <v/>
      </c>
      <c r="Z946" s="36" t="str">
        <f aca="false">IF($F946="","",IF($P946="Cancelada",0,IF(OR($O946&lt;&gt;"",$P946="Concluída"),1,0)))</f>
        <v/>
      </c>
    </row>
    <row r="947" customFormat="false" ht="16.5" hidden="false" customHeight="true" outlineLevel="0" collapsed="false">
      <c r="A947" s="36" t="str">
        <f aca="false">IF($F947="","",COUNTA($F$5:$F947))</f>
        <v/>
      </c>
      <c r="B947" s="37" t="str">
        <f aca="true">IF($F947="","",IF($P947="Cancelada","Cancelada",IF(OR($O947&lt;&gt;"",$P947="Concluída"),IF(OR($N947="",$O947="",$O947&lt;=$N947),"Concluída","Concluída com atraso"),IF($N947="","Na carteira",IF($N947&lt;TODAY(),"VENCIDA",IF($P947="Em execução","Em execução",IF($N947=TODAY(),"Hoje","Programada")))))))</f>
        <v/>
      </c>
      <c r="C947" s="38"/>
      <c r="D947" s="38"/>
      <c r="E947" s="38"/>
      <c r="F947" s="38"/>
      <c r="G947" s="39"/>
      <c r="H947" s="39"/>
      <c r="I947" s="40"/>
      <c r="J947" s="40"/>
      <c r="K947" s="40"/>
      <c r="L947" s="41"/>
      <c r="M947" s="42"/>
      <c r="N947" s="43" t="str">
        <f aca="false">IF(OR($L947="",$M947=""),"",$L947+MATCH($M947,Listas!$F$5:$F$11,0)-1)</f>
        <v/>
      </c>
      <c r="O947" s="44"/>
      <c r="P947" s="39"/>
      <c r="Q947" s="44"/>
      <c r="R947" s="38"/>
      <c r="S947" s="38"/>
      <c r="T947" s="36" t="str">
        <f aca="false">IF($F947="","",IF(ISNUMBER(SEARCH("(externo)",$I947&amp;$J947&amp;$K947)),"Terceirizada","Interna"))</f>
        <v/>
      </c>
      <c r="U947" s="43" t="str">
        <f aca="false">IF($N947="","",IF($Q947="",$N947,$Q947))</f>
        <v/>
      </c>
      <c r="V947" s="36" t="str">
        <f aca="false">IF($F947="","",IF(OR($O947="",$N947=""),0,IF($O947&lt;=$N947,1,0)))</f>
        <v/>
      </c>
      <c r="W947" s="36" t="str">
        <f aca="false">IF($F947="","",IF(OR($O947="",$U947=""),0,IF($O947&lt;=$U947,1,0)))</f>
        <v/>
      </c>
      <c r="X947" s="37" t="str">
        <f aca="false">IF(OR($O947="",$N947=""),"",MAX(0,$O947-$N947))</f>
        <v/>
      </c>
      <c r="Y947" s="36" t="str">
        <f aca="false">IF($F947="","",IF(AND($Q947&lt;&gt;"",$N947&lt;&gt;"",$Q947&lt;&gt;$N947),1,0))</f>
        <v/>
      </c>
      <c r="Z947" s="36" t="str">
        <f aca="false">IF($F947="","",IF($P947="Cancelada",0,IF(OR($O947&lt;&gt;"",$P947="Concluída"),1,0)))</f>
        <v/>
      </c>
    </row>
    <row r="948" customFormat="false" ht="16.5" hidden="false" customHeight="true" outlineLevel="0" collapsed="false">
      <c r="A948" s="36" t="str">
        <f aca="false">IF($F948="","",COUNTA($F$5:$F948))</f>
        <v/>
      </c>
      <c r="B948" s="37" t="str">
        <f aca="true">IF($F948="","",IF($P948="Cancelada","Cancelada",IF(OR($O948&lt;&gt;"",$P948="Concluída"),IF(OR($N948="",$O948="",$O948&lt;=$N948),"Concluída","Concluída com atraso"),IF($N948="","Na carteira",IF($N948&lt;TODAY(),"VENCIDA",IF($P948="Em execução","Em execução",IF($N948=TODAY(),"Hoje","Programada")))))))</f>
        <v/>
      </c>
      <c r="C948" s="38"/>
      <c r="D948" s="38"/>
      <c r="E948" s="38"/>
      <c r="F948" s="38"/>
      <c r="G948" s="39"/>
      <c r="H948" s="39"/>
      <c r="I948" s="40"/>
      <c r="J948" s="40"/>
      <c r="K948" s="40"/>
      <c r="L948" s="41"/>
      <c r="M948" s="42"/>
      <c r="N948" s="43" t="str">
        <f aca="false">IF(OR($L948="",$M948=""),"",$L948+MATCH($M948,Listas!$F$5:$F$11,0)-1)</f>
        <v/>
      </c>
      <c r="O948" s="44"/>
      <c r="P948" s="39"/>
      <c r="Q948" s="44"/>
      <c r="R948" s="38"/>
      <c r="S948" s="38"/>
      <c r="T948" s="36" t="str">
        <f aca="false">IF($F948="","",IF(ISNUMBER(SEARCH("(externo)",$I948&amp;$J948&amp;$K948)),"Terceirizada","Interna"))</f>
        <v/>
      </c>
      <c r="U948" s="43" t="str">
        <f aca="false">IF($N948="","",IF($Q948="",$N948,$Q948))</f>
        <v/>
      </c>
      <c r="V948" s="36" t="str">
        <f aca="false">IF($F948="","",IF(OR($O948="",$N948=""),0,IF($O948&lt;=$N948,1,0)))</f>
        <v/>
      </c>
      <c r="W948" s="36" t="str">
        <f aca="false">IF($F948="","",IF(OR($O948="",$U948=""),0,IF($O948&lt;=$U948,1,0)))</f>
        <v/>
      </c>
      <c r="X948" s="37" t="str">
        <f aca="false">IF(OR($O948="",$N948=""),"",MAX(0,$O948-$N948))</f>
        <v/>
      </c>
      <c r="Y948" s="36" t="str">
        <f aca="false">IF($F948="","",IF(AND($Q948&lt;&gt;"",$N948&lt;&gt;"",$Q948&lt;&gt;$N948),1,0))</f>
        <v/>
      </c>
      <c r="Z948" s="36" t="str">
        <f aca="false">IF($F948="","",IF($P948="Cancelada",0,IF(OR($O948&lt;&gt;"",$P948="Concluída"),1,0)))</f>
        <v/>
      </c>
    </row>
    <row r="949" customFormat="false" ht="16.5" hidden="false" customHeight="true" outlineLevel="0" collapsed="false">
      <c r="A949" s="36" t="str">
        <f aca="false">IF($F949="","",COUNTA($F$5:$F949))</f>
        <v/>
      </c>
      <c r="B949" s="37" t="str">
        <f aca="true">IF($F949="","",IF($P949="Cancelada","Cancelada",IF(OR($O949&lt;&gt;"",$P949="Concluída"),IF(OR($N949="",$O949="",$O949&lt;=$N949),"Concluída","Concluída com atraso"),IF($N949="","Na carteira",IF($N949&lt;TODAY(),"VENCIDA",IF($P949="Em execução","Em execução",IF($N949=TODAY(),"Hoje","Programada")))))))</f>
        <v/>
      </c>
      <c r="C949" s="38"/>
      <c r="D949" s="38"/>
      <c r="E949" s="38"/>
      <c r="F949" s="38"/>
      <c r="G949" s="39"/>
      <c r="H949" s="39"/>
      <c r="I949" s="40"/>
      <c r="J949" s="40"/>
      <c r="K949" s="40"/>
      <c r="L949" s="41"/>
      <c r="M949" s="42"/>
      <c r="N949" s="43" t="str">
        <f aca="false">IF(OR($L949="",$M949=""),"",$L949+MATCH($M949,Listas!$F$5:$F$11,0)-1)</f>
        <v/>
      </c>
      <c r="O949" s="44"/>
      <c r="P949" s="39"/>
      <c r="Q949" s="44"/>
      <c r="R949" s="38"/>
      <c r="S949" s="38"/>
      <c r="T949" s="36" t="str">
        <f aca="false">IF($F949="","",IF(ISNUMBER(SEARCH("(externo)",$I949&amp;$J949&amp;$K949)),"Terceirizada","Interna"))</f>
        <v/>
      </c>
      <c r="U949" s="43" t="str">
        <f aca="false">IF($N949="","",IF($Q949="",$N949,$Q949))</f>
        <v/>
      </c>
      <c r="V949" s="36" t="str">
        <f aca="false">IF($F949="","",IF(OR($O949="",$N949=""),0,IF($O949&lt;=$N949,1,0)))</f>
        <v/>
      </c>
      <c r="W949" s="36" t="str">
        <f aca="false">IF($F949="","",IF(OR($O949="",$U949=""),0,IF($O949&lt;=$U949,1,0)))</f>
        <v/>
      </c>
      <c r="X949" s="37" t="str">
        <f aca="false">IF(OR($O949="",$N949=""),"",MAX(0,$O949-$N949))</f>
        <v/>
      </c>
      <c r="Y949" s="36" t="str">
        <f aca="false">IF($F949="","",IF(AND($Q949&lt;&gt;"",$N949&lt;&gt;"",$Q949&lt;&gt;$N949),1,0))</f>
        <v/>
      </c>
      <c r="Z949" s="36" t="str">
        <f aca="false">IF($F949="","",IF($P949="Cancelada",0,IF(OR($O949&lt;&gt;"",$P949="Concluída"),1,0)))</f>
        <v/>
      </c>
    </row>
    <row r="950" customFormat="false" ht="16.5" hidden="false" customHeight="true" outlineLevel="0" collapsed="false">
      <c r="A950" s="36" t="str">
        <f aca="false">IF($F950="","",COUNTA($F$5:$F950))</f>
        <v/>
      </c>
      <c r="B950" s="37" t="str">
        <f aca="true">IF($F950="","",IF($P950="Cancelada","Cancelada",IF(OR($O950&lt;&gt;"",$P950="Concluída"),IF(OR($N950="",$O950="",$O950&lt;=$N950),"Concluída","Concluída com atraso"),IF($N950="","Na carteira",IF($N950&lt;TODAY(),"VENCIDA",IF($P950="Em execução","Em execução",IF($N950=TODAY(),"Hoje","Programada")))))))</f>
        <v/>
      </c>
      <c r="C950" s="38"/>
      <c r="D950" s="38"/>
      <c r="E950" s="38"/>
      <c r="F950" s="38"/>
      <c r="G950" s="39"/>
      <c r="H950" s="39"/>
      <c r="I950" s="40"/>
      <c r="J950" s="40"/>
      <c r="K950" s="40"/>
      <c r="L950" s="41"/>
      <c r="M950" s="42"/>
      <c r="N950" s="43" t="str">
        <f aca="false">IF(OR($L950="",$M950=""),"",$L950+MATCH($M950,Listas!$F$5:$F$11,0)-1)</f>
        <v/>
      </c>
      <c r="O950" s="44"/>
      <c r="P950" s="39"/>
      <c r="Q950" s="44"/>
      <c r="R950" s="38"/>
      <c r="S950" s="38"/>
      <c r="T950" s="36" t="str">
        <f aca="false">IF($F950="","",IF(ISNUMBER(SEARCH("(externo)",$I950&amp;$J950&amp;$K950)),"Terceirizada","Interna"))</f>
        <v/>
      </c>
      <c r="U950" s="43" t="str">
        <f aca="false">IF($N950="","",IF($Q950="",$N950,$Q950))</f>
        <v/>
      </c>
      <c r="V950" s="36" t="str">
        <f aca="false">IF($F950="","",IF(OR($O950="",$N950=""),0,IF($O950&lt;=$N950,1,0)))</f>
        <v/>
      </c>
      <c r="W950" s="36" t="str">
        <f aca="false">IF($F950="","",IF(OR($O950="",$U950=""),0,IF($O950&lt;=$U950,1,0)))</f>
        <v/>
      </c>
      <c r="X950" s="37" t="str">
        <f aca="false">IF(OR($O950="",$N950=""),"",MAX(0,$O950-$N950))</f>
        <v/>
      </c>
      <c r="Y950" s="36" t="str">
        <f aca="false">IF($F950="","",IF(AND($Q950&lt;&gt;"",$N950&lt;&gt;"",$Q950&lt;&gt;$N950),1,0))</f>
        <v/>
      </c>
      <c r="Z950" s="36" t="str">
        <f aca="false">IF($F950="","",IF($P950="Cancelada",0,IF(OR($O950&lt;&gt;"",$P950="Concluída"),1,0)))</f>
        <v/>
      </c>
    </row>
    <row r="951" customFormat="false" ht="16.5" hidden="false" customHeight="true" outlineLevel="0" collapsed="false">
      <c r="A951" s="36" t="str">
        <f aca="false">IF($F951="","",COUNTA($F$5:$F951))</f>
        <v/>
      </c>
      <c r="B951" s="37" t="str">
        <f aca="true">IF($F951="","",IF($P951="Cancelada","Cancelada",IF(OR($O951&lt;&gt;"",$P951="Concluída"),IF(OR($N951="",$O951="",$O951&lt;=$N951),"Concluída","Concluída com atraso"),IF($N951="","Na carteira",IF($N951&lt;TODAY(),"VENCIDA",IF($P951="Em execução","Em execução",IF($N951=TODAY(),"Hoje","Programada")))))))</f>
        <v/>
      </c>
      <c r="C951" s="38"/>
      <c r="D951" s="38"/>
      <c r="E951" s="38"/>
      <c r="F951" s="38"/>
      <c r="G951" s="39"/>
      <c r="H951" s="39"/>
      <c r="I951" s="40"/>
      <c r="J951" s="40"/>
      <c r="K951" s="40"/>
      <c r="L951" s="41"/>
      <c r="M951" s="42"/>
      <c r="N951" s="43" t="str">
        <f aca="false">IF(OR($L951="",$M951=""),"",$L951+MATCH($M951,Listas!$F$5:$F$11,0)-1)</f>
        <v/>
      </c>
      <c r="O951" s="44"/>
      <c r="P951" s="39"/>
      <c r="Q951" s="44"/>
      <c r="R951" s="38"/>
      <c r="S951" s="38"/>
      <c r="T951" s="36" t="str">
        <f aca="false">IF($F951="","",IF(ISNUMBER(SEARCH("(externo)",$I951&amp;$J951&amp;$K951)),"Terceirizada","Interna"))</f>
        <v/>
      </c>
      <c r="U951" s="43" t="str">
        <f aca="false">IF($N951="","",IF($Q951="",$N951,$Q951))</f>
        <v/>
      </c>
      <c r="V951" s="36" t="str">
        <f aca="false">IF($F951="","",IF(OR($O951="",$N951=""),0,IF($O951&lt;=$N951,1,0)))</f>
        <v/>
      </c>
      <c r="W951" s="36" t="str">
        <f aca="false">IF($F951="","",IF(OR($O951="",$U951=""),0,IF($O951&lt;=$U951,1,0)))</f>
        <v/>
      </c>
      <c r="X951" s="37" t="str">
        <f aca="false">IF(OR($O951="",$N951=""),"",MAX(0,$O951-$N951))</f>
        <v/>
      </c>
      <c r="Y951" s="36" t="str">
        <f aca="false">IF($F951="","",IF(AND($Q951&lt;&gt;"",$N951&lt;&gt;"",$Q951&lt;&gt;$N951),1,0))</f>
        <v/>
      </c>
      <c r="Z951" s="36" t="str">
        <f aca="false">IF($F951="","",IF($P951="Cancelada",0,IF(OR($O951&lt;&gt;"",$P951="Concluída"),1,0)))</f>
        <v/>
      </c>
    </row>
    <row r="952" customFormat="false" ht="16.5" hidden="false" customHeight="true" outlineLevel="0" collapsed="false">
      <c r="A952" s="36" t="str">
        <f aca="false">IF($F952="","",COUNTA($F$5:$F952))</f>
        <v/>
      </c>
      <c r="B952" s="37" t="str">
        <f aca="true">IF($F952="","",IF($P952="Cancelada","Cancelada",IF(OR($O952&lt;&gt;"",$P952="Concluída"),IF(OR($N952="",$O952="",$O952&lt;=$N952),"Concluída","Concluída com atraso"),IF($N952="","Na carteira",IF($N952&lt;TODAY(),"VENCIDA",IF($P952="Em execução","Em execução",IF($N952=TODAY(),"Hoje","Programada")))))))</f>
        <v/>
      </c>
      <c r="C952" s="38"/>
      <c r="D952" s="38"/>
      <c r="E952" s="38"/>
      <c r="F952" s="38"/>
      <c r="G952" s="39"/>
      <c r="H952" s="39"/>
      <c r="I952" s="40"/>
      <c r="J952" s="40"/>
      <c r="K952" s="40"/>
      <c r="L952" s="41"/>
      <c r="M952" s="42"/>
      <c r="N952" s="43" t="str">
        <f aca="false">IF(OR($L952="",$M952=""),"",$L952+MATCH($M952,Listas!$F$5:$F$11,0)-1)</f>
        <v/>
      </c>
      <c r="O952" s="44"/>
      <c r="P952" s="39"/>
      <c r="Q952" s="44"/>
      <c r="R952" s="38"/>
      <c r="S952" s="38"/>
      <c r="T952" s="36" t="str">
        <f aca="false">IF($F952="","",IF(ISNUMBER(SEARCH("(externo)",$I952&amp;$J952&amp;$K952)),"Terceirizada","Interna"))</f>
        <v/>
      </c>
      <c r="U952" s="43" t="str">
        <f aca="false">IF($N952="","",IF($Q952="",$N952,$Q952))</f>
        <v/>
      </c>
      <c r="V952" s="36" t="str">
        <f aca="false">IF($F952="","",IF(OR($O952="",$N952=""),0,IF($O952&lt;=$N952,1,0)))</f>
        <v/>
      </c>
      <c r="W952" s="36" t="str">
        <f aca="false">IF($F952="","",IF(OR($O952="",$U952=""),0,IF($O952&lt;=$U952,1,0)))</f>
        <v/>
      </c>
      <c r="X952" s="37" t="str">
        <f aca="false">IF(OR($O952="",$N952=""),"",MAX(0,$O952-$N952))</f>
        <v/>
      </c>
      <c r="Y952" s="36" t="str">
        <f aca="false">IF($F952="","",IF(AND($Q952&lt;&gt;"",$N952&lt;&gt;"",$Q952&lt;&gt;$N952),1,0))</f>
        <v/>
      </c>
      <c r="Z952" s="36" t="str">
        <f aca="false">IF($F952="","",IF($P952="Cancelada",0,IF(OR($O952&lt;&gt;"",$P952="Concluída"),1,0)))</f>
        <v/>
      </c>
    </row>
    <row r="953" customFormat="false" ht="16.5" hidden="false" customHeight="true" outlineLevel="0" collapsed="false">
      <c r="A953" s="36" t="str">
        <f aca="false">IF($F953="","",COUNTA($F$5:$F953))</f>
        <v/>
      </c>
      <c r="B953" s="37" t="str">
        <f aca="true">IF($F953="","",IF($P953="Cancelada","Cancelada",IF(OR($O953&lt;&gt;"",$P953="Concluída"),IF(OR($N953="",$O953="",$O953&lt;=$N953),"Concluída","Concluída com atraso"),IF($N953="","Na carteira",IF($N953&lt;TODAY(),"VENCIDA",IF($P953="Em execução","Em execução",IF($N953=TODAY(),"Hoje","Programada")))))))</f>
        <v/>
      </c>
      <c r="C953" s="38"/>
      <c r="D953" s="38"/>
      <c r="E953" s="38"/>
      <c r="F953" s="38"/>
      <c r="G953" s="39"/>
      <c r="H953" s="39"/>
      <c r="I953" s="40"/>
      <c r="J953" s="40"/>
      <c r="K953" s="40"/>
      <c r="L953" s="41"/>
      <c r="M953" s="42"/>
      <c r="N953" s="43" t="str">
        <f aca="false">IF(OR($L953="",$M953=""),"",$L953+MATCH($M953,Listas!$F$5:$F$11,0)-1)</f>
        <v/>
      </c>
      <c r="O953" s="44"/>
      <c r="P953" s="39"/>
      <c r="Q953" s="44"/>
      <c r="R953" s="38"/>
      <c r="S953" s="38"/>
      <c r="T953" s="36" t="str">
        <f aca="false">IF($F953="","",IF(ISNUMBER(SEARCH("(externo)",$I953&amp;$J953&amp;$K953)),"Terceirizada","Interna"))</f>
        <v/>
      </c>
      <c r="U953" s="43" t="str">
        <f aca="false">IF($N953="","",IF($Q953="",$N953,$Q953))</f>
        <v/>
      </c>
      <c r="V953" s="36" t="str">
        <f aca="false">IF($F953="","",IF(OR($O953="",$N953=""),0,IF($O953&lt;=$N953,1,0)))</f>
        <v/>
      </c>
      <c r="W953" s="36" t="str">
        <f aca="false">IF($F953="","",IF(OR($O953="",$U953=""),0,IF($O953&lt;=$U953,1,0)))</f>
        <v/>
      </c>
      <c r="X953" s="37" t="str">
        <f aca="false">IF(OR($O953="",$N953=""),"",MAX(0,$O953-$N953))</f>
        <v/>
      </c>
      <c r="Y953" s="36" t="str">
        <f aca="false">IF($F953="","",IF(AND($Q953&lt;&gt;"",$N953&lt;&gt;"",$Q953&lt;&gt;$N953),1,0))</f>
        <v/>
      </c>
      <c r="Z953" s="36" t="str">
        <f aca="false">IF($F953="","",IF($P953="Cancelada",0,IF(OR($O953&lt;&gt;"",$P953="Concluída"),1,0)))</f>
        <v/>
      </c>
    </row>
    <row r="954" customFormat="false" ht="16.5" hidden="false" customHeight="true" outlineLevel="0" collapsed="false">
      <c r="A954" s="36" t="str">
        <f aca="false">IF($F954="","",COUNTA($F$5:$F954))</f>
        <v/>
      </c>
      <c r="B954" s="37" t="str">
        <f aca="true">IF($F954="","",IF($P954="Cancelada","Cancelada",IF(OR($O954&lt;&gt;"",$P954="Concluída"),IF(OR($N954="",$O954="",$O954&lt;=$N954),"Concluída","Concluída com atraso"),IF($N954="","Na carteira",IF($N954&lt;TODAY(),"VENCIDA",IF($P954="Em execução","Em execução",IF($N954=TODAY(),"Hoje","Programada")))))))</f>
        <v/>
      </c>
      <c r="C954" s="38"/>
      <c r="D954" s="38"/>
      <c r="E954" s="38"/>
      <c r="F954" s="38"/>
      <c r="G954" s="39"/>
      <c r="H954" s="39"/>
      <c r="I954" s="40"/>
      <c r="J954" s="40"/>
      <c r="K954" s="40"/>
      <c r="L954" s="41"/>
      <c r="M954" s="42"/>
      <c r="N954" s="43" t="str">
        <f aca="false">IF(OR($L954="",$M954=""),"",$L954+MATCH($M954,Listas!$F$5:$F$11,0)-1)</f>
        <v/>
      </c>
      <c r="O954" s="44"/>
      <c r="P954" s="39"/>
      <c r="Q954" s="44"/>
      <c r="R954" s="38"/>
      <c r="S954" s="38"/>
      <c r="T954" s="36" t="str">
        <f aca="false">IF($F954="","",IF(ISNUMBER(SEARCH("(externo)",$I954&amp;$J954&amp;$K954)),"Terceirizada","Interna"))</f>
        <v/>
      </c>
      <c r="U954" s="43" t="str">
        <f aca="false">IF($N954="","",IF($Q954="",$N954,$Q954))</f>
        <v/>
      </c>
      <c r="V954" s="36" t="str">
        <f aca="false">IF($F954="","",IF(OR($O954="",$N954=""),0,IF($O954&lt;=$N954,1,0)))</f>
        <v/>
      </c>
      <c r="W954" s="36" t="str">
        <f aca="false">IF($F954="","",IF(OR($O954="",$U954=""),0,IF($O954&lt;=$U954,1,0)))</f>
        <v/>
      </c>
      <c r="X954" s="37" t="str">
        <f aca="false">IF(OR($O954="",$N954=""),"",MAX(0,$O954-$N954))</f>
        <v/>
      </c>
      <c r="Y954" s="36" t="str">
        <f aca="false">IF($F954="","",IF(AND($Q954&lt;&gt;"",$N954&lt;&gt;"",$Q954&lt;&gt;$N954),1,0))</f>
        <v/>
      </c>
      <c r="Z954" s="36" t="str">
        <f aca="false">IF($F954="","",IF($P954="Cancelada",0,IF(OR($O954&lt;&gt;"",$P954="Concluída"),1,0)))</f>
        <v/>
      </c>
    </row>
    <row r="955" customFormat="false" ht="16.5" hidden="false" customHeight="true" outlineLevel="0" collapsed="false">
      <c r="A955" s="36" t="str">
        <f aca="false">IF($F955="","",COUNTA($F$5:$F955))</f>
        <v/>
      </c>
      <c r="B955" s="37" t="str">
        <f aca="true">IF($F955="","",IF($P955="Cancelada","Cancelada",IF(OR($O955&lt;&gt;"",$P955="Concluída"),IF(OR($N955="",$O955="",$O955&lt;=$N955),"Concluída","Concluída com atraso"),IF($N955="","Na carteira",IF($N955&lt;TODAY(),"VENCIDA",IF($P955="Em execução","Em execução",IF($N955=TODAY(),"Hoje","Programada")))))))</f>
        <v/>
      </c>
      <c r="C955" s="38"/>
      <c r="D955" s="38"/>
      <c r="E955" s="38"/>
      <c r="F955" s="38"/>
      <c r="G955" s="39"/>
      <c r="H955" s="39"/>
      <c r="I955" s="40"/>
      <c r="J955" s="40"/>
      <c r="K955" s="40"/>
      <c r="L955" s="41"/>
      <c r="M955" s="42"/>
      <c r="N955" s="43" t="str">
        <f aca="false">IF(OR($L955="",$M955=""),"",$L955+MATCH($M955,Listas!$F$5:$F$11,0)-1)</f>
        <v/>
      </c>
      <c r="O955" s="44"/>
      <c r="P955" s="39"/>
      <c r="Q955" s="44"/>
      <c r="R955" s="38"/>
      <c r="S955" s="38"/>
      <c r="T955" s="36" t="str">
        <f aca="false">IF($F955="","",IF(ISNUMBER(SEARCH("(externo)",$I955&amp;$J955&amp;$K955)),"Terceirizada","Interna"))</f>
        <v/>
      </c>
      <c r="U955" s="43" t="str">
        <f aca="false">IF($N955="","",IF($Q955="",$N955,$Q955))</f>
        <v/>
      </c>
      <c r="V955" s="36" t="str">
        <f aca="false">IF($F955="","",IF(OR($O955="",$N955=""),0,IF($O955&lt;=$N955,1,0)))</f>
        <v/>
      </c>
      <c r="W955" s="36" t="str">
        <f aca="false">IF($F955="","",IF(OR($O955="",$U955=""),0,IF($O955&lt;=$U955,1,0)))</f>
        <v/>
      </c>
      <c r="X955" s="37" t="str">
        <f aca="false">IF(OR($O955="",$N955=""),"",MAX(0,$O955-$N955))</f>
        <v/>
      </c>
      <c r="Y955" s="36" t="str">
        <f aca="false">IF($F955="","",IF(AND($Q955&lt;&gt;"",$N955&lt;&gt;"",$Q955&lt;&gt;$N955),1,0))</f>
        <v/>
      </c>
      <c r="Z955" s="36" t="str">
        <f aca="false">IF($F955="","",IF($P955="Cancelada",0,IF(OR($O955&lt;&gt;"",$P955="Concluída"),1,0)))</f>
        <v/>
      </c>
    </row>
    <row r="956" customFormat="false" ht="16.5" hidden="false" customHeight="true" outlineLevel="0" collapsed="false">
      <c r="A956" s="36" t="str">
        <f aca="false">IF($F956="","",COUNTA($F$5:$F956))</f>
        <v/>
      </c>
      <c r="B956" s="37" t="str">
        <f aca="true">IF($F956="","",IF($P956="Cancelada","Cancelada",IF(OR($O956&lt;&gt;"",$P956="Concluída"),IF(OR($N956="",$O956="",$O956&lt;=$N956),"Concluída","Concluída com atraso"),IF($N956="","Na carteira",IF($N956&lt;TODAY(),"VENCIDA",IF($P956="Em execução","Em execução",IF($N956=TODAY(),"Hoje","Programada")))))))</f>
        <v/>
      </c>
      <c r="C956" s="38"/>
      <c r="D956" s="38"/>
      <c r="E956" s="38"/>
      <c r="F956" s="38"/>
      <c r="G956" s="39"/>
      <c r="H956" s="39"/>
      <c r="I956" s="40"/>
      <c r="J956" s="40"/>
      <c r="K956" s="40"/>
      <c r="L956" s="41"/>
      <c r="M956" s="42"/>
      <c r="N956" s="43" t="str">
        <f aca="false">IF(OR($L956="",$M956=""),"",$L956+MATCH($M956,Listas!$F$5:$F$11,0)-1)</f>
        <v/>
      </c>
      <c r="O956" s="44"/>
      <c r="P956" s="39"/>
      <c r="Q956" s="44"/>
      <c r="R956" s="38"/>
      <c r="S956" s="38"/>
      <c r="T956" s="36" t="str">
        <f aca="false">IF($F956="","",IF(ISNUMBER(SEARCH("(externo)",$I956&amp;$J956&amp;$K956)),"Terceirizada","Interna"))</f>
        <v/>
      </c>
      <c r="U956" s="43" t="str">
        <f aca="false">IF($N956="","",IF($Q956="",$N956,$Q956))</f>
        <v/>
      </c>
      <c r="V956" s="36" t="str">
        <f aca="false">IF($F956="","",IF(OR($O956="",$N956=""),0,IF($O956&lt;=$N956,1,0)))</f>
        <v/>
      </c>
      <c r="W956" s="36" t="str">
        <f aca="false">IF($F956="","",IF(OR($O956="",$U956=""),0,IF($O956&lt;=$U956,1,0)))</f>
        <v/>
      </c>
      <c r="X956" s="37" t="str">
        <f aca="false">IF(OR($O956="",$N956=""),"",MAX(0,$O956-$N956))</f>
        <v/>
      </c>
      <c r="Y956" s="36" t="str">
        <f aca="false">IF($F956="","",IF(AND($Q956&lt;&gt;"",$N956&lt;&gt;"",$Q956&lt;&gt;$N956),1,0))</f>
        <v/>
      </c>
      <c r="Z956" s="36" t="str">
        <f aca="false">IF($F956="","",IF($P956="Cancelada",0,IF(OR($O956&lt;&gt;"",$P956="Concluída"),1,0)))</f>
        <v/>
      </c>
    </row>
    <row r="957" customFormat="false" ht="16.5" hidden="false" customHeight="true" outlineLevel="0" collapsed="false">
      <c r="A957" s="36" t="str">
        <f aca="false">IF($F957="","",COUNTA($F$5:$F957))</f>
        <v/>
      </c>
      <c r="B957" s="37" t="str">
        <f aca="true">IF($F957="","",IF($P957="Cancelada","Cancelada",IF(OR($O957&lt;&gt;"",$P957="Concluída"),IF(OR($N957="",$O957="",$O957&lt;=$N957),"Concluída","Concluída com atraso"),IF($N957="","Na carteira",IF($N957&lt;TODAY(),"VENCIDA",IF($P957="Em execução","Em execução",IF($N957=TODAY(),"Hoje","Programada")))))))</f>
        <v/>
      </c>
      <c r="C957" s="38"/>
      <c r="D957" s="38"/>
      <c r="E957" s="38"/>
      <c r="F957" s="38"/>
      <c r="G957" s="39"/>
      <c r="H957" s="39"/>
      <c r="I957" s="40"/>
      <c r="J957" s="40"/>
      <c r="K957" s="40"/>
      <c r="L957" s="41"/>
      <c r="M957" s="42"/>
      <c r="N957" s="43" t="str">
        <f aca="false">IF(OR($L957="",$M957=""),"",$L957+MATCH($M957,Listas!$F$5:$F$11,0)-1)</f>
        <v/>
      </c>
      <c r="O957" s="44"/>
      <c r="P957" s="39"/>
      <c r="Q957" s="44"/>
      <c r="R957" s="38"/>
      <c r="S957" s="38"/>
      <c r="T957" s="36" t="str">
        <f aca="false">IF($F957="","",IF(ISNUMBER(SEARCH("(externo)",$I957&amp;$J957&amp;$K957)),"Terceirizada","Interna"))</f>
        <v/>
      </c>
      <c r="U957" s="43" t="str">
        <f aca="false">IF($N957="","",IF($Q957="",$N957,$Q957))</f>
        <v/>
      </c>
      <c r="V957" s="36" t="str">
        <f aca="false">IF($F957="","",IF(OR($O957="",$N957=""),0,IF($O957&lt;=$N957,1,0)))</f>
        <v/>
      </c>
      <c r="W957" s="36" t="str">
        <f aca="false">IF($F957="","",IF(OR($O957="",$U957=""),0,IF($O957&lt;=$U957,1,0)))</f>
        <v/>
      </c>
      <c r="X957" s="37" t="str">
        <f aca="false">IF(OR($O957="",$N957=""),"",MAX(0,$O957-$N957))</f>
        <v/>
      </c>
      <c r="Y957" s="36" t="str">
        <f aca="false">IF($F957="","",IF(AND($Q957&lt;&gt;"",$N957&lt;&gt;"",$Q957&lt;&gt;$N957),1,0))</f>
        <v/>
      </c>
      <c r="Z957" s="36" t="str">
        <f aca="false">IF($F957="","",IF($P957="Cancelada",0,IF(OR($O957&lt;&gt;"",$P957="Concluída"),1,0)))</f>
        <v/>
      </c>
    </row>
    <row r="958" customFormat="false" ht="16.5" hidden="false" customHeight="true" outlineLevel="0" collapsed="false">
      <c r="A958" s="36" t="str">
        <f aca="false">IF($F958="","",COUNTA($F$5:$F958))</f>
        <v/>
      </c>
      <c r="B958" s="37" t="str">
        <f aca="true">IF($F958="","",IF($P958="Cancelada","Cancelada",IF(OR($O958&lt;&gt;"",$P958="Concluída"),IF(OR($N958="",$O958="",$O958&lt;=$N958),"Concluída","Concluída com atraso"),IF($N958="","Na carteira",IF($N958&lt;TODAY(),"VENCIDA",IF($P958="Em execução","Em execução",IF($N958=TODAY(),"Hoje","Programada")))))))</f>
        <v/>
      </c>
      <c r="C958" s="38"/>
      <c r="D958" s="38"/>
      <c r="E958" s="38"/>
      <c r="F958" s="38"/>
      <c r="G958" s="39"/>
      <c r="H958" s="39"/>
      <c r="I958" s="40"/>
      <c r="J958" s="40"/>
      <c r="K958" s="40"/>
      <c r="L958" s="41"/>
      <c r="M958" s="42"/>
      <c r="N958" s="43" t="str">
        <f aca="false">IF(OR($L958="",$M958=""),"",$L958+MATCH($M958,Listas!$F$5:$F$11,0)-1)</f>
        <v/>
      </c>
      <c r="O958" s="44"/>
      <c r="P958" s="39"/>
      <c r="Q958" s="44"/>
      <c r="R958" s="38"/>
      <c r="S958" s="38"/>
      <c r="T958" s="36" t="str">
        <f aca="false">IF($F958="","",IF(ISNUMBER(SEARCH("(externo)",$I958&amp;$J958&amp;$K958)),"Terceirizada","Interna"))</f>
        <v/>
      </c>
      <c r="U958" s="43" t="str">
        <f aca="false">IF($N958="","",IF($Q958="",$N958,$Q958))</f>
        <v/>
      </c>
      <c r="V958" s="36" t="str">
        <f aca="false">IF($F958="","",IF(OR($O958="",$N958=""),0,IF($O958&lt;=$N958,1,0)))</f>
        <v/>
      </c>
      <c r="W958" s="36" t="str">
        <f aca="false">IF($F958="","",IF(OR($O958="",$U958=""),0,IF($O958&lt;=$U958,1,0)))</f>
        <v/>
      </c>
      <c r="X958" s="37" t="str">
        <f aca="false">IF(OR($O958="",$N958=""),"",MAX(0,$O958-$N958))</f>
        <v/>
      </c>
      <c r="Y958" s="36" t="str">
        <f aca="false">IF($F958="","",IF(AND($Q958&lt;&gt;"",$N958&lt;&gt;"",$Q958&lt;&gt;$N958),1,0))</f>
        <v/>
      </c>
      <c r="Z958" s="36" t="str">
        <f aca="false">IF($F958="","",IF($P958="Cancelada",0,IF(OR($O958&lt;&gt;"",$P958="Concluída"),1,0)))</f>
        <v/>
      </c>
    </row>
    <row r="959" customFormat="false" ht="16.5" hidden="false" customHeight="true" outlineLevel="0" collapsed="false">
      <c r="A959" s="36" t="str">
        <f aca="false">IF($F959="","",COUNTA($F$5:$F959))</f>
        <v/>
      </c>
      <c r="B959" s="37" t="str">
        <f aca="true">IF($F959="","",IF($P959="Cancelada","Cancelada",IF(OR($O959&lt;&gt;"",$P959="Concluída"),IF(OR($N959="",$O959="",$O959&lt;=$N959),"Concluída","Concluída com atraso"),IF($N959="","Na carteira",IF($N959&lt;TODAY(),"VENCIDA",IF($P959="Em execução","Em execução",IF($N959=TODAY(),"Hoje","Programada")))))))</f>
        <v/>
      </c>
      <c r="C959" s="38"/>
      <c r="D959" s="38"/>
      <c r="E959" s="38"/>
      <c r="F959" s="38"/>
      <c r="G959" s="39"/>
      <c r="H959" s="39"/>
      <c r="I959" s="40"/>
      <c r="J959" s="40"/>
      <c r="K959" s="40"/>
      <c r="L959" s="41"/>
      <c r="M959" s="42"/>
      <c r="N959" s="43" t="str">
        <f aca="false">IF(OR($L959="",$M959=""),"",$L959+MATCH($M959,Listas!$F$5:$F$11,0)-1)</f>
        <v/>
      </c>
      <c r="O959" s="44"/>
      <c r="P959" s="39"/>
      <c r="Q959" s="44"/>
      <c r="R959" s="38"/>
      <c r="S959" s="38"/>
      <c r="T959" s="36" t="str">
        <f aca="false">IF($F959="","",IF(ISNUMBER(SEARCH("(externo)",$I959&amp;$J959&amp;$K959)),"Terceirizada","Interna"))</f>
        <v/>
      </c>
      <c r="U959" s="43" t="str">
        <f aca="false">IF($N959="","",IF($Q959="",$N959,$Q959))</f>
        <v/>
      </c>
      <c r="V959" s="36" t="str">
        <f aca="false">IF($F959="","",IF(OR($O959="",$N959=""),0,IF($O959&lt;=$N959,1,0)))</f>
        <v/>
      </c>
      <c r="W959" s="36" t="str">
        <f aca="false">IF($F959="","",IF(OR($O959="",$U959=""),0,IF($O959&lt;=$U959,1,0)))</f>
        <v/>
      </c>
      <c r="X959" s="37" t="str">
        <f aca="false">IF(OR($O959="",$N959=""),"",MAX(0,$O959-$N959))</f>
        <v/>
      </c>
      <c r="Y959" s="36" t="str">
        <f aca="false">IF($F959="","",IF(AND($Q959&lt;&gt;"",$N959&lt;&gt;"",$Q959&lt;&gt;$N959),1,0))</f>
        <v/>
      </c>
      <c r="Z959" s="36" t="str">
        <f aca="false">IF($F959="","",IF($P959="Cancelada",0,IF(OR($O959&lt;&gt;"",$P959="Concluída"),1,0)))</f>
        <v/>
      </c>
    </row>
    <row r="960" customFormat="false" ht="16.5" hidden="false" customHeight="true" outlineLevel="0" collapsed="false">
      <c r="A960" s="36" t="str">
        <f aca="false">IF($F960="","",COUNTA($F$5:$F960))</f>
        <v/>
      </c>
      <c r="B960" s="37" t="str">
        <f aca="true">IF($F960="","",IF($P960="Cancelada","Cancelada",IF(OR($O960&lt;&gt;"",$P960="Concluída"),IF(OR($N960="",$O960="",$O960&lt;=$N960),"Concluída","Concluída com atraso"),IF($N960="","Na carteira",IF($N960&lt;TODAY(),"VENCIDA",IF($P960="Em execução","Em execução",IF($N960=TODAY(),"Hoje","Programada")))))))</f>
        <v/>
      </c>
      <c r="C960" s="38"/>
      <c r="D960" s="38"/>
      <c r="E960" s="38"/>
      <c r="F960" s="38"/>
      <c r="G960" s="39"/>
      <c r="H960" s="39"/>
      <c r="I960" s="40"/>
      <c r="J960" s="40"/>
      <c r="K960" s="40"/>
      <c r="L960" s="41"/>
      <c r="M960" s="42"/>
      <c r="N960" s="43" t="str">
        <f aca="false">IF(OR($L960="",$M960=""),"",$L960+MATCH($M960,Listas!$F$5:$F$11,0)-1)</f>
        <v/>
      </c>
      <c r="O960" s="44"/>
      <c r="P960" s="39"/>
      <c r="Q960" s="44"/>
      <c r="R960" s="38"/>
      <c r="S960" s="38"/>
      <c r="T960" s="36" t="str">
        <f aca="false">IF($F960="","",IF(ISNUMBER(SEARCH("(externo)",$I960&amp;$J960&amp;$K960)),"Terceirizada","Interna"))</f>
        <v/>
      </c>
      <c r="U960" s="43" t="str">
        <f aca="false">IF($N960="","",IF($Q960="",$N960,$Q960))</f>
        <v/>
      </c>
      <c r="V960" s="36" t="str">
        <f aca="false">IF($F960="","",IF(OR($O960="",$N960=""),0,IF($O960&lt;=$N960,1,0)))</f>
        <v/>
      </c>
      <c r="W960" s="36" t="str">
        <f aca="false">IF($F960="","",IF(OR($O960="",$U960=""),0,IF($O960&lt;=$U960,1,0)))</f>
        <v/>
      </c>
      <c r="X960" s="37" t="str">
        <f aca="false">IF(OR($O960="",$N960=""),"",MAX(0,$O960-$N960))</f>
        <v/>
      </c>
      <c r="Y960" s="36" t="str">
        <f aca="false">IF($F960="","",IF(AND($Q960&lt;&gt;"",$N960&lt;&gt;"",$Q960&lt;&gt;$N960),1,0))</f>
        <v/>
      </c>
      <c r="Z960" s="36" t="str">
        <f aca="false">IF($F960="","",IF($P960="Cancelada",0,IF(OR($O960&lt;&gt;"",$P960="Concluída"),1,0)))</f>
        <v/>
      </c>
    </row>
    <row r="961" customFormat="false" ht="16.5" hidden="false" customHeight="true" outlineLevel="0" collapsed="false">
      <c r="A961" s="36" t="str">
        <f aca="false">IF($F961="","",COUNTA($F$5:$F961))</f>
        <v/>
      </c>
      <c r="B961" s="37" t="str">
        <f aca="true">IF($F961="","",IF($P961="Cancelada","Cancelada",IF(OR($O961&lt;&gt;"",$P961="Concluída"),IF(OR($N961="",$O961="",$O961&lt;=$N961),"Concluída","Concluída com atraso"),IF($N961="","Na carteira",IF($N961&lt;TODAY(),"VENCIDA",IF($P961="Em execução","Em execução",IF($N961=TODAY(),"Hoje","Programada")))))))</f>
        <v/>
      </c>
      <c r="C961" s="38"/>
      <c r="D961" s="38"/>
      <c r="E961" s="38"/>
      <c r="F961" s="38"/>
      <c r="G961" s="39"/>
      <c r="H961" s="39"/>
      <c r="I961" s="40"/>
      <c r="J961" s="40"/>
      <c r="K961" s="40"/>
      <c r="L961" s="41"/>
      <c r="M961" s="42"/>
      <c r="N961" s="43" t="str">
        <f aca="false">IF(OR($L961="",$M961=""),"",$L961+MATCH($M961,Listas!$F$5:$F$11,0)-1)</f>
        <v/>
      </c>
      <c r="O961" s="44"/>
      <c r="P961" s="39"/>
      <c r="Q961" s="44"/>
      <c r="R961" s="38"/>
      <c r="S961" s="38"/>
      <c r="T961" s="36" t="str">
        <f aca="false">IF($F961="","",IF(ISNUMBER(SEARCH("(externo)",$I961&amp;$J961&amp;$K961)),"Terceirizada","Interna"))</f>
        <v/>
      </c>
      <c r="U961" s="43" t="str">
        <f aca="false">IF($N961="","",IF($Q961="",$N961,$Q961))</f>
        <v/>
      </c>
      <c r="V961" s="36" t="str">
        <f aca="false">IF($F961="","",IF(OR($O961="",$N961=""),0,IF($O961&lt;=$N961,1,0)))</f>
        <v/>
      </c>
      <c r="W961" s="36" t="str">
        <f aca="false">IF($F961="","",IF(OR($O961="",$U961=""),0,IF($O961&lt;=$U961,1,0)))</f>
        <v/>
      </c>
      <c r="X961" s="37" t="str">
        <f aca="false">IF(OR($O961="",$N961=""),"",MAX(0,$O961-$N961))</f>
        <v/>
      </c>
      <c r="Y961" s="36" t="str">
        <f aca="false">IF($F961="","",IF(AND($Q961&lt;&gt;"",$N961&lt;&gt;"",$Q961&lt;&gt;$N961),1,0))</f>
        <v/>
      </c>
      <c r="Z961" s="36" t="str">
        <f aca="false">IF($F961="","",IF($P961="Cancelada",0,IF(OR($O961&lt;&gt;"",$P961="Concluída"),1,0)))</f>
        <v/>
      </c>
    </row>
    <row r="962" customFormat="false" ht="16.5" hidden="false" customHeight="true" outlineLevel="0" collapsed="false">
      <c r="A962" s="36" t="str">
        <f aca="false">IF($F962="","",COUNTA($F$5:$F962))</f>
        <v/>
      </c>
      <c r="B962" s="37" t="str">
        <f aca="true">IF($F962="","",IF($P962="Cancelada","Cancelada",IF(OR($O962&lt;&gt;"",$P962="Concluída"),IF(OR($N962="",$O962="",$O962&lt;=$N962),"Concluída","Concluída com atraso"),IF($N962="","Na carteira",IF($N962&lt;TODAY(),"VENCIDA",IF($P962="Em execução","Em execução",IF($N962=TODAY(),"Hoje","Programada")))))))</f>
        <v/>
      </c>
      <c r="C962" s="38"/>
      <c r="D962" s="38"/>
      <c r="E962" s="38"/>
      <c r="F962" s="38"/>
      <c r="G962" s="39"/>
      <c r="H962" s="39"/>
      <c r="I962" s="40"/>
      <c r="J962" s="40"/>
      <c r="K962" s="40"/>
      <c r="L962" s="41"/>
      <c r="M962" s="42"/>
      <c r="N962" s="43" t="str">
        <f aca="false">IF(OR($L962="",$M962=""),"",$L962+MATCH($M962,Listas!$F$5:$F$11,0)-1)</f>
        <v/>
      </c>
      <c r="O962" s="44"/>
      <c r="P962" s="39"/>
      <c r="Q962" s="44"/>
      <c r="R962" s="38"/>
      <c r="S962" s="38"/>
      <c r="T962" s="36" t="str">
        <f aca="false">IF($F962="","",IF(ISNUMBER(SEARCH("(externo)",$I962&amp;$J962&amp;$K962)),"Terceirizada","Interna"))</f>
        <v/>
      </c>
      <c r="U962" s="43" t="str">
        <f aca="false">IF($N962="","",IF($Q962="",$N962,$Q962))</f>
        <v/>
      </c>
      <c r="V962" s="36" t="str">
        <f aca="false">IF($F962="","",IF(OR($O962="",$N962=""),0,IF($O962&lt;=$N962,1,0)))</f>
        <v/>
      </c>
      <c r="W962" s="36" t="str">
        <f aca="false">IF($F962="","",IF(OR($O962="",$U962=""),0,IF($O962&lt;=$U962,1,0)))</f>
        <v/>
      </c>
      <c r="X962" s="37" t="str">
        <f aca="false">IF(OR($O962="",$N962=""),"",MAX(0,$O962-$N962))</f>
        <v/>
      </c>
      <c r="Y962" s="36" t="str">
        <f aca="false">IF($F962="","",IF(AND($Q962&lt;&gt;"",$N962&lt;&gt;"",$Q962&lt;&gt;$N962),1,0))</f>
        <v/>
      </c>
      <c r="Z962" s="36" t="str">
        <f aca="false">IF($F962="","",IF($P962="Cancelada",0,IF(OR($O962&lt;&gt;"",$P962="Concluída"),1,0)))</f>
        <v/>
      </c>
    </row>
    <row r="963" customFormat="false" ht="16.5" hidden="false" customHeight="true" outlineLevel="0" collapsed="false">
      <c r="A963" s="36" t="str">
        <f aca="false">IF($F963="","",COUNTA($F$5:$F963))</f>
        <v/>
      </c>
      <c r="B963" s="37" t="str">
        <f aca="true">IF($F963="","",IF($P963="Cancelada","Cancelada",IF(OR($O963&lt;&gt;"",$P963="Concluída"),IF(OR($N963="",$O963="",$O963&lt;=$N963),"Concluída","Concluída com atraso"),IF($N963="","Na carteira",IF($N963&lt;TODAY(),"VENCIDA",IF($P963="Em execução","Em execução",IF($N963=TODAY(),"Hoje","Programada")))))))</f>
        <v/>
      </c>
      <c r="C963" s="38"/>
      <c r="D963" s="38"/>
      <c r="E963" s="38"/>
      <c r="F963" s="38"/>
      <c r="G963" s="39"/>
      <c r="H963" s="39"/>
      <c r="I963" s="40"/>
      <c r="J963" s="40"/>
      <c r="K963" s="40"/>
      <c r="L963" s="41"/>
      <c r="M963" s="42"/>
      <c r="N963" s="43" t="str">
        <f aca="false">IF(OR($L963="",$M963=""),"",$L963+MATCH($M963,Listas!$F$5:$F$11,0)-1)</f>
        <v/>
      </c>
      <c r="O963" s="44"/>
      <c r="P963" s="39"/>
      <c r="Q963" s="44"/>
      <c r="R963" s="38"/>
      <c r="S963" s="38"/>
      <c r="T963" s="36" t="str">
        <f aca="false">IF($F963="","",IF(ISNUMBER(SEARCH("(externo)",$I963&amp;$J963&amp;$K963)),"Terceirizada","Interna"))</f>
        <v/>
      </c>
      <c r="U963" s="43" t="str">
        <f aca="false">IF($N963="","",IF($Q963="",$N963,$Q963))</f>
        <v/>
      </c>
      <c r="V963" s="36" t="str">
        <f aca="false">IF($F963="","",IF(OR($O963="",$N963=""),0,IF($O963&lt;=$N963,1,0)))</f>
        <v/>
      </c>
      <c r="W963" s="36" t="str">
        <f aca="false">IF($F963="","",IF(OR($O963="",$U963=""),0,IF($O963&lt;=$U963,1,0)))</f>
        <v/>
      </c>
      <c r="X963" s="37" t="str">
        <f aca="false">IF(OR($O963="",$N963=""),"",MAX(0,$O963-$N963))</f>
        <v/>
      </c>
      <c r="Y963" s="36" t="str">
        <f aca="false">IF($F963="","",IF(AND($Q963&lt;&gt;"",$N963&lt;&gt;"",$Q963&lt;&gt;$N963),1,0))</f>
        <v/>
      </c>
      <c r="Z963" s="36" t="str">
        <f aca="false">IF($F963="","",IF($P963="Cancelada",0,IF(OR($O963&lt;&gt;"",$P963="Concluída"),1,0)))</f>
        <v/>
      </c>
    </row>
    <row r="964" customFormat="false" ht="16.5" hidden="false" customHeight="true" outlineLevel="0" collapsed="false">
      <c r="A964" s="36" t="str">
        <f aca="false">IF($F964="","",COUNTA($F$5:$F964))</f>
        <v/>
      </c>
      <c r="B964" s="37" t="str">
        <f aca="true">IF($F964="","",IF($P964="Cancelada","Cancelada",IF(OR($O964&lt;&gt;"",$P964="Concluída"),IF(OR($N964="",$O964="",$O964&lt;=$N964),"Concluída","Concluída com atraso"),IF($N964="","Na carteira",IF($N964&lt;TODAY(),"VENCIDA",IF($P964="Em execução","Em execução",IF($N964=TODAY(),"Hoje","Programada")))))))</f>
        <v/>
      </c>
      <c r="C964" s="38"/>
      <c r="D964" s="38"/>
      <c r="E964" s="38"/>
      <c r="F964" s="38"/>
      <c r="G964" s="39"/>
      <c r="H964" s="39"/>
      <c r="I964" s="40"/>
      <c r="J964" s="40"/>
      <c r="K964" s="40"/>
      <c r="L964" s="41"/>
      <c r="M964" s="42"/>
      <c r="N964" s="43" t="str">
        <f aca="false">IF(OR($L964="",$M964=""),"",$L964+MATCH($M964,Listas!$F$5:$F$11,0)-1)</f>
        <v/>
      </c>
      <c r="O964" s="44"/>
      <c r="P964" s="39"/>
      <c r="Q964" s="44"/>
      <c r="R964" s="38"/>
      <c r="S964" s="38"/>
      <c r="T964" s="36" t="str">
        <f aca="false">IF($F964="","",IF(ISNUMBER(SEARCH("(externo)",$I964&amp;$J964&amp;$K964)),"Terceirizada","Interna"))</f>
        <v/>
      </c>
      <c r="U964" s="43" t="str">
        <f aca="false">IF($N964="","",IF($Q964="",$N964,$Q964))</f>
        <v/>
      </c>
      <c r="V964" s="36" t="str">
        <f aca="false">IF($F964="","",IF(OR($O964="",$N964=""),0,IF($O964&lt;=$N964,1,0)))</f>
        <v/>
      </c>
      <c r="W964" s="36" t="str">
        <f aca="false">IF($F964="","",IF(OR($O964="",$U964=""),0,IF($O964&lt;=$U964,1,0)))</f>
        <v/>
      </c>
      <c r="X964" s="37" t="str">
        <f aca="false">IF(OR($O964="",$N964=""),"",MAX(0,$O964-$N964))</f>
        <v/>
      </c>
      <c r="Y964" s="36" t="str">
        <f aca="false">IF($F964="","",IF(AND($Q964&lt;&gt;"",$N964&lt;&gt;"",$Q964&lt;&gt;$N964),1,0))</f>
        <v/>
      </c>
      <c r="Z964" s="36" t="str">
        <f aca="false">IF($F964="","",IF($P964="Cancelada",0,IF(OR($O964&lt;&gt;"",$P964="Concluída"),1,0)))</f>
        <v/>
      </c>
    </row>
    <row r="965" customFormat="false" ht="16.5" hidden="false" customHeight="true" outlineLevel="0" collapsed="false">
      <c r="A965" s="36" t="str">
        <f aca="false">IF($F965="","",COUNTA($F$5:$F965))</f>
        <v/>
      </c>
      <c r="B965" s="37" t="str">
        <f aca="true">IF($F965="","",IF($P965="Cancelada","Cancelada",IF(OR($O965&lt;&gt;"",$P965="Concluída"),IF(OR($N965="",$O965="",$O965&lt;=$N965),"Concluída","Concluída com atraso"),IF($N965="","Na carteira",IF($N965&lt;TODAY(),"VENCIDA",IF($P965="Em execução","Em execução",IF($N965=TODAY(),"Hoje","Programada")))))))</f>
        <v/>
      </c>
      <c r="C965" s="38"/>
      <c r="D965" s="38"/>
      <c r="E965" s="38"/>
      <c r="F965" s="38"/>
      <c r="G965" s="39"/>
      <c r="H965" s="39"/>
      <c r="I965" s="40"/>
      <c r="J965" s="40"/>
      <c r="K965" s="40"/>
      <c r="L965" s="41"/>
      <c r="M965" s="42"/>
      <c r="N965" s="43" t="str">
        <f aca="false">IF(OR($L965="",$M965=""),"",$L965+MATCH($M965,Listas!$F$5:$F$11,0)-1)</f>
        <v/>
      </c>
      <c r="O965" s="44"/>
      <c r="P965" s="39"/>
      <c r="Q965" s="44"/>
      <c r="R965" s="38"/>
      <c r="S965" s="38"/>
      <c r="T965" s="36" t="str">
        <f aca="false">IF($F965="","",IF(ISNUMBER(SEARCH("(externo)",$I965&amp;$J965&amp;$K965)),"Terceirizada","Interna"))</f>
        <v/>
      </c>
      <c r="U965" s="43" t="str">
        <f aca="false">IF($N965="","",IF($Q965="",$N965,$Q965))</f>
        <v/>
      </c>
      <c r="V965" s="36" t="str">
        <f aca="false">IF($F965="","",IF(OR($O965="",$N965=""),0,IF($O965&lt;=$N965,1,0)))</f>
        <v/>
      </c>
      <c r="W965" s="36" t="str">
        <f aca="false">IF($F965="","",IF(OR($O965="",$U965=""),0,IF($O965&lt;=$U965,1,0)))</f>
        <v/>
      </c>
      <c r="X965" s="37" t="str">
        <f aca="false">IF(OR($O965="",$N965=""),"",MAX(0,$O965-$N965))</f>
        <v/>
      </c>
      <c r="Y965" s="36" t="str">
        <f aca="false">IF($F965="","",IF(AND($Q965&lt;&gt;"",$N965&lt;&gt;"",$Q965&lt;&gt;$N965),1,0))</f>
        <v/>
      </c>
      <c r="Z965" s="36" t="str">
        <f aca="false">IF($F965="","",IF($P965="Cancelada",0,IF(OR($O965&lt;&gt;"",$P965="Concluída"),1,0)))</f>
        <v/>
      </c>
    </row>
    <row r="966" customFormat="false" ht="16.5" hidden="false" customHeight="true" outlineLevel="0" collapsed="false">
      <c r="A966" s="36" t="str">
        <f aca="false">IF($F966="","",COUNTA($F$5:$F966))</f>
        <v/>
      </c>
      <c r="B966" s="37" t="str">
        <f aca="true">IF($F966="","",IF($P966="Cancelada","Cancelada",IF(OR($O966&lt;&gt;"",$P966="Concluída"),IF(OR($N966="",$O966="",$O966&lt;=$N966),"Concluída","Concluída com atraso"),IF($N966="","Na carteira",IF($N966&lt;TODAY(),"VENCIDA",IF($P966="Em execução","Em execução",IF($N966=TODAY(),"Hoje","Programada")))))))</f>
        <v/>
      </c>
      <c r="C966" s="38"/>
      <c r="D966" s="38"/>
      <c r="E966" s="38"/>
      <c r="F966" s="38"/>
      <c r="G966" s="39"/>
      <c r="H966" s="39"/>
      <c r="I966" s="40"/>
      <c r="J966" s="40"/>
      <c r="K966" s="40"/>
      <c r="L966" s="41"/>
      <c r="M966" s="42"/>
      <c r="N966" s="43" t="str">
        <f aca="false">IF(OR($L966="",$M966=""),"",$L966+MATCH($M966,Listas!$F$5:$F$11,0)-1)</f>
        <v/>
      </c>
      <c r="O966" s="44"/>
      <c r="P966" s="39"/>
      <c r="Q966" s="44"/>
      <c r="R966" s="38"/>
      <c r="S966" s="38"/>
      <c r="T966" s="36" t="str">
        <f aca="false">IF($F966="","",IF(ISNUMBER(SEARCH("(externo)",$I966&amp;$J966&amp;$K966)),"Terceirizada","Interna"))</f>
        <v/>
      </c>
      <c r="U966" s="43" t="str">
        <f aca="false">IF($N966="","",IF($Q966="",$N966,$Q966))</f>
        <v/>
      </c>
      <c r="V966" s="36" t="str">
        <f aca="false">IF($F966="","",IF(OR($O966="",$N966=""),0,IF($O966&lt;=$N966,1,0)))</f>
        <v/>
      </c>
      <c r="W966" s="36" t="str">
        <f aca="false">IF($F966="","",IF(OR($O966="",$U966=""),0,IF($O966&lt;=$U966,1,0)))</f>
        <v/>
      </c>
      <c r="X966" s="37" t="str">
        <f aca="false">IF(OR($O966="",$N966=""),"",MAX(0,$O966-$N966))</f>
        <v/>
      </c>
      <c r="Y966" s="36" t="str">
        <f aca="false">IF($F966="","",IF(AND($Q966&lt;&gt;"",$N966&lt;&gt;"",$Q966&lt;&gt;$N966),1,0))</f>
        <v/>
      </c>
      <c r="Z966" s="36" t="str">
        <f aca="false">IF($F966="","",IF($P966="Cancelada",0,IF(OR($O966&lt;&gt;"",$P966="Concluída"),1,0)))</f>
        <v/>
      </c>
    </row>
    <row r="967" customFormat="false" ht="16.5" hidden="false" customHeight="true" outlineLevel="0" collapsed="false">
      <c r="A967" s="36" t="str">
        <f aca="false">IF($F967="","",COUNTA($F$5:$F967))</f>
        <v/>
      </c>
      <c r="B967" s="37" t="str">
        <f aca="true">IF($F967="","",IF($P967="Cancelada","Cancelada",IF(OR($O967&lt;&gt;"",$P967="Concluída"),IF(OR($N967="",$O967="",$O967&lt;=$N967),"Concluída","Concluída com atraso"),IF($N967="","Na carteira",IF($N967&lt;TODAY(),"VENCIDA",IF($P967="Em execução","Em execução",IF($N967=TODAY(),"Hoje","Programada")))))))</f>
        <v/>
      </c>
      <c r="C967" s="38"/>
      <c r="D967" s="38"/>
      <c r="E967" s="38"/>
      <c r="F967" s="38"/>
      <c r="G967" s="39"/>
      <c r="H967" s="39"/>
      <c r="I967" s="40"/>
      <c r="J967" s="40"/>
      <c r="K967" s="40"/>
      <c r="L967" s="41"/>
      <c r="M967" s="42"/>
      <c r="N967" s="43" t="str">
        <f aca="false">IF(OR($L967="",$M967=""),"",$L967+MATCH($M967,Listas!$F$5:$F$11,0)-1)</f>
        <v/>
      </c>
      <c r="O967" s="44"/>
      <c r="P967" s="39"/>
      <c r="Q967" s="44"/>
      <c r="R967" s="38"/>
      <c r="S967" s="38"/>
      <c r="T967" s="36" t="str">
        <f aca="false">IF($F967="","",IF(ISNUMBER(SEARCH("(externo)",$I967&amp;$J967&amp;$K967)),"Terceirizada","Interna"))</f>
        <v/>
      </c>
      <c r="U967" s="43" t="str">
        <f aca="false">IF($N967="","",IF($Q967="",$N967,$Q967))</f>
        <v/>
      </c>
      <c r="V967" s="36" t="str">
        <f aca="false">IF($F967="","",IF(OR($O967="",$N967=""),0,IF($O967&lt;=$N967,1,0)))</f>
        <v/>
      </c>
      <c r="W967" s="36" t="str">
        <f aca="false">IF($F967="","",IF(OR($O967="",$U967=""),0,IF($O967&lt;=$U967,1,0)))</f>
        <v/>
      </c>
      <c r="X967" s="37" t="str">
        <f aca="false">IF(OR($O967="",$N967=""),"",MAX(0,$O967-$N967))</f>
        <v/>
      </c>
      <c r="Y967" s="36" t="str">
        <f aca="false">IF($F967="","",IF(AND($Q967&lt;&gt;"",$N967&lt;&gt;"",$Q967&lt;&gt;$N967),1,0))</f>
        <v/>
      </c>
      <c r="Z967" s="36" t="str">
        <f aca="false">IF($F967="","",IF($P967="Cancelada",0,IF(OR($O967&lt;&gt;"",$P967="Concluída"),1,0)))</f>
        <v/>
      </c>
    </row>
    <row r="968" customFormat="false" ht="16.5" hidden="false" customHeight="true" outlineLevel="0" collapsed="false">
      <c r="A968" s="36" t="str">
        <f aca="false">IF($F968="","",COUNTA($F$5:$F968))</f>
        <v/>
      </c>
      <c r="B968" s="37" t="str">
        <f aca="true">IF($F968="","",IF($P968="Cancelada","Cancelada",IF(OR($O968&lt;&gt;"",$P968="Concluída"),IF(OR($N968="",$O968="",$O968&lt;=$N968),"Concluída","Concluída com atraso"),IF($N968="","Na carteira",IF($N968&lt;TODAY(),"VENCIDA",IF($P968="Em execução","Em execução",IF($N968=TODAY(),"Hoje","Programada")))))))</f>
        <v/>
      </c>
      <c r="C968" s="38"/>
      <c r="D968" s="38"/>
      <c r="E968" s="38"/>
      <c r="F968" s="38"/>
      <c r="G968" s="39"/>
      <c r="H968" s="39"/>
      <c r="I968" s="40"/>
      <c r="J968" s="40"/>
      <c r="K968" s="40"/>
      <c r="L968" s="41"/>
      <c r="M968" s="42"/>
      <c r="N968" s="43" t="str">
        <f aca="false">IF(OR($L968="",$M968=""),"",$L968+MATCH($M968,Listas!$F$5:$F$11,0)-1)</f>
        <v/>
      </c>
      <c r="O968" s="44"/>
      <c r="P968" s="39"/>
      <c r="Q968" s="44"/>
      <c r="R968" s="38"/>
      <c r="S968" s="38"/>
      <c r="T968" s="36" t="str">
        <f aca="false">IF($F968="","",IF(ISNUMBER(SEARCH("(externo)",$I968&amp;$J968&amp;$K968)),"Terceirizada","Interna"))</f>
        <v/>
      </c>
      <c r="U968" s="43" t="str">
        <f aca="false">IF($N968="","",IF($Q968="",$N968,$Q968))</f>
        <v/>
      </c>
      <c r="V968" s="36" t="str">
        <f aca="false">IF($F968="","",IF(OR($O968="",$N968=""),0,IF($O968&lt;=$N968,1,0)))</f>
        <v/>
      </c>
      <c r="W968" s="36" t="str">
        <f aca="false">IF($F968="","",IF(OR($O968="",$U968=""),0,IF($O968&lt;=$U968,1,0)))</f>
        <v/>
      </c>
      <c r="X968" s="37" t="str">
        <f aca="false">IF(OR($O968="",$N968=""),"",MAX(0,$O968-$N968))</f>
        <v/>
      </c>
      <c r="Y968" s="36" t="str">
        <f aca="false">IF($F968="","",IF(AND($Q968&lt;&gt;"",$N968&lt;&gt;"",$Q968&lt;&gt;$N968),1,0))</f>
        <v/>
      </c>
      <c r="Z968" s="36" t="str">
        <f aca="false">IF($F968="","",IF($P968="Cancelada",0,IF(OR($O968&lt;&gt;"",$P968="Concluída"),1,0)))</f>
        <v/>
      </c>
    </row>
    <row r="969" customFormat="false" ht="16.5" hidden="false" customHeight="true" outlineLevel="0" collapsed="false">
      <c r="A969" s="36" t="str">
        <f aca="false">IF($F969="","",COUNTA($F$5:$F969))</f>
        <v/>
      </c>
      <c r="B969" s="37" t="str">
        <f aca="true">IF($F969="","",IF($P969="Cancelada","Cancelada",IF(OR($O969&lt;&gt;"",$P969="Concluída"),IF(OR($N969="",$O969="",$O969&lt;=$N969),"Concluída","Concluída com atraso"),IF($N969="","Na carteira",IF($N969&lt;TODAY(),"VENCIDA",IF($P969="Em execução","Em execução",IF($N969=TODAY(),"Hoje","Programada")))))))</f>
        <v/>
      </c>
      <c r="C969" s="38"/>
      <c r="D969" s="38"/>
      <c r="E969" s="38"/>
      <c r="F969" s="38"/>
      <c r="G969" s="39"/>
      <c r="H969" s="39"/>
      <c r="I969" s="40"/>
      <c r="J969" s="40"/>
      <c r="K969" s="40"/>
      <c r="L969" s="41"/>
      <c r="M969" s="42"/>
      <c r="N969" s="43" t="str">
        <f aca="false">IF(OR($L969="",$M969=""),"",$L969+MATCH($M969,Listas!$F$5:$F$11,0)-1)</f>
        <v/>
      </c>
      <c r="O969" s="44"/>
      <c r="P969" s="39"/>
      <c r="Q969" s="44"/>
      <c r="R969" s="38"/>
      <c r="S969" s="38"/>
      <c r="T969" s="36" t="str">
        <f aca="false">IF($F969="","",IF(ISNUMBER(SEARCH("(externo)",$I969&amp;$J969&amp;$K969)),"Terceirizada","Interna"))</f>
        <v/>
      </c>
      <c r="U969" s="43" t="str">
        <f aca="false">IF($N969="","",IF($Q969="",$N969,$Q969))</f>
        <v/>
      </c>
      <c r="V969" s="36" t="str">
        <f aca="false">IF($F969="","",IF(OR($O969="",$N969=""),0,IF($O969&lt;=$N969,1,0)))</f>
        <v/>
      </c>
      <c r="W969" s="36" t="str">
        <f aca="false">IF($F969="","",IF(OR($O969="",$U969=""),0,IF($O969&lt;=$U969,1,0)))</f>
        <v/>
      </c>
      <c r="X969" s="37" t="str">
        <f aca="false">IF(OR($O969="",$N969=""),"",MAX(0,$O969-$N969))</f>
        <v/>
      </c>
      <c r="Y969" s="36" t="str">
        <f aca="false">IF($F969="","",IF(AND($Q969&lt;&gt;"",$N969&lt;&gt;"",$Q969&lt;&gt;$N969),1,0))</f>
        <v/>
      </c>
      <c r="Z969" s="36" t="str">
        <f aca="false">IF($F969="","",IF($P969="Cancelada",0,IF(OR($O969&lt;&gt;"",$P969="Concluída"),1,0)))</f>
        <v/>
      </c>
    </row>
    <row r="970" customFormat="false" ht="16.5" hidden="false" customHeight="true" outlineLevel="0" collapsed="false">
      <c r="A970" s="36" t="str">
        <f aca="false">IF($F970="","",COUNTA($F$5:$F970))</f>
        <v/>
      </c>
      <c r="B970" s="37" t="str">
        <f aca="true">IF($F970="","",IF($P970="Cancelada","Cancelada",IF(OR($O970&lt;&gt;"",$P970="Concluída"),IF(OR($N970="",$O970="",$O970&lt;=$N970),"Concluída","Concluída com atraso"),IF($N970="","Na carteira",IF($N970&lt;TODAY(),"VENCIDA",IF($P970="Em execução","Em execução",IF($N970=TODAY(),"Hoje","Programada")))))))</f>
        <v/>
      </c>
      <c r="C970" s="38"/>
      <c r="D970" s="38"/>
      <c r="E970" s="38"/>
      <c r="F970" s="38"/>
      <c r="G970" s="39"/>
      <c r="H970" s="39"/>
      <c r="I970" s="40"/>
      <c r="J970" s="40"/>
      <c r="K970" s="40"/>
      <c r="L970" s="41"/>
      <c r="M970" s="42"/>
      <c r="N970" s="43" t="str">
        <f aca="false">IF(OR($L970="",$M970=""),"",$L970+MATCH($M970,Listas!$F$5:$F$11,0)-1)</f>
        <v/>
      </c>
      <c r="O970" s="44"/>
      <c r="P970" s="39"/>
      <c r="Q970" s="44"/>
      <c r="R970" s="38"/>
      <c r="S970" s="38"/>
      <c r="T970" s="36" t="str">
        <f aca="false">IF($F970="","",IF(ISNUMBER(SEARCH("(externo)",$I970&amp;$J970&amp;$K970)),"Terceirizada","Interna"))</f>
        <v/>
      </c>
      <c r="U970" s="43" t="str">
        <f aca="false">IF($N970="","",IF($Q970="",$N970,$Q970))</f>
        <v/>
      </c>
      <c r="V970" s="36" t="str">
        <f aca="false">IF($F970="","",IF(OR($O970="",$N970=""),0,IF($O970&lt;=$N970,1,0)))</f>
        <v/>
      </c>
      <c r="W970" s="36" t="str">
        <f aca="false">IF($F970="","",IF(OR($O970="",$U970=""),0,IF($O970&lt;=$U970,1,0)))</f>
        <v/>
      </c>
      <c r="X970" s="37" t="str">
        <f aca="false">IF(OR($O970="",$N970=""),"",MAX(0,$O970-$N970))</f>
        <v/>
      </c>
      <c r="Y970" s="36" t="str">
        <f aca="false">IF($F970="","",IF(AND($Q970&lt;&gt;"",$N970&lt;&gt;"",$Q970&lt;&gt;$N970),1,0))</f>
        <v/>
      </c>
      <c r="Z970" s="36" t="str">
        <f aca="false">IF($F970="","",IF($P970="Cancelada",0,IF(OR($O970&lt;&gt;"",$P970="Concluída"),1,0)))</f>
        <v/>
      </c>
    </row>
    <row r="971" customFormat="false" ht="16.5" hidden="false" customHeight="true" outlineLevel="0" collapsed="false">
      <c r="A971" s="36" t="str">
        <f aca="false">IF($F971="","",COUNTA($F$5:$F971))</f>
        <v/>
      </c>
      <c r="B971" s="37" t="str">
        <f aca="true">IF($F971="","",IF($P971="Cancelada","Cancelada",IF(OR($O971&lt;&gt;"",$P971="Concluída"),IF(OR($N971="",$O971="",$O971&lt;=$N971),"Concluída","Concluída com atraso"),IF($N971="","Na carteira",IF($N971&lt;TODAY(),"VENCIDA",IF($P971="Em execução","Em execução",IF($N971=TODAY(),"Hoje","Programada")))))))</f>
        <v/>
      </c>
      <c r="C971" s="38"/>
      <c r="D971" s="38"/>
      <c r="E971" s="38"/>
      <c r="F971" s="38"/>
      <c r="G971" s="39"/>
      <c r="H971" s="39"/>
      <c r="I971" s="40"/>
      <c r="J971" s="40"/>
      <c r="K971" s="40"/>
      <c r="L971" s="41"/>
      <c r="M971" s="42"/>
      <c r="N971" s="43" t="str">
        <f aca="false">IF(OR($L971="",$M971=""),"",$L971+MATCH($M971,Listas!$F$5:$F$11,0)-1)</f>
        <v/>
      </c>
      <c r="O971" s="44"/>
      <c r="P971" s="39"/>
      <c r="Q971" s="44"/>
      <c r="R971" s="38"/>
      <c r="S971" s="38"/>
      <c r="T971" s="36" t="str">
        <f aca="false">IF($F971="","",IF(ISNUMBER(SEARCH("(externo)",$I971&amp;$J971&amp;$K971)),"Terceirizada","Interna"))</f>
        <v/>
      </c>
      <c r="U971" s="43" t="str">
        <f aca="false">IF($N971="","",IF($Q971="",$N971,$Q971))</f>
        <v/>
      </c>
      <c r="V971" s="36" t="str">
        <f aca="false">IF($F971="","",IF(OR($O971="",$N971=""),0,IF($O971&lt;=$N971,1,0)))</f>
        <v/>
      </c>
      <c r="W971" s="36" t="str">
        <f aca="false">IF($F971="","",IF(OR($O971="",$U971=""),0,IF($O971&lt;=$U971,1,0)))</f>
        <v/>
      </c>
      <c r="X971" s="37" t="str">
        <f aca="false">IF(OR($O971="",$N971=""),"",MAX(0,$O971-$N971))</f>
        <v/>
      </c>
      <c r="Y971" s="36" t="str">
        <f aca="false">IF($F971="","",IF(AND($Q971&lt;&gt;"",$N971&lt;&gt;"",$Q971&lt;&gt;$N971),1,0))</f>
        <v/>
      </c>
      <c r="Z971" s="36" t="str">
        <f aca="false">IF($F971="","",IF($P971="Cancelada",0,IF(OR($O971&lt;&gt;"",$P971="Concluída"),1,0)))</f>
        <v/>
      </c>
    </row>
    <row r="972" customFormat="false" ht="16.5" hidden="false" customHeight="true" outlineLevel="0" collapsed="false">
      <c r="A972" s="36" t="str">
        <f aca="false">IF($F972="","",COUNTA($F$5:$F972))</f>
        <v/>
      </c>
      <c r="B972" s="37" t="str">
        <f aca="true">IF($F972="","",IF($P972="Cancelada","Cancelada",IF(OR($O972&lt;&gt;"",$P972="Concluída"),IF(OR($N972="",$O972="",$O972&lt;=$N972),"Concluída","Concluída com atraso"),IF($N972="","Na carteira",IF($N972&lt;TODAY(),"VENCIDA",IF($P972="Em execução","Em execução",IF($N972=TODAY(),"Hoje","Programada")))))))</f>
        <v/>
      </c>
      <c r="C972" s="38"/>
      <c r="D972" s="38"/>
      <c r="E972" s="38"/>
      <c r="F972" s="38"/>
      <c r="G972" s="39"/>
      <c r="H972" s="39"/>
      <c r="I972" s="40"/>
      <c r="J972" s="40"/>
      <c r="K972" s="40"/>
      <c r="L972" s="41"/>
      <c r="M972" s="42"/>
      <c r="N972" s="43" t="str">
        <f aca="false">IF(OR($L972="",$M972=""),"",$L972+MATCH($M972,Listas!$F$5:$F$11,0)-1)</f>
        <v/>
      </c>
      <c r="O972" s="44"/>
      <c r="P972" s="39"/>
      <c r="Q972" s="44"/>
      <c r="R972" s="38"/>
      <c r="S972" s="38"/>
      <c r="T972" s="36" t="str">
        <f aca="false">IF($F972="","",IF(ISNUMBER(SEARCH("(externo)",$I972&amp;$J972&amp;$K972)),"Terceirizada","Interna"))</f>
        <v/>
      </c>
      <c r="U972" s="43" t="str">
        <f aca="false">IF($N972="","",IF($Q972="",$N972,$Q972))</f>
        <v/>
      </c>
      <c r="V972" s="36" t="str">
        <f aca="false">IF($F972="","",IF(OR($O972="",$N972=""),0,IF($O972&lt;=$N972,1,0)))</f>
        <v/>
      </c>
      <c r="W972" s="36" t="str">
        <f aca="false">IF($F972="","",IF(OR($O972="",$U972=""),0,IF($O972&lt;=$U972,1,0)))</f>
        <v/>
      </c>
      <c r="X972" s="37" t="str">
        <f aca="false">IF(OR($O972="",$N972=""),"",MAX(0,$O972-$N972))</f>
        <v/>
      </c>
      <c r="Y972" s="36" t="str">
        <f aca="false">IF($F972="","",IF(AND($Q972&lt;&gt;"",$N972&lt;&gt;"",$Q972&lt;&gt;$N972),1,0))</f>
        <v/>
      </c>
      <c r="Z972" s="36" t="str">
        <f aca="false">IF($F972="","",IF($P972="Cancelada",0,IF(OR($O972&lt;&gt;"",$P972="Concluída"),1,0)))</f>
        <v/>
      </c>
    </row>
    <row r="973" customFormat="false" ht="16.5" hidden="false" customHeight="true" outlineLevel="0" collapsed="false">
      <c r="A973" s="36" t="str">
        <f aca="false">IF($F973="","",COUNTA($F$5:$F973))</f>
        <v/>
      </c>
      <c r="B973" s="37" t="str">
        <f aca="true">IF($F973="","",IF($P973="Cancelada","Cancelada",IF(OR($O973&lt;&gt;"",$P973="Concluída"),IF(OR($N973="",$O973="",$O973&lt;=$N973),"Concluída","Concluída com atraso"),IF($N973="","Na carteira",IF($N973&lt;TODAY(),"VENCIDA",IF($P973="Em execução","Em execução",IF($N973=TODAY(),"Hoje","Programada")))))))</f>
        <v/>
      </c>
      <c r="C973" s="38"/>
      <c r="D973" s="38"/>
      <c r="E973" s="38"/>
      <c r="F973" s="38"/>
      <c r="G973" s="39"/>
      <c r="H973" s="39"/>
      <c r="I973" s="40"/>
      <c r="J973" s="40"/>
      <c r="K973" s="40"/>
      <c r="L973" s="41"/>
      <c r="M973" s="42"/>
      <c r="N973" s="43" t="str">
        <f aca="false">IF(OR($L973="",$M973=""),"",$L973+MATCH($M973,Listas!$F$5:$F$11,0)-1)</f>
        <v/>
      </c>
      <c r="O973" s="44"/>
      <c r="P973" s="39"/>
      <c r="Q973" s="44"/>
      <c r="R973" s="38"/>
      <c r="S973" s="38"/>
      <c r="T973" s="36" t="str">
        <f aca="false">IF($F973="","",IF(ISNUMBER(SEARCH("(externo)",$I973&amp;$J973&amp;$K973)),"Terceirizada","Interna"))</f>
        <v/>
      </c>
      <c r="U973" s="43" t="str">
        <f aca="false">IF($N973="","",IF($Q973="",$N973,$Q973))</f>
        <v/>
      </c>
      <c r="V973" s="36" t="str">
        <f aca="false">IF($F973="","",IF(OR($O973="",$N973=""),0,IF($O973&lt;=$N973,1,0)))</f>
        <v/>
      </c>
      <c r="W973" s="36" t="str">
        <f aca="false">IF($F973="","",IF(OR($O973="",$U973=""),0,IF($O973&lt;=$U973,1,0)))</f>
        <v/>
      </c>
      <c r="X973" s="37" t="str">
        <f aca="false">IF(OR($O973="",$N973=""),"",MAX(0,$O973-$N973))</f>
        <v/>
      </c>
      <c r="Y973" s="36" t="str">
        <f aca="false">IF($F973="","",IF(AND($Q973&lt;&gt;"",$N973&lt;&gt;"",$Q973&lt;&gt;$N973),1,0))</f>
        <v/>
      </c>
      <c r="Z973" s="36" t="str">
        <f aca="false">IF($F973="","",IF($P973="Cancelada",0,IF(OR($O973&lt;&gt;"",$P973="Concluída"),1,0)))</f>
        <v/>
      </c>
    </row>
    <row r="974" customFormat="false" ht="16.5" hidden="false" customHeight="true" outlineLevel="0" collapsed="false">
      <c r="A974" s="36" t="str">
        <f aca="false">IF($F974="","",COUNTA($F$5:$F974))</f>
        <v/>
      </c>
      <c r="B974" s="37" t="str">
        <f aca="true">IF($F974="","",IF($P974="Cancelada","Cancelada",IF(OR($O974&lt;&gt;"",$P974="Concluída"),IF(OR($N974="",$O974="",$O974&lt;=$N974),"Concluída","Concluída com atraso"),IF($N974="","Na carteira",IF($N974&lt;TODAY(),"VENCIDA",IF($P974="Em execução","Em execução",IF($N974=TODAY(),"Hoje","Programada")))))))</f>
        <v/>
      </c>
      <c r="C974" s="38"/>
      <c r="D974" s="38"/>
      <c r="E974" s="38"/>
      <c r="F974" s="38"/>
      <c r="G974" s="39"/>
      <c r="H974" s="39"/>
      <c r="I974" s="40"/>
      <c r="J974" s="40"/>
      <c r="K974" s="40"/>
      <c r="L974" s="41"/>
      <c r="M974" s="42"/>
      <c r="N974" s="43" t="str">
        <f aca="false">IF(OR($L974="",$M974=""),"",$L974+MATCH($M974,Listas!$F$5:$F$11,0)-1)</f>
        <v/>
      </c>
      <c r="O974" s="44"/>
      <c r="P974" s="39"/>
      <c r="Q974" s="44"/>
      <c r="R974" s="38"/>
      <c r="S974" s="38"/>
      <c r="T974" s="36" t="str">
        <f aca="false">IF($F974="","",IF(ISNUMBER(SEARCH("(externo)",$I974&amp;$J974&amp;$K974)),"Terceirizada","Interna"))</f>
        <v/>
      </c>
      <c r="U974" s="43" t="str">
        <f aca="false">IF($N974="","",IF($Q974="",$N974,$Q974))</f>
        <v/>
      </c>
      <c r="V974" s="36" t="str">
        <f aca="false">IF($F974="","",IF(OR($O974="",$N974=""),0,IF($O974&lt;=$N974,1,0)))</f>
        <v/>
      </c>
      <c r="W974" s="36" t="str">
        <f aca="false">IF($F974="","",IF(OR($O974="",$U974=""),0,IF($O974&lt;=$U974,1,0)))</f>
        <v/>
      </c>
      <c r="X974" s="37" t="str">
        <f aca="false">IF(OR($O974="",$N974=""),"",MAX(0,$O974-$N974))</f>
        <v/>
      </c>
      <c r="Y974" s="36" t="str">
        <f aca="false">IF($F974="","",IF(AND($Q974&lt;&gt;"",$N974&lt;&gt;"",$Q974&lt;&gt;$N974),1,0))</f>
        <v/>
      </c>
      <c r="Z974" s="36" t="str">
        <f aca="false">IF($F974="","",IF($P974="Cancelada",0,IF(OR($O974&lt;&gt;"",$P974="Concluída"),1,0)))</f>
        <v/>
      </c>
    </row>
    <row r="975" customFormat="false" ht="16.5" hidden="false" customHeight="true" outlineLevel="0" collapsed="false">
      <c r="A975" s="36" t="str">
        <f aca="false">IF($F975="","",COUNTA($F$5:$F975))</f>
        <v/>
      </c>
      <c r="B975" s="37" t="str">
        <f aca="true">IF($F975="","",IF($P975="Cancelada","Cancelada",IF(OR($O975&lt;&gt;"",$P975="Concluída"),IF(OR($N975="",$O975="",$O975&lt;=$N975),"Concluída","Concluída com atraso"),IF($N975="","Na carteira",IF($N975&lt;TODAY(),"VENCIDA",IF($P975="Em execução","Em execução",IF($N975=TODAY(),"Hoje","Programada")))))))</f>
        <v/>
      </c>
      <c r="C975" s="38"/>
      <c r="D975" s="38"/>
      <c r="E975" s="38"/>
      <c r="F975" s="38"/>
      <c r="G975" s="39"/>
      <c r="H975" s="39"/>
      <c r="I975" s="40"/>
      <c r="J975" s="40"/>
      <c r="K975" s="40"/>
      <c r="L975" s="41"/>
      <c r="M975" s="42"/>
      <c r="N975" s="43" t="str">
        <f aca="false">IF(OR($L975="",$M975=""),"",$L975+MATCH($M975,Listas!$F$5:$F$11,0)-1)</f>
        <v/>
      </c>
      <c r="O975" s="44"/>
      <c r="P975" s="39"/>
      <c r="Q975" s="44"/>
      <c r="R975" s="38"/>
      <c r="S975" s="38"/>
      <c r="T975" s="36" t="str">
        <f aca="false">IF($F975="","",IF(ISNUMBER(SEARCH("(externo)",$I975&amp;$J975&amp;$K975)),"Terceirizada","Interna"))</f>
        <v/>
      </c>
      <c r="U975" s="43" t="str">
        <f aca="false">IF($N975="","",IF($Q975="",$N975,$Q975))</f>
        <v/>
      </c>
      <c r="V975" s="36" t="str">
        <f aca="false">IF($F975="","",IF(OR($O975="",$N975=""),0,IF($O975&lt;=$N975,1,0)))</f>
        <v/>
      </c>
      <c r="W975" s="36" t="str">
        <f aca="false">IF($F975="","",IF(OR($O975="",$U975=""),0,IF($O975&lt;=$U975,1,0)))</f>
        <v/>
      </c>
      <c r="X975" s="37" t="str">
        <f aca="false">IF(OR($O975="",$N975=""),"",MAX(0,$O975-$N975))</f>
        <v/>
      </c>
      <c r="Y975" s="36" t="str">
        <f aca="false">IF($F975="","",IF(AND($Q975&lt;&gt;"",$N975&lt;&gt;"",$Q975&lt;&gt;$N975),1,0))</f>
        <v/>
      </c>
      <c r="Z975" s="36" t="str">
        <f aca="false">IF($F975="","",IF($P975="Cancelada",0,IF(OR($O975&lt;&gt;"",$P975="Concluída"),1,0)))</f>
        <v/>
      </c>
    </row>
    <row r="976" customFormat="false" ht="16.5" hidden="false" customHeight="true" outlineLevel="0" collapsed="false">
      <c r="A976" s="36" t="str">
        <f aca="false">IF($F976="","",COUNTA($F$5:$F976))</f>
        <v/>
      </c>
      <c r="B976" s="37" t="str">
        <f aca="true">IF($F976="","",IF($P976="Cancelada","Cancelada",IF(OR($O976&lt;&gt;"",$P976="Concluída"),IF(OR($N976="",$O976="",$O976&lt;=$N976),"Concluída","Concluída com atraso"),IF($N976="","Na carteira",IF($N976&lt;TODAY(),"VENCIDA",IF($P976="Em execução","Em execução",IF($N976=TODAY(),"Hoje","Programada")))))))</f>
        <v/>
      </c>
      <c r="C976" s="38"/>
      <c r="D976" s="38"/>
      <c r="E976" s="38"/>
      <c r="F976" s="38"/>
      <c r="G976" s="39"/>
      <c r="H976" s="39"/>
      <c r="I976" s="40"/>
      <c r="J976" s="40"/>
      <c r="K976" s="40"/>
      <c r="L976" s="41"/>
      <c r="M976" s="42"/>
      <c r="N976" s="43" t="str">
        <f aca="false">IF(OR($L976="",$M976=""),"",$L976+MATCH($M976,Listas!$F$5:$F$11,0)-1)</f>
        <v/>
      </c>
      <c r="O976" s="44"/>
      <c r="P976" s="39"/>
      <c r="Q976" s="44"/>
      <c r="R976" s="38"/>
      <c r="S976" s="38"/>
      <c r="T976" s="36" t="str">
        <f aca="false">IF($F976="","",IF(ISNUMBER(SEARCH("(externo)",$I976&amp;$J976&amp;$K976)),"Terceirizada","Interna"))</f>
        <v/>
      </c>
      <c r="U976" s="43" t="str">
        <f aca="false">IF($N976="","",IF($Q976="",$N976,$Q976))</f>
        <v/>
      </c>
      <c r="V976" s="36" t="str">
        <f aca="false">IF($F976="","",IF(OR($O976="",$N976=""),0,IF($O976&lt;=$N976,1,0)))</f>
        <v/>
      </c>
      <c r="W976" s="36" t="str">
        <f aca="false">IF($F976="","",IF(OR($O976="",$U976=""),0,IF($O976&lt;=$U976,1,0)))</f>
        <v/>
      </c>
      <c r="X976" s="37" t="str">
        <f aca="false">IF(OR($O976="",$N976=""),"",MAX(0,$O976-$N976))</f>
        <v/>
      </c>
      <c r="Y976" s="36" t="str">
        <f aca="false">IF($F976="","",IF(AND($Q976&lt;&gt;"",$N976&lt;&gt;"",$Q976&lt;&gt;$N976),1,0))</f>
        <v/>
      </c>
      <c r="Z976" s="36" t="str">
        <f aca="false">IF($F976="","",IF($P976="Cancelada",0,IF(OR($O976&lt;&gt;"",$P976="Concluída"),1,0)))</f>
        <v/>
      </c>
    </row>
    <row r="977" customFormat="false" ht="16.5" hidden="false" customHeight="true" outlineLevel="0" collapsed="false">
      <c r="A977" s="36" t="str">
        <f aca="false">IF($F977="","",COUNTA($F$5:$F977))</f>
        <v/>
      </c>
      <c r="B977" s="37" t="str">
        <f aca="true">IF($F977="","",IF($P977="Cancelada","Cancelada",IF(OR($O977&lt;&gt;"",$P977="Concluída"),IF(OR($N977="",$O977="",$O977&lt;=$N977),"Concluída","Concluída com atraso"),IF($N977="","Na carteira",IF($N977&lt;TODAY(),"VENCIDA",IF($P977="Em execução","Em execução",IF($N977=TODAY(),"Hoje","Programada")))))))</f>
        <v/>
      </c>
      <c r="C977" s="38"/>
      <c r="D977" s="38"/>
      <c r="E977" s="38"/>
      <c r="F977" s="38"/>
      <c r="G977" s="39"/>
      <c r="H977" s="39"/>
      <c r="I977" s="40"/>
      <c r="J977" s="40"/>
      <c r="K977" s="40"/>
      <c r="L977" s="41"/>
      <c r="M977" s="42"/>
      <c r="N977" s="43" t="str">
        <f aca="false">IF(OR($L977="",$M977=""),"",$L977+MATCH($M977,Listas!$F$5:$F$11,0)-1)</f>
        <v/>
      </c>
      <c r="O977" s="44"/>
      <c r="P977" s="39"/>
      <c r="Q977" s="44"/>
      <c r="R977" s="38"/>
      <c r="S977" s="38"/>
      <c r="T977" s="36" t="str">
        <f aca="false">IF($F977="","",IF(ISNUMBER(SEARCH("(externo)",$I977&amp;$J977&amp;$K977)),"Terceirizada","Interna"))</f>
        <v/>
      </c>
      <c r="U977" s="43" t="str">
        <f aca="false">IF($N977="","",IF($Q977="",$N977,$Q977))</f>
        <v/>
      </c>
      <c r="V977" s="36" t="str">
        <f aca="false">IF($F977="","",IF(OR($O977="",$N977=""),0,IF($O977&lt;=$N977,1,0)))</f>
        <v/>
      </c>
      <c r="W977" s="36" t="str">
        <f aca="false">IF($F977="","",IF(OR($O977="",$U977=""),0,IF($O977&lt;=$U977,1,0)))</f>
        <v/>
      </c>
      <c r="X977" s="37" t="str">
        <f aca="false">IF(OR($O977="",$N977=""),"",MAX(0,$O977-$N977))</f>
        <v/>
      </c>
      <c r="Y977" s="36" t="str">
        <f aca="false">IF($F977="","",IF(AND($Q977&lt;&gt;"",$N977&lt;&gt;"",$Q977&lt;&gt;$N977),1,0))</f>
        <v/>
      </c>
      <c r="Z977" s="36" t="str">
        <f aca="false">IF($F977="","",IF($P977="Cancelada",0,IF(OR($O977&lt;&gt;"",$P977="Concluída"),1,0)))</f>
        <v/>
      </c>
    </row>
    <row r="978" customFormat="false" ht="16.5" hidden="false" customHeight="true" outlineLevel="0" collapsed="false">
      <c r="A978" s="36" t="str">
        <f aca="false">IF($F978="","",COUNTA($F$5:$F978))</f>
        <v/>
      </c>
      <c r="B978" s="37" t="str">
        <f aca="true">IF($F978="","",IF($P978="Cancelada","Cancelada",IF(OR($O978&lt;&gt;"",$P978="Concluída"),IF(OR($N978="",$O978="",$O978&lt;=$N978),"Concluída","Concluída com atraso"),IF($N978="","Na carteira",IF($N978&lt;TODAY(),"VENCIDA",IF($P978="Em execução","Em execução",IF($N978=TODAY(),"Hoje","Programada")))))))</f>
        <v/>
      </c>
      <c r="C978" s="38"/>
      <c r="D978" s="38"/>
      <c r="E978" s="38"/>
      <c r="F978" s="38"/>
      <c r="G978" s="39"/>
      <c r="H978" s="39"/>
      <c r="I978" s="40"/>
      <c r="J978" s="40"/>
      <c r="K978" s="40"/>
      <c r="L978" s="41"/>
      <c r="M978" s="42"/>
      <c r="N978" s="43" t="str">
        <f aca="false">IF(OR($L978="",$M978=""),"",$L978+MATCH($M978,Listas!$F$5:$F$11,0)-1)</f>
        <v/>
      </c>
      <c r="O978" s="44"/>
      <c r="P978" s="39"/>
      <c r="Q978" s="44"/>
      <c r="R978" s="38"/>
      <c r="S978" s="38"/>
      <c r="T978" s="36" t="str">
        <f aca="false">IF($F978="","",IF(ISNUMBER(SEARCH("(externo)",$I978&amp;$J978&amp;$K978)),"Terceirizada","Interna"))</f>
        <v/>
      </c>
      <c r="U978" s="43" t="str">
        <f aca="false">IF($N978="","",IF($Q978="",$N978,$Q978))</f>
        <v/>
      </c>
      <c r="V978" s="36" t="str">
        <f aca="false">IF($F978="","",IF(OR($O978="",$N978=""),0,IF($O978&lt;=$N978,1,0)))</f>
        <v/>
      </c>
      <c r="W978" s="36" t="str">
        <f aca="false">IF($F978="","",IF(OR($O978="",$U978=""),0,IF($O978&lt;=$U978,1,0)))</f>
        <v/>
      </c>
      <c r="X978" s="37" t="str">
        <f aca="false">IF(OR($O978="",$N978=""),"",MAX(0,$O978-$N978))</f>
        <v/>
      </c>
      <c r="Y978" s="36" t="str">
        <f aca="false">IF($F978="","",IF(AND($Q978&lt;&gt;"",$N978&lt;&gt;"",$Q978&lt;&gt;$N978),1,0))</f>
        <v/>
      </c>
      <c r="Z978" s="36" t="str">
        <f aca="false">IF($F978="","",IF($P978="Cancelada",0,IF(OR($O978&lt;&gt;"",$P978="Concluída"),1,0)))</f>
        <v/>
      </c>
    </row>
    <row r="979" customFormat="false" ht="16.5" hidden="false" customHeight="true" outlineLevel="0" collapsed="false">
      <c r="A979" s="36" t="str">
        <f aca="false">IF($F979="","",COUNTA($F$5:$F979))</f>
        <v/>
      </c>
      <c r="B979" s="37" t="str">
        <f aca="true">IF($F979="","",IF($P979="Cancelada","Cancelada",IF(OR($O979&lt;&gt;"",$P979="Concluída"),IF(OR($N979="",$O979="",$O979&lt;=$N979),"Concluída","Concluída com atraso"),IF($N979="","Na carteira",IF($N979&lt;TODAY(),"VENCIDA",IF($P979="Em execução","Em execução",IF($N979=TODAY(),"Hoje","Programada")))))))</f>
        <v/>
      </c>
      <c r="C979" s="38"/>
      <c r="D979" s="38"/>
      <c r="E979" s="38"/>
      <c r="F979" s="38"/>
      <c r="G979" s="39"/>
      <c r="H979" s="39"/>
      <c r="I979" s="40"/>
      <c r="J979" s="40"/>
      <c r="K979" s="40"/>
      <c r="L979" s="41"/>
      <c r="M979" s="42"/>
      <c r="N979" s="43" t="str">
        <f aca="false">IF(OR($L979="",$M979=""),"",$L979+MATCH($M979,Listas!$F$5:$F$11,0)-1)</f>
        <v/>
      </c>
      <c r="O979" s="44"/>
      <c r="P979" s="39"/>
      <c r="Q979" s="44"/>
      <c r="R979" s="38"/>
      <c r="S979" s="38"/>
      <c r="T979" s="36" t="str">
        <f aca="false">IF($F979="","",IF(ISNUMBER(SEARCH("(externo)",$I979&amp;$J979&amp;$K979)),"Terceirizada","Interna"))</f>
        <v/>
      </c>
      <c r="U979" s="43" t="str">
        <f aca="false">IF($N979="","",IF($Q979="",$N979,$Q979))</f>
        <v/>
      </c>
      <c r="V979" s="36" t="str">
        <f aca="false">IF($F979="","",IF(OR($O979="",$N979=""),0,IF($O979&lt;=$N979,1,0)))</f>
        <v/>
      </c>
      <c r="W979" s="36" t="str">
        <f aca="false">IF($F979="","",IF(OR($O979="",$U979=""),0,IF($O979&lt;=$U979,1,0)))</f>
        <v/>
      </c>
      <c r="X979" s="37" t="str">
        <f aca="false">IF(OR($O979="",$N979=""),"",MAX(0,$O979-$N979))</f>
        <v/>
      </c>
      <c r="Y979" s="36" t="str">
        <f aca="false">IF($F979="","",IF(AND($Q979&lt;&gt;"",$N979&lt;&gt;"",$Q979&lt;&gt;$N979),1,0))</f>
        <v/>
      </c>
      <c r="Z979" s="36" t="str">
        <f aca="false">IF($F979="","",IF($P979="Cancelada",0,IF(OR($O979&lt;&gt;"",$P979="Concluída"),1,0)))</f>
        <v/>
      </c>
    </row>
    <row r="980" customFormat="false" ht="16.5" hidden="false" customHeight="true" outlineLevel="0" collapsed="false">
      <c r="A980" s="36" t="str">
        <f aca="false">IF($F980="","",COUNTA($F$5:$F980))</f>
        <v/>
      </c>
      <c r="B980" s="37" t="str">
        <f aca="true">IF($F980="","",IF($P980="Cancelada","Cancelada",IF(OR($O980&lt;&gt;"",$P980="Concluída"),IF(OR($N980="",$O980="",$O980&lt;=$N980),"Concluída","Concluída com atraso"),IF($N980="","Na carteira",IF($N980&lt;TODAY(),"VENCIDA",IF($P980="Em execução","Em execução",IF($N980=TODAY(),"Hoje","Programada")))))))</f>
        <v/>
      </c>
      <c r="C980" s="38"/>
      <c r="D980" s="38"/>
      <c r="E980" s="38"/>
      <c r="F980" s="38"/>
      <c r="G980" s="39"/>
      <c r="H980" s="39"/>
      <c r="I980" s="40"/>
      <c r="J980" s="40"/>
      <c r="K980" s="40"/>
      <c r="L980" s="41"/>
      <c r="M980" s="42"/>
      <c r="N980" s="43" t="str">
        <f aca="false">IF(OR($L980="",$M980=""),"",$L980+MATCH($M980,Listas!$F$5:$F$11,0)-1)</f>
        <v/>
      </c>
      <c r="O980" s="44"/>
      <c r="P980" s="39"/>
      <c r="Q980" s="44"/>
      <c r="R980" s="38"/>
      <c r="S980" s="38"/>
      <c r="T980" s="36" t="str">
        <f aca="false">IF($F980="","",IF(ISNUMBER(SEARCH("(externo)",$I980&amp;$J980&amp;$K980)),"Terceirizada","Interna"))</f>
        <v/>
      </c>
      <c r="U980" s="43" t="str">
        <f aca="false">IF($N980="","",IF($Q980="",$N980,$Q980))</f>
        <v/>
      </c>
      <c r="V980" s="36" t="str">
        <f aca="false">IF($F980="","",IF(OR($O980="",$N980=""),0,IF($O980&lt;=$N980,1,0)))</f>
        <v/>
      </c>
      <c r="W980" s="36" t="str">
        <f aca="false">IF($F980="","",IF(OR($O980="",$U980=""),0,IF($O980&lt;=$U980,1,0)))</f>
        <v/>
      </c>
      <c r="X980" s="37" t="str">
        <f aca="false">IF(OR($O980="",$N980=""),"",MAX(0,$O980-$N980))</f>
        <v/>
      </c>
      <c r="Y980" s="36" t="str">
        <f aca="false">IF($F980="","",IF(AND($Q980&lt;&gt;"",$N980&lt;&gt;"",$Q980&lt;&gt;$N980),1,0))</f>
        <v/>
      </c>
      <c r="Z980" s="36" t="str">
        <f aca="false">IF($F980="","",IF($P980="Cancelada",0,IF(OR($O980&lt;&gt;"",$P980="Concluída"),1,0)))</f>
        <v/>
      </c>
    </row>
    <row r="981" customFormat="false" ht="16.5" hidden="false" customHeight="true" outlineLevel="0" collapsed="false">
      <c r="A981" s="36" t="str">
        <f aca="false">IF($F981="","",COUNTA($F$5:$F981))</f>
        <v/>
      </c>
      <c r="B981" s="37" t="str">
        <f aca="true">IF($F981="","",IF($P981="Cancelada","Cancelada",IF(OR($O981&lt;&gt;"",$P981="Concluída"),IF(OR($N981="",$O981="",$O981&lt;=$N981),"Concluída","Concluída com atraso"),IF($N981="","Na carteira",IF($N981&lt;TODAY(),"VENCIDA",IF($P981="Em execução","Em execução",IF($N981=TODAY(),"Hoje","Programada")))))))</f>
        <v/>
      </c>
      <c r="C981" s="38"/>
      <c r="D981" s="38"/>
      <c r="E981" s="38"/>
      <c r="F981" s="38"/>
      <c r="G981" s="39"/>
      <c r="H981" s="39"/>
      <c r="I981" s="40"/>
      <c r="J981" s="40"/>
      <c r="K981" s="40"/>
      <c r="L981" s="41"/>
      <c r="M981" s="42"/>
      <c r="N981" s="43" t="str">
        <f aca="false">IF(OR($L981="",$M981=""),"",$L981+MATCH($M981,Listas!$F$5:$F$11,0)-1)</f>
        <v/>
      </c>
      <c r="O981" s="44"/>
      <c r="P981" s="39"/>
      <c r="Q981" s="44"/>
      <c r="R981" s="38"/>
      <c r="S981" s="38"/>
      <c r="T981" s="36" t="str">
        <f aca="false">IF($F981="","",IF(ISNUMBER(SEARCH("(externo)",$I981&amp;$J981&amp;$K981)),"Terceirizada","Interna"))</f>
        <v/>
      </c>
      <c r="U981" s="43" t="str">
        <f aca="false">IF($N981="","",IF($Q981="",$N981,$Q981))</f>
        <v/>
      </c>
      <c r="V981" s="36" t="str">
        <f aca="false">IF($F981="","",IF(OR($O981="",$N981=""),0,IF($O981&lt;=$N981,1,0)))</f>
        <v/>
      </c>
      <c r="W981" s="36" t="str">
        <f aca="false">IF($F981="","",IF(OR($O981="",$U981=""),0,IF($O981&lt;=$U981,1,0)))</f>
        <v/>
      </c>
      <c r="X981" s="37" t="str">
        <f aca="false">IF(OR($O981="",$N981=""),"",MAX(0,$O981-$N981))</f>
        <v/>
      </c>
      <c r="Y981" s="36" t="str">
        <f aca="false">IF($F981="","",IF(AND($Q981&lt;&gt;"",$N981&lt;&gt;"",$Q981&lt;&gt;$N981),1,0))</f>
        <v/>
      </c>
      <c r="Z981" s="36" t="str">
        <f aca="false">IF($F981="","",IF($P981="Cancelada",0,IF(OR($O981&lt;&gt;"",$P981="Concluída"),1,0)))</f>
        <v/>
      </c>
    </row>
    <row r="982" customFormat="false" ht="16.5" hidden="false" customHeight="true" outlineLevel="0" collapsed="false">
      <c r="A982" s="36" t="str">
        <f aca="false">IF($F982="","",COUNTA($F$5:$F982))</f>
        <v/>
      </c>
      <c r="B982" s="37" t="str">
        <f aca="true">IF($F982="","",IF($P982="Cancelada","Cancelada",IF(OR($O982&lt;&gt;"",$P982="Concluída"),IF(OR($N982="",$O982="",$O982&lt;=$N982),"Concluída","Concluída com atraso"),IF($N982="","Na carteira",IF($N982&lt;TODAY(),"VENCIDA",IF($P982="Em execução","Em execução",IF($N982=TODAY(),"Hoje","Programada")))))))</f>
        <v/>
      </c>
      <c r="C982" s="38"/>
      <c r="D982" s="38"/>
      <c r="E982" s="38"/>
      <c r="F982" s="38"/>
      <c r="G982" s="39"/>
      <c r="H982" s="39"/>
      <c r="I982" s="40"/>
      <c r="J982" s="40"/>
      <c r="K982" s="40"/>
      <c r="L982" s="41"/>
      <c r="M982" s="42"/>
      <c r="N982" s="43" t="str">
        <f aca="false">IF(OR($L982="",$M982=""),"",$L982+MATCH($M982,Listas!$F$5:$F$11,0)-1)</f>
        <v/>
      </c>
      <c r="O982" s="44"/>
      <c r="P982" s="39"/>
      <c r="Q982" s="44"/>
      <c r="R982" s="38"/>
      <c r="S982" s="38"/>
      <c r="T982" s="36" t="str">
        <f aca="false">IF($F982="","",IF(ISNUMBER(SEARCH("(externo)",$I982&amp;$J982&amp;$K982)),"Terceirizada","Interna"))</f>
        <v/>
      </c>
      <c r="U982" s="43" t="str">
        <f aca="false">IF($N982="","",IF($Q982="",$N982,$Q982))</f>
        <v/>
      </c>
      <c r="V982" s="36" t="str">
        <f aca="false">IF($F982="","",IF(OR($O982="",$N982=""),0,IF($O982&lt;=$N982,1,0)))</f>
        <v/>
      </c>
      <c r="W982" s="36" t="str">
        <f aca="false">IF($F982="","",IF(OR($O982="",$U982=""),0,IF($O982&lt;=$U982,1,0)))</f>
        <v/>
      </c>
      <c r="X982" s="37" t="str">
        <f aca="false">IF(OR($O982="",$N982=""),"",MAX(0,$O982-$N982))</f>
        <v/>
      </c>
      <c r="Y982" s="36" t="str">
        <f aca="false">IF($F982="","",IF(AND($Q982&lt;&gt;"",$N982&lt;&gt;"",$Q982&lt;&gt;$N982),1,0))</f>
        <v/>
      </c>
      <c r="Z982" s="36" t="str">
        <f aca="false">IF($F982="","",IF($P982="Cancelada",0,IF(OR($O982&lt;&gt;"",$P982="Concluída"),1,0)))</f>
        <v/>
      </c>
    </row>
    <row r="983" customFormat="false" ht="16.5" hidden="false" customHeight="true" outlineLevel="0" collapsed="false">
      <c r="A983" s="36" t="str">
        <f aca="false">IF($F983="","",COUNTA($F$5:$F983))</f>
        <v/>
      </c>
      <c r="B983" s="37" t="str">
        <f aca="true">IF($F983="","",IF($P983="Cancelada","Cancelada",IF(OR($O983&lt;&gt;"",$P983="Concluída"),IF(OR($N983="",$O983="",$O983&lt;=$N983),"Concluída","Concluída com atraso"),IF($N983="","Na carteira",IF($N983&lt;TODAY(),"VENCIDA",IF($P983="Em execução","Em execução",IF($N983=TODAY(),"Hoje","Programada")))))))</f>
        <v/>
      </c>
      <c r="C983" s="38"/>
      <c r="D983" s="38"/>
      <c r="E983" s="38"/>
      <c r="F983" s="38"/>
      <c r="G983" s="39"/>
      <c r="H983" s="39"/>
      <c r="I983" s="40"/>
      <c r="J983" s="40"/>
      <c r="K983" s="40"/>
      <c r="L983" s="41"/>
      <c r="M983" s="42"/>
      <c r="N983" s="43" t="str">
        <f aca="false">IF(OR($L983="",$M983=""),"",$L983+MATCH($M983,Listas!$F$5:$F$11,0)-1)</f>
        <v/>
      </c>
      <c r="O983" s="44"/>
      <c r="P983" s="39"/>
      <c r="Q983" s="44"/>
      <c r="R983" s="38"/>
      <c r="S983" s="38"/>
      <c r="T983" s="36" t="str">
        <f aca="false">IF($F983="","",IF(ISNUMBER(SEARCH("(externo)",$I983&amp;$J983&amp;$K983)),"Terceirizada","Interna"))</f>
        <v/>
      </c>
      <c r="U983" s="43" t="str">
        <f aca="false">IF($N983="","",IF($Q983="",$N983,$Q983))</f>
        <v/>
      </c>
      <c r="V983" s="36" t="str">
        <f aca="false">IF($F983="","",IF(OR($O983="",$N983=""),0,IF($O983&lt;=$N983,1,0)))</f>
        <v/>
      </c>
      <c r="W983" s="36" t="str">
        <f aca="false">IF($F983="","",IF(OR($O983="",$U983=""),0,IF($O983&lt;=$U983,1,0)))</f>
        <v/>
      </c>
      <c r="X983" s="37" t="str">
        <f aca="false">IF(OR($O983="",$N983=""),"",MAX(0,$O983-$N983))</f>
        <v/>
      </c>
      <c r="Y983" s="36" t="str">
        <f aca="false">IF($F983="","",IF(AND($Q983&lt;&gt;"",$N983&lt;&gt;"",$Q983&lt;&gt;$N983),1,0))</f>
        <v/>
      </c>
      <c r="Z983" s="36" t="str">
        <f aca="false">IF($F983="","",IF($P983="Cancelada",0,IF(OR($O983&lt;&gt;"",$P983="Concluída"),1,0)))</f>
        <v/>
      </c>
    </row>
    <row r="984" customFormat="false" ht="16.5" hidden="false" customHeight="true" outlineLevel="0" collapsed="false">
      <c r="A984" s="36" t="str">
        <f aca="false">IF($F984="","",COUNTA($F$5:$F984))</f>
        <v/>
      </c>
      <c r="B984" s="37" t="str">
        <f aca="true">IF($F984="","",IF($P984="Cancelada","Cancelada",IF(OR($O984&lt;&gt;"",$P984="Concluída"),IF(OR($N984="",$O984="",$O984&lt;=$N984),"Concluída","Concluída com atraso"),IF($N984="","Na carteira",IF($N984&lt;TODAY(),"VENCIDA",IF($P984="Em execução","Em execução",IF($N984=TODAY(),"Hoje","Programada")))))))</f>
        <v/>
      </c>
      <c r="C984" s="38"/>
      <c r="D984" s="38"/>
      <c r="E984" s="38"/>
      <c r="F984" s="38"/>
      <c r="G984" s="39"/>
      <c r="H984" s="39"/>
      <c r="I984" s="40"/>
      <c r="J984" s="40"/>
      <c r="K984" s="40"/>
      <c r="L984" s="41"/>
      <c r="M984" s="42"/>
      <c r="N984" s="43" t="str">
        <f aca="false">IF(OR($L984="",$M984=""),"",$L984+MATCH($M984,Listas!$F$5:$F$11,0)-1)</f>
        <v/>
      </c>
      <c r="O984" s="44"/>
      <c r="P984" s="39"/>
      <c r="Q984" s="44"/>
      <c r="R984" s="38"/>
      <c r="S984" s="38"/>
      <c r="T984" s="36" t="str">
        <f aca="false">IF($F984="","",IF(ISNUMBER(SEARCH("(externo)",$I984&amp;$J984&amp;$K984)),"Terceirizada","Interna"))</f>
        <v/>
      </c>
      <c r="U984" s="43" t="str">
        <f aca="false">IF($N984="","",IF($Q984="",$N984,$Q984))</f>
        <v/>
      </c>
      <c r="V984" s="36" t="str">
        <f aca="false">IF($F984="","",IF(OR($O984="",$N984=""),0,IF($O984&lt;=$N984,1,0)))</f>
        <v/>
      </c>
      <c r="W984" s="36" t="str">
        <f aca="false">IF($F984="","",IF(OR($O984="",$U984=""),0,IF($O984&lt;=$U984,1,0)))</f>
        <v/>
      </c>
      <c r="X984" s="37" t="str">
        <f aca="false">IF(OR($O984="",$N984=""),"",MAX(0,$O984-$N984))</f>
        <v/>
      </c>
      <c r="Y984" s="36" t="str">
        <f aca="false">IF($F984="","",IF(AND($Q984&lt;&gt;"",$N984&lt;&gt;"",$Q984&lt;&gt;$N984),1,0))</f>
        <v/>
      </c>
      <c r="Z984" s="36" t="str">
        <f aca="false">IF($F984="","",IF($P984="Cancelada",0,IF(OR($O984&lt;&gt;"",$P984="Concluída"),1,0)))</f>
        <v/>
      </c>
    </row>
    <row r="985" customFormat="false" ht="16.5" hidden="false" customHeight="true" outlineLevel="0" collapsed="false">
      <c r="A985" s="36" t="str">
        <f aca="false">IF($F985="","",COUNTA($F$5:$F985))</f>
        <v/>
      </c>
      <c r="B985" s="37" t="str">
        <f aca="true">IF($F985="","",IF($P985="Cancelada","Cancelada",IF(OR($O985&lt;&gt;"",$P985="Concluída"),IF(OR($N985="",$O985="",$O985&lt;=$N985),"Concluída","Concluída com atraso"),IF($N985="","Na carteira",IF($N985&lt;TODAY(),"VENCIDA",IF($P985="Em execução","Em execução",IF($N985=TODAY(),"Hoje","Programada")))))))</f>
        <v/>
      </c>
      <c r="C985" s="38"/>
      <c r="D985" s="38"/>
      <c r="E985" s="38"/>
      <c r="F985" s="38"/>
      <c r="G985" s="39"/>
      <c r="H985" s="39"/>
      <c r="I985" s="40"/>
      <c r="J985" s="40"/>
      <c r="K985" s="40"/>
      <c r="L985" s="41"/>
      <c r="M985" s="42"/>
      <c r="N985" s="43" t="str">
        <f aca="false">IF(OR($L985="",$M985=""),"",$L985+MATCH($M985,Listas!$F$5:$F$11,0)-1)</f>
        <v/>
      </c>
      <c r="O985" s="44"/>
      <c r="P985" s="39"/>
      <c r="Q985" s="44"/>
      <c r="R985" s="38"/>
      <c r="S985" s="38"/>
      <c r="T985" s="36" t="str">
        <f aca="false">IF($F985="","",IF(ISNUMBER(SEARCH("(externo)",$I985&amp;$J985&amp;$K985)),"Terceirizada","Interna"))</f>
        <v/>
      </c>
      <c r="U985" s="43" t="str">
        <f aca="false">IF($N985="","",IF($Q985="",$N985,$Q985))</f>
        <v/>
      </c>
      <c r="V985" s="36" t="str">
        <f aca="false">IF($F985="","",IF(OR($O985="",$N985=""),0,IF($O985&lt;=$N985,1,0)))</f>
        <v/>
      </c>
      <c r="W985" s="36" t="str">
        <f aca="false">IF($F985="","",IF(OR($O985="",$U985=""),0,IF($O985&lt;=$U985,1,0)))</f>
        <v/>
      </c>
      <c r="X985" s="37" t="str">
        <f aca="false">IF(OR($O985="",$N985=""),"",MAX(0,$O985-$N985))</f>
        <v/>
      </c>
      <c r="Y985" s="36" t="str">
        <f aca="false">IF($F985="","",IF(AND($Q985&lt;&gt;"",$N985&lt;&gt;"",$Q985&lt;&gt;$N985),1,0))</f>
        <v/>
      </c>
      <c r="Z985" s="36" t="str">
        <f aca="false">IF($F985="","",IF($P985="Cancelada",0,IF(OR($O985&lt;&gt;"",$P985="Concluída"),1,0)))</f>
        <v/>
      </c>
    </row>
    <row r="986" customFormat="false" ht="16.5" hidden="false" customHeight="true" outlineLevel="0" collapsed="false">
      <c r="A986" s="36" t="str">
        <f aca="false">IF($F986="","",COUNTA($F$5:$F986))</f>
        <v/>
      </c>
      <c r="B986" s="37" t="str">
        <f aca="true">IF($F986="","",IF($P986="Cancelada","Cancelada",IF(OR($O986&lt;&gt;"",$P986="Concluída"),IF(OR($N986="",$O986="",$O986&lt;=$N986),"Concluída","Concluída com atraso"),IF($N986="","Na carteira",IF($N986&lt;TODAY(),"VENCIDA",IF($P986="Em execução","Em execução",IF($N986=TODAY(),"Hoje","Programada")))))))</f>
        <v/>
      </c>
      <c r="C986" s="38"/>
      <c r="D986" s="38"/>
      <c r="E986" s="38"/>
      <c r="F986" s="38"/>
      <c r="G986" s="39"/>
      <c r="H986" s="39"/>
      <c r="I986" s="40"/>
      <c r="J986" s="40"/>
      <c r="K986" s="40"/>
      <c r="L986" s="41"/>
      <c r="M986" s="42"/>
      <c r="N986" s="43" t="str">
        <f aca="false">IF(OR($L986="",$M986=""),"",$L986+MATCH($M986,Listas!$F$5:$F$11,0)-1)</f>
        <v/>
      </c>
      <c r="O986" s="44"/>
      <c r="P986" s="39"/>
      <c r="Q986" s="44"/>
      <c r="R986" s="38"/>
      <c r="S986" s="38"/>
      <c r="T986" s="36" t="str">
        <f aca="false">IF($F986="","",IF(ISNUMBER(SEARCH("(externo)",$I986&amp;$J986&amp;$K986)),"Terceirizada","Interna"))</f>
        <v/>
      </c>
      <c r="U986" s="43" t="str">
        <f aca="false">IF($N986="","",IF($Q986="",$N986,$Q986))</f>
        <v/>
      </c>
      <c r="V986" s="36" t="str">
        <f aca="false">IF($F986="","",IF(OR($O986="",$N986=""),0,IF($O986&lt;=$N986,1,0)))</f>
        <v/>
      </c>
      <c r="W986" s="36" t="str">
        <f aca="false">IF($F986="","",IF(OR($O986="",$U986=""),0,IF($O986&lt;=$U986,1,0)))</f>
        <v/>
      </c>
      <c r="X986" s="37" t="str">
        <f aca="false">IF(OR($O986="",$N986=""),"",MAX(0,$O986-$N986))</f>
        <v/>
      </c>
      <c r="Y986" s="36" t="str">
        <f aca="false">IF($F986="","",IF(AND($Q986&lt;&gt;"",$N986&lt;&gt;"",$Q986&lt;&gt;$N986),1,0))</f>
        <v/>
      </c>
      <c r="Z986" s="36" t="str">
        <f aca="false">IF($F986="","",IF($P986="Cancelada",0,IF(OR($O986&lt;&gt;"",$P986="Concluída"),1,0)))</f>
        <v/>
      </c>
    </row>
    <row r="987" customFormat="false" ht="16.5" hidden="false" customHeight="true" outlineLevel="0" collapsed="false">
      <c r="A987" s="36" t="str">
        <f aca="false">IF($F987="","",COUNTA($F$5:$F987))</f>
        <v/>
      </c>
      <c r="B987" s="37" t="str">
        <f aca="true">IF($F987="","",IF($P987="Cancelada","Cancelada",IF(OR($O987&lt;&gt;"",$P987="Concluída"),IF(OR($N987="",$O987="",$O987&lt;=$N987),"Concluída","Concluída com atraso"),IF($N987="","Na carteira",IF($N987&lt;TODAY(),"VENCIDA",IF($P987="Em execução","Em execução",IF($N987=TODAY(),"Hoje","Programada")))))))</f>
        <v/>
      </c>
      <c r="C987" s="38"/>
      <c r="D987" s="38"/>
      <c r="E987" s="38"/>
      <c r="F987" s="38"/>
      <c r="G987" s="39"/>
      <c r="H987" s="39"/>
      <c r="I987" s="40"/>
      <c r="J987" s="40"/>
      <c r="K987" s="40"/>
      <c r="L987" s="41"/>
      <c r="M987" s="42"/>
      <c r="N987" s="43" t="str">
        <f aca="false">IF(OR($L987="",$M987=""),"",$L987+MATCH($M987,Listas!$F$5:$F$11,0)-1)</f>
        <v/>
      </c>
      <c r="O987" s="44"/>
      <c r="P987" s="39"/>
      <c r="Q987" s="44"/>
      <c r="R987" s="38"/>
      <c r="S987" s="38"/>
      <c r="T987" s="36" t="str">
        <f aca="false">IF($F987="","",IF(ISNUMBER(SEARCH("(externo)",$I987&amp;$J987&amp;$K987)),"Terceirizada","Interna"))</f>
        <v/>
      </c>
      <c r="U987" s="43" t="str">
        <f aca="false">IF($N987="","",IF($Q987="",$N987,$Q987))</f>
        <v/>
      </c>
      <c r="V987" s="36" t="str">
        <f aca="false">IF($F987="","",IF(OR($O987="",$N987=""),0,IF($O987&lt;=$N987,1,0)))</f>
        <v/>
      </c>
      <c r="W987" s="36" t="str">
        <f aca="false">IF($F987="","",IF(OR($O987="",$U987=""),0,IF($O987&lt;=$U987,1,0)))</f>
        <v/>
      </c>
      <c r="X987" s="37" t="str">
        <f aca="false">IF(OR($O987="",$N987=""),"",MAX(0,$O987-$N987))</f>
        <v/>
      </c>
      <c r="Y987" s="36" t="str">
        <f aca="false">IF($F987="","",IF(AND($Q987&lt;&gt;"",$N987&lt;&gt;"",$Q987&lt;&gt;$N987),1,0))</f>
        <v/>
      </c>
      <c r="Z987" s="36" t="str">
        <f aca="false">IF($F987="","",IF($P987="Cancelada",0,IF(OR($O987&lt;&gt;"",$P987="Concluída"),1,0)))</f>
        <v/>
      </c>
    </row>
    <row r="988" customFormat="false" ht="16.5" hidden="false" customHeight="true" outlineLevel="0" collapsed="false">
      <c r="A988" s="36" t="str">
        <f aca="false">IF($F988="","",COUNTA($F$5:$F988))</f>
        <v/>
      </c>
      <c r="B988" s="37" t="str">
        <f aca="true">IF($F988="","",IF($P988="Cancelada","Cancelada",IF(OR($O988&lt;&gt;"",$P988="Concluída"),IF(OR($N988="",$O988="",$O988&lt;=$N988),"Concluída","Concluída com atraso"),IF($N988="","Na carteira",IF($N988&lt;TODAY(),"VENCIDA",IF($P988="Em execução","Em execução",IF($N988=TODAY(),"Hoje","Programada")))))))</f>
        <v/>
      </c>
      <c r="C988" s="38"/>
      <c r="D988" s="38"/>
      <c r="E988" s="38"/>
      <c r="F988" s="38"/>
      <c r="G988" s="39"/>
      <c r="H988" s="39"/>
      <c r="I988" s="40"/>
      <c r="J988" s="40"/>
      <c r="K988" s="40"/>
      <c r="L988" s="41"/>
      <c r="M988" s="42"/>
      <c r="N988" s="43" t="str">
        <f aca="false">IF(OR($L988="",$M988=""),"",$L988+MATCH($M988,Listas!$F$5:$F$11,0)-1)</f>
        <v/>
      </c>
      <c r="O988" s="44"/>
      <c r="P988" s="39"/>
      <c r="Q988" s="44"/>
      <c r="R988" s="38"/>
      <c r="S988" s="38"/>
      <c r="T988" s="36" t="str">
        <f aca="false">IF($F988="","",IF(ISNUMBER(SEARCH("(externo)",$I988&amp;$J988&amp;$K988)),"Terceirizada","Interna"))</f>
        <v/>
      </c>
      <c r="U988" s="43" t="str">
        <f aca="false">IF($N988="","",IF($Q988="",$N988,$Q988))</f>
        <v/>
      </c>
      <c r="V988" s="36" t="str">
        <f aca="false">IF($F988="","",IF(OR($O988="",$N988=""),0,IF($O988&lt;=$N988,1,0)))</f>
        <v/>
      </c>
      <c r="W988" s="36" t="str">
        <f aca="false">IF($F988="","",IF(OR($O988="",$U988=""),0,IF($O988&lt;=$U988,1,0)))</f>
        <v/>
      </c>
      <c r="X988" s="37" t="str">
        <f aca="false">IF(OR($O988="",$N988=""),"",MAX(0,$O988-$N988))</f>
        <v/>
      </c>
      <c r="Y988" s="36" t="str">
        <f aca="false">IF($F988="","",IF(AND($Q988&lt;&gt;"",$N988&lt;&gt;"",$Q988&lt;&gt;$N988),1,0))</f>
        <v/>
      </c>
      <c r="Z988" s="36" t="str">
        <f aca="false">IF($F988="","",IF($P988="Cancelada",0,IF(OR($O988&lt;&gt;"",$P988="Concluída"),1,0)))</f>
        <v/>
      </c>
    </row>
    <row r="989" customFormat="false" ht="16.5" hidden="false" customHeight="true" outlineLevel="0" collapsed="false">
      <c r="A989" s="36" t="str">
        <f aca="false">IF($F989="","",COUNTA($F$5:$F989))</f>
        <v/>
      </c>
      <c r="B989" s="37" t="str">
        <f aca="true">IF($F989="","",IF($P989="Cancelada","Cancelada",IF(OR($O989&lt;&gt;"",$P989="Concluída"),IF(OR($N989="",$O989="",$O989&lt;=$N989),"Concluída","Concluída com atraso"),IF($N989="","Na carteira",IF($N989&lt;TODAY(),"VENCIDA",IF($P989="Em execução","Em execução",IF($N989=TODAY(),"Hoje","Programada")))))))</f>
        <v/>
      </c>
      <c r="C989" s="38"/>
      <c r="D989" s="38"/>
      <c r="E989" s="38"/>
      <c r="F989" s="38"/>
      <c r="G989" s="39"/>
      <c r="H989" s="39"/>
      <c r="I989" s="40"/>
      <c r="J989" s="40"/>
      <c r="K989" s="40"/>
      <c r="L989" s="41"/>
      <c r="M989" s="42"/>
      <c r="N989" s="43" t="str">
        <f aca="false">IF(OR($L989="",$M989=""),"",$L989+MATCH($M989,Listas!$F$5:$F$11,0)-1)</f>
        <v/>
      </c>
      <c r="O989" s="44"/>
      <c r="P989" s="39"/>
      <c r="Q989" s="44"/>
      <c r="R989" s="38"/>
      <c r="S989" s="38"/>
      <c r="T989" s="36" t="str">
        <f aca="false">IF($F989="","",IF(ISNUMBER(SEARCH("(externo)",$I989&amp;$J989&amp;$K989)),"Terceirizada","Interna"))</f>
        <v/>
      </c>
      <c r="U989" s="43" t="str">
        <f aca="false">IF($N989="","",IF($Q989="",$N989,$Q989))</f>
        <v/>
      </c>
      <c r="V989" s="36" t="str">
        <f aca="false">IF($F989="","",IF(OR($O989="",$N989=""),0,IF($O989&lt;=$N989,1,0)))</f>
        <v/>
      </c>
      <c r="W989" s="36" t="str">
        <f aca="false">IF($F989="","",IF(OR($O989="",$U989=""),0,IF($O989&lt;=$U989,1,0)))</f>
        <v/>
      </c>
      <c r="X989" s="37" t="str">
        <f aca="false">IF(OR($O989="",$N989=""),"",MAX(0,$O989-$N989))</f>
        <v/>
      </c>
      <c r="Y989" s="36" t="str">
        <f aca="false">IF($F989="","",IF(AND($Q989&lt;&gt;"",$N989&lt;&gt;"",$Q989&lt;&gt;$N989),1,0))</f>
        <v/>
      </c>
      <c r="Z989" s="36" t="str">
        <f aca="false">IF($F989="","",IF($P989="Cancelada",0,IF(OR($O989&lt;&gt;"",$P989="Concluída"),1,0)))</f>
        <v/>
      </c>
    </row>
    <row r="990" customFormat="false" ht="16.5" hidden="false" customHeight="true" outlineLevel="0" collapsed="false">
      <c r="A990" s="36" t="str">
        <f aca="false">IF($F990="","",COUNTA($F$5:$F990))</f>
        <v/>
      </c>
      <c r="B990" s="37" t="str">
        <f aca="true">IF($F990="","",IF($P990="Cancelada","Cancelada",IF(OR($O990&lt;&gt;"",$P990="Concluída"),IF(OR($N990="",$O990="",$O990&lt;=$N990),"Concluída","Concluída com atraso"),IF($N990="","Na carteira",IF($N990&lt;TODAY(),"VENCIDA",IF($P990="Em execução","Em execução",IF($N990=TODAY(),"Hoje","Programada")))))))</f>
        <v/>
      </c>
      <c r="C990" s="38"/>
      <c r="D990" s="38"/>
      <c r="E990" s="38"/>
      <c r="F990" s="38"/>
      <c r="G990" s="39"/>
      <c r="H990" s="39"/>
      <c r="I990" s="40"/>
      <c r="J990" s="40"/>
      <c r="K990" s="40"/>
      <c r="L990" s="41"/>
      <c r="M990" s="42"/>
      <c r="N990" s="43" t="str">
        <f aca="false">IF(OR($L990="",$M990=""),"",$L990+MATCH($M990,Listas!$F$5:$F$11,0)-1)</f>
        <v/>
      </c>
      <c r="O990" s="44"/>
      <c r="P990" s="39"/>
      <c r="Q990" s="44"/>
      <c r="R990" s="38"/>
      <c r="S990" s="38"/>
      <c r="T990" s="36" t="str">
        <f aca="false">IF($F990="","",IF(ISNUMBER(SEARCH("(externo)",$I990&amp;$J990&amp;$K990)),"Terceirizada","Interna"))</f>
        <v/>
      </c>
      <c r="U990" s="43" t="str">
        <f aca="false">IF($N990="","",IF($Q990="",$N990,$Q990))</f>
        <v/>
      </c>
      <c r="V990" s="36" t="str">
        <f aca="false">IF($F990="","",IF(OR($O990="",$N990=""),0,IF($O990&lt;=$N990,1,0)))</f>
        <v/>
      </c>
      <c r="W990" s="36" t="str">
        <f aca="false">IF($F990="","",IF(OR($O990="",$U990=""),0,IF($O990&lt;=$U990,1,0)))</f>
        <v/>
      </c>
      <c r="X990" s="37" t="str">
        <f aca="false">IF(OR($O990="",$N990=""),"",MAX(0,$O990-$N990))</f>
        <v/>
      </c>
      <c r="Y990" s="36" t="str">
        <f aca="false">IF($F990="","",IF(AND($Q990&lt;&gt;"",$N990&lt;&gt;"",$Q990&lt;&gt;$N990),1,0))</f>
        <v/>
      </c>
      <c r="Z990" s="36" t="str">
        <f aca="false">IF($F990="","",IF($P990="Cancelada",0,IF(OR($O990&lt;&gt;"",$P990="Concluída"),1,0)))</f>
        <v/>
      </c>
    </row>
    <row r="991" customFormat="false" ht="16.5" hidden="false" customHeight="true" outlineLevel="0" collapsed="false">
      <c r="A991" s="36" t="str">
        <f aca="false">IF($F991="","",COUNTA($F$5:$F991))</f>
        <v/>
      </c>
      <c r="B991" s="37" t="str">
        <f aca="true">IF($F991="","",IF($P991="Cancelada","Cancelada",IF(OR($O991&lt;&gt;"",$P991="Concluída"),IF(OR($N991="",$O991="",$O991&lt;=$N991),"Concluída","Concluída com atraso"),IF($N991="","Na carteira",IF($N991&lt;TODAY(),"VENCIDA",IF($P991="Em execução","Em execução",IF($N991=TODAY(),"Hoje","Programada")))))))</f>
        <v/>
      </c>
      <c r="C991" s="38"/>
      <c r="D991" s="38"/>
      <c r="E991" s="38"/>
      <c r="F991" s="38"/>
      <c r="G991" s="39"/>
      <c r="H991" s="39"/>
      <c r="I991" s="40"/>
      <c r="J991" s="40"/>
      <c r="K991" s="40"/>
      <c r="L991" s="41"/>
      <c r="M991" s="42"/>
      <c r="N991" s="43" t="str">
        <f aca="false">IF(OR($L991="",$M991=""),"",$L991+MATCH($M991,Listas!$F$5:$F$11,0)-1)</f>
        <v/>
      </c>
      <c r="O991" s="44"/>
      <c r="P991" s="39"/>
      <c r="Q991" s="44"/>
      <c r="R991" s="38"/>
      <c r="S991" s="38"/>
      <c r="T991" s="36" t="str">
        <f aca="false">IF($F991="","",IF(ISNUMBER(SEARCH("(externo)",$I991&amp;$J991&amp;$K991)),"Terceirizada","Interna"))</f>
        <v/>
      </c>
      <c r="U991" s="43" t="str">
        <f aca="false">IF($N991="","",IF($Q991="",$N991,$Q991))</f>
        <v/>
      </c>
      <c r="V991" s="36" t="str">
        <f aca="false">IF($F991="","",IF(OR($O991="",$N991=""),0,IF($O991&lt;=$N991,1,0)))</f>
        <v/>
      </c>
      <c r="W991" s="36" t="str">
        <f aca="false">IF($F991="","",IF(OR($O991="",$U991=""),0,IF($O991&lt;=$U991,1,0)))</f>
        <v/>
      </c>
      <c r="X991" s="37" t="str">
        <f aca="false">IF(OR($O991="",$N991=""),"",MAX(0,$O991-$N991))</f>
        <v/>
      </c>
      <c r="Y991" s="36" t="str">
        <f aca="false">IF($F991="","",IF(AND($Q991&lt;&gt;"",$N991&lt;&gt;"",$Q991&lt;&gt;$N991),1,0))</f>
        <v/>
      </c>
      <c r="Z991" s="36" t="str">
        <f aca="false">IF($F991="","",IF($P991="Cancelada",0,IF(OR($O991&lt;&gt;"",$P991="Concluída"),1,0)))</f>
        <v/>
      </c>
    </row>
    <row r="992" customFormat="false" ht="16.5" hidden="false" customHeight="true" outlineLevel="0" collapsed="false">
      <c r="A992" s="36" t="str">
        <f aca="false">IF($F992="","",COUNTA($F$5:$F992))</f>
        <v/>
      </c>
      <c r="B992" s="37" t="str">
        <f aca="true">IF($F992="","",IF($P992="Cancelada","Cancelada",IF(OR($O992&lt;&gt;"",$P992="Concluída"),IF(OR($N992="",$O992="",$O992&lt;=$N992),"Concluída","Concluída com atraso"),IF($N992="","Na carteira",IF($N992&lt;TODAY(),"VENCIDA",IF($P992="Em execução","Em execução",IF($N992=TODAY(),"Hoje","Programada")))))))</f>
        <v/>
      </c>
      <c r="C992" s="38"/>
      <c r="D992" s="38"/>
      <c r="E992" s="38"/>
      <c r="F992" s="38"/>
      <c r="G992" s="39"/>
      <c r="H992" s="39"/>
      <c r="I992" s="40"/>
      <c r="J992" s="40"/>
      <c r="K992" s="40"/>
      <c r="L992" s="41"/>
      <c r="M992" s="42"/>
      <c r="N992" s="43" t="str">
        <f aca="false">IF(OR($L992="",$M992=""),"",$L992+MATCH($M992,Listas!$F$5:$F$11,0)-1)</f>
        <v/>
      </c>
      <c r="O992" s="44"/>
      <c r="P992" s="39"/>
      <c r="Q992" s="44"/>
      <c r="R992" s="38"/>
      <c r="S992" s="38"/>
      <c r="T992" s="36" t="str">
        <f aca="false">IF($F992="","",IF(ISNUMBER(SEARCH("(externo)",$I992&amp;$J992&amp;$K992)),"Terceirizada","Interna"))</f>
        <v/>
      </c>
      <c r="U992" s="43" t="str">
        <f aca="false">IF($N992="","",IF($Q992="",$N992,$Q992))</f>
        <v/>
      </c>
      <c r="V992" s="36" t="str">
        <f aca="false">IF($F992="","",IF(OR($O992="",$N992=""),0,IF($O992&lt;=$N992,1,0)))</f>
        <v/>
      </c>
      <c r="W992" s="36" t="str">
        <f aca="false">IF($F992="","",IF(OR($O992="",$U992=""),0,IF($O992&lt;=$U992,1,0)))</f>
        <v/>
      </c>
      <c r="X992" s="37" t="str">
        <f aca="false">IF(OR($O992="",$N992=""),"",MAX(0,$O992-$N992))</f>
        <v/>
      </c>
      <c r="Y992" s="36" t="str">
        <f aca="false">IF($F992="","",IF(AND($Q992&lt;&gt;"",$N992&lt;&gt;"",$Q992&lt;&gt;$N992),1,0))</f>
        <v/>
      </c>
      <c r="Z992" s="36" t="str">
        <f aca="false">IF($F992="","",IF($P992="Cancelada",0,IF(OR($O992&lt;&gt;"",$P992="Concluída"),1,0)))</f>
        <v/>
      </c>
    </row>
    <row r="993" customFormat="false" ht="16.5" hidden="false" customHeight="true" outlineLevel="0" collapsed="false">
      <c r="A993" s="36" t="str">
        <f aca="false">IF($F993="","",COUNTA($F$5:$F993))</f>
        <v/>
      </c>
      <c r="B993" s="37" t="str">
        <f aca="true">IF($F993="","",IF($P993="Cancelada","Cancelada",IF(OR($O993&lt;&gt;"",$P993="Concluída"),IF(OR($N993="",$O993="",$O993&lt;=$N993),"Concluída","Concluída com atraso"),IF($N993="","Na carteira",IF($N993&lt;TODAY(),"VENCIDA",IF($P993="Em execução","Em execução",IF($N993=TODAY(),"Hoje","Programada")))))))</f>
        <v/>
      </c>
      <c r="C993" s="38"/>
      <c r="D993" s="38"/>
      <c r="E993" s="38"/>
      <c r="F993" s="38"/>
      <c r="G993" s="39"/>
      <c r="H993" s="39"/>
      <c r="I993" s="40"/>
      <c r="J993" s="40"/>
      <c r="K993" s="40"/>
      <c r="L993" s="41"/>
      <c r="M993" s="42"/>
      <c r="N993" s="43" t="str">
        <f aca="false">IF(OR($L993="",$M993=""),"",$L993+MATCH($M993,Listas!$F$5:$F$11,0)-1)</f>
        <v/>
      </c>
      <c r="O993" s="44"/>
      <c r="P993" s="39"/>
      <c r="Q993" s="44"/>
      <c r="R993" s="38"/>
      <c r="S993" s="38"/>
      <c r="T993" s="36" t="str">
        <f aca="false">IF($F993="","",IF(ISNUMBER(SEARCH("(externo)",$I993&amp;$J993&amp;$K993)),"Terceirizada","Interna"))</f>
        <v/>
      </c>
      <c r="U993" s="43" t="str">
        <f aca="false">IF($N993="","",IF($Q993="",$N993,$Q993))</f>
        <v/>
      </c>
      <c r="V993" s="36" t="str">
        <f aca="false">IF($F993="","",IF(OR($O993="",$N993=""),0,IF($O993&lt;=$N993,1,0)))</f>
        <v/>
      </c>
      <c r="W993" s="36" t="str">
        <f aca="false">IF($F993="","",IF(OR($O993="",$U993=""),0,IF($O993&lt;=$U993,1,0)))</f>
        <v/>
      </c>
      <c r="X993" s="37" t="str">
        <f aca="false">IF(OR($O993="",$N993=""),"",MAX(0,$O993-$N993))</f>
        <v/>
      </c>
      <c r="Y993" s="36" t="str">
        <f aca="false">IF($F993="","",IF(AND($Q993&lt;&gt;"",$N993&lt;&gt;"",$Q993&lt;&gt;$N993),1,0))</f>
        <v/>
      </c>
      <c r="Z993" s="36" t="str">
        <f aca="false">IF($F993="","",IF($P993="Cancelada",0,IF(OR($O993&lt;&gt;"",$P993="Concluída"),1,0)))</f>
        <v/>
      </c>
    </row>
    <row r="994" customFormat="false" ht="16.5" hidden="false" customHeight="true" outlineLevel="0" collapsed="false">
      <c r="A994" s="36" t="str">
        <f aca="false">IF($F994="","",COUNTA($F$5:$F994))</f>
        <v/>
      </c>
      <c r="B994" s="37" t="str">
        <f aca="true">IF($F994="","",IF($P994="Cancelada","Cancelada",IF(OR($O994&lt;&gt;"",$P994="Concluída"),IF(OR($N994="",$O994="",$O994&lt;=$N994),"Concluída","Concluída com atraso"),IF($N994="","Na carteira",IF($N994&lt;TODAY(),"VENCIDA",IF($P994="Em execução","Em execução",IF($N994=TODAY(),"Hoje","Programada")))))))</f>
        <v/>
      </c>
      <c r="C994" s="38"/>
      <c r="D994" s="38"/>
      <c r="E994" s="38"/>
      <c r="F994" s="38"/>
      <c r="G994" s="39"/>
      <c r="H994" s="39"/>
      <c r="I994" s="40"/>
      <c r="J994" s="40"/>
      <c r="K994" s="40"/>
      <c r="L994" s="41"/>
      <c r="M994" s="42"/>
      <c r="N994" s="43" t="str">
        <f aca="false">IF(OR($L994="",$M994=""),"",$L994+MATCH($M994,Listas!$F$5:$F$11,0)-1)</f>
        <v/>
      </c>
      <c r="O994" s="44"/>
      <c r="P994" s="39"/>
      <c r="Q994" s="44"/>
      <c r="R994" s="38"/>
      <c r="S994" s="38"/>
      <c r="T994" s="36" t="str">
        <f aca="false">IF($F994="","",IF(ISNUMBER(SEARCH("(externo)",$I994&amp;$J994&amp;$K994)),"Terceirizada","Interna"))</f>
        <v/>
      </c>
      <c r="U994" s="43" t="str">
        <f aca="false">IF($N994="","",IF($Q994="",$N994,$Q994))</f>
        <v/>
      </c>
      <c r="V994" s="36" t="str">
        <f aca="false">IF($F994="","",IF(OR($O994="",$N994=""),0,IF($O994&lt;=$N994,1,0)))</f>
        <v/>
      </c>
      <c r="W994" s="36" t="str">
        <f aca="false">IF($F994="","",IF(OR($O994="",$U994=""),0,IF($O994&lt;=$U994,1,0)))</f>
        <v/>
      </c>
      <c r="X994" s="37" t="str">
        <f aca="false">IF(OR($O994="",$N994=""),"",MAX(0,$O994-$N994))</f>
        <v/>
      </c>
      <c r="Y994" s="36" t="str">
        <f aca="false">IF($F994="","",IF(AND($Q994&lt;&gt;"",$N994&lt;&gt;"",$Q994&lt;&gt;$N994),1,0))</f>
        <v/>
      </c>
      <c r="Z994" s="36" t="str">
        <f aca="false">IF($F994="","",IF($P994="Cancelada",0,IF(OR($O994&lt;&gt;"",$P994="Concluída"),1,0)))</f>
        <v/>
      </c>
    </row>
    <row r="995" customFormat="false" ht="16.5" hidden="false" customHeight="true" outlineLevel="0" collapsed="false">
      <c r="A995" s="36" t="str">
        <f aca="false">IF($F995="","",COUNTA($F$5:$F995))</f>
        <v/>
      </c>
      <c r="B995" s="37" t="str">
        <f aca="true">IF($F995="","",IF($P995="Cancelada","Cancelada",IF(OR($O995&lt;&gt;"",$P995="Concluída"),IF(OR($N995="",$O995="",$O995&lt;=$N995),"Concluída","Concluída com atraso"),IF($N995="","Na carteira",IF($N995&lt;TODAY(),"VENCIDA",IF($P995="Em execução","Em execução",IF($N995=TODAY(),"Hoje","Programada")))))))</f>
        <v/>
      </c>
      <c r="C995" s="38"/>
      <c r="D995" s="38"/>
      <c r="E995" s="38"/>
      <c r="F995" s="38"/>
      <c r="G995" s="39"/>
      <c r="H995" s="39"/>
      <c r="I995" s="40"/>
      <c r="J995" s="40"/>
      <c r="K995" s="40"/>
      <c r="L995" s="41"/>
      <c r="M995" s="42"/>
      <c r="N995" s="43" t="str">
        <f aca="false">IF(OR($L995="",$M995=""),"",$L995+MATCH($M995,Listas!$F$5:$F$11,0)-1)</f>
        <v/>
      </c>
      <c r="O995" s="44"/>
      <c r="P995" s="39"/>
      <c r="Q995" s="44"/>
      <c r="R995" s="38"/>
      <c r="S995" s="38"/>
      <c r="T995" s="36" t="str">
        <f aca="false">IF($F995="","",IF(ISNUMBER(SEARCH("(externo)",$I995&amp;$J995&amp;$K995)),"Terceirizada","Interna"))</f>
        <v/>
      </c>
      <c r="U995" s="43" t="str">
        <f aca="false">IF($N995="","",IF($Q995="",$N995,$Q995))</f>
        <v/>
      </c>
      <c r="V995" s="36" t="str">
        <f aca="false">IF($F995="","",IF(OR($O995="",$N995=""),0,IF($O995&lt;=$N995,1,0)))</f>
        <v/>
      </c>
      <c r="W995" s="36" t="str">
        <f aca="false">IF($F995="","",IF(OR($O995="",$U995=""),0,IF($O995&lt;=$U995,1,0)))</f>
        <v/>
      </c>
      <c r="X995" s="37" t="str">
        <f aca="false">IF(OR($O995="",$N995=""),"",MAX(0,$O995-$N995))</f>
        <v/>
      </c>
      <c r="Y995" s="36" t="str">
        <f aca="false">IF($F995="","",IF(AND($Q995&lt;&gt;"",$N995&lt;&gt;"",$Q995&lt;&gt;$N995),1,0))</f>
        <v/>
      </c>
      <c r="Z995" s="36" t="str">
        <f aca="false">IF($F995="","",IF($P995="Cancelada",0,IF(OR($O995&lt;&gt;"",$P995="Concluída"),1,0)))</f>
        <v/>
      </c>
    </row>
    <row r="996" customFormat="false" ht="16.5" hidden="false" customHeight="true" outlineLevel="0" collapsed="false">
      <c r="A996" s="36" t="str">
        <f aca="false">IF($F996="","",COUNTA($F$5:$F996))</f>
        <v/>
      </c>
      <c r="B996" s="37" t="str">
        <f aca="true">IF($F996="","",IF($P996="Cancelada","Cancelada",IF(OR($O996&lt;&gt;"",$P996="Concluída"),IF(OR($N996="",$O996="",$O996&lt;=$N996),"Concluída","Concluída com atraso"),IF($N996="","Na carteira",IF($N996&lt;TODAY(),"VENCIDA",IF($P996="Em execução","Em execução",IF($N996=TODAY(),"Hoje","Programada")))))))</f>
        <v/>
      </c>
      <c r="C996" s="38"/>
      <c r="D996" s="38"/>
      <c r="E996" s="38"/>
      <c r="F996" s="38"/>
      <c r="G996" s="39"/>
      <c r="H996" s="39"/>
      <c r="I996" s="40"/>
      <c r="J996" s="40"/>
      <c r="K996" s="40"/>
      <c r="L996" s="41"/>
      <c r="M996" s="42"/>
      <c r="N996" s="43" t="str">
        <f aca="false">IF(OR($L996="",$M996=""),"",$L996+MATCH($M996,Listas!$F$5:$F$11,0)-1)</f>
        <v/>
      </c>
      <c r="O996" s="44"/>
      <c r="P996" s="39"/>
      <c r="Q996" s="44"/>
      <c r="R996" s="38"/>
      <c r="S996" s="38"/>
      <c r="T996" s="36" t="str">
        <f aca="false">IF($F996="","",IF(ISNUMBER(SEARCH("(externo)",$I996&amp;$J996&amp;$K996)),"Terceirizada","Interna"))</f>
        <v/>
      </c>
      <c r="U996" s="43" t="str">
        <f aca="false">IF($N996="","",IF($Q996="",$N996,$Q996))</f>
        <v/>
      </c>
      <c r="V996" s="36" t="str">
        <f aca="false">IF($F996="","",IF(OR($O996="",$N996=""),0,IF($O996&lt;=$N996,1,0)))</f>
        <v/>
      </c>
      <c r="W996" s="36" t="str">
        <f aca="false">IF($F996="","",IF(OR($O996="",$U996=""),0,IF($O996&lt;=$U996,1,0)))</f>
        <v/>
      </c>
      <c r="X996" s="37" t="str">
        <f aca="false">IF(OR($O996="",$N996=""),"",MAX(0,$O996-$N996))</f>
        <v/>
      </c>
      <c r="Y996" s="36" t="str">
        <f aca="false">IF($F996="","",IF(AND($Q996&lt;&gt;"",$N996&lt;&gt;"",$Q996&lt;&gt;$N996),1,0))</f>
        <v/>
      </c>
      <c r="Z996" s="36" t="str">
        <f aca="false">IF($F996="","",IF($P996="Cancelada",0,IF(OR($O996&lt;&gt;"",$P996="Concluída"),1,0)))</f>
        <v/>
      </c>
    </row>
    <row r="997" customFormat="false" ht="16.5" hidden="false" customHeight="true" outlineLevel="0" collapsed="false">
      <c r="A997" s="36" t="str">
        <f aca="false">IF($F997="","",COUNTA($F$5:$F997))</f>
        <v/>
      </c>
      <c r="B997" s="37" t="str">
        <f aca="true">IF($F997="","",IF($P997="Cancelada","Cancelada",IF(OR($O997&lt;&gt;"",$P997="Concluída"),IF(OR($N997="",$O997="",$O997&lt;=$N997),"Concluída","Concluída com atraso"),IF($N997="","Na carteira",IF($N997&lt;TODAY(),"VENCIDA",IF($P997="Em execução","Em execução",IF($N997=TODAY(),"Hoje","Programada")))))))</f>
        <v/>
      </c>
      <c r="C997" s="38"/>
      <c r="D997" s="38"/>
      <c r="E997" s="38"/>
      <c r="F997" s="38"/>
      <c r="G997" s="39"/>
      <c r="H997" s="39"/>
      <c r="I997" s="40"/>
      <c r="J997" s="40"/>
      <c r="K997" s="40"/>
      <c r="L997" s="41"/>
      <c r="M997" s="42"/>
      <c r="N997" s="43" t="str">
        <f aca="false">IF(OR($L997="",$M997=""),"",$L997+MATCH($M997,Listas!$F$5:$F$11,0)-1)</f>
        <v/>
      </c>
      <c r="O997" s="44"/>
      <c r="P997" s="39"/>
      <c r="Q997" s="44"/>
      <c r="R997" s="38"/>
      <c r="S997" s="38"/>
      <c r="T997" s="36" t="str">
        <f aca="false">IF($F997="","",IF(ISNUMBER(SEARCH("(externo)",$I997&amp;$J997&amp;$K997)),"Terceirizada","Interna"))</f>
        <v/>
      </c>
      <c r="U997" s="43" t="str">
        <f aca="false">IF($N997="","",IF($Q997="",$N997,$Q997))</f>
        <v/>
      </c>
      <c r="V997" s="36" t="str">
        <f aca="false">IF($F997="","",IF(OR($O997="",$N997=""),0,IF($O997&lt;=$N997,1,0)))</f>
        <v/>
      </c>
      <c r="W997" s="36" t="str">
        <f aca="false">IF($F997="","",IF(OR($O997="",$U997=""),0,IF($O997&lt;=$U997,1,0)))</f>
        <v/>
      </c>
      <c r="X997" s="37" t="str">
        <f aca="false">IF(OR($O997="",$N997=""),"",MAX(0,$O997-$N997))</f>
        <v/>
      </c>
      <c r="Y997" s="36" t="str">
        <f aca="false">IF($F997="","",IF(AND($Q997&lt;&gt;"",$N997&lt;&gt;"",$Q997&lt;&gt;$N997),1,0))</f>
        <v/>
      </c>
      <c r="Z997" s="36" t="str">
        <f aca="false">IF($F997="","",IF($P997="Cancelada",0,IF(OR($O997&lt;&gt;"",$P997="Concluída"),1,0)))</f>
        <v/>
      </c>
    </row>
    <row r="998" customFormat="false" ht="16.5" hidden="false" customHeight="true" outlineLevel="0" collapsed="false">
      <c r="A998" s="36" t="str">
        <f aca="false">IF($F998="","",COUNTA($F$5:$F998))</f>
        <v/>
      </c>
      <c r="B998" s="37" t="str">
        <f aca="true">IF($F998="","",IF($P998="Cancelada","Cancelada",IF(OR($O998&lt;&gt;"",$P998="Concluída"),IF(OR($N998="",$O998="",$O998&lt;=$N998),"Concluída","Concluída com atraso"),IF($N998="","Na carteira",IF($N998&lt;TODAY(),"VENCIDA",IF($P998="Em execução","Em execução",IF($N998=TODAY(),"Hoje","Programada")))))))</f>
        <v/>
      </c>
      <c r="C998" s="38"/>
      <c r="D998" s="38"/>
      <c r="E998" s="38"/>
      <c r="F998" s="38"/>
      <c r="G998" s="39"/>
      <c r="H998" s="39"/>
      <c r="I998" s="40"/>
      <c r="J998" s="40"/>
      <c r="K998" s="40"/>
      <c r="L998" s="41"/>
      <c r="M998" s="42"/>
      <c r="N998" s="43" t="str">
        <f aca="false">IF(OR($L998="",$M998=""),"",$L998+MATCH($M998,Listas!$F$5:$F$11,0)-1)</f>
        <v/>
      </c>
      <c r="O998" s="44"/>
      <c r="P998" s="39"/>
      <c r="Q998" s="44"/>
      <c r="R998" s="38"/>
      <c r="S998" s="38"/>
      <c r="T998" s="36" t="str">
        <f aca="false">IF($F998="","",IF(ISNUMBER(SEARCH("(externo)",$I998&amp;$J998&amp;$K998)),"Terceirizada","Interna"))</f>
        <v/>
      </c>
      <c r="U998" s="43" t="str">
        <f aca="false">IF($N998="","",IF($Q998="",$N998,$Q998))</f>
        <v/>
      </c>
      <c r="V998" s="36" t="str">
        <f aca="false">IF($F998="","",IF(OR($O998="",$N998=""),0,IF($O998&lt;=$N998,1,0)))</f>
        <v/>
      </c>
      <c r="W998" s="36" t="str">
        <f aca="false">IF($F998="","",IF(OR($O998="",$U998=""),0,IF($O998&lt;=$U998,1,0)))</f>
        <v/>
      </c>
      <c r="X998" s="37" t="str">
        <f aca="false">IF(OR($O998="",$N998=""),"",MAX(0,$O998-$N998))</f>
        <v/>
      </c>
      <c r="Y998" s="36" t="str">
        <f aca="false">IF($F998="","",IF(AND($Q998&lt;&gt;"",$N998&lt;&gt;"",$Q998&lt;&gt;$N998),1,0))</f>
        <v/>
      </c>
      <c r="Z998" s="36" t="str">
        <f aca="false">IF($F998="","",IF($P998="Cancelada",0,IF(OR($O998&lt;&gt;"",$P998="Concluída"),1,0)))</f>
        <v/>
      </c>
    </row>
    <row r="999" customFormat="false" ht="16.5" hidden="false" customHeight="true" outlineLevel="0" collapsed="false">
      <c r="A999" s="36" t="str">
        <f aca="false">IF($F999="","",COUNTA($F$5:$F999))</f>
        <v/>
      </c>
      <c r="B999" s="37" t="str">
        <f aca="true">IF($F999="","",IF($P999="Cancelada","Cancelada",IF(OR($O999&lt;&gt;"",$P999="Concluída"),IF(OR($N999="",$O999="",$O999&lt;=$N999),"Concluída","Concluída com atraso"),IF($N999="","Na carteira",IF($N999&lt;TODAY(),"VENCIDA",IF($P999="Em execução","Em execução",IF($N999=TODAY(),"Hoje","Programada")))))))</f>
        <v/>
      </c>
      <c r="C999" s="38"/>
      <c r="D999" s="38"/>
      <c r="E999" s="38"/>
      <c r="F999" s="38"/>
      <c r="G999" s="39"/>
      <c r="H999" s="39"/>
      <c r="I999" s="40"/>
      <c r="J999" s="40"/>
      <c r="K999" s="40"/>
      <c r="L999" s="41"/>
      <c r="M999" s="42"/>
      <c r="N999" s="43" t="str">
        <f aca="false">IF(OR($L999="",$M999=""),"",$L999+MATCH($M999,Listas!$F$5:$F$11,0)-1)</f>
        <v/>
      </c>
      <c r="O999" s="44"/>
      <c r="P999" s="39"/>
      <c r="Q999" s="44"/>
      <c r="R999" s="38"/>
      <c r="S999" s="38"/>
      <c r="T999" s="36" t="str">
        <f aca="false">IF($F999="","",IF(ISNUMBER(SEARCH("(externo)",$I999&amp;$J999&amp;$K999)),"Terceirizada","Interna"))</f>
        <v/>
      </c>
      <c r="U999" s="43" t="str">
        <f aca="false">IF($N999="","",IF($Q999="",$N999,$Q999))</f>
        <v/>
      </c>
      <c r="V999" s="36" t="str">
        <f aca="false">IF($F999="","",IF(OR($O999="",$N999=""),0,IF($O999&lt;=$N999,1,0)))</f>
        <v/>
      </c>
      <c r="W999" s="36" t="str">
        <f aca="false">IF($F999="","",IF(OR($O999="",$U999=""),0,IF($O999&lt;=$U999,1,0)))</f>
        <v/>
      </c>
      <c r="X999" s="37" t="str">
        <f aca="false">IF(OR($O999="",$N999=""),"",MAX(0,$O999-$N999))</f>
        <v/>
      </c>
      <c r="Y999" s="36" t="str">
        <f aca="false">IF($F999="","",IF(AND($Q999&lt;&gt;"",$N999&lt;&gt;"",$Q999&lt;&gt;$N999),1,0))</f>
        <v/>
      </c>
      <c r="Z999" s="36" t="str">
        <f aca="false">IF($F999="","",IF($P999="Cancelada",0,IF(OR($O999&lt;&gt;"",$P999="Concluída"),1,0)))</f>
        <v/>
      </c>
    </row>
    <row r="1000" customFormat="false" ht="16.5" hidden="false" customHeight="true" outlineLevel="0" collapsed="false">
      <c r="A1000" s="36" t="str">
        <f aca="false">IF($F1000="","",COUNTA($F$5:$F1000))</f>
        <v/>
      </c>
      <c r="B1000" s="37" t="str">
        <f aca="true">IF($F1000="","",IF($P1000="Cancelada","Cancelada",IF(OR($O1000&lt;&gt;"",$P1000="Concluída"),IF(OR($N1000="",$O1000="",$O1000&lt;=$N1000),"Concluída","Concluída com atraso"),IF($N1000="","Na carteira",IF($N1000&lt;TODAY(),"VENCIDA",IF($P1000="Em execução","Em execução",IF($N1000=TODAY(),"Hoje","Programada")))))))</f>
        <v/>
      </c>
      <c r="C1000" s="38"/>
      <c r="D1000" s="38"/>
      <c r="E1000" s="38"/>
      <c r="F1000" s="38"/>
      <c r="G1000" s="39"/>
      <c r="H1000" s="39"/>
      <c r="I1000" s="40"/>
      <c r="J1000" s="40"/>
      <c r="K1000" s="40"/>
      <c r="L1000" s="41"/>
      <c r="M1000" s="42"/>
      <c r="N1000" s="43" t="str">
        <f aca="false">IF(OR($L1000="",$M1000=""),"",$L1000+MATCH($M1000,Listas!$F$5:$F$11,0)-1)</f>
        <v/>
      </c>
      <c r="O1000" s="44"/>
      <c r="P1000" s="39"/>
      <c r="Q1000" s="44"/>
      <c r="R1000" s="38"/>
      <c r="S1000" s="38"/>
      <c r="T1000" s="36" t="str">
        <f aca="false">IF($F1000="","",IF(ISNUMBER(SEARCH("(externo)",$I1000&amp;$J1000&amp;$K1000)),"Terceirizada","Interna"))</f>
        <v/>
      </c>
      <c r="U1000" s="43" t="str">
        <f aca="false">IF($N1000="","",IF($Q1000="",$N1000,$Q1000))</f>
        <v/>
      </c>
      <c r="V1000" s="36" t="str">
        <f aca="false">IF($F1000="","",IF(OR($O1000="",$N1000=""),0,IF($O1000&lt;=$N1000,1,0)))</f>
        <v/>
      </c>
      <c r="W1000" s="36" t="str">
        <f aca="false">IF($F1000="","",IF(OR($O1000="",$U1000=""),0,IF($O1000&lt;=$U1000,1,0)))</f>
        <v/>
      </c>
      <c r="X1000" s="37" t="str">
        <f aca="false">IF(OR($O1000="",$N1000=""),"",MAX(0,$O1000-$N1000))</f>
        <v/>
      </c>
      <c r="Y1000" s="36" t="str">
        <f aca="false">IF($F1000="","",IF(AND($Q1000&lt;&gt;"",$N1000&lt;&gt;"",$Q1000&lt;&gt;$N1000),1,0))</f>
        <v/>
      </c>
      <c r="Z1000" s="36" t="str">
        <f aca="false">IF($F1000="","",IF($P1000="Cancelada",0,IF(OR($O1000&lt;&gt;"",$P1000="Concluída"),1,0)))</f>
        <v/>
      </c>
    </row>
    <row r="1001" customFormat="false" ht="16.5" hidden="false" customHeight="true" outlineLevel="0" collapsed="false">
      <c r="A1001" s="36" t="str">
        <f aca="false">IF($F1001="","",COUNTA($F$5:$F1001))</f>
        <v/>
      </c>
      <c r="B1001" s="37" t="str">
        <f aca="true">IF($F1001="","",IF($P1001="Cancelada","Cancelada",IF(OR($O1001&lt;&gt;"",$P1001="Concluída"),IF(OR($N1001="",$O1001="",$O1001&lt;=$N1001),"Concluída","Concluída com atraso"),IF($N1001="","Na carteira",IF($N1001&lt;TODAY(),"VENCIDA",IF($P1001="Em execução","Em execução",IF($N1001=TODAY(),"Hoje","Programada")))))))</f>
        <v/>
      </c>
      <c r="C1001" s="38"/>
      <c r="D1001" s="38"/>
      <c r="E1001" s="38"/>
      <c r="F1001" s="38"/>
      <c r="G1001" s="39"/>
      <c r="H1001" s="39"/>
      <c r="I1001" s="40"/>
      <c r="J1001" s="40"/>
      <c r="K1001" s="40"/>
      <c r="L1001" s="41"/>
      <c r="M1001" s="42"/>
      <c r="N1001" s="43" t="str">
        <f aca="false">IF(OR($L1001="",$M1001=""),"",$L1001+MATCH($M1001,Listas!$F$5:$F$11,0)-1)</f>
        <v/>
      </c>
      <c r="O1001" s="44"/>
      <c r="P1001" s="39"/>
      <c r="Q1001" s="44"/>
      <c r="R1001" s="38"/>
      <c r="S1001" s="38"/>
      <c r="T1001" s="36" t="str">
        <f aca="false">IF($F1001="","",IF(ISNUMBER(SEARCH("(externo)",$I1001&amp;$J1001&amp;$K1001)),"Terceirizada","Interna"))</f>
        <v/>
      </c>
      <c r="U1001" s="43" t="str">
        <f aca="false">IF($N1001="","",IF($Q1001="",$N1001,$Q1001))</f>
        <v/>
      </c>
      <c r="V1001" s="36" t="str">
        <f aca="false">IF($F1001="","",IF(OR($O1001="",$N1001=""),0,IF($O1001&lt;=$N1001,1,0)))</f>
        <v/>
      </c>
      <c r="W1001" s="36" t="str">
        <f aca="false">IF($F1001="","",IF(OR($O1001="",$U1001=""),0,IF($O1001&lt;=$U1001,1,0)))</f>
        <v/>
      </c>
      <c r="X1001" s="37" t="str">
        <f aca="false">IF(OR($O1001="",$N1001=""),"",MAX(0,$O1001-$N1001))</f>
        <v/>
      </c>
      <c r="Y1001" s="36" t="str">
        <f aca="false">IF($F1001="","",IF(AND($Q1001&lt;&gt;"",$N1001&lt;&gt;"",$Q1001&lt;&gt;$N1001),1,0))</f>
        <v/>
      </c>
      <c r="Z1001" s="36" t="str">
        <f aca="false">IF($F1001="","",IF($P1001="Cancelada",0,IF(OR($O1001&lt;&gt;"",$P1001="Concluída"),1,0)))</f>
        <v/>
      </c>
    </row>
    <row r="1002" customFormat="false" ht="16.5" hidden="false" customHeight="true" outlineLevel="0" collapsed="false">
      <c r="A1002" s="36" t="str">
        <f aca="false">IF($F1002="","",COUNTA($F$5:$F1002))</f>
        <v/>
      </c>
      <c r="B1002" s="37" t="str">
        <f aca="true">IF($F1002="","",IF($P1002="Cancelada","Cancelada",IF(OR($O1002&lt;&gt;"",$P1002="Concluída"),IF(OR($N1002="",$O1002="",$O1002&lt;=$N1002),"Concluída","Concluída com atraso"),IF($N1002="","Na carteira",IF($N1002&lt;TODAY(),"VENCIDA",IF($P1002="Em execução","Em execução",IF($N1002=TODAY(),"Hoje","Programada")))))))</f>
        <v/>
      </c>
      <c r="C1002" s="38"/>
      <c r="D1002" s="38"/>
      <c r="E1002" s="38"/>
      <c r="F1002" s="38"/>
      <c r="G1002" s="39"/>
      <c r="H1002" s="39"/>
      <c r="I1002" s="40"/>
      <c r="J1002" s="40"/>
      <c r="K1002" s="40"/>
      <c r="L1002" s="41"/>
      <c r="M1002" s="42"/>
      <c r="N1002" s="43" t="str">
        <f aca="false">IF(OR($L1002="",$M1002=""),"",$L1002+MATCH($M1002,Listas!$F$5:$F$11,0)-1)</f>
        <v/>
      </c>
      <c r="O1002" s="44"/>
      <c r="P1002" s="39"/>
      <c r="Q1002" s="44"/>
      <c r="R1002" s="38"/>
      <c r="S1002" s="38"/>
      <c r="T1002" s="36" t="str">
        <f aca="false">IF($F1002="","",IF(ISNUMBER(SEARCH("(externo)",$I1002&amp;$J1002&amp;$K1002)),"Terceirizada","Interna"))</f>
        <v/>
      </c>
      <c r="U1002" s="43" t="str">
        <f aca="false">IF($N1002="","",IF($Q1002="",$N1002,$Q1002))</f>
        <v/>
      </c>
      <c r="V1002" s="36" t="str">
        <f aca="false">IF($F1002="","",IF(OR($O1002="",$N1002=""),0,IF($O1002&lt;=$N1002,1,0)))</f>
        <v/>
      </c>
      <c r="W1002" s="36" t="str">
        <f aca="false">IF($F1002="","",IF(OR($O1002="",$U1002=""),0,IF($O1002&lt;=$U1002,1,0)))</f>
        <v/>
      </c>
      <c r="X1002" s="37" t="str">
        <f aca="false">IF(OR($O1002="",$N1002=""),"",MAX(0,$O1002-$N1002))</f>
        <v/>
      </c>
      <c r="Y1002" s="36" t="str">
        <f aca="false">IF($F1002="","",IF(AND($Q1002&lt;&gt;"",$N1002&lt;&gt;"",$Q1002&lt;&gt;$N1002),1,0))</f>
        <v/>
      </c>
      <c r="Z1002" s="36" t="str">
        <f aca="false">IF($F1002="","",IF($P1002="Cancelada",0,IF(OR($O1002&lt;&gt;"",$P1002="Concluída"),1,0)))</f>
        <v/>
      </c>
    </row>
    <row r="1003" customFormat="false" ht="16.5" hidden="false" customHeight="true" outlineLevel="0" collapsed="false">
      <c r="A1003" s="36" t="str">
        <f aca="false">IF($F1003="","",COUNTA($F$5:$F1003))</f>
        <v/>
      </c>
      <c r="B1003" s="37" t="str">
        <f aca="true">IF($F1003="","",IF($P1003="Cancelada","Cancelada",IF(OR($O1003&lt;&gt;"",$P1003="Concluída"),IF(OR($N1003="",$O1003="",$O1003&lt;=$N1003),"Concluída","Concluída com atraso"),IF($N1003="","Na carteira",IF($N1003&lt;TODAY(),"VENCIDA",IF($P1003="Em execução","Em execução",IF($N1003=TODAY(),"Hoje","Programada")))))))</f>
        <v/>
      </c>
      <c r="C1003" s="38"/>
      <c r="D1003" s="38"/>
      <c r="E1003" s="38"/>
      <c r="F1003" s="38"/>
      <c r="G1003" s="39"/>
      <c r="H1003" s="39"/>
      <c r="I1003" s="40"/>
      <c r="J1003" s="40"/>
      <c r="K1003" s="40"/>
      <c r="L1003" s="41"/>
      <c r="M1003" s="42"/>
      <c r="N1003" s="43" t="str">
        <f aca="false">IF(OR($L1003="",$M1003=""),"",$L1003+MATCH($M1003,Listas!$F$5:$F$11,0)-1)</f>
        <v/>
      </c>
      <c r="O1003" s="44"/>
      <c r="P1003" s="39"/>
      <c r="Q1003" s="44"/>
      <c r="R1003" s="38"/>
      <c r="S1003" s="38"/>
      <c r="T1003" s="36" t="str">
        <f aca="false">IF($F1003="","",IF(ISNUMBER(SEARCH("(externo)",$I1003&amp;$J1003&amp;$K1003)),"Terceirizada","Interna"))</f>
        <v/>
      </c>
      <c r="U1003" s="43" t="str">
        <f aca="false">IF($N1003="","",IF($Q1003="",$N1003,$Q1003))</f>
        <v/>
      </c>
      <c r="V1003" s="36" t="str">
        <f aca="false">IF($F1003="","",IF(OR($O1003="",$N1003=""),0,IF($O1003&lt;=$N1003,1,0)))</f>
        <v/>
      </c>
      <c r="W1003" s="36" t="str">
        <f aca="false">IF($F1003="","",IF(OR($O1003="",$U1003=""),0,IF($O1003&lt;=$U1003,1,0)))</f>
        <v/>
      </c>
      <c r="X1003" s="37" t="str">
        <f aca="false">IF(OR($O1003="",$N1003=""),"",MAX(0,$O1003-$N1003))</f>
        <v/>
      </c>
      <c r="Y1003" s="36" t="str">
        <f aca="false">IF($F1003="","",IF(AND($Q1003&lt;&gt;"",$N1003&lt;&gt;"",$Q1003&lt;&gt;$N1003),1,0))</f>
        <v/>
      </c>
      <c r="Z1003" s="36" t="str">
        <f aca="false">IF($F1003="","",IF($P1003="Cancelada",0,IF(OR($O1003&lt;&gt;"",$P1003="Concluída"),1,0)))</f>
        <v/>
      </c>
    </row>
    <row r="1004" customFormat="false" ht="16.5" hidden="false" customHeight="true" outlineLevel="0" collapsed="false">
      <c r="A1004" s="36" t="str">
        <f aca="false">IF($F1004="","",COUNTA($F$5:$F1004))</f>
        <v/>
      </c>
      <c r="B1004" s="37" t="str">
        <f aca="true">IF($F1004="","",IF($P1004="Cancelada","Cancelada",IF(OR($O1004&lt;&gt;"",$P1004="Concluída"),IF(OR($N1004="",$O1004="",$O1004&lt;=$N1004),"Concluída","Concluída com atraso"),IF($N1004="","Na carteira",IF($N1004&lt;TODAY(),"VENCIDA",IF($P1004="Em execução","Em execução",IF($N1004=TODAY(),"Hoje","Programada")))))))</f>
        <v/>
      </c>
      <c r="C1004" s="38"/>
      <c r="D1004" s="38"/>
      <c r="E1004" s="38"/>
      <c r="F1004" s="38"/>
      <c r="G1004" s="39"/>
      <c r="H1004" s="39"/>
      <c r="I1004" s="40"/>
      <c r="J1004" s="40"/>
      <c r="K1004" s="40"/>
      <c r="L1004" s="41"/>
      <c r="M1004" s="42"/>
      <c r="N1004" s="43" t="str">
        <f aca="false">IF(OR($L1004="",$M1004=""),"",$L1004+MATCH($M1004,Listas!$F$5:$F$11,0)-1)</f>
        <v/>
      </c>
      <c r="O1004" s="44"/>
      <c r="P1004" s="39"/>
      <c r="Q1004" s="44"/>
      <c r="R1004" s="38"/>
      <c r="S1004" s="38"/>
      <c r="T1004" s="36" t="str">
        <f aca="false">IF($F1004="","",IF(ISNUMBER(SEARCH("(externo)",$I1004&amp;$J1004&amp;$K1004)),"Terceirizada","Interna"))</f>
        <v/>
      </c>
      <c r="U1004" s="43" t="str">
        <f aca="false">IF($N1004="","",IF($Q1004="",$N1004,$Q1004))</f>
        <v/>
      </c>
      <c r="V1004" s="36" t="str">
        <f aca="false">IF($F1004="","",IF(OR($O1004="",$N1004=""),0,IF($O1004&lt;=$N1004,1,0)))</f>
        <v/>
      </c>
      <c r="W1004" s="36" t="str">
        <f aca="false">IF($F1004="","",IF(OR($O1004="",$U1004=""),0,IF($O1004&lt;=$U1004,1,0)))</f>
        <v/>
      </c>
      <c r="X1004" s="37" t="str">
        <f aca="false">IF(OR($O1004="",$N1004=""),"",MAX(0,$O1004-$N1004))</f>
        <v/>
      </c>
      <c r="Y1004" s="36" t="str">
        <f aca="false">IF($F1004="","",IF(AND($Q1004&lt;&gt;"",$N1004&lt;&gt;"",$Q1004&lt;&gt;$N1004),1,0))</f>
        <v/>
      </c>
      <c r="Z1004" s="36" t="str">
        <f aca="false">IF($F1004="","",IF($P1004="Cancelada",0,IF(OR($O1004&lt;&gt;"",$P1004="Concluída"),1,0)))</f>
        <v/>
      </c>
    </row>
  </sheetData>
  <autoFilter ref="A3:Z1004"/>
  <mergeCells count="7">
    <mergeCell ref="A1:Z1"/>
    <mergeCell ref="A2:B2"/>
    <mergeCell ref="C2:H2"/>
    <mergeCell ref="I2:K2"/>
    <mergeCell ref="L2:N2"/>
    <mergeCell ref="O2:S2"/>
    <mergeCell ref="T2:Z2"/>
  </mergeCells>
  <conditionalFormatting sqref="B5:B1004">
    <cfRule type="cellIs" priority="2" operator="equal" aboveAverage="0" equalAverage="0" bottom="0" percent="0" rank="0" text="" dxfId="16">
      <formula>"VENCIDA"</formula>
    </cfRule>
    <cfRule type="cellIs" priority="3" operator="equal" aboveAverage="0" equalAverage="0" bottom="0" percent="0" rank="0" text="" dxfId="17">
      <formula>"Concluída"</formula>
    </cfRule>
    <cfRule type="cellIs" priority="4" operator="equal" aboveAverage="0" equalAverage="0" bottom="0" percent="0" rank="0" text="" dxfId="18">
      <formula>"Concluída com atraso"</formula>
    </cfRule>
    <cfRule type="cellIs" priority="5" operator="equal" aboveAverage="0" equalAverage="0" bottom="0" percent="0" rank="0" text="" dxfId="19">
      <formula>"Hoje"</formula>
    </cfRule>
    <cfRule type="cellIs" priority="6" operator="equal" aboveAverage="0" equalAverage="0" bottom="0" percent="0" rank="0" text="" dxfId="19">
      <formula>"Em execução"</formula>
    </cfRule>
    <cfRule type="cellIs" priority="7" operator="equal" aboveAverage="0" equalAverage="0" bottom="0" percent="0" rank="0" text="" dxfId="20">
      <formula>"Na carteira"</formula>
    </cfRule>
  </conditionalFormatting>
  <conditionalFormatting sqref="X5:X1004">
    <cfRule type="cellIs" priority="8" operator="greaterThan" aboveAverage="0" equalAverage="0" bottom="0" percent="0" rank="0" text="" dxfId="21">
      <formula>0</formula>
    </cfRule>
  </conditionalFormatting>
  <conditionalFormatting sqref="H5:H1004">
    <cfRule type="cellIs" priority="9" operator="equal" aboveAverage="0" equalAverage="0" bottom="0" percent="0" rank="0" text="" dxfId="22">
      <formula>"Extra"</formula>
    </cfRule>
  </conditionalFormatting>
  <conditionalFormatting sqref="A5:Z1004">
    <cfRule type="expression" priority="10" aboveAverage="0" equalAverage="0" bottom="0" percent="0" rank="0" text="" dxfId="23">
      <formula>AND($F5&lt;&gt;"",$D5&amp;$E5&lt;&gt;$D4&amp;$E4)</formula>
    </cfRule>
  </conditionalFormatting>
  <dataValidations count="9">
    <dataValidation allowBlank="true" error="Escolha uma frota da aba Listas." errorStyle="stop" errorTitle="Frota" operator="between" showDropDown="false" showErrorMessage="true" showInputMessage="false" sqref="D5:D1004" type="list">
      <formula1>Listas!$B$5:$B$84</formula1>
      <formula2>0</formula2>
    </dataValidation>
    <dataValidation allowBlank="true" error="Escolha um tipo da aba Listas." errorStyle="stop" errorTitle="Tipo" operator="between" showDropDown="false" showErrorMessage="true" showInputMessage="false" sqref="G5:G1004" type="list">
      <formula1>Listas!$C$5:$C$84</formula1>
      <formula2>0</formula2>
    </dataValidation>
    <dataValidation allowBlank="true" error="Programada (estava no plano) ou Extra (entrou depois)." errorStyle="stop" errorTitle="Origem" operator="between" showDropDown="false" showErrorMessage="true" showInputMessage="false" sqref="H5:H1004" type="list">
      <formula1>"Programada,Extra"</formula1>
      <formula2>0</formula2>
    </dataValidation>
    <dataValidation allowBlank="true" error="Escolha um nome da aba Listas." errorStyle="stop" errorTitle="Executante" operator="between" showDropDown="false" showErrorMessage="true" showInputMessage="false" sqref="I5:I1004" type="list">
      <formula1>Listas!$A$5:$A$84</formula1>
      <formula2>0</formula2>
    </dataValidation>
    <dataValidation allowBlank="true" error="Escolha um nome da aba Listas." errorStyle="stop" errorTitle="Executante" operator="between" showDropDown="false" showErrorMessage="true" showInputMessage="false" sqref="J5:J1004" type="list">
      <formula1>Listas!$A$5:$A$84</formula1>
      <formula2>0</formula2>
    </dataValidation>
    <dataValidation allowBlank="true" error="Escolha um nome da aba Listas." errorStyle="stop" errorTitle="Executante" operator="between" showDropDown="false" showErrorMessage="true" showInputMessage="false" sqref="K5:K1004" type="list">
      <formula1>Listas!$A$5:$A$84</formula1>
      <formula2>0</formula2>
    </dataValidation>
    <dataValidation allowBlank="true" error="Seg, Ter, Qua, Qui, Sex, Sáb ou Dom." errorStyle="stop" errorTitle="Dia" operator="between" showDropDown="false" showErrorMessage="true" showInputMessage="false" sqref="M5:M1004" type="list">
      <formula1>Listas!$F$5:$F$11</formula1>
      <formula2>0</formula2>
    </dataValidation>
    <dataValidation allowBlank="true" error="Deixe vazio, ou Concluída / Em execução / Cancelada." errorStyle="stop" errorTitle="Marcar" operator="between" showDropDown="false" showErrorMessage="true" showInputMessage="false" sqref="P5:P1004" type="list">
      <formula1>Listas!$D$5:$D$7</formula1>
      <formula2>0</formula2>
    </dataValidation>
    <dataValidation allowBlank="true" error="Escolha da aba Listas ou escreva o seu." errorStyle="stop" errorTitle="Motivo" operator="between" showDropDown="false" showErrorMessage="true" showInputMessage="false" sqref="R5:R1004" type="list">
      <formula1>Listas!$E$5:$E$84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L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2" topLeftCell="B13" activePane="bottomRight" state="frozen"/>
      <selection pane="topLeft" activeCell="A1" activeCellId="0" sqref="A1"/>
      <selection pane="topRight" activeCell="B1" activeCellId="0" sqref="B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1"/>
    <col collapsed="false" customWidth="true" hidden="false" outlineLevel="0" max="9" min="9" style="0" width="12"/>
    <col collapsed="false" customWidth="true" hidden="false" outlineLevel="0" max="11" min="10" style="0" width="11"/>
    <col collapsed="false" customWidth="true" hidden="false" outlineLevel="0" max="12" min="12" style="0" width="10"/>
  </cols>
  <sheetData>
    <row r="1" customFormat="false" ht="30" hidden="false" customHeight="true" outlineLevel="0" collapsed="false">
      <c r="A1" s="28" t="s">
        <v>349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</row>
    <row r="3" customFormat="false" ht="27.75" hidden="false" customHeight="true" outlineLevel="0" collapsed="false">
      <c r="A3" s="45" t="s">
        <v>350</v>
      </c>
      <c r="B3" s="45"/>
      <c r="C3" s="46" t="n">
        <v>46258</v>
      </c>
      <c r="D3" s="47" t="s">
        <v>351</v>
      </c>
      <c r="E3" s="48" t="n">
        <f aca="false">$C$3+6</f>
        <v>46264</v>
      </c>
      <c r="F3" s="49" t="s">
        <v>352</v>
      </c>
      <c r="G3" s="49"/>
      <c r="H3" s="49"/>
      <c r="I3" s="49"/>
      <c r="J3" s="49"/>
      <c r="K3" s="49"/>
      <c r="L3" s="49"/>
    </row>
    <row r="4" customFormat="false" ht="19.5" hidden="false" customHeight="true" outlineLevel="0" collapsed="false">
      <c r="A4" s="50" t="s">
        <v>353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</row>
    <row r="5" customFormat="false" ht="15" hidden="false" customHeight="false" outlineLevel="0" collapsed="false">
      <c r="A5" s="51" t="s">
        <v>354</v>
      </c>
      <c r="B5" s="51"/>
      <c r="C5" s="51" t="s">
        <v>355</v>
      </c>
      <c r="D5" s="51"/>
      <c r="E5" s="51" t="s">
        <v>356</v>
      </c>
      <c r="F5" s="51"/>
      <c r="G5" s="51" t="s">
        <v>357</v>
      </c>
      <c r="H5" s="51"/>
      <c r="I5" s="51" t="s">
        <v>358</v>
      </c>
      <c r="J5" s="51"/>
      <c r="K5" s="51" t="s">
        <v>359</v>
      </c>
      <c r="L5" s="51"/>
    </row>
    <row r="6" customFormat="false" ht="27.75" hidden="false" customHeight="true" outlineLevel="0" collapsed="false">
      <c r="A6" s="52" t="n">
        <f aca="false">COUNTIFS(Programação!$N$5:$N$1004,"&gt;="&amp;$C$3,Programação!$N$5:$N$1004,"&lt;="&amp;$C$3+6,Programação!$P$5:$P$1004,"&lt;&gt;Cancelada",Programação!$H$5:$H$1004,"&lt;&gt;Extra")</f>
        <v>172</v>
      </c>
      <c r="B6" s="52"/>
      <c r="C6" s="53" t="n">
        <f aca="false">SUMIFS(Programação!$Z$5:$Z$1004,Programação!$N$5:$N$1004,"&gt;="&amp;$C$3,Programação!$N$5:$N$1004,"&lt;="&amp;$C$3+6,Programação!$H$5:$H$1004,"&lt;&gt;Extra")</f>
        <v>71</v>
      </c>
      <c r="D6" s="53"/>
      <c r="E6" s="54" t="n">
        <f aca="false">IF($A$6=0,"",$C$6/$A$6)</f>
        <v>0.412790697674419</v>
      </c>
      <c r="F6" s="54"/>
      <c r="G6" s="55" t="n">
        <f aca="false">COUNTIFS(Programação!$N$5:$N$1004,"&gt;="&amp;$C$3,Programação!$N$5:$N$1004,"&lt;="&amp;$C$3+6,Programação!$H$5:$H$1004,"Extra",Programação!$P$5:$P$1004,"&lt;&gt;Cancelada")</f>
        <v>0</v>
      </c>
      <c r="H6" s="55"/>
      <c r="I6" s="56" t="n">
        <f aca="true">COUNTIFS(Programação!$N$5:$N$1004,"&gt;="&amp;$C$3,Programação!$N$5:$N$1004,"&lt;="&amp;$C$3+6,Programação!$N$5:$N$1004,"&lt;"&amp;TODAY(),Programação!$Z$5:$Z$1004,0,Programação!$P$5:$P$1004,"&lt;&gt;Cancelada")</f>
        <v>16</v>
      </c>
      <c r="J6" s="56"/>
      <c r="K6" s="57" t="n">
        <f aca="false">COUNTIFS(Programação!$N$5:$N$1004,"",Programação!$F$5:$F$1004,"&lt;&gt;",Programação!$P$5:$P$1004,"&lt;&gt;Cancelada")</f>
        <v>0</v>
      </c>
      <c r="L6" s="57"/>
    </row>
    <row r="8" customFormat="false" ht="15" hidden="false" customHeight="false" outlineLevel="0" collapsed="false">
      <c r="A8" s="50" t="s">
        <v>360</v>
      </c>
      <c r="B8" s="50"/>
      <c r="C8" s="50"/>
      <c r="D8" s="23" t="s">
        <v>361</v>
      </c>
      <c r="E8" s="23"/>
      <c r="F8" s="23"/>
      <c r="G8" s="23"/>
      <c r="H8" s="23"/>
      <c r="I8" s="23"/>
      <c r="J8" s="23"/>
      <c r="K8" s="23"/>
      <c r="L8" s="23"/>
    </row>
    <row r="9" customFormat="false" ht="15" hidden="false" customHeight="false" outlineLevel="0" collapsed="false">
      <c r="C9" s="58" t="s">
        <v>362</v>
      </c>
      <c r="D9" s="59" t="n">
        <f aca="false">$C$3+-28</f>
        <v>46230</v>
      </c>
      <c r="E9" s="59" t="n">
        <f aca="false">$C$3+-21</f>
        <v>46237</v>
      </c>
      <c r="F9" s="59" t="n">
        <f aca="false">$C$3+-14</f>
        <v>46244</v>
      </c>
      <c r="G9" s="59" t="n">
        <f aca="false">$C$3+-7</f>
        <v>46251</v>
      </c>
      <c r="H9" s="60" t="n">
        <f aca="false">$C$3</f>
        <v>46258</v>
      </c>
      <c r="I9" s="59" t="n">
        <f aca="false">$C$3+7</f>
        <v>46265</v>
      </c>
      <c r="J9" s="59" t="n">
        <f aca="false">$C$3+14</f>
        <v>46272</v>
      </c>
      <c r="K9" s="59" t="n">
        <f aca="false">$C$3+21</f>
        <v>46279</v>
      </c>
      <c r="L9" s="59" t="n">
        <f aca="false">$C$3+28</f>
        <v>46286</v>
      </c>
    </row>
    <row r="10" customFormat="false" ht="19.5" hidden="false" customHeight="true" outlineLevel="0" collapsed="false">
      <c r="C10" s="58" t="s">
        <v>363</v>
      </c>
      <c r="D10" s="61" t="n">
        <f aca="false">COUNTIFS(Programação!$N$5:$N$1004,"&gt;="&amp;D$9,Programação!$N$5:$N$1004,"&lt;="&amp;D$9+6,Programação!$P$5:$P$1004,"&lt;&gt;Cancelada")</f>
        <v>0</v>
      </c>
      <c r="E10" s="61" t="n">
        <f aca="false">COUNTIFS(Programação!$N$5:$N$1004,"&gt;="&amp;E$9,Programação!$N$5:$N$1004,"&lt;="&amp;E$9+6,Programação!$P$5:$P$1004,"&lt;&gt;Cancelada")</f>
        <v>0</v>
      </c>
      <c r="F10" s="61" t="n">
        <f aca="false">COUNTIFS(Programação!$N$5:$N$1004,"&gt;="&amp;F$9,Programação!$N$5:$N$1004,"&lt;="&amp;F$9+6,Programação!$P$5:$P$1004,"&lt;&gt;Cancelada")</f>
        <v>0</v>
      </c>
      <c r="G10" s="61" t="n">
        <f aca="false">COUNTIFS(Programação!$N$5:$N$1004,"&gt;="&amp;G$9,Programação!$N$5:$N$1004,"&lt;="&amp;G$9+6,Programação!$P$5:$P$1004,"&lt;&gt;Cancelada")</f>
        <v>0</v>
      </c>
      <c r="H10" s="62" t="n">
        <f aca="false">COUNTIFS(Programação!$N$5:$N$1004,"&gt;="&amp;H$9,Programação!$N$5:$N$1004,"&lt;="&amp;H$9+6,Programação!$P$5:$P$1004,"&lt;&gt;Cancelada")</f>
        <v>172</v>
      </c>
      <c r="I10" s="61" t="n">
        <f aca="false">COUNTIFS(Programação!$N$5:$N$1004,"&gt;="&amp;I$9,Programação!$N$5:$N$1004,"&lt;="&amp;I$9+6,Programação!$P$5:$P$1004,"&lt;&gt;Cancelada")</f>
        <v>0</v>
      </c>
      <c r="J10" s="61" t="n">
        <f aca="false">COUNTIFS(Programação!$N$5:$N$1004,"&gt;="&amp;J$9,Programação!$N$5:$N$1004,"&lt;="&amp;J$9+6,Programação!$P$5:$P$1004,"&lt;&gt;Cancelada")</f>
        <v>0</v>
      </c>
      <c r="K10" s="61" t="n">
        <f aca="false">COUNTIFS(Programação!$N$5:$N$1004,"&gt;="&amp;K$9,Programação!$N$5:$N$1004,"&lt;="&amp;K$9+6,Programação!$P$5:$P$1004,"&lt;&gt;Cancelada")</f>
        <v>0</v>
      </c>
      <c r="L10" s="61" t="n">
        <f aca="false">COUNTIFS(Programação!$N$5:$N$1004,"&gt;="&amp;L$9,Programação!$N$5:$N$1004,"&lt;="&amp;L$9+6,Programação!$P$5:$P$1004,"&lt;&gt;Cancelada")</f>
        <v>0</v>
      </c>
    </row>
    <row r="12" customFormat="false" ht="30" hidden="false" customHeight="true" outlineLevel="0" collapsed="false">
      <c r="A12" s="34" t="s">
        <v>364</v>
      </c>
      <c r="B12" s="63" t="n">
        <f aca="false">$C$3</f>
        <v>46258</v>
      </c>
      <c r="C12" s="63" t="n">
        <f aca="false">$C$3+1</f>
        <v>46259</v>
      </c>
      <c r="D12" s="63" t="n">
        <f aca="false">$C$3+2</f>
        <v>46260</v>
      </c>
      <c r="E12" s="63" t="n">
        <f aca="false">$C$3+3</f>
        <v>46261</v>
      </c>
      <c r="F12" s="63" t="n">
        <f aca="false">$C$3+4</f>
        <v>46262</v>
      </c>
      <c r="G12" s="63" t="n">
        <f aca="false">$C$3+5</f>
        <v>46263</v>
      </c>
      <c r="H12" s="63" t="n">
        <f aca="false">$C$3+6</f>
        <v>46264</v>
      </c>
      <c r="I12" s="34" t="s">
        <v>365</v>
      </c>
      <c r="J12" s="34" t="s">
        <v>366</v>
      </c>
      <c r="K12" s="34" t="s">
        <v>367</v>
      </c>
      <c r="L12" s="34" t="s">
        <v>368</v>
      </c>
    </row>
    <row r="13" customFormat="false" ht="16.5" hidden="false" customHeight="true" outlineLevel="0" collapsed="false">
      <c r="A13" s="26" t="str">
        <f aca="false">IF(Listas!A5="","",Listas!A5)</f>
        <v>Adilton</v>
      </c>
      <c r="B13" s="64" t="n">
        <f aca="false">IF($A13="","",COUNTIFS(Programação!$I$5:$I$1004,$A13,Programação!$N$5:$N$1004,B$12,Programação!$P$5:$P$1004,"&lt;&gt;Cancelada")+COUNTIFS(Programação!$J$5:$J$1004,$A13,Programação!$N$5:$N$1004,B$12,Programação!$P$5:$P$1004,"&lt;&gt;Cancelada")+COUNTIFS(Programação!$K$5:$K$1004,$A13,Programação!$N$5:$N$1004,B$12,Programação!$P$5:$P$1004,"&lt;&gt;Cancelada"))</f>
        <v>3</v>
      </c>
      <c r="C13" s="64" t="n">
        <f aca="false">IF($A13="","",COUNTIFS(Programação!$I$5:$I$1004,$A13,Programação!$N$5:$N$1004,C$12,Programação!$P$5:$P$1004,"&lt;&gt;Cancelada")+COUNTIFS(Programação!$J$5:$J$1004,$A13,Programação!$N$5:$N$1004,C$12,Programação!$P$5:$P$1004,"&lt;&gt;Cancelada")+COUNTIFS(Programação!$K$5:$K$1004,$A13,Programação!$N$5:$N$1004,C$12,Programação!$P$5:$P$1004,"&lt;&gt;Cancelada"))</f>
        <v>13</v>
      </c>
      <c r="D13" s="64" t="n">
        <f aca="false">IF($A13="","",COUNTIFS(Programação!$I$5:$I$1004,$A13,Programação!$N$5:$N$1004,D$12,Programação!$P$5:$P$1004,"&lt;&gt;Cancelada")+COUNTIFS(Programação!$J$5:$J$1004,$A13,Programação!$N$5:$N$1004,D$12,Programação!$P$5:$P$1004,"&lt;&gt;Cancelada")+COUNTIFS(Programação!$K$5:$K$1004,$A13,Programação!$N$5:$N$1004,D$12,Programação!$P$5:$P$1004,"&lt;&gt;Cancelada"))</f>
        <v>12</v>
      </c>
      <c r="E13" s="64" t="n">
        <f aca="false">IF($A13="","",COUNTIFS(Programação!$I$5:$I$1004,$A13,Programação!$N$5:$N$1004,E$12,Programação!$P$5:$P$1004,"&lt;&gt;Cancelada")+COUNTIFS(Programação!$J$5:$J$1004,$A13,Programação!$N$5:$N$1004,E$12,Programação!$P$5:$P$1004,"&lt;&gt;Cancelada")+COUNTIFS(Programação!$K$5:$K$1004,$A13,Programação!$N$5:$N$1004,E$12,Programação!$P$5:$P$1004,"&lt;&gt;Cancelada"))</f>
        <v>13</v>
      </c>
      <c r="F13" s="64" t="n">
        <f aca="false">IF($A13="","",COUNTIFS(Programação!$I$5:$I$1004,$A13,Programação!$N$5:$N$1004,F$12,Programação!$P$5:$P$1004,"&lt;&gt;Cancelada")+COUNTIFS(Programação!$J$5:$J$1004,$A13,Programação!$N$5:$N$1004,F$12,Programação!$P$5:$P$1004,"&lt;&gt;Cancelada")+COUNTIFS(Programação!$K$5:$K$1004,$A13,Programação!$N$5:$N$1004,F$12,Programação!$P$5:$P$1004,"&lt;&gt;Cancelada"))</f>
        <v>0</v>
      </c>
      <c r="G13" s="64" t="n">
        <f aca="false">IF($A13="","",COUNTIFS(Programação!$I$5:$I$1004,$A13,Programação!$N$5:$N$1004,G$12,Programação!$P$5:$P$1004,"&lt;&gt;Cancelada")+COUNTIFS(Programação!$J$5:$J$1004,$A13,Programação!$N$5:$N$1004,G$12,Programação!$P$5:$P$1004,"&lt;&gt;Cancelada")+COUNTIFS(Programação!$K$5:$K$1004,$A13,Programação!$N$5:$N$1004,G$12,Programação!$P$5:$P$1004,"&lt;&gt;Cancelada"))</f>
        <v>0</v>
      </c>
      <c r="H13" s="64" t="n">
        <f aca="false">IF($A13="","",COUNTIFS(Programação!$I$5:$I$1004,$A13,Programação!$N$5:$N$1004,H$12,Programação!$P$5:$P$1004,"&lt;&gt;Cancelada")+COUNTIFS(Programação!$J$5:$J$1004,$A13,Programação!$N$5:$N$1004,H$12,Programação!$P$5:$P$1004,"&lt;&gt;Cancelada")+COUNTIFS(Programação!$K$5:$K$1004,$A13,Programação!$N$5:$N$1004,H$12,Programação!$P$5:$P$1004,"&lt;&gt;Cancelada"))</f>
        <v>0</v>
      </c>
      <c r="I13" s="65" t="n">
        <f aca="false">IF($A13="","",SUM($B13:$H13))</f>
        <v>41</v>
      </c>
      <c r="J13" s="65" t="n">
        <f aca="false">IF($A13="","",SUMIFS(Programação!$Z$5:$Z$1004,Programação!$I$5:$I$1004,$A13,Programação!$N$5:$N$1004,"&gt;="&amp;$C$3,Programação!$N$5:$N$1004,"&lt;="&amp;$C$3+6)+SUMIFS(Programação!$Z$5:$Z$1004,Programação!$J$5:$J$1004,$A13,Programação!$N$5:$N$1004,"&gt;="&amp;$C$3,Programação!$N$5:$N$1004,"&lt;="&amp;$C$3+6)+SUMIFS(Programação!$Z$5:$Z$1004,Programação!$K$5:$K$1004,$A13,Programação!$N$5:$N$1004,"&gt;="&amp;$C$3,Programação!$N$5:$N$1004,"&lt;="&amp;$C$3+6))</f>
        <v>28</v>
      </c>
      <c r="K13" s="66" t="n">
        <f aca="false">IF(OR($A13="",$I13=0),"",$J13/$I13)</f>
        <v>0.682926829268293</v>
      </c>
      <c r="L13" s="65" t="n">
        <f aca="true">IF($A13="","",COUNTIFS(Programação!$I$5:$I$1004,$A13,Programação!$N$5:$N$1004,"&gt;="&amp;$C$3,Programação!$N$5:$N$1004,"&lt;="&amp;$C$3+6,Programação!$N$5:$N$1004,"&lt;"&amp;TODAY(),Programação!$Z$5:$Z$1004,0,Programação!$P$5:$P$1004,"&lt;&gt;Cancelada")+COUNTIFS(Programação!$J$5:$J$1004,$A13,Programação!$N$5:$N$1004,"&gt;="&amp;$C$3,Programação!$N$5:$N$1004,"&lt;="&amp;$C$3+6,Programação!$N$5:$N$1004,"&lt;"&amp;TODAY(),Programação!$Z$5:$Z$1004,0,Programação!$P$5:$P$1004,"&lt;&gt;Cancelada")+COUNTIFS(Programação!$K$5:$K$1004,$A13,Programação!$N$5:$N$1004,"&gt;="&amp;$C$3,Programação!$N$5:$N$1004,"&lt;="&amp;$C$3+6,Programação!$N$5:$N$1004,"&lt;"&amp;TODAY(),Programação!$Z$5:$Z$1004,0,Programação!$P$5:$P$1004,"&lt;&gt;Cancelada"))</f>
        <v>0</v>
      </c>
    </row>
    <row r="14" customFormat="false" ht="16.5" hidden="false" customHeight="true" outlineLevel="0" collapsed="false">
      <c r="A14" s="26" t="str">
        <f aca="false">IF(Listas!A6="","",Listas!A6)</f>
        <v>Airton</v>
      </c>
      <c r="B14" s="64" t="n">
        <f aca="false">IF($A14="","",COUNTIFS(Programação!$I$5:$I$1004,$A14,Programação!$N$5:$N$1004,B$12,Programação!$P$5:$P$1004,"&lt;&gt;Cancelada")+COUNTIFS(Programação!$J$5:$J$1004,$A14,Programação!$N$5:$N$1004,B$12,Programação!$P$5:$P$1004,"&lt;&gt;Cancelada")+COUNTIFS(Programação!$K$5:$K$1004,$A14,Programação!$N$5:$N$1004,B$12,Programação!$P$5:$P$1004,"&lt;&gt;Cancelada"))</f>
        <v>0</v>
      </c>
      <c r="C14" s="64" t="n">
        <f aca="false">IF($A14="","",COUNTIFS(Programação!$I$5:$I$1004,$A14,Programação!$N$5:$N$1004,C$12,Programação!$P$5:$P$1004,"&lt;&gt;Cancelada")+COUNTIFS(Programação!$J$5:$J$1004,$A14,Programação!$N$5:$N$1004,C$12,Programação!$P$5:$P$1004,"&lt;&gt;Cancelada")+COUNTIFS(Programação!$K$5:$K$1004,$A14,Programação!$N$5:$N$1004,C$12,Programação!$P$5:$P$1004,"&lt;&gt;Cancelada"))</f>
        <v>0</v>
      </c>
      <c r="D14" s="64" t="n">
        <f aca="false">IF($A14="","",COUNTIFS(Programação!$I$5:$I$1004,$A14,Programação!$N$5:$N$1004,D$12,Programação!$P$5:$P$1004,"&lt;&gt;Cancelada")+COUNTIFS(Programação!$J$5:$J$1004,$A14,Programação!$N$5:$N$1004,D$12,Programação!$P$5:$P$1004,"&lt;&gt;Cancelada")+COUNTIFS(Programação!$K$5:$K$1004,$A14,Programação!$N$5:$N$1004,D$12,Programação!$P$5:$P$1004,"&lt;&gt;Cancelada"))</f>
        <v>17</v>
      </c>
      <c r="E14" s="64" t="n">
        <f aca="false">IF($A14="","",COUNTIFS(Programação!$I$5:$I$1004,$A14,Programação!$N$5:$N$1004,E$12,Programação!$P$5:$P$1004,"&lt;&gt;Cancelada")+COUNTIFS(Programação!$J$5:$J$1004,$A14,Programação!$N$5:$N$1004,E$12,Programação!$P$5:$P$1004,"&lt;&gt;Cancelada")+COUNTIFS(Programação!$K$5:$K$1004,$A14,Programação!$N$5:$N$1004,E$12,Programação!$P$5:$P$1004,"&lt;&gt;Cancelada"))</f>
        <v>40</v>
      </c>
      <c r="F14" s="64" t="n">
        <f aca="false">IF($A14="","",COUNTIFS(Programação!$I$5:$I$1004,$A14,Programação!$N$5:$N$1004,F$12,Programação!$P$5:$P$1004,"&lt;&gt;Cancelada")+COUNTIFS(Programação!$J$5:$J$1004,$A14,Programação!$N$5:$N$1004,F$12,Programação!$P$5:$P$1004,"&lt;&gt;Cancelada")+COUNTIFS(Programação!$K$5:$K$1004,$A14,Programação!$N$5:$N$1004,F$12,Programação!$P$5:$P$1004,"&lt;&gt;Cancelada"))</f>
        <v>0</v>
      </c>
      <c r="G14" s="64" t="n">
        <f aca="false">IF($A14="","",COUNTIFS(Programação!$I$5:$I$1004,$A14,Programação!$N$5:$N$1004,G$12,Programação!$P$5:$P$1004,"&lt;&gt;Cancelada")+COUNTIFS(Programação!$J$5:$J$1004,$A14,Programação!$N$5:$N$1004,G$12,Programação!$P$5:$P$1004,"&lt;&gt;Cancelada")+COUNTIFS(Programação!$K$5:$K$1004,$A14,Programação!$N$5:$N$1004,G$12,Programação!$P$5:$P$1004,"&lt;&gt;Cancelada"))</f>
        <v>0</v>
      </c>
      <c r="H14" s="64" t="n">
        <f aca="false">IF($A14="","",COUNTIFS(Programação!$I$5:$I$1004,$A14,Programação!$N$5:$N$1004,H$12,Programação!$P$5:$P$1004,"&lt;&gt;Cancelada")+COUNTIFS(Programação!$J$5:$J$1004,$A14,Programação!$N$5:$N$1004,H$12,Programação!$P$5:$P$1004,"&lt;&gt;Cancelada")+COUNTIFS(Programação!$K$5:$K$1004,$A14,Programação!$N$5:$N$1004,H$12,Programação!$P$5:$P$1004,"&lt;&gt;Cancelada"))</f>
        <v>0</v>
      </c>
      <c r="I14" s="65" t="n">
        <f aca="false">IF($A14="","",SUM($B14:$H14))</f>
        <v>57</v>
      </c>
      <c r="J14" s="65" t="n">
        <f aca="false">IF($A14="","",SUMIFS(Programação!$Z$5:$Z$1004,Programação!$I$5:$I$1004,$A14,Programação!$N$5:$N$1004,"&gt;="&amp;$C$3,Programação!$N$5:$N$1004,"&lt;="&amp;$C$3+6)+SUMIFS(Programação!$Z$5:$Z$1004,Programação!$J$5:$J$1004,$A14,Programação!$N$5:$N$1004,"&gt;="&amp;$C$3,Programação!$N$5:$N$1004,"&lt;="&amp;$C$3+6)+SUMIFS(Programação!$Z$5:$Z$1004,Programação!$K$5:$K$1004,$A14,Programação!$N$5:$N$1004,"&gt;="&amp;$C$3,Programação!$N$5:$N$1004,"&lt;="&amp;$C$3+6))</f>
        <v>15</v>
      </c>
      <c r="K14" s="66" t="n">
        <f aca="false">IF(OR($A14="",$I14=0),"",$J14/$I14)</f>
        <v>0.263157894736842</v>
      </c>
      <c r="L14" s="65" t="n">
        <f aca="true">IF($A14="","",COUNTIFS(Programação!$I$5:$I$1004,$A14,Programação!$N$5:$N$1004,"&gt;="&amp;$C$3,Programação!$N$5:$N$1004,"&lt;="&amp;$C$3+6,Programação!$N$5:$N$1004,"&lt;"&amp;TODAY(),Programação!$Z$5:$Z$1004,0,Programação!$P$5:$P$1004,"&lt;&gt;Cancelada")+COUNTIFS(Programação!$J$5:$J$1004,$A14,Programação!$N$5:$N$1004,"&gt;="&amp;$C$3,Programação!$N$5:$N$1004,"&lt;="&amp;$C$3+6,Programação!$N$5:$N$1004,"&lt;"&amp;TODAY(),Programação!$Z$5:$Z$1004,0,Programação!$P$5:$P$1004,"&lt;&gt;Cancelada")+COUNTIFS(Programação!$K$5:$K$1004,$A14,Programação!$N$5:$N$1004,"&gt;="&amp;$C$3,Programação!$N$5:$N$1004,"&lt;="&amp;$C$3+6,Programação!$N$5:$N$1004,"&lt;"&amp;TODAY(),Programação!$Z$5:$Z$1004,0,Programação!$P$5:$P$1004,"&lt;&gt;Cancelada"))</f>
        <v>2</v>
      </c>
    </row>
    <row r="15" customFormat="false" ht="16.5" hidden="false" customHeight="true" outlineLevel="0" collapsed="false">
      <c r="A15" s="26" t="str">
        <f aca="false">IF(Listas!A7="","",Listas!A7)</f>
        <v>Alexandre</v>
      </c>
      <c r="B15" s="64" t="n">
        <f aca="false">IF($A15="","",COUNTIFS(Programação!$I$5:$I$1004,$A15,Programação!$N$5:$N$1004,B$12,Programação!$P$5:$P$1004,"&lt;&gt;Cancelada")+COUNTIFS(Programação!$J$5:$J$1004,$A15,Programação!$N$5:$N$1004,B$12,Programação!$P$5:$P$1004,"&lt;&gt;Cancelada")+COUNTIFS(Programação!$K$5:$K$1004,$A15,Programação!$N$5:$N$1004,B$12,Programação!$P$5:$P$1004,"&lt;&gt;Cancelada"))</f>
        <v>3</v>
      </c>
      <c r="C15" s="64" t="n">
        <f aca="false">IF($A15="","",COUNTIFS(Programação!$I$5:$I$1004,$A15,Programação!$N$5:$N$1004,C$12,Programação!$P$5:$P$1004,"&lt;&gt;Cancelada")+COUNTIFS(Programação!$J$5:$J$1004,$A15,Programação!$N$5:$N$1004,C$12,Programação!$P$5:$P$1004,"&lt;&gt;Cancelada")+COUNTIFS(Programação!$K$5:$K$1004,$A15,Programação!$N$5:$N$1004,C$12,Programação!$P$5:$P$1004,"&lt;&gt;Cancelada"))</f>
        <v>3</v>
      </c>
      <c r="D15" s="64" t="n">
        <f aca="false">IF($A15="","",COUNTIFS(Programação!$I$5:$I$1004,$A15,Programação!$N$5:$N$1004,D$12,Programação!$P$5:$P$1004,"&lt;&gt;Cancelada")+COUNTIFS(Programação!$J$5:$J$1004,$A15,Programação!$N$5:$N$1004,D$12,Programação!$P$5:$P$1004,"&lt;&gt;Cancelada")+COUNTIFS(Programação!$K$5:$K$1004,$A15,Programação!$N$5:$N$1004,D$12,Programação!$P$5:$P$1004,"&lt;&gt;Cancelada"))</f>
        <v>2</v>
      </c>
      <c r="E15" s="64" t="n">
        <f aca="false">IF($A15="","",COUNTIFS(Programação!$I$5:$I$1004,$A15,Programação!$N$5:$N$1004,E$12,Programação!$P$5:$P$1004,"&lt;&gt;Cancelada")+COUNTIFS(Programação!$J$5:$J$1004,$A15,Programação!$N$5:$N$1004,E$12,Programação!$P$5:$P$1004,"&lt;&gt;Cancelada")+COUNTIFS(Programação!$K$5:$K$1004,$A15,Programação!$N$5:$N$1004,E$12,Programação!$P$5:$P$1004,"&lt;&gt;Cancelada"))</f>
        <v>0</v>
      </c>
      <c r="F15" s="64" t="n">
        <f aca="false">IF($A15="","",COUNTIFS(Programação!$I$5:$I$1004,$A15,Programação!$N$5:$N$1004,F$12,Programação!$P$5:$P$1004,"&lt;&gt;Cancelada")+COUNTIFS(Programação!$J$5:$J$1004,$A15,Programação!$N$5:$N$1004,F$12,Programação!$P$5:$P$1004,"&lt;&gt;Cancelada")+COUNTIFS(Programação!$K$5:$K$1004,$A15,Programação!$N$5:$N$1004,F$12,Programação!$P$5:$P$1004,"&lt;&gt;Cancelada"))</f>
        <v>0</v>
      </c>
      <c r="G15" s="64" t="n">
        <f aca="false">IF($A15="","",COUNTIFS(Programação!$I$5:$I$1004,$A15,Programação!$N$5:$N$1004,G$12,Programação!$P$5:$P$1004,"&lt;&gt;Cancelada")+COUNTIFS(Programação!$J$5:$J$1004,$A15,Programação!$N$5:$N$1004,G$12,Programação!$P$5:$P$1004,"&lt;&gt;Cancelada")+COUNTIFS(Programação!$K$5:$K$1004,$A15,Programação!$N$5:$N$1004,G$12,Programação!$P$5:$P$1004,"&lt;&gt;Cancelada"))</f>
        <v>0</v>
      </c>
      <c r="H15" s="64" t="n">
        <f aca="false">IF($A15="","",COUNTIFS(Programação!$I$5:$I$1004,$A15,Programação!$N$5:$N$1004,H$12,Programação!$P$5:$P$1004,"&lt;&gt;Cancelada")+COUNTIFS(Programação!$J$5:$J$1004,$A15,Programação!$N$5:$N$1004,H$12,Programação!$P$5:$P$1004,"&lt;&gt;Cancelada")+COUNTIFS(Programação!$K$5:$K$1004,$A15,Programação!$N$5:$N$1004,H$12,Programação!$P$5:$P$1004,"&lt;&gt;Cancelada"))</f>
        <v>0</v>
      </c>
      <c r="I15" s="65" t="n">
        <f aca="false">IF($A15="","",SUM($B15:$H15))</f>
        <v>8</v>
      </c>
      <c r="J15" s="65" t="n">
        <f aca="false">IF($A15="","",SUMIFS(Programação!$Z$5:$Z$1004,Programação!$I$5:$I$1004,$A15,Programação!$N$5:$N$1004,"&gt;="&amp;$C$3,Programação!$N$5:$N$1004,"&lt;="&amp;$C$3+6)+SUMIFS(Programação!$Z$5:$Z$1004,Programação!$J$5:$J$1004,$A15,Programação!$N$5:$N$1004,"&gt;="&amp;$C$3,Programação!$N$5:$N$1004,"&lt;="&amp;$C$3+6)+SUMIFS(Programação!$Z$5:$Z$1004,Programação!$K$5:$K$1004,$A15,Programação!$N$5:$N$1004,"&gt;="&amp;$C$3,Programação!$N$5:$N$1004,"&lt;="&amp;$C$3+6))</f>
        <v>8</v>
      </c>
      <c r="K15" s="66" t="n">
        <f aca="false">IF(OR($A15="",$I15=0),"",$J15/$I15)</f>
        <v>1</v>
      </c>
      <c r="L15" s="65" t="n">
        <f aca="true">IF($A15="","",COUNTIFS(Programação!$I$5:$I$1004,$A15,Programação!$N$5:$N$1004,"&gt;="&amp;$C$3,Programação!$N$5:$N$1004,"&lt;="&amp;$C$3+6,Programação!$N$5:$N$1004,"&lt;"&amp;TODAY(),Programação!$Z$5:$Z$1004,0,Programação!$P$5:$P$1004,"&lt;&gt;Cancelada")+COUNTIFS(Programação!$J$5:$J$1004,$A15,Programação!$N$5:$N$1004,"&gt;="&amp;$C$3,Programação!$N$5:$N$1004,"&lt;="&amp;$C$3+6,Programação!$N$5:$N$1004,"&lt;"&amp;TODAY(),Programação!$Z$5:$Z$1004,0,Programação!$P$5:$P$1004,"&lt;&gt;Cancelada")+COUNTIFS(Programação!$K$5:$K$1004,$A15,Programação!$N$5:$N$1004,"&gt;="&amp;$C$3,Programação!$N$5:$N$1004,"&lt;="&amp;$C$3+6,Programação!$N$5:$N$1004,"&lt;"&amp;TODAY(),Programação!$Z$5:$Z$1004,0,Programação!$P$5:$P$1004,"&lt;&gt;Cancelada"))</f>
        <v>0</v>
      </c>
    </row>
    <row r="16" customFormat="false" ht="16.5" hidden="false" customHeight="true" outlineLevel="0" collapsed="false">
      <c r="A16" s="26" t="str">
        <f aca="false">IF(Listas!A8="","",Listas!A8)</f>
        <v>Gabriel</v>
      </c>
      <c r="B16" s="64" t="n">
        <f aca="false">IF($A16="","",COUNTIFS(Programação!$I$5:$I$1004,$A16,Programação!$N$5:$N$1004,B$12,Programação!$P$5:$P$1004,"&lt;&gt;Cancelada")+COUNTIFS(Programação!$J$5:$J$1004,$A16,Programação!$N$5:$N$1004,B$12,Programação!$P$5:$P$1004,"&lt;&gt;Cancelada")+COUNTIFS(Programação!$K$5:$K$1004,$A16,Programação!$N$5:$N$1004,B$12,Programação!$P$5:$P$1004,"&lt;&gt;Cancelada"))</f>
        <v>0</v>
      </c>
      <c r="C16" s="64" t="n">
        <f aca="false">IF($A16="","",COUNTIFS(Programação!$I$5:$I$1004,$A16,Programação!$N$5:$N$1004,C$12,Programação!$P$5:$P$1004,"&lt;&gt;Cancelada")+COUNTIFS(Programação!$J$5:$J$1004,$A16,Programação!$N$5:$N$1004,C$12,Programação!$P$5:$P$1004,"&lt;&gt;Cancelada")+COUNTIFS(Programação!$K$5:$K$1004,$A16,Programação!$N$5:$N$1004,C$12,Programação!$P$5:$P$1004,"&lt;&gt;Cancelada"))</f>
        <v>10</v>
      </c>
      <c r="D16" s="64" t="n">
        <f aca="false">IF($A16="","",COUNTIFS(Programação!$I$5:$I$1004,$A16,Programação!$N$5:$N$1004,D$12,Programação!$P$5:$P$1004,"&lt;&gt;Cancelada")+COUNTIFS(Programação!$J$5:$J$1004,$A16,Programação!$N$5:$N$1004,D$12,Programação!$P$5:$P$1004,"&lt;&gt;Cancelada")+COUNTIFS(Programação!$K$5:$K$1004,$A16,Programação!$N$5:$N$1004,D$12,Programação!$P$5:$P$1004,"&lt;&gt;Cancelada"))</f>
        <v>10</v>
      </c>
      <c r="E16" s="64" t="n">
        <f aca="false">IF($A16="","",COUNTIFS(Programação!$I$5:$I$1004,$A16,Programação!$N$5:$N$1004,E$12,Programação!$P$5:$P$1004,"&lt;&gt;Cancelada")+COUNTIFS(Programação!$J$5:$J$1004,$A16,Programação!$N$5:$N$1004,E$12,Programação!$P$5:$P$1004,"&lt;&gt;Cancelada")+COUNTIFS(Programação!$K$5:$K$1004,$A16,Programação!$N$5:$N$1004,E$12,Programação!$P$5:$P$1004,"&lt;&gt;Cancelada"))</f>
        <v>16</v>
      </c>
      <c r="F16" s="64" t="n">
        <f aca="false">IF($A16="","",COUNTIFS(Programação!$I$5:$I$1004,$A16,Programação!$N$5:$N$1004,F$12,Programação!$P$5:$P$1004,"&lt;&gt;Cancelada")+COUNTIFS(Programação!$J$5:$J$1004,$A16,Programação!$N$5:$N$1004,F$12,Programação!$P$5:$P$1004,"&lt;&gt;Cancelada")+COUNTIFS(Programação!$K$5:$K$1004,$A16,Programação!$N$5:$N$1004,F$12,Programação!$P$5:$P$1004,"&lt;&gt;Cancelada"))</f>
        <v>0</v>
      </c>
      <c r="G16" s="64" t="n">
        <f aca="false">IF($A16="","",COUNTIFS(Programação!$I$5:$I$1004,$A16,Programação!$N$5:$N$1004,G$12,Programação!$P$5:$P$1004,"&lt;&gt;Cancelada")+COUNTIFS(Programação!$J$5:$J$1004,$A16,Programação!$N$5:$N$1004,G$12,Programação!$P$5:$P$1004,"&lt;&gt;Cancelada")+COUNTIFS(Programação!$K$5:$K$1004,$A16,Programação!$N$5:$N$1004,G$12,Programação!$P$5:$P$1004,"&lt;&gt;Cancelada"))</f>
        <v>0</v>
      </c>
      <c r="H16" s="64" t="n">
        <f aca="false">IF($A16="","",COUNTIFS(Programação!$I$5:$I$1004,$A16,Programação!$N$5:$N$1004,H$12,Programação!$P$5:$P$1004,"&lt;&gt;Cancelada")+COUNTIFS(Programação!$J$5:$J$1004,$A16,Programação!$N$5:$N$1004,H$12,Programação!$P$5:$P$1004,"&lt;&gt;Cancelada")+COUNTIFS(Programação!$K$5:$K$1004,$A16,Programação!$N$5:$N$1004,H$12,Programação!$P$5:$P$1004,"&lt;&gt;Cancelada"))</f>
        <v>0</v>
      </c>
      <c r="I16" s="65" t="n">
        <f aca="false">IF($A16="","",SUM($B16:$H16))</f>
        <v>36</v>
      </c>
      <c r="J16" s="65" t="n">
        <f aca="false">IF($A16="","",SUMIFS(Programação!$Z$5:$Z$1004,Programação!$I$5:$I$1004,$A16,Programação!$N$5:$N$1004,"&gt;="&amp;$C$3,Programação!$N$5:$N$1004,"&lt;="&amp;$C$3+6)+SUMIFS(Programação!$Z$5:$Z$1004,Programação!$J$5:$J$1004,$A16,Programação!$N$5:$N$1004,"&gt;="&amp;$C$3,Programação!$N$5:$N$1004,"&lt;="&amp;$C$3+6)+SUMIFS(Programação!$Z$5:$Z$1004,Programação!$K$5:$K$1004,$A16,Programação!$N$5:$N$1004,"&gt;="&amp;$C$3,Programação!$N$5:$N$1004,"&lt;="&amp;$C$3+6))</f>
        <v>20</v>
      </c>
      <c r="K16" s="66" t="n">
        <f aca="false">IF(OR($A16="",$I16=0),"",$J16/$I16)</f>
        <v>0.555555555555556</v>
      </c>
      <c r="L16" s="65" t="n">
        <f aca="true">IF($A16="","",COUNTIFS(Programação!$I$5:$I$1004,$A16,Programação!$N$5:$N$1004,"&gt;="&amp;$C$3,Programação!$N$5:$N$1004,"&lt;="&amp;$C$3+6,Programação!$N$5:$N$1004,"&lt;"&amp;TODAY(),Programação!$Z$5:$Z$1004,0,Programação!$P$5:$P$1004,"&lt;&gt;Cancelada")+COUNTIFS(Programação!$J$5:$J$1004,$A16,Programação!$N$5:$N$1004,"&gt;="&amp;$C$3,Programação!$N$5:$N$1004,"&lt;="&amp;$C$3+6,Programação!$N$5:$N$1004,"&lt;"&amp;TODAY(),Programação!$Z$5:$Z$1004,0,Programação!$P$5:$P$1004,"&lt;&gt;Cancelada")+COUNTIFS(Programação!$K$5:$K$1004,$A16,Programação!$N$5:$N$1004,"&gt;="&amp;$C$3,Programação!$N$5:$N$1004,"&lt;="&amp;$C$3+6,Programação!$N$5:$N$1004,"&lt;"&amp;TODAY(),Programação!$Z$5:$Z$1004,0,Programação!$P$5:$P$1004,"&lt;&gt;Cancelada"))</f>
        <v>0</v>
      </c>
    </row>
    <row r="17" customFormat="false" ht="16.5" hidden="false" customHeight="true" outlineLevel="0" collapsed="false">
      <c r="A17" s="26" t="str">
        <f aca="false">IF(Listas!A9="","",Listas!A9)</f>
        <v>Heliton</v>
      </c>
      <c r="B17" s="64" t="n">
        <f aca="false">IF($A17="","",COUNTIFS(Programação!$I$5:$I$1004,$A17,Programação!$N$5:$N$1004,B$12,Programação!$P$5:$P$1004,"&lt;&gt;Cancelada")+COUNTIFS(Programação!$J$5:$J$1004,$A17,Programação!$N$5:$N$1004,B$12,Programação!$P$5:$P$1004,"&lt;&gt;Cancelada")+COUNTIFS(Programação!$K$5:$K$1004,$A17,Programação!$N$5:$N$1004,B$12,Programação!$P$5:$P$1004,"&lt;&gt;Cancelada"))</f>
        <v>0</v>
      </c>
      <c r="C17" s="64" t="n">
        <f aca="false">IF($A17="","",COUNTIFS(Programação!$I$5:$I$1004,$A17,Programação!$N$5:$N$1004,C$12,Programação!$P$5:$P$1004,"&lt;&gt;Cancelada")+COUNTIFS(Programação!$J$5:$J$1004,$A17,Programação!$N$5:$N$1004,C$12,Programação!$P$5:$P$1004,"&lt;&gt;Cancelada")+COUNTIFS(Programação!$K$5:$K$1004,$A17,Programação!$N$5:$N$1004,C$12,Programação!$P$5:$P$1004,"&lt;&gt;Cancelada"))</f>
        <v>0</v>
      </c>
      <c r="D17" s="64" t="n">
        <f aca="false">IF($A17="","",COUNTIFS(Programação!$I$5:$I$1004,$A17,Programação!$N$5:$N$1004,D$12,Programação!$P$5:$P$1004,"&lt;&gt;Cancelada")+COUNTIFS(Programação!$J$5:$J$1004,$A17,Programação!$N$5:$N$1004,D$12,Programação!$P$5:$P$1004,"&lt;&gt;Cancelada")+COUNTIFS(Programação!$K$5:$K$1004,$A17,Programação!$N$5:$N$1004,D$12,Programação!$P$5:$P$1004,"&lt;&gt;Cancelada"))</f>
        <v>0</v>
      </c>
      <c r="E17" s="64" t="n">
        <f aca="false">IF($A17="","",COUNTIFS(Programação!$I$5:$I$1004,$A17,Programação!$N$5:$N$1004,E$12,Programação!$P$5:$P$1004,"&lt;&gt;Cancelada")+COUNTIFS(Programação!$J$5:$J$1004,$A17,Programação!$N$5:$N$1004,E$12,Programação!$P$5:$P$1004,"&lt;&gt;Cancelada")+COUNTIFS(Programação!$K$5:$K$1004,$A17,Programação!$N$5:$N$1004,E$12,Programação!$P$5:$P$1004,"&lt;&gt;Cancelada"))</f>
        <v>34</v>
      </c>
      <c r="F17" s="64" t="n">
        <f aca="false">IF($A17="","",COUNTIFS(Programação!$I$5:$I$1004,$A17,Programação!$N$5:$N$1004,F$12,Programação!$P$5:$P$1004,"&lt;&gt;Cancelada")+COUNTIFS(Programação!$J$5:$J$1004,$A17,Programação!$N$5:$N$1004,F$12,Programação!$P$5:$P$1004,"&lt;&gt;Cancelada")+COUNTIFS(Programação!$K$5:$K$1004,$A17,Programação!$N$5:$N$1004,F$12,Programação!$P$5:$P$1004,"&lt;&gt;Cancelada"))</f>
        <v>0</v>
      </c>
      <c r="G17" s="64" t="n">
        <f aca="false">IF($A17="","",COUNTIFS(Programação!$I$5:$I$1004,$A17,Programação!$N$5:$N$1004,G$12,Programação!$P$5:$P$1004,"&lt;&gt;Cancelada")+COUNTIFS(Programação!$J$5:$J$1004,$A17,Programação!$N$5:$N$1004,G$12,Programação!$P$5:$P$1004,"&lt;&gt;Cancelada")+COUNTIFS(Programação!$K$5:$K$1004,$A17,Programação!$N$5:$N$1004,G$12,Programação!$P$5:$P$1004,"&lt;&gt;Cancelada"))</f>
        <v>0</v>
      </c>
      <c r="H17" s="64" t="n">
        <f aca="false">IF($A17="","",COUNTIFS(Programação!$I$5:$I$1004,$A17,Programação!$N$5:$N$1004,H$12,Programação!$P$5:$P$1004,"&lt;&gt;Cancelada")+COUNTIFS(Programação!$J$5:$J$1004,$A17,Programação!$N$5:$N$1004,H$12,Programação!$P$5:$P$1004,"&lt;&gt;Cancelada")+COUNTIFS(Programação!$K$5:$K$1004,$A17,Programação!$N$5:$N$1004,H$12,Programação!$P$5:$P$1004,"&lt;&gt;Cancelada"))</f>
        <v>0</v>
      </c>
      <c r="I17" s="65" t="n">
        <f aca="false">IF($A17="","",SUM($B17:$H17))</f>
        <v>34</v>
      </c>
      <c r="J17" s="65" t="n">
        <f aca="false">IF($A17="","",SUMIFS(Programação!$Z$5:$Z$1004,Programação!$I$5:$I$1004,$A17,Programação!$N$5:$N$1004,"&gt;="&amp;$C$3,Programação!$N$5:$N$1004,"&lt;="&amp;$C$3+6)+SUMIFS(Programação!$Z$5:$Z$1004,Programação!$J$5:$J$1004,$A17,Programação!$N$5:$N$1004,"&gt;="&amp;$C$3,Programação!$N$5:$N$1004,"&lt;="&amp;$C$3+6)+SUMIFS(Programação!$Z$5:$Z$1004,Programação!$K$5:$K$1004,$A17,Programação!$N$5:$N$1004,"&gt;="&amp;$C$3,Programação!$N$5:$N$1004,"&lt;="&amp;$C$3+6))</f>
        <v>0</v>
      </c>
      <c r="K17" s="66" t="n">
        <f aca="false">IF(OR($A17="",$I17=0),"",$J17/$I17)</f>
        <v>0</v>
      </c>
      <c r="L17" s="65" t="n">
        <f aca="true">IF($A17="","",COUNTIFS(Programação!$I$5:$I$1004,$A17,Programação!$N$5:$N$1004,"&gt;="&amp;$C$3,Programação!$N$5:$N$1004,"&lt;="&amp;$C$3+6,Programação!$N$5:$N$1004,"&lt;"&amp;TODAY(),Programação!$Z$5:$Z$1004,0,Programação!$P$5:$P$1004,"&lt;&gt;Cancelada")+COUNTIFS(Programação!$J$5:$J$1004,$A17,Programação!$N$5:$N$1004,"&gt;="&amp;$C$3,Programação!$N$5:$N$1004,"&lt;="&amp;$C$3+6,Programação!$N$5:$N$1004,"&lt;"&amp;TODAY(),Programação!$Z$5:$Z$1004,0,Programação!$P$5:$P$1004,"&lt;&gt;Cancelada")+COUNTIFS(Programação!$K$5:$K$1004,$A17,Programação!$N$5:$N$1004,"&gt;="&amp;$C$3,Programação!$N$5:$N$1004,"&lt;="&amp;$C$3+6,Programação!$N$5:$N$1004,"&lt;"&amp;TODAY(),Programação!$Z$5:$Z$1004,0,Programação!$P$5:$P$1004,"&lt;&gt;Cancelada"))</f>
        <v>0</v>
      </c>
    </row>
    <row r="18" customFormat="false" ht="16.5" hidden="false" customHeight="true" outlineLevel="0" collapsed="false">
      <c r="A18" s="26" t="str">
        <f aca="false">IF(Listas!A10="","",Listas!A10)</f>
        <v>Júnior</v>
      </c>
      <c r="B18" s="64" t="n">
        <f aca="false">IF($A18="","",COUNTIFS(Programação!$I$5:$I$1004,$A18,Programação!$N$5:$N$1004,B$12,Programação!$P$5:$P$1004,"&lt;&gt;Cancelada")+COUNTIFS(Programação!$J$5:$J$1004,$A18,Programação!$N$5:$N$1004,B$12,Programação!$P$5:$P$1004,"&lt;&gt;Cancelada")+COUNTIFS(Programação!$K$5:$K$1004,$A18,Programação!$N$5:$N$1004,B$12,Programação!$P$5:$P$1004,"&lt;&gt;Cancelada"))</f>
        <v>0</v>
      </c>
      <c r="C18" s="64" t="n">
        <f aca="false">IF($A18="","",COUNTIFS(Programação!$I$5:$I$1004,$A18,Programação!$N$5:$N$1004,C$12,Programação!$P$5:$P$1004,"&lt;&gt;Cancelada")+COUNTIFS(Programação!$J$5:$J$1004,$A18,Programação!$N$5:$N$1004,C$12,Programação!$P$5:$P$1004,"&lt;&gt;Cancelada")+COUNTIFS(Programação!$K$5:$K$1004,$A18,Programação!$N$5:$N$1004,C$12,Programação!$P$5:$P$1004,"&lt;&gt;Cancelada"))</f>
        <v>10</v>
      </c>
      <c r="D18" s="64" t="n">
        <f aca="false">IF($A18="","",COUNTIFS(Programação!$I$5:$I$1004,$A18,Programação!$N$5:$N$1004,D$12,Programação!$P$5:$P$1004,"&lt;&gt;Cancelada")+COUNTIFS(Programação!$J$5:$J$1004,$A18,Programação!$N$5:$N$1004,D$12,Programação!$P$5:$P$1004,"&lt;&gt;Cancelada")+COUNTIFS(Programação!$K$5:$K$1004,$A18,Programação!$N$5:$N$1004,D$12,Programação!$P$5:$P$1004,"&lt;&gt;Cancelada"))</f>
        <v>23</v>
      </c>
      <c r="E18" s="64" t="n">
        <f aca="false">IF($A18="","",COUNTIFS(Programação!$I$5:$I$1004,$A18,Programação!$N$5:$N$1004,E$12,Programação!$P$5:$P$1004,"&lt;&gt;Cancelada")+COUNTIFS(Programação!$J$5:$J$1004,$A18,Programação!$N$5:$N$1004,E$12,Programação!$P$5:$P$1004,"&lt;&gt;Cancelada")+COUNTIFS(Programação!$K$5:$K$1004,$A18,Programação!$N$5:$N$1004,E$12,Programação!$P$5:$P$1004,"&lt;&gt;Cancelada"))</f>
        <v>8</v>
      </c>
      <c r="F18" s="64" t="n">
        <f aca="false">IF($A18="","",COUNTIFS(Programação!$I$5:$I$1004,$A18,Programação!$N$5:$N$1004,F$12,Programação!$P$5:$P$1004,"&lt;&gt;Cancelada")+COUNTIFS(Programação!$J$5:$J$1004,$A18,Programação!$N$5:$N$1004,F$12,Programação!$P$5:$P$1004,"&lt;&gt;Cancelada")+COUNTIFS(Programação!$K$5:$K$1004,$A18,Programação!$N$5:$N$1004,F$12,Programação!$P$5:$P$1004,"&lt;&gt;Cancelada"))</f>
        <v>0</v>
      </c>
      <c r="G18" s="64" t="n">
        <f aca="false">IF($A18="","",COUNTIFS(Programação!$I$5:$I$1004,$A18,Programação!$N$5:$N$1004,G$12,Programação!$P$5:$P$1004,"&lt;&gt;Cancelada")+COUNTIFS(Programação!$J$5:$J$1004,$A18,Programação!$N$5:$N$1004,G$12,Programação!$P$5:$P$1004,"&lt;&gt;Cancelada")+COUNTIFS(Programação!$K$5:$K$1004,$A18,Programação!$N$5:$N$1004,G$12,Programação!$P$5:$P$1004,"&lt;&gt;Cancelada"))</f>
        <v>0</v>
      </c>
      <c r="H18" s="64" t="n">
        <f aca="false">IF($A18="","",COUNTIFS(Programação!$I$5:$I$1004,$A18,Programação!$N$5:$N$1004,H$12,Programação!$P$5:$P$1004,"&lt;&gt;Cancelada")+COUNTIFS(Programação!$J$5:$J$1004,$A18,Programação!$N$5:$N$1004,H$12,Programação!$P$5:$P$1004,"&lt;&gt;Cancelada")+COUNTIFS(Programação!$K$5:$K$1004,$A18,Programação!$N$5:$N$1004,H$12,Programação!$P$5:$P$1004,"&lt;&gt;Cancelada"))</f>
        <v>0</v>
      </c>
      <c r="I18" s="65" t="n">
        <f aca="false">IF($A18="","",SUM($B18:$H18))</f>
        <v>41</v>
      </c>
      <c r="J18" s="65" t="n">
        <f aca="false">IF($A18="","",SUMIFS(Programação!$Z$5:$Z$1004,Programação!$I$5:$I$1004,$A18,Programação!$N$5:$N$1004,"&gt;="&amp;$C$3,Programação!$N$5:$N$1004,"&lt;="&amp;$C$3+6)+SUMIFS(Programação!$Z$5:$Z$1004,Programação!$J$5:$J$1004,$A18,Programação!$N$5:$N$1004,"&gt;="&amp;$C$3,Programação!$N$5:$N$1004,"&lt;="&amp;$C$3+6)+SUMIFS(Programação!$Z$5:$Z$1004,Programação!$K$5:$K$1004,$A18,Programação!$N$5:$N$1004,"&gt;="&amp;$C$3,Programação!$N$5:$N$1004,"&lt;="&amp;$C$3+6))</f>
        <v>32</v>
      </c>
      <c r="K18" s="66" t="n">
        <f aca="false">IF(OR($A18="",$I18=0),"",$J18/$I18)</f>
        <v>0.780487804878049</v>
      </c>
      <c r="L18" s="65" t="n">
        <f aca="true">IF($A18="","",COUNTIFS(Programação!$I$5:$I$1004,$A18,Programação!$N$5:$N$1004,"&gt;="&amp;$C$3,Programação!$N$5:$N$1004,"&lt;="&amp;$C$3+6,Programação!$N$5:$N$1004,"&lt;"&amp;TODAY(),Programação!$Z$5:$Z$1004,0,Programação!$P$5:$P$1004,"&lt;&gt;Cancelada")+COUNTIFS(Programação!$J$5:$J$1004,$A18,Programação!$N$5:$N$1004,"&gt;="&amp;$C$3,Programação!$N$5:$N$1004,"&lt;="&amp;$C$3+6,Programação!$N$5:$N$1004,"&lt;"&amp;TODAY(),Programação!$Z$5:$Z$1004,0,Programação!$P$5:$P$1004,"&lt;&gt;Cancelada")+COUNTIFS(Programação!$K$5:$K$1004,$A18,Programação!$N$5:$N$1004,"&gt;="&amp;$C$3,Programação!$N$5:$N$1004,"&lt;="&amp;$C$3+6,Programação!$N$5:$N$1004,"&lt;"&amp;TODAY(),Programação!$Z$5:$Z$1004,0,Programação!$P$5:$P$1004,"&lt;&gt;Cancelada"))</f>
        <v>1</v>
      </c>
    </row>
    <row r="19" customFormat="false" ht="16.5" hidden="false" customHeight="true" outlineLevel="0" collapsed="false">
      <c r="A19" s="26" t="str">
        <f aca="false">IF(Listas!A11="","",Listas!A11)</f>
        <v>Luiz Paulo</v>
      </c>
      <c r="B19" s="64" t="n">
        <f aca="false">IF($A19="","",COUNTIFS(Programação!$I$5:$I$1004,$A19,Programação!$N$5:$N$1004,B$12,Programação!$P$5:$P$1004,"&lt;&gt;Cancelada")+COUNTIFS(Programação!$J$5:$J$1004,$A19,Programação!$N$5:$N$1004,B$12,Programação!$P$5:$P$1004,"&lt;&gt;Cancelada")+COUNTIFS(Programação!$K$5:$K$1004,$A19,Programação!$N$5:$N$1004,B$12,Programação!$P$5:$P$1004,"&lt;&gt;Cancelada"))</f>
        <v>0</v>
      </c>
      <c r="C19" s="64" t="n">
        <f aca="false">IF($A19="","",COUNTIFS(Programação!$I$5:$I$1004,$A19,Programação!$N$5:$N$1004,C$12,Programação!$P$5:$P$1004,"&lt;&gt;Cancelada")+COUNTIFS(Programação!$J$5:$J$1004,$A19,Programação!$N$5:$N$1004,C$12,Programação!$P$5:$P$1004,"&lt;&gt;Cancelada")+COUNTIFS(Programação!$K$5:$K$1004,$A19,Programação!$N$5:$N$1004,C$12,Programação!$P$5:$P$1004,"&lt;&gt;Cancelada"))</f>
        <v>0</v>
      </c>
      <c r="D19" s="64" t="n">
        <f aca="false">IF($A19="","",COUNTIFS(Programação!$I$5:$I$1004,$A19,Programação!$N$5:$N$1004,D$12,Programação!$P$5:$P$1004,"&lt;&gt;Cancelada")+COUNTIFS(Programação!$J$5:$J$1004,$A19,Programação!$N$5:$N$1004,D$12,Programação!$P$5:$P$1004,"&lt;&gt;Cancelada")+COUNTIFS(Programação!$K$5:$K$1004,$A19,Programação!$N$5:$N$1004,D$12,Programação!$P$5:$P$1004,"&lt;&gt;Cancelada"))</f>
        <v>17</v>
      </c>
      <c r="E19" s="64" t="n">
        <f aca="false">IF($A19="","",COUNTIFS(Programação!$I$5:$I$1004,$A19,Programação!$N$5:$N$1004,E$12,Programação!$P$5:$P$1004,"&lt;&gt;Cancelada")+COUNTIFS(Programação!$J$5:$J$1004,$A19,Programação!$N$5:$N$1004,E$12,Programação!$P$5:$P$1004,"&lt;&gt;Cancelada")+COUNTIFS(Programação!$K$5:$K$1004,$A19,Programação!$N$5:$N$1004,E$12,Programação!$P$5:$P$1004,"&lt;&gt;Cancelada"))</f>
        <v>40</v>
      </c>
      <c r="F19" s="64" t="n">
        <f aca="false">IF($A19="","",COUNTIFS(Programação!$I$5:$I$1004,$A19,Programação!$N$5:$N$1004,F$12,Programação!$P$5:$P$1004,"&lt;&gt;Cancelada")+COUNTIFS(Programação!$J$5:$J$1004,$A19,Programação!$N$5:$N$1004,F$12,Programação!$P$5:$P$1004,"&lt;&gt;Cancelada")+COUNTIFS(Programação!$K$5:$K$1004,$A19,Programação!$N$5:$N$1004,F$12,Programação!$P$5:$P$1004,"&lt;&gt;Cancelada"))</f>
        <v>0</v>
      </c>
      <c r="G19" s="64" t="n">
        <f aca="false">IF($A19="","",COUNTIFS(Programação!$I$5:$I$1004,$A19,Programação!$N$5:$N$1004,G$12,Programação!$P$5:$P$1004,"&lt;&gt;Cancelada")+COUNTIFS(Programação!$J$5:$J$1004,$A19,Programação!$N$5:$N$1004,G$12,Programação!$P$5:$P$1004,"&lt;&gt;Cancelada")+COUNTIFS(Programação!$K$5:$K$1004,$A19,Programação!$N$5:$N$1004,G$12,Programação!$P$5:$P$1004,"&lt;&gt;Cancelada"))</f>
        <v>0</v>
      </c>
      <c r="H19" s="64" t="n">
        <f aca="false">IF($A19="","",COUNTIFS(Programação!$I$5:$I$1004,$A19,Programação!$N$5:$N$1004,H$12,Programação!$P$5:$P$1004,"&lt;&gt;Cancelada")+COUNTIFS(Programação!$J$5:$J$1004,$A19,Programação!$N$5:$N$1004,H$12,Programação!$P$5:$P$1004,"&lt;&gt;Cancelada")+COUNTIFS(Programação!$K$5:$K$1004,$A19,Programação!$N$5:$N$1004,H$12,Programação!$P$5:$P$1004,"&lt;&gt;Cancelada"))</f>
        <v>0</v>
      </c>
      <c r="I19" s="65" t="n">
        <f aca="false">IF($A19="","",SUM($B19:$H19))</f>
        <v>57</v>
      </c>
      <c r="J19" s="65" t="n">
        <f aca="false">IF($A19="","",SUMIFS(Programação!$Z$5:$Z$1004,Programação!$I$5:$I$1004,$A19,Programação!$N$5:$N$1004,"&gt;="&amp;$C$3,Programação!$N$5:$N$1004,"&lt;="&amp;$C$3+6)+SUMIFS(Programação!$Z$5:$Z$1004,Programação!$J$5:$J$1004,$A19,Programação!$N$5:$N$1004,"&gt;="&amp;$C$3,Programação!$N$5:$N$1004,"&lt;="&amp;$C$3+6)+SUMIFS(Programação!$Z$5:$Z$1004,Programação!$K$5:$K$1004,$A19,Programação!$N$5:$N$1004,"&gt;="&amp;$C$3,Programação!$N$5:$N$1004,"&lt;="&amp;$C$3+6))</f>
        <v>15</v>
      </c>
      <c r="K19" s="66" t="n">
        <f aca="false">IF(OR($A19="",$I19=0),"",$J19/$I19)</f>
        <v>0.263157894736842</v>
      </c>
      <c r="L19" s="65" t="n">
        <f aca="true">IF($A19="","",COUNTIFS(Programação!$I$5:$I$1004,$A19,Programação!$N$5:$N$1004,"&gt;="&amp;$C$3,Programação!$N$5:$N$1004,"&lt;="&amp;$C$3+6,Programação!$N$5:$N$1004,"&lt;"&amp;TODAY(),Programação!$Z$5:$Z$1004,0,Programação!$P$5:$P$1004,"&lt;&gt;Cancelada")+COUNTIFS(Programação!$J$5:$J$1004,$A19,Programação!$N$5:$N$1004,"&gt;="&amp;$C$3,Programação!$N$5:$N$1004,"&lt;="&amp;$C$3+6,Programação!$N$5:$N$1004,"&lt;"&amp;TODAY(),Programação!$Z$5:$Z$1004,0,Programação!$P$5:$P$1004,"&lt;&gt;Cancelada")+COUNTIFS(Programação!$K$5:$K$1004,$A19,Programação!$N$5:$N$1004,"&gt;="&amp;$C$3,Programação!$N$5:$N$1004,"&lt;="&amp;$C$3+6,Programação!$N$5:$N$1004,"&lt;"&amp;TODAY(),Programação!$Z$5:$Z$1004,0,Programação!$P$5:$P$1004,"&lt;&gt;Cancelada"))</f>
        <v>2</v>
      </c>
    </row>
    <row r="20" customFormat="false" ht="16.5" hidden="false" customHeight="true" outlineLevel="0" collapsed="false">
      <c r="A20" s="26" t="str">
        <f aca="false">IF(Listas!A12="","",Listas!A12)</f>
        <v>Thawan</v>
      </c>
      <c r="B20" s="64" t="n">
        <f aca="false">IF($A20="","",COUNTIFS(Programação!$I$5:$I$1004,$A20,Programação!$N$5:$N$1004,B$12,Programação!$P$5:$P$1004,"&lt;&gt;Cancelada")+COUNTIFS(Programação!$J$5:$J$1004,$A20,Programação!$N$5:$N$1004,B$12,Programação!$P$5:$P$1004,"&lt;&gt;Cancelada")+COUNTIFS(Programação!$K$5:$K$1004,$A20,Programação!$N$5:$N$1004,B$12,Programação!$P$5:$P$1004,"&lt;&gt;Cancelada"))</f>
        <v>6</v>
      </c>
      <c r="C20" s="64" t="n">
        <f aca="false">IF($A20="","",COUNTIFS(Programação!$I$5:$I$1004,$A20,Programação!$N$5:$N$1004,C$12,Programação!$P$5:$P$1004,"&lt;&gt;Cancelada")+COUNTIFS(Programação!$J$5:$J$1004,$A20,Programação!$N$5:$N$1004,C$12,Programação!$P$5:$P$1004,"&lt;&gt;Cancelada")+COUNTIFS(Programação!$K$5:$K$1004,$A20,Programação!$N$5:$N$1004,C$12,Programação!$P$5:$P$1004,"&lt;&gt;Cancelada"))</f>
        <v>0</v>
      </c>
      <c r="D20" s="64" t="n">
        <f aca="false">IF($A20="","",COUNTIFS(Programação!$I$5:$I$1004,$A20,Programação!$N$5:$N$1004,D$12,Programação!$P$5:$P$1004,"&lt;&gt;Cancelada")+COUNTIFS(Programação!$J$5:$J$1004,$A20,Programação!$N$5:$N$1004,D$12,Programação!$P$5:$P$1004,"&lt;&gt;Cancelada")+COUNTIFS(Programação!$K$5:$K$1004,$A20,Programação!$N$5:$N$1004,D$12,Programação!$P$5:$P$1004,"&lt;&gt;Cancelada"))</f>
        <v>0</v>
      </c>
      <c r="E20" s="64" t="n">
        <f aca="false">IF($A20="","",COUNTIFS(Programação!$I$5:$I$1004,$A20,Programação!$N$5:$N$1004,E$12,Programação!$P$5:$P$1004,"&lt;&gt;Cancelada")+COUNTIFS(Programação!$J$5:$J$1004,$A20,Programação!$N$5:$N$1004,E$12,Programação!$P$5:$P$1004,"&lt;&gt;Cancelada")+COUNTIFS(Programação!$K$5:$K$1004,$A20,Programação!$N$5:$N$1004,E$12,Programação!$P$5:$P$1004,"&lt;&gt;Cancelada"))</f>
        <v>0</v>
      </c>
      <c r="F20" s="64" t="n">
        <f aca="false">IF($A20="","",COUNTIFS(Programação!$I$5:$I$1004,$A20,Programação!$N$5:$N$1004,F$12,Programação!$P$5:$P$1004,"&lt;&gt;Cancelada")+COUNTIFS(Programação!$J$5:$J$1004,$A20,Programação!$N$5:$N$1004,F$12,Programação!$P$5:$P$1004,"&lt;&gt;Cancelada")+COUNTIFS(Programação!$K$5:$K$1004,$A20,Programação!$N$5:$N$1004,F$12,Programação!$P$5:$P$1004,"&lt;&gt;Cancelada"))</f>
        <v>0</v>
      </c>
      <c r="G20" s="64" t="n">
        <f aca="false">IF($A20="","",COUNTIFS(Programação!$I$5:$I$1004,$A20,Programação!$N$5:$N$1004,G$12,Programação!$P$5:$P$1004,"&lt;&gt;Cancelada")+COUNTIFS(Programação!$J$5:$J$1004,$A20,Programação!$N$5:$N$1004,G$12,Programação!$P$5:$P$1004,"&lt;&gt;Cancelada")+COUNTIFS(Programação!$K$5:$K$1004,$A20,Programação!$N$5:$N$1004,G$12,Programação!$P$5:$P$1004,"&lt;&gt;Cancelada"))</f>
        <v>0</v>
      </c>
      <c r="H20" s="64" t="n">
        <f aca="false">IF($A20="","",COUNTIFS(Programação!$I$5:$I$1004,$A20,Programação!$N$5:$N$1004,H$12,Programação!$P$5:$P$1004,"&lt;&gt;Cancelada")+COUNTIFS(Programação!$J$5:$J$1004,$A20,Programação!$N$5:$N$1004,H$12,Programação!$P$5:$P$1004,"&lt;&gt;Cancelada")+COUNTIFS(Programação!$K$5:$K$1004,$A20,Programação!$N$5:$N$1004,H$12,Programação!$P$5:$P$1004,"&lt;&gt;Cancelada"))</f>
        <v>0</v>
      </c>
      <c r="I20" s="65" t="n">
        <f aca="false">IF($A20="","",SUM($B20:$H20))</f>
        <v>6</v>
      </c>
      <c r="J20" s="65" t="n">
        <f aca="false">IF($A20="","",SUMIFS(Programação!$Z$5:$Z$1004,Programação!$I$5:$I$1004,$A20,Programação!$N$5:$N$1004,"&gt;="&amp;$C$3,Programação!$N$5:$N$1004,"&lt;="&amp;$C$3+6)+SUMIFS(Programação!$Z$5:$Z$1004,Programação!$J$5:$J$1004,$A20,Programação!$N$5:$N$1004,"&gt;="&amp;$C$3,Programação!$N$5:$N$1004,"&lt;="&amp;$C$3+6)+SUMIFS(Programação!$Z$5:$Z$1004,Programação!$K$5:$K$1004,$A20,Programação!$N$5:$N$1004,"&gt;="&amp;$C$3,Programação!$N$5:$N$1004,"&lt;="&amp;$C$3+6))</f>
        <v>6</v>
      </c>
      <c r="K20" s="66" t="n">
        <f aca="false">IF(OR($A20="",$I20=0),"",$J20/$I20)</f>
        <v>1</v>
      </c>
      <c r="L20" s="65" t="n">
        <f aca="true">IF($A20="","",COUNTIFS(Programação!$I$5:$I$1004,$A20,Programação!$N$5:$N$1004,"&gt;="&amp;$C$3,Programação!$N$5:$N$1004,"&lt;="&amp;$C$3+6,Programação!$N$5:$N$1004,"&lt;"&amp;TODAY(),Programação!$Z$5:$Z$1004,0,Programação!$P$5:$P$1004,"&lt;&gt;Cancelada")+COUNTIFS(Programação!$J$5:$J$1004,$A20,Programação!$N$5:$N$1004,"&gt;="&amp;$C$3,Programação!$N$5:$N$1004,"&lt;="&amp;$C$3+6,Programação!$N$5:$N$1004,"&lt;"&amp;TODAY(),Programação!$Z$5:$Z$1004,0,Programação!$P$5:$P$1004,"&lt;&gt;Cancelada")+COUNTIFS(Programação!$K$5:$K$1004,$A20,Programação!$N$5:$N$1004,"&gt;="&amp;$C$3,Programação!$N$5:$N$1004,"&lt;="&amp;$C$3+6,Programação!$N$5:$N$1004,"&lt;"&amp;TODAY(),Programação!$Z$5:$Z$1004,0,Programação!$P$5:$P$1004,"&lt;&gt;Cancelada"))</f>
        <v>0</v>
      </c>
    </row>
    <row r="21" customFormat="false" ht="16.5" hidden="false" customHeight="true" outlineLevel="0" collapsed="false">
      <c r="A21" s="26" t="str">
        <f aca="false">IF(Listas!A13="","",Listas!A13)</f>
        <v>ASX (externo)</v>
      </c>
      <c r="B21" s="64" t="n">
        <f aca="false">IF($A21="","",COUNTIFS(Programação!$I$5:$I$1004,$A21,Programação!$N$5:$N$1004,B$12,Programação!$P$5:$P$1004,"&lt;&gt;Cancelada")+COUNTIFS(Programação!$J$5:$J$1004,$A21,Programação!$N$5:$N$1004,B$12,Programação!$P$5:$P$1004,"&lt;&gt;Cancelada")+COUNTIFS(Programação!$K$5:$K$1004,$A21,Programação!$N$5:$N$1004,B$12,Programação!$P$5:$P$1004,"&lt;&gt;Cancelada"))</f>
        <v>0</v>
      </c>
      <c r="C21" s="64" t="n">
        <f aca="false">IF($A21="","",COUNTIFS(Programação!$I$5:$I$1004,$A21,Programação!$N$5:$N$1004,C$12,Programação!$P$5:$P$1004,"&lt;&gt;Cancelada")+COUNTIFS(Programação!$J$5:$J$1004,$A21,Programação!$N$5:$N$1004,C$12,Programação!$P$5:$P$1004,"&lt;&gt;Cancelada")+COUNTIFS(Programação!$K$5:$K$1004,$A21,Programação!$N$5:$N$1004,C$12,Programação!$P$5:$P$1004,"&lt;&gt;Cancelada"))</f>
        <v>0</v>
      </c>
      <c r="D21" s="64" t="n">
        <f aca="false">IF($A21="","",COUNTIFS(Programação!$I$5:$I$1004,$A21,Programação!$N$5:$N$1004,D$12,Programação!$P$5:$P$1004,"&lt;&gt;Cancelada")+COUNTIFS(Programação!$J$5:$J$1004,$A21,Programação!$N$5:$N$1004,D$12,Programação!$P$5:$P$1004,"&lt;&gt;Cancelada")+COUNTIFS(Programação!$K$5:$K$1004,$A21,Programação!$N$5:$N$1004,D$12,Programação!$P$5:$P$1004,"&lt;&gt;Cancelada"))</f>
        <v>12</v>
      </c>
      <c r="E21" s="64" t="n">
        <f aca="false">IF($A21="","",COUNTIFS(Programação!$I$5:$I$1004,$A21,Programação!$N$5:$N$1004,E$12,Programação!$P$5:$P$1004,"&lt;&gt;Cancelada")+COUNTIFS(Programação!$J$5:$J$1004,$A21,Programação!$N$5:$N$1004,E$12,Programação!$P$5:$P$1004,"&lt;&gt;Cancelada")+COUNTIFS(Programação!$K$5:$K$1004,$A21,Programação!$N$5:$N$1004,E$12,Programação!$P$5:$P$1004,"&lt;&gt;Cancelada"))</f>
        <v>11</v>
      </c>
      <c r="F21" s="64" t="n">
        <f aca="false">IF($A21="","",COUNTIFS(Programação!$I$5:$I$1004,$A21,Programação!$N$5:$N$1004,F$12,Programação!$P$5:$P$1004,"&lt;&gt;Cancelada")+COUNTIFS(Programação!$J$5:$J$1004,$A21,Programação!$N$5:$N$1004,F$12,Programação!$P$5:$P$1004,"&lt;&gt;Cancelada")+COUNTIFS(Programação!$K$5:$K$1004,$A21,Programação!$N$5:$N$1004,F$12,Programação!$P$5:$P$1004,"&lt;&gt;Cancelada"))</f>
        <v>11</v>
      </c>
      <c r="G21" s="64" t="n">
        <f aca="false">IF($A21="","",COUNTIFS(Programação!$I$5:$I$1004,$A21,Programação!$N$5:$N$1004,G$12,Programação!$P$5:$P$1004,"&lt;&gt;Cancelada")+COUNTIFS(Programação!$J$5:$J$1004,$A21,Programação!$N$5:$N$1004,G$12,Programação!$P$5:$P$1004,"&lt;&gt;Cancelada")+COUNTIFS(Programação!$K$5:$K$1004,$A21,Programação!$N$5:$N$1004,G$12,Programação!$P$5:$P$1004,"&lt;&gt;Cancelada"))</f>
        <v>0</v>
      </c>
      <c r="H21" s="64" t="n">
        <f aca="false">IF($A21="","",COUNTIFS(Programação!$I$5:$I$1004,$A21,Programação!$N$5:$N$1004,H$12,Programação!$P$5:$P$1004,"&lt;&gt;Cancelada")+COUNTIFS(Programação!$J$5:$J$1004,$A21,Programação!$N$5:$N$1004,H$12,Programação!$P$5:$P$1004,"&lt;&gt;Cancelada")+COUNTIFS(Programação!$K$5:$K$1004,$A21,Programação!$N$5:$N$1004,H$12,Programação!$P$5:$P$1004,"&lt;&gt;Cancelada"))</f>
        <v>0</v>
      </c>
      <c r="I21" s="65" t="n">
        <f aca="false">IF($A21="","",SUM($B21:$H21))</f>
        <v>34</v>
      </c>
      <c r="J21" s="65" t="n">
        <f aca="false">IF($A21="","",SUMIFS(Programação!$Z$5:$Z$1004,Programação!$I$5:$I$1004,$A21,Programação!$N$5:$N$1004,"&gt;="&amp;$C$3,Programação!$N$5:$N$1004,"&lt;="&amp;$C$3+6)+SUMIFS(Programação!$Z$5:$Z$1004,Programação!$J$5:$J$1004,$A21,Programação!$N$5:$N$1004,"&gt;="&amp;$C$3,Programação!$N$5:$N$1004,"&lt;="&amp;$C$3+6)+SUMIFS(Programação!$Z$5:$Z$1004,Programação!$K$5:$K$1004,$A21,Programação!$N$5:$N$1004,"&gt;="&amp;$C$3,Programação!$N$5:$N$1004,"&lt;="&amp;$C$3+6))</f>
        <v>0</v>
      </c>
      <c r="K21" s="66" t="n">
        <f aca="false">IF(OR($A21="",$I21=0),"",$J21/$I21)</f>
        <v>0</v>
      </c>
      <c r="L21" s="65" t="n">
        <f aca="true">IF($A21="","",COUNTIFS(Programação!$I$5:$I$1004,$A21,Programação!$N$5:$N$1004,"&gt;="&amp;$C$3,Programação!$N$5:$N$1004,"&lt;="&amp;$C$3+6,Programação!$N$5:$N$1004,"&lt;"&amp;TODAY(),Programação!$Z$5:$Z$1004,0,Programação!$P$5:$P$1004,"&lt;&gt;Cancelada")+COUNTIFS(Programação!$J$5:$J$1004,$A21,Programação!$N$5:$N$1004,"&gt;="&amp;$C$3,Programação!$N$5:$N$1004,"&lt;="&amp;$C$3+6,Programação!$N$5:$N$1004,"&lt;"&amp;TODAY(),Programação!$Z$5:$Z$1004,0,Programação!$P$5:$P$1004,"&lt;&gt;Cancelada")+COUNTIFS(Programação!$K$5:$K$1004,$A21,Programação!$N$5:$N$1004,"&gt;="&amp;$C$3,Programação!$N$5:$N$1004,"&lt;="&amp;$C$3+6,Programação!$N$5:$N$1004,"&lt;"&amp;TODAY(),Programação!$Z$5:$Z$1004,0,Programação!$P$5:$P$1004,"&lt;&gt;Cancelada"))</f>
        <v>12</v>
      </c>
    </row>
    <row r="22" customFormat="false" ht="16.5" hidden="false" customHeight="true" outlineLevel="0" collapsed="false">
      <c r="A22" s="26" t="str">
        <f aca="false">IF(Listas!A14="","",Listas!A14)</f>
        <v>Eduardo da sticker (externo)</v>
      </c>
      <c r="B22" s="64" t="n">
        <f aca="false">IF($A22="","",COUNTIFS(Programação!$I$5:$I$1004,$A22,Programação!$N$5:$N$1004,B$12,Programação!$P$5:$P$1004,"&lt;&gt;Cancelada")+COUNTIFS(Programação!$J$5:$J$1004,$A22,Programação!$N$5:$N$1004,B$12,Programação!$P$5:$P$1004,"&lt;&gt;Cancelada")+COUNTIFS(Programação!$K$5:$K$1004,$A22,Programação!$N$5:$N$1004,B$12,Programação!$P$5:$P$1004,"&lt;&gt;Cancelada"))</f>
        <v>0</v>
      </c>
      <c r="C22" s="64" t="n">
        <f aca="false">IF($A22="","",COUNTIFS(Programação!$I$5:$I$1004,$A22,Programação!$N$5:$N$1004,C$12,Programação!$P$5:$P$1004,"&lt;&gt;Cancelada")+COUNTIFS(Programação!$J$5:$J$1004,$A22,Programação!$N$5:$N$1004,C$12,Programação!$P$5:$P$1004,"&lt;&gt;Cancelada")+COUNTIFS(Programação!$K$5:$K$1004,$A22,Programação!$N$5:$N$1004,C$12,Programação!$P$5:$P$1004,"&lt;&gt;Cancelada"))</f>
        <v>1</v>
      </c>
      <c r="D22" s="64" t="n">
        <f aca="false">IF($A22="","",COUNTIFS(Programação!$I$5:$I$1004,$A22,Programação!$N$5:$N$1004,D$12,Programação!$P$5:$P$1004,"&lt;&gt;Cancelada")+COUNTIFS(Programação!$J$5:$J$1004,$A22,Programação!$N$5:$N$1004,D$12,Programação!$P$5:$P$1004,"&lt;&gt;Cancelada")+COUNTIFS(Programação!$K$5:$K$1004,$A22,Programação!$N$5:$N$1004,D$12,Programação!$P$5:$P$1004,"&lt;&gt;Cancelada"))</f>
        <v>9</v>
      </c>
      <c r="E22" s="64" t="n">
        <f aca="false">IF($A22="","",COUNTIFS(Programação!$I$5:$I$1004,$A22,Programação!$N$5:$N$1004,E$12,Programação!$P$5:$P$1004,"&lt;&gt;Cancelada")+COUNTIFS(Programação!$J$5:$J$1004,$A22,Programação!$N$5:$N$1004,E$12,Programação!$P$5:$P$1004,"&lt;&gt;Cancelada")+COUNTIFS(Programação!$K$5:$K$1004,$A22,Programação!$N$5:$N$1004,E$12,Programação!$P$5:$P$1004,"&lt;&gt;Cancelada"))</f>
        <v>0</v>
      </c>
      <c r="F22" s="64" t="n">
        <f aca="false">IF($A22="","",COUNTIFS(Programação!$I$5:$I$1004,$A22,Programação!$N$5:$N$1004,F$12,Programação!$P$5:$P$1004,"&lt;&gt;Cancelada")+COUNTIFS(Programação!$J$5:$J$1004,$A22,Programação!$N$5:$N$1004,F$12,Programação!$P$5:$P$1004,"&lt;&gt;Cancelada")+COUNTIFS(Programação!$K$5:$K$1004,$A22,Programação!$N$5:$N$1004,F$12,Programação!$P$5:$P$1004,"&lt;&gt;Cancelada"))</f>
        <v>0</v>
      </c>
      <c r="G22" s="64" t="n">
        <f aca="false">IF($A22="","",COUNTIFS(Programação!$I$5:$I$1004,$A22,Programação!$N$5:$N$1004,G$12,Programação!$P$5:$P$1004,"&lt;&gt;Cancelada")+COUNTIFS(Programação!$J$5:$J$1004,$A22,Programação!$N$5:$N$1004,G$12,Programação!$P$5:$P$1004,"&lt;&gt;Cancelada")+COUNTIFS(Programação!$K$5:$K$1004,$A22,Programação!$N$5:$N$1004,G$12,Programação!$P$5:$P$1004,"&lt;&gt;Cancelada"))</f>
        <v>0</v>
      </c>
      <c r="H22" s="64" t="n">
        <f aca="false">IF($A22="","",COUNTIFS(Programação!$I$5:$I$1004,$A22,Programação!$N$5:$N$1004,H$12,Programação!$P$5:$P$1004,"&lt;&gt;Cancelada")+COUNTIFS(Programação!$J$5:$J$1004,$A22,Programação!$N$5:$N$1004,H$12,Programação!$P$5:$P$1004,"&lt;&gt;Cancelada")+COUNTIFS(Programação!$K$5:$K$1004,$A22,Programação!$N$5:$N$1004,H$12,Programação!$P$5:$P$1004,"&lt;&gt;Cancelada"))</f>
        <v>0</v>
      </c>
      <c r="I22" s="65" t="n">
        <f aca="false">IF($A22="","",SUM($B22:$H22))</f>
        <v>10</v>
      </c>
      <c r="J22" s="65" t="n">
        <f aca="false">IF($A22="","",SUMIFS(Programação!$Z$5:$Z$1004,Programação!$I$5:$I$1004,$A22,Programação!$N$5:$N$1004,"&gt;="&amp;$C$3,Programação!$N$5:$N$1004,"&lt;="&amp;$C$3+6)+SUMIFS(Programação!$Z$5:$Z$1004,Programação!$J$5:$J$1004,$A22,Programação!$N$5:$N$1004,"&gt;="&amp;$C$3,Programação!$N$5:$N$1004,"&lt;="&amp;$C$3+6)+SUMIFS(Programação!$Z$5:$Z$1004,Programação!$K$5:$K$1004,$A22,Programação!$N$5:$N$1004,"&gt;="&amp;$C$3,Programação!$N$5:$N$1004,"&lt;="&amp;$C$3+6))</f>
        <v>10</v>
      </c>
      <c r="K22" s="66" t="n">
        <f aca="false">IF(OR($A22="",$I22=0),"",$J22/$I22)</f>
        <v>1</v>
      </c>
      <c r="L22" s="65" t="n">
        <f aca="true">IF($A22="","",COUNTIFS(Programação!$I$5:$I$1004,$A22,Programação!$N$5:$N$1004,"&gt;="&amp;$C$3,Programação!$N$5:$N$1004,"&lt;="&amp;$C$3+6,Programação!$N$5:$N$1004,"&lt;"&amp;TODAY(),Programação!$Z$5:$Z$1004,0,Programação!$P$5:$P$1004,"&lt;&gt;Cancelada")+COUNTIFS(Programação!$J$5:$J$1004,$A22,Programação!$N$5:$N$1004,"&gt;="&amp;$C$3,Programação!$N$5:$N$1004,"&lt;="&amp;$C$3+6,Programação!$N$5:$N$1004,"&lt;"&amp;TODAY(),Programação!$Z$5:$Z$1004,0,Programação!$P$5:$P$1004,"&lt;&gt;Cancelada")+COUNTIFS(Programação!$K$5:$K$1004,$A22,Programação!$N$5:$N$1004,"&gt;="&amp;$C$3,Programação!$N$5:$N$1004,"&lt;="&amp;$C$3+6,Programação!$N$5:$N$1004,"&lt;"&amp;TODAY(),Programação!$Z$5:$Z$1004,0,Programação!$P$5:$P$1004,"&lt;&gt;Cancelada"))</f>
        <v>0</v>
      </c>
    </row>
    <row r="23" customFormat="false" ht="16.5" hidden="false" customHeight="true" outlineLevel="0" collapsed="false">
      <c r="A23" s="26" t="str">
        <f aca="false">IF(Listas!A15="","",Listas!A15)</f>
        <v>Molas Pinheiro (externo)</v>
      </c>
      <c r="B23" s="64" t="n">
        <f aca="false">IF($A23="","",COUNTIFS(Programação!$I$5:$I$1004,$A23,Programação!$N$5:$N$1004,B$12,Programação!$P$5:$P$1004,"&lt;&gt;Cancelada")+COUNTIFS(Programação!$J$5:$J$1004,$A23,Programação!$N$5:$N$1004,B$12,Programação!$P$5:$P$1004,"&lt;&gt;Cancelada")+COUNTIFS(Programação!$K$5:$K$1004,$A23,Programação!$N$5:$N$1004,B$12,Programação!$P$5:$P$1004,"&lt;&gt;Cancelada"))</f>
        <v>0</v>
      </c>
      <c r="C23" s="64" t="n">
        <f aca="false">IF($A23="","",COUNTIFS(Programação!$I$5:$I$1004,$A23,Programação!$N$5:$N$1004,C$12,Programação!$P$5:$P$1004,"&lt;&gt;Cancelada")+COUNTIFS(Programação!$J$5:$J$1004,$A23,Programação!$N$5:$N$1004,C$12,Programação!$P$5:$P$1004,"&lt;&gt;Cancelada")+COUNTIFS(Programação!$K$5:$K$1004,$A23,Programação!$N$5:$N$1004,C$12,Programação!$P$5:$P$1004,"&lt;&gt;Cancelada"))</f>
        <v>0</v>
      </c>
      <c r="D23" s="64" t="n">
        <f aca="false">IF($A23="","",COUNTIFS(Programação!$I$5:$I$1004,$A23,Programação!$N$5:$N$1004,D$12,Programação!$P$5:$P$1004,"&lt;&gt;Cancelada")+COUNTIFS(Programação!$J$5:$J$1004,$A23,Programação!$N$5:$N$1004,D$12,Programação!$P$5:$P$1004,"&lt;&gt;Cancelada")+COUNTIFS(Programação!$K$5:$K$1004,$A23,Programação!$N$5:$N$1004,D$12,Programação!$P$5:$P$1004,"&lt;&gt;Cancelada"))</f>
        <v>1</v>
      </c>
      <c r="E23" s="64" t="n">
        <f aca="false">IF($A23="","",COUNTIFS(Programação!$I$5:$I$1004,$A23,Programação!$N$5:$N$1004,E$12,Programação!$P$5:$P$1004,"&lt;&gt;Cancelada")+COUNTIFS(Programação!$J$5:$J$1004,$A23,Programação!$N$5:$N$1004,E$12,Programação!$P$5:$P$1004,"&lt;&gt;Cancelada")+COUNTIFS(Programação!$K$5:$K$1004,$A23,Programação!$N$5:$N$1004,E$12,Programação!$P$5:$P$1004,"&lt;&gt;Cancelada"))</f>
        <v>1</v>
      </c>
      <c r="F23" s="64" t="n">
        <f aca="false">IF($A23="","",COUNTIFS(Programação!$I$5:$I$1004,$A23,Programação!$N$5:$N$1004,F$12,Programação!$P$5:$P$1004,"&lt;&gt;Cancelada")+COUNTIFS(Programação!$J$5:$J$1004,$A23,Programação!$N$5:$N$1004,F$12,Programação!$P$5:$P$1004,"&lt;&gt;Cancelada")+COUNTIFS(Programação!$K$5:$K$1004,$A23,Programação!$N$5:$N$1004,F$12,Programação!$P$5:$P$1004,"&lt;&gt;Cancelada"))</f>
        <v>0</v>
      </c>
      <c r="G23" s="64" t="n">
        <f aca="false">IF($A23="","",COUNTIFS(Programação!$I$5:$I$1004,$A23,Programação!$N$5:$N$1004,G$12,Programação!$P$5:$P$1004,"&lt;&gt;Cancelada")+COUNTIFS(Programação!$J$5:$J$1004,$A23,Programação!$N$5:$N$1004,G$12,Programação!$P$5:$P$1004,"&lt;&gt;Cancelada")+COUNTIFS(Programação!$K$5:$K$1004,$A23,Programação!$N$5:$N$1004,G$12,Programação!$P$5:$P$1004,"&lt;&gt;Cancelada"))</f>
        <v>0</v>
      </c>
      <c r="H23" s="64" t="n">
        <f aca="false">IF($A23="","",COUNTIFS(Programação!$I$5:$I$1004,$A23,Programação!$N$5:$N$1004,H$12,Programação!$P$5:$P$1004,"&lt;&gt;Cancelada")+COUNTIFS(Programação!$J$5:$J$1004,$A23,Programação!$N$5:$N$1004,H$12,Programação!$P$5:$P$1004,"&lt;&gt;Cancelada")+COUNTIFS(Programação!$K$5:$K$1004,$A23,Programação!$N$5:$N$1004,H$12,Programação!$P$5:$P$1004,"&lt;&gt;Cancelada"))</f>
        <v>0</v>
      </c>
      <c r="I23" s="65" t="n">
        <f aca="false">IF($A23="","",SUM($B23:$H23))</f>
        <v>2</v>
      </c>
      <c r="J23" s="65" t="n">
        <f aca="false">IF($A23="","",SUMIFS(Programação!$Z$5:$Z$1004,Programação!$I$5:$I$1004,$A23,Programação!$N$5:$N$1004,"&gt;="&amp;$C$3,Programação!$N$5:$N$1004,"&lt;="&amp;$C$3+6)+SUMIFS(Programação!$Z$5:$Z$1004,Programação!$J$5:$J$1004,$A23,Programação!$N$5:$N$1004,"&gt;="&amp;$C$3,Programação!$N$5:$N$1004,"&lt;="&amp;$C$3+6)+SUMIFS(Programação!$Z$5:$Z$1004,Programação!$K$5:$K$1004,$A23,Programação!$N$5:$N$1004,"&gt;="&amp;$C$3,Programação!$N$5:$N$1004,"&lt;="&amp;$C$3+6))</f>
        <v>0</v>
      </c>
      <c r="K23" s="66" t="n">
        <f aca="false">IF(OR($A23="",$I23=0),"",$J23/$I23)</f>
        <v>0</v>
      </c>
      <c r="L23" s="65" t="n">
        <f aca="true">IF($A23="","",COUNTIFS(Programação!$I$5:$I$1004,$A23,Programação!$N$5:$N$1004,"&gt;="&amp;$C$3,Programação!$N$5:$N$1004,"&lt;="&amp;$C$3+6,Programação!$N$5:$N$1004,"&lt;"&amp;TODAY(),Programação!$Z$5:$Z$1004,0,Programação!$P$5:$P$1004,"&lt;&gt;Cancelada")+COUNTIFS(Programação!$J$5:$J$1004,$A23,Programação!$N$5:$N$1004,"&gt;="&amp;$C$3,Programação!$N$5:$N$1004,"&lt;="&amp;$C$3+6,Programação!$N$5:$N$1004,"&lt;"&amp;TODAY(),Programação!$Z$5:$Z$1004,0,Programação!$P$5:$P$1004,"&lt;&gt;Cancelada")+COUNTIFS(Programação!$K$5:$K$1004,$A23,Programação!$N$5:$N$1004,"&gt;="&amp;$C$3,Programação!$N$5:$N$1004,"&lt;="&amp;$C$3+6,Programação!$N$5:$N$1004,"&lt;"&amp;TODAY(),Programação!$Z$5:$Z$1004,0,Programação!$P$5:$P$1004,"&lt;&gt;Cancelada"))</f>
        <v>1</v>
      </c>
    </row>
    <row r="24" customFormat="false" ht="16.5" hidden="false" customHeight="true" outlineLevel="0" collapsed="false">
      <c r="A24" s="26" t="str">
        <f aca="false">IF(Listas!A16="","",Listas!A16)</f>
        <v>Rodo Ceará (externo)</v>
      </c>
      <c r="B24" s="64" t="n">
        <f aca="false">IF($A24="","",COUNTIFS(Programação!$I$5:$I$1004,$A24,Programação!$N$5:$N$1004,B$12,Programação!$P$5:$P$1004,"&lt;&gt;Cancelada")+COUNTIFS(Programação!$J$5:$J$1004,$A24,Programação!$N$5:$N$1004,B$12,Programação!$P$5:$P$1004,"&lt;&gt;Cancelada")+COUNTIFS(Programação!$K$5:$K$1004,$A24,Programação!$N$5:$N$1004,B$12,Programação!$P$5:$P$1004,"&lt;&gt;Cancelada"))</f>
        <v>0</v>
      </c>
      <c r="C24" s="64" t="n">
        <f aca="false">IF($A24="","",COUNTIFS(Programação!$I$5:$I$1004,$A24,Programação!$N$5:$N$1004,C$12,Programação!$P$5:$P$1004,"&lt;&gt;Cancelada")+COUNTIFS(Programação!$J$5:$J$1004,$A24,Programação!$N$5:$N$1004,C$12,Programação!$P$5:$P$1004,"&lt;&gt;Cancelada")+COUNTIFS(Programação!$K$5:$K$1004,$A24,Programação!$N$5:$N$1004,C$12,Programação!$P$5:$P$1004,"&lt;&gt;Cancelada"))</f>
        <v>0</v>
      </c>
      <c r="D24" s="64" t="n">
        <f aca="false">IF($A24="","",COUNTIFS(Programação!$I$5:$I$1004,$A24,Programação!$N$5:$N$1004,D$12,Programação!$P$5:$P$1004,"&lt;&gt;Cancelada")+COUNTIFS(Programação!$J$5:$J$1004,$A24,Programação!$N$5:$N$1004,D$12,Programação!$P$5:$P$1004,"&lt;&gt;Cancelada")+COUNTIFS(Programação!$K$5:$K$1004,$A24,Programação!$N$5:$N$1004,D$12,Programação!$P$5:$P$1004,"&lt;&gt;Cancelada"))</f>
        <v>0</v>
      </c>
      <c r="E24" s="64" t="n">
        <f aca="false">IF($A24="","",COUNTIFS(Programação!$I$5:$I$1004,$A24,Programação!$N$5:$N$1004,E$12,Programação!$P$5:$P$1004,"&lt;&gt;Cancelada")+COUNTIFS(Programação!$J$5:$J$1004,$A24,Programação!$N$5:$N$1004,E$12,Programação!$P$5:$P$1004,"&lt;&gt;Cancelada")+COUNTIFS(Programação!$K$5:$K$1004,$A24,Programação!$N$5:$N$1004,E$12,Programação!$P$5:$P$1004,"&lt;&gt;Cancelada"))</f>
        <v>1</v>
      </c>
      <c r="F24" s="64" t="n">
        <f aca="false">IF($A24="","",COUNTIFS(Programação!$I$5:$I$1004,$A24,Programação!$N$5:$N$1004,F$12,Programação!$P$5:$P$1004,"&lt;&gt;Cancelada")+COUNTIFS(Programação!$J$5:$J$1004,$A24,Programação!$N$5:$N$1004,F$12,Programação!$P$5:$P$1004,"&lt;&gt;Cancelada")+COUNTIFS(Programação!$K$5:$K$1004,$A24,Programação!$N$5:$N$1004,F$12,Programação!$P$5:$P$1004,"&lt;&gt;Cancelada"))</f>
        <v>0</v>
      </c>
      <c r="G24" s="64" t="n">
        <f aca="false">IF($A24="","",COUNTIFS(Programação!$I$5:$I$1004,$A24,Programação!$N$5:$N$1004,G$12,Programação!$P$5:$P$1004,"&lt;&gt;Cancelada")+COUNTIFS(Programação!$J$5:$J$1004,$A24,Programação!$N$5:$N$1004,G$12,Programação!$P$5:$P$1004,"&lt;&gt;Cancelada")+COUNTIFS(Programação!$K$5:$K$1004,$A24,Programação!$N$5:$N$1004,G$12,Programação!$P$5:$P$1004,"&lt;&gt;Cancelada"))</f>
        <v>0</v>
      </c>
      <c r="H24" s="64" t="n">
        <f aca="false">IF($A24="","",COUNTIFS(Programação!$I$5:$I$1004,$A24,Programação!$N$5:$N$1004,H$12,Programação!$P$5:$P$1004,"&lt;&gt;Cancelada")+COUNTIFS(Programação!$J$5:$J$1004,$A24,Programação!$N$5:$N$1004,H$12,Programação!$P$5:$P$1004,"&lt;&gt;Cancelada")+COUNTIFS(Programação!$K$5:$K$1004,$A24,Programação!$N$5:$N$1004,H$12,Programação!$P$5:$P$1004,"&lt;&gt;Cancelada"))</f>
        <v>0</v>
      </c>
      <c r="I24" s="65" t="n">
        <f aca="false">IF($A24="","",SUM($B24:$H24))</f>
        <v>1</v>
      </c>
      <c r="J24" s="65" t="n">
        <f aca="false">IF($A24="","",SUMIFS(Programação!$Z$5:$Z$1004,Programação!$I$5:$I$1004,$A24,Programação!$N$5:$N$1004,"&gt;="&amp;$C$3,Programação!$N$5:$N$1004,"&lt;="&amp;$C$3+6)+SUMIFS(Programação!$Z$5:$Z$1004,Programação!$J$5:$J$1004,$A24,Programação!$N$5:$N$1004,"&gt;="&amp;$C$3,Programação!$N$5:$N$1004,"&lt;="&amp;$C$3+6)+SUMIFS(Programação!$Z$5:$Z$1004,Programação!$K$5:$K$1004,$A24,Programação!$N$5:$N$1004,"&gt;="&amp;$C$3,Programação!$N$5:$N$1004,"&lt;="&amp;$C$3+6))</f>
        <v>0</v>
      </c>
      <c r="K24" s="66" t="n">
        <f aca="false">IF(OR($A24="",$I24=0),"",$J24/$I24)</f>
        <v>0</v>
      </c>
      <c r="L24" s="65" t="n">
        <f aca="true">IF($A24="","",COUNTIFS(Programação!$I$5:$I$1004,$A24,Programação!$N$5:$N$1004,"&gt;="&amp;$C$3,Programação!$N$5:$N$1004,"&lt;="&amp;$C$3+6,Programação!$N$5:$N$1004,"&lt;"&amp;TODAY(),Programação!$Z$5:$Z$1004,0,Programação!$P$5:$P$1004,"&lt;&gt;Cancelada")+COUNTIFS(Programação!$J$5:$J$1004,$A24,Programação!$N$5:$N$1004,"&gt;="&amp;$C$3,Programação!$N$5:$N$1004,"&lt;="&amp;$C$3+6,Programação!$N$5:$N$1004,"&lt;"&amp;TODAY(),Programação!$Z$5:$Z$1004,0,Programação!$P$5:$P$1004,"&lt;&gt;Cancelada")+COUNTIFS(Programação!$K$5:$K$1004,$A24,Programação!$N$5:$N$1004,"&gt;="&amp;$C$3,Programação!$N$5:$N$1004,"&lt;="&amp;$C$3+6,Programação!$N$5:$N$1004,"&lt;"&amp;TODAY(),Programação!$Z$5:$Z$1004,0,Programação!$P$5:$P$1004,"&lt;&gt;Cancelada"))</f>
        <v>0</v>
      </c>
    </row>
    <row r="25" customFormat="false" ht="16.5" hidden="false" customHeight="true" outlineLevel="0" collapsed="false">
      <c r="A25" s="26" t="str">
        <f aca="false">IF(Listas!A17="","",Listas!A17)</f>
        <v/>
      </c>
      <c r="B25" s="64" t="str">
        <f aca="false">IF($A25="","",COUNTIFS(Programação!$I$5:$I$1004,$A25,Programação!$N$5:$N$1004,B$12,Programação!$P$5:$P$1004,"&lt;&gt;Cancelada")+COUNTIFS(Programação!$J$5:$J$1004,$A25,Programação!$N$5:$N$1004,B$12,Programação!$P$5:$P$1004,"&lt;&gt;Cancelada")+COUNTIFS(Programação!$K$5:$K$1004,$A25,Programação!$N$5:$N$1004,B$12,Programação!$P$5:$P$1004,"&lt;&gt;Cancelada"))</f>
        <v/>
      </c>
      <c r="C25" s="64" t="str">
        <f aca="false">IF($A25="","",COUNTIFS(Programação!$I$5:$I$1004,$A25,Programação!$N$5:$N$1004,C$12,Programação!$P$5:$P$1004,"&lt;&gt;Cancelada")+COUNTIFS(Programação!$J$5:$J$1004,$A25,Programação!$N$5:$N$1004,C$12,Programação!$P$5:$P$1004,"&lt;&gt;Cancelada")+COUNTIFS(Programação!$K$5:$K$1004,$A25,Programação!$N$5:$N$1004,C$12,Programação!$P$5:$P$1004,"&lt;&gt;Cancelada"))</f>
        <v/>
      </c>
      <c r="D25" s="64" t="str">
        <f aca="false">IF($A25="","",COUNTIFS(Programação!$I$5:$I$1004,$A25,Programação!$N$5:$N$1004,D$12,Programação!$P$5:$P$1004,"&lt;&gt;Cancelada")+COUNTIFS(Programação!$J$5:$J$1004,$A25,Programação!$N$5:$N$1004,D$12,Programação!$P$5:$P$1004,"&lt;&gt;Cancelada")+COUNTIFS(Programação!$K$5:$K$1004,$A25,Programação!$N$5:$N$1004,D$12,Programação!$P$5:$P$1004,"&lt;&gt;Cancelada"))</f>
        <v/>
      </c>
      <c r="E25" s="64" t="str">
        <f aca="false">IF($A25="","",COUNTIFS(Programação!$I$5:$I$1004,$A25,Programação!$N$5:$N$1004,E$12,Programação!$P$5:$P$1004,"&lt;&gt;Cancelada")+COUNTIFS(Programação!$J$5:$J$1004,$A25,Programação!$N$5:$N$1004,E$12,Programação!$P$5:$P$1004,"&lt;&gt;Cancelada")+COUNTIFS(Programação!$K$5:$K$1004,$A25,Programação!$N$5:$N$1004,E$12,Programação!$P$5:$P$1004,"&lt;&gt;Cancelada"))</f>
        <v/>
      </c>
      <c r="F25" s="64" t="str">
        <f aca="false">IF($A25="","",COUNTIFS(Programação!$I$5:$I$1004,$A25,Programação!$N$5:$N$1004,F$12,Programação!$P$5:$P$1004,"&lt;&gt;Cancelada")+COUNTIFS(Programação!$J$5:$J$1004,$A25,Programação!$N$5:$N$1004,F$12,Programação!$P$5:$P$1004,"&lt;&gt;Cancelada")+COUNTIFS(Programação!$K$5:$K$1004,$A25,Programação!$N$5:$N$1004,F$12,Programação!$P$5:$P$1004,"&lt;&gt;Cancelada"))</f>
        <v/>
      </c>
      <c r="G25" s="64" t="str">
        <f aca="false">IF($A25="","",COUNTIFS(Programação!$I$5:$I$1004,$A25,Programação!$N$5:$N$1004,G$12,Programação!$P$5:$P$1004,"&lt;&gt;Cancelada")+COUNTIFS(Programação!$J$5:$J$1004,$A25,Programação!$N$5:$N$1004,G$12,Programação!$P$5:$P$1004,"&lt;&gt;Cancelada")+COUNTIFS(Programação!$K$5:$K$1004,$A25,Programação!$N$5:$N$1004,G$12,Programação!$P$5:$P$1004,"&lt;&gt;Cancelada"))</f>
        <v/>
      </c>
      <c r="H25" s="64" t="str">
        <f aca="false">IF($A25="","",COUNTIFS(Programação!$I$5:$I$1004,$A25,Programação!$N$5:$N$1004,H$12,Programação!$P$5:$P$1004,"&lt;&gt;Cancelada")+COUNTIFS(Programação!$J$5:$J$1004,$A25,Programação!$N$5:$N$1004,H$12,Programação!$P$5:$P$1004,"&lt;&gt;Cancelada")+COUNTIFS(Programação!$K$5:$K$1004,$A25,Programação!$N$5:$N$1004,H$12,Programação!$P$5:$P$1004,"&lt;&gt;Cancelada"))</f>
        <v/>
      </c>
      <c r="I25" s="65" t="str">
        <f aca="false">IF($A25="","",SUM($B25:$H25))</f>
        <v/>
      </c>
      <c r="J25" s="65" t="str">
        <f aca="false">IF($A25="","",SUMIFS(Programação!$Z$5:$Z$1004,Programação!$I$5:$I$1004,$A25,Programação!$N$5:$N$1004,"&gt;="&amp;$C$3,Programação!$N$5:$N$1004,"&lt;="&amp;$C$3+6)+SUMIFS(Programação!$Z$5:$Z$1004,Programação!$J$5:$J$1004,$A25,Programação!$N$5:$N$1004,"&gt;="&amp;$C$3,Programação!$N$5:$N$1004,"&lt;="&amp;$C$3+6)+SUMIFS(Programação!$Z$5:$Z$1004,Programação!$K$5:$K$1004,$A25,Programação!$N$5:$N$1004,"&gt;="&amp;$C$3,Programação!$N$5:$N$1004,"&lt;="&amp;$C$3+6))</f>
        <v/>
      </c>
      <c r="K25" s="66" t="str">
        <f aca="false">IF(OR($A25="",$I25=0),"",$J25/$I25)</f>
        <v/>
      </c>
      <c r="L25" s="65" t="str">
        <f aca="true">IF($A25="","",COUNTIFS(Programação!$I$5:$I$1004,$A25,Programação!$N$5:$N$1004,"&gt;="&amp;$C$3,Programação!$N$5:$N$1004,"&lt;="&amp;$C$3+6,Programação!$N$5:$N$1004,"&lt;"&amp;TODAY(),Programação!$Z$5:$Z$1004,0,Programação!$P$5:$P$1004,"&lt;&gt;Cancelada")+COUNTIFS(Programação!$J$5:$J$1004,$A25,Programação!$N$5:$N$1004,"&gt;="&amp;$C$3,Programação!$N$5:$N$1004,"&lt;="&amp;$C$3+6,Programação!$N$5:$N$1004,"&lt;"&amp;TODAY(),Programação!$Z$5:$Z$1004,0,Programação!$P$5:$P$1004,"&lt;&gt;Cancelada")+COUNTIFS(Programação!$K$5:$K$1004,$A25,Programação!$N$5:$N$1004,"&gt;="&amp;$C$3,Programação!$N$5:$N$1004,"&lt;="&amp;$C$3+6,Programação!$N$5:$N$1004,"&lt;"&amp;TODAY(),Programação!$Z$5:$Z$1004,0,Programação!$P$5:$P$1004,"&lt;&gt;Cancelada"))</f>
        <v/>
      </c>
    </row>
    <row r="26" customFormat="false" ht="16.5" hidden="false" customHeight="true" outlineLevel="0" collapsed="false">
      <c r="A26" s="26" t="str">
        <f aca="false">IF(Listas!A18="","",Listas!A18)</f>
        <v/>
      </c>
      <c r="B26" s="64" t="str">
        <f aca="false">IF($A26="","",COUNTIFS(Programação!$I$5:$I$1004,$A26,Programação!$N$5:$N$1004,B$12,Programação!$P$5:$P$1004,"&lt;&gt;Cancelada")+COUNTIFS(Programação!$J$5:$J$1004,$A26,Programação!$N$5:$N$1004,B$12,Programação!$P$5:$P$1004,"&lt;&gt;Cancelada")+COUNTIFS(Programação!$K$5:$K$1004,$A26,Programação!$N$5:$N$1004,B$12,Programação!$P$5:$P$1004,"&lt;&gt;Cancelada"))</f>
        <v/>
      </c>
      <c r="C26" s="64" t="str">
        <f aca="false">IF($A26="","",COUNTIFS(Programação!$I$5:$I$1004,$A26,Programação!$N$5:$N$1004,C$12,Programação!$P$5:$P$1004,"&lt;&gt;Cancelada")+COUNTIFS(Programação!$J$5:$J$1004,$A26,Programação!$N$5:$N$1004,C$12,Programação!$P$5:$P$1004,"&lt;&gt;Cancelada")+COUNTIFS(Programação!$K$5:$K$1004,$A26,Programação!$N$5:$N$1004,C$12,Programação!$P$5:$P$1004,"&lt;&gt;Cancelada"))</f>
        <v/>
      </c>
      <c r="D26" s="64" t="str">
        <f aca="false">IF($A26="","",COUNTIFS(Programação!$I$5:$I$1004,$A26,Programação!$N$5:$N$1004,D$12,Programação!$P$5:$P$1004,"&lt;&gt;Cancelada")+COUNTIFS(Programação!$J$5:$J$1004,$A26,Programação!$N$5:$N$1004,D$12,Programação!$P$5:$P$1004,"&lt;&gt;Cancelada")+COUNTIFS(Programação!$K$5:$K$1004,$A26,Programação!$N$5:$N$1004,D$12,Programação!$P$5:$P$1004,"&lt;&gt;Cancelada"))</f>
        <v/>
      </c>
      <c r="E26" s="64" t="str">
        <f aca="false">IF($A26="","",COUNTIFS(Programação!$I$5:$I$1004,$A26,Programação!$N$5:$N$1004,E$12,Programação!$P$5:$P$1004,"&lt;&gt;Cancelada")+COUNTIFS(Programação!$J$5:$J$1004,$A26,Programação!$N$5:$N$1004,E$12,Programação!$P$5:$P$1004,"&lt;&gt;Cancelada")+COUNTIFS(Programação!$K$5:$K$1004,$A26,Programação!$N$5:$N$1004,E$12,Programação!$P$5:$P$1004,"&lt;&gt;Cancelada"))</f>
        <v/>
      </c>
      <c r="F26" s="64" t="str">
        <f aca="false">IF($A26="","",COUNTIFS(Programação!$I$5:$I$1004,$A26,Programação!$N$5:$N$1004,F$12,Programação!$P$5:$P$1004,"&lt;&gt;Cancelada")+COUNTIFS(Programação!$J$5:$J$1004,$A26,Programação!$N$5:$N$1004,F$12,Programação!$P$5:$P$1004,"&lt;&gt;Cancelada")+COUNTIFS(Programação!$K$5:$K$1004,$A26,Programação!$N$5:$N$1004,F$12,Programação!$P$5:$P$1004,"&lt;&gt;Cancelada"))</f>
        <v/>
      </c>
      <c r="G26" s="64" t="str">
        <f aca="false">IF($A26="","",COUNTIFS(Programação!$I$5:$I$1004,$A26,Programação!$N$5:$N$1004,G$12,Programação!$P$5:$P$1004,"&lt;&gt;Cancelada")+COUNTIFS(Programação!$J$5:$J$1004,$A26,Programação!$N$5:$N$1004,G$12,Programação!$P$5:$P$1004,"&lt;&gt;Cancelada")+COUNTIFS(Programação!$K$5:$K$1004,$A26,Programação!$N$5:$N$1004,G$12,Programação!$P$5:$P$1004,"&lt;&gt;Cancelada"))</f>
        <v/>
      </c>
      <c r="H26" s="64" t="str">
        <f aca="false">IF($A26="","",COUNTIFS(Programação!$I$5:$I$1004,$A26,Programação!$N$5:$N$1004,H$12,Programação!$P$5:$P$1004,"&lt;&gt;Cancelada")+COUNTIFS(Programação!$J$5:$J$1004,$A26,Programação!$N$5:$N$1004,H$12,Programação!$P$5:$P$1004,"&lt;&gt;Cancelada")+COUNTIFS(Programação!$K$5:$K$1004,$A26,Programação!$N$5:$N$1004,H$12,Programação!$P$5:$P$1004,"&lt;&gt;Cancelada"))</f>
        <v/>
      </c>
      <c r="I26" s="65" t="str">
        <f aca="false">IF($A26="","",SUM($B26:$H26))</f>
        <v/>
      </c>
      <c r="J26" s="65" t="str">
        <f aca="false">IF($A26="","",SUMIFS(Programação!$Z$5:$Z$1004,Programação!$I$5:$I$1004,$A26,Programação!$N$5:$N$1004,"&gt;="&amp;$C$3,Programação!$N$5:$N$1004,"&lt;="&amp;$C$3+6)+SUMIFS(Programação!$Z$5:$Z$1004,Programação!$J$5:$J$1004,$A26,Programação!$N$5:$N$1004,"&gt;="&amp;$C$3,Programação!$N$5:$N$1004,"&lt;="&amp;$C$3+6)+SUMIFS(Programação!$Z$5:$Z$1004,Programação!$K$5:$K$1004,$A26,Programação!$N$5:$N$1004,"&gt;="&amp;$C$3,Programação!$N$5:$N$1004,"&lt;="&amp;$C$3+6))</f>
        <v/>
      </c>
      <c r="K26" s="66" t="str">
        <f aca="false">IF(OR($A26="",$I26=0),"",$J26/$I26)</f>
        <v/>
      </c>
      <c r="L26" s="65" t="str">
        <f aca="true">IF($A26="","",COUNTIFS(Programação!$I$5:$I$1004,$A26,Programação!$N$5:$N$1004,"&gt;="&amp;$C$3,Programação!$N$5:$N$1004,"&lt;="&amp;$C$3+6,Programação!$N$5:$N$1004,"&lt;"&amp;TODAY(),Programação!$Z$5:$Z$1004,0,Programação!$P$5:$P$1004,"&lt;&gt;Cancelada")+COUNTIFS(Programação!$J$5:$J$1004,$A26,Programação!$N$5:$N$1004,"&gt;="&amp;$C$3,Programação!$N$5:$N$1004,"&lt;="&amp;$C$3+6,Programação!$N$5:$N$1004,"&lt;"&amp;TODAY(),Programação!$Z$5:$Z$1004,0,Programação!$P$5:$P$1004,"&lt;&gt;Cancelada")+COUNTIFS(Programação!$K$5:$K$1004,$A26,Programação!$N$5:$N$1004,"&gt;="&amp;$C$3,Programação!$N$5:$N$1004,"&lt;="&amp;$C$3+6,Programação!$N$5:$N$1004,"&lt;"&amp;TODAY(),Programação!$Z$5:$Z$1004,0,Programação!$P$5:$P$1004,"&lt;&gt;Cancelada"))</f>
        <v/>
      </c>
    </row>
    <row r="27" customFormat="false" ht="16.5" hidden="false" customHeight="true" outlineLevel="0" collapsed="false">
      <c r="A27" s="26" t="str">
        <f aca="false">IF(Listas!A19="","",Listas!A19)</f>
        <v/>
      </c>
      <c r="B27" s="64" t="str">
        <f aca="false">IF($A27="","",COUNTIFS(Programação!$I$5:$I$1004,$A27,Programação!$N$5:$N$1004,B$12,Programação!$P$5:$P$1004,"&lt;&gt;Cancelada")+COUNTIFS(Programação!$J$5:$J$1004,$A27,Programação!$N$5:$N$1004,B$12,Programação!$P$5:$P$1004,"&lt;&gt;Cancelada")+COUNTIFS(Programação!$K$5:$K$1004,$A27,Programação!$N$5:$N$1004,B$12,Programação!$P$5:$P$1004,"&lt;&gt;Cancelada"))</f>
        <v/>
      </c>
      <c r="C27" s="64" t="str">
        <f aca="false">IF($A27="","",COUNTIFS(Programação!$I$5:$I$1004,$A27,Programação!$N$5:$N$1004,C$12,Programação!$P$5:$P$1004,"&lt;&gt;Cancelada")+COUNTIFS(Programação!$J$5:$J$1004,$A27,Programação!$N$5:$N$1004,C$12,Programação!$P$5:$P$1004,"&lt;&gt;Cancelada")+COUNTIFS(Programação!$K$5:$K$1004,$A27,Programação!$N$5:$N$1004,C$12,Programação!$P$5:$P$1004,"&lt;&gt;Cancelada"))</f>
        <v/>
      </c>
      <c r="D27" s="64" t="str">
        <f aca="false">IF($A27="","",COUNTIFS(Programação!$I$5:$I$1004,$A27,Programação!$N$5:$N$1004,D$12,Programação!$P$5:$P$1004,"&lt;&gt;Cancelada")+COUNTIFS(Programação!$J$5:$J$1004,$A27,Programação!$N$5:$N$1004,D$12,Programação!$P$5:$P$1004,"&lt;&gt;Cancelada")+COUNTIFS(Programação!$K$5:$K$1004,$A27,Programação!$N$5:$N$1004,D$12,Programação!$P$5:$P$1004,"&lt;&gt;Cancelada"))</f>
        <v/>
      </c>
      <c r="E27" s="64" t="str">
        <f aca="false">IF($A27="","",COUNTIFS(Programação!$I$5:$I$1004,$A27,Programação!$N$5:$N$1004,E$12,Programação!$P$5:$P$1004,"&lt;&gt;Cancelada")+COUNTIFS(Programação!$J$5:$J$1004,$A27,Programação!$N$5:$N$1004,E$12,Programação!$P$5:$P$1004,"&lt;&gt;Cancelada")+COUNTIFS(Programação!$K$5:$K$1004,$A27,Programação!$N$5:$N$1004,E$12,Programação!$P$5:$P$1004,"&lt;&gt;Cancelada"))</f>
        <v/>
      </c>
      <c r="F27" s="64" t="str">
        <f aca="false">IF($A27="","",COUNTIFS(Programação!$I$5:$I$1004,$A27,Programação!$N$5:$N$1004,F$12,Programação!$P$5:$P$1004,"&lt;&gt;Cancelada")+COUNTIFS(Programação!$J$5:$J$1004,$A27,Programação!$N$5:$N$1004,F$12,Programação!$P$5:$P$1004,"&lt;&gt;Cancelada")+COUNTIFS(Programação!$K$5:$K$1004,$A27,Programação!$N$5:$N$1004,F$12,Programação!$P$5:$P$1004,"&lt;&gt;Cancelada"))</f>
        <v/>
      </c>
      <c r="G27" s="64" t="str">
        <f aca="false">IF($A27="","",COUNTIFS(Programação!$I$5:$I$1004,$A27,Programação!$N$5:$N$1004,G$12,Programação!$P$5:$P$1004,"&lt;&gt;Cancelada")+COUNTIFS(Programação!$J$5:$J$1004,$A27,Programação!$N$5:$N$1004,G$12,Programação!$P$5:$P$1004,"&lt;&gt;Cancelada")+COUNTIFS(Programação!$K$5:$K$1004,$A27,Programação!$N$5:$N$1004,G$12,Programação!$P$5:$P$1004,"&lt;&gt;Cancelada"))</f>
        <v/>
      </c>
      <c r="H27" s="64" t="str">
        <f aca="false">IF($A27="","",COUNTIFS(Programação!$I$5:$I$1004,$A27,Programação!$N$5:$N$1004,H$12,Programação!$P$5:$P$1004,"&lt;&gt;Cancelada")+COUNTIFS(Programação!$J$5:$J$1004,$A27,Programação!$N$5:$N$1004,H$12,Programação!$P$5:$P$1004,"&lt;&gt;Cancelada")+COUNTIFS(Programação!$K$5:$K$1004,$A27,Programação!$N$5:$N$1004,H$12,Programação!$P$5:$P$1004,"&lt;&gt;Cancelada"))</f>
        <v/>
      </c>
      <c r="I27" s="65" t="str">
        <f aca="false">IF($A27="","",SUM($B27:$H27))</f>
        <v/>
      </c>
      <c r="J27" s="65" t="str">
        <f aca="false">IF($A27="","",SUMIFS(Programação!$Z$5:$Z$1004,Programação!$I$5:$I$1004,$A27,Programação!$N$5:$N$1004,"&gt;="&amp;$C$3,Programação!$N$5:$N$1004,"&lt;="&amp;$C$3+6)+SUMIFS(Programação!$Z$5:$Z$1004,Programação!$J$5:$J$1004,$A27,Programação!$N$5:$N$1004,"&gt;="&amp;$C$3,Programação!$N$5:$N$1004,"&lt;="&amp;$C$3+6)+SUMIFS(Programação!$Z$5:$Z$1004,Programação!$K$5:$K$1004,$A27,Programação!$N$5:$N$1004,"&gt;="&amp;$C$3,Programação!$N$5:$N$1004,"&lt;="&amp;$C$3+6))</f>
        <v/>
      </c>
      <c r="K27" s="66" t="str">
        <f aca="false">IF(OR($A27="",$I27=0),"",$J27/$I27)</f>
        <v/>
      </c>
      <c r="L27" s="65" t="str">
        <f aca="true">IF($A27="","",COUNTIFS(Programação!$I$5:$I$1004,$A27,Programação!$N$5:$N$1004,"&gt;="&amp;$C$3,Programação!$N$5:$N$1004,"&lt;="&amp;$C$3+6,Programação!$N$5:$N$1004,"&lt;"&amp;TODAY(),Programação!$Z$5:$Z$1004,0,Programação!$P$5:$P$1004,"&lt;&gt;Cancelada")+COUNTIFS(Programação!$J$5:$J$1004,$A27,Programação!$N$5:$N$1004,"&gt;="&amp;$C$3,Programação!$N$5:$N$1004,"&lt;="&amp;$C$3+6,Programação!$N$5:$N$1004,"&lt;"&amp;TODAY(),Programação!$Z$5:$Z$1004,0,Programação!$P$5:$P$1004,"&lt;&gt;Cancelada")+COUNTIFS(Programação!$K$5:$K$1004,$A27,Programação!$N$5:$N$1004,"&gt;="&amp;$C$3,Programação!$N$5:$N$1004,"&lt;="&amp;$C$3+6,Programação!$N$5:$N$1004,"&lt;"&amp;TODAY(),Programação!$Z$5:$Z$1004,0,Programação!$P$5:$P$1004,"&lt;&gt;Cancelada"))</f>
        <v/>
      </c>
    </row>
    <row r="28" customFormat="false" ht="16.5" hidden="false" customHeight="true" outlineLevel="0" collapsed="false">
      <c r="A28" s="26" t="str">
        <f aca="false">IF(Listas!A20="","",Listas!A20)</f>
        <v/>
      </c>
      <c r="B28" s="64" t="str">
        <f aca="false">IF($A28="","",COUNTIFS(Programação!$I$5:$I$1004,$A28,Programação!$N$5:$N$1004,B$12,Programação!$P$5:$P$1004,"&lt;&gt;Cancelada")+COUNTIFS(Programação!$J$5:$J$1004,$A28,Programação!$N$5:$N$1004,B$12,Programação!$P$5:$P$1004,"&lt;&gt;Cancelada")+COUNTIFS(Programação!$K$5:$K$1004,$A28,Programação!$N$5:$N$1004,B$12,Programação!$P$5:$P$1004,"&lt;&gt;Cancelada"))</f>
        <v/>
      </c>
      <c r="C28" s="64" t="str">
        <f aca="false">IF($A28="","",COUNTIFS(Programação!$I$5:$I$1004,$A28,Programação!$N$5:$N$1004,C$12,Programação!$P$5:$P$1004,"&lt;&gt;Cancelada")+COUNTIFS(Programação!$J$5:$J$1004,$A28,Programação!$N$5:$N$1004,C$12,Programação!$P$5:$P$1004,"&lt;&gt;Cancelada")+COUNTIFS(Programação!$K$5:$K$1004,$A28,Programação!$N$5:$N$1004,C$12,Programação!$P$5:$P$1004,"&lt;&gt;Cancelada"))</f>
        <v/>
      </c>
      <c r="D28" s="64" t="str">
        <f aca="false">IF($A28="","",COUNTIFS(Programação!$I$5:$I$1004,$A28,Programação!$N$5:$N$1004,D$12,Programação!$P$5:$P$1004,"&lt;&gt;Cancelada")+COUNTIFS(Programação!$J$5:$J$1004,$A28,Programação!$N$5:$N$1004,D$12,Programação!$P$5:$P$1004,"&lt;&gt;Cancelada")+COUNTIFS(Programação!$K$5:$K$1004,$A28,Programação!$N$5:$N$1004,D$12,Programação!$P$5:$P$1004,"&lt;&gt;Cancelada"))</f>
        <v/>
      </c>
      <c r="E28" s="64" t="str">
        <f aca="false">IF($A28="","",COUNTIFS(Programação!$I$5:$I$1004,$A28,Programação!$N$5:$N$1004,E$12,Programação!$P$5:$P$1004,"&lt;&gt;Cancelada")+COUNTIFS(Programação!$J$5:$J$1004,$A28,Programação!$N$5:$N$1004,E$12,Programação!$P$5:$P$1004,"&lt;&gt;Cancelada")+COUNTIFS(Programação!$K$5:$K$1004,$A28,Programação!$N$5:$N$1004,E$12,Programação!$P$5:$P$1004,"&lt;&gt;Cancelada"))</f>
        <v/>
      </c>
      <c r="F28" s="64" t="str">
        <f aca="false">IF($A28="","",COUNTIFS(Programação!$I$5:$I$1004,$A28,Programação!$N$5:$N$1004,F$12,Programação!$P$5:$P$1004,"&lt;&gt;Cancelada")+COUNTIFS(Programação!$J$5:$J$1004,$A28,Programação!$N$5:$N$1004,F$12,Programação!$P$5:$P$1004,"&lt;&gt;Cancelada")+COUNTIFS(Programação!$K$5:$K$1004,$A28,Programação!$N$5:$N$1004,F$12,Programação!$P$5:$P$1004,"&lt;&gt;Cancelada"))</f>
        <v/>
      </c>
      <c r="G28" s="64" t="str">
        <f aca="false">IF($A28="","",COUNTIFS(Programação!$I$5:$I$1004,$A28,Programação!$N$5:$N$1004,G$12,Programação!$P$5:$P$1004,"&lt;&gt;Cancelada")+COUNTIFS(Programação!$J$5:$J$1004,$A28,Programação!$N$5:$N$1004,G$12,Programação!$P$5:$P$1004,"&lt;&gt;Cancelada")+COUNTIFS(Programação!$K$5:$K$1004,$A28,Programação!$N$5:$N$1004,G$12,Programação!$P$5:$P$1004,"&lt;&gt;Cancelada"))</f>
        <v/>
      </c>
      <c r="H28" s="64" t="str">
        <f aca="false">IF($A28="","",COUNTIFS(Programação!$I$5:$I$1004,$A28,Programação!$N$5:$N$1004,H$12,Programação!$P$5:$P$1004,"&lt;&gt;Cancelada")+COUNTIFS(Programação!$J$5:$J$1004,$A28,Programação!$N$5:$N$1004,H$12,Programação!$P$5:$P$1004,"&lt;&gt;Cancelada")+COUNTIFS(Programação!$K$5:$K$1004,$A28,Programação!$N$5:$N$1004,H$12,Programação!$P$5:$P$1004,"&lt;&gt;Cancelada"))</f>
        <v/>
      </c>
      <c r="I28" s="65" t="str">
        <f aca="false">IF($A28="","",SUM($B28:$H28))</f>
        <v/>
      </c>
      <c r="J28" s="65" t="str">
        <f aca="false">IF($A28="","",SUMIFS(Programação!$Z$5:$Z$1004,Programação!$I$5:$I$1004,$A28,Programação!$N$5:$N$1004,"&gt;="&amp;$C$3,Programação!$N$5:$N$1004,"&lt;="&amp;$C$3+6)+SUMIFS(Programação!$Z$5:$Z$1004,Programação!$J$5:$J$1004,$A28,Programação!$N$5:$N$1004,"&gt;="&amp;$C$3,Programação!$N$5:$N$1004,"&lt;="&amp;$C$3+6)+SUMIFS(Programação!$Z$5:$Z$1004,Programação!$K$5:$K$1004,$A28,Programação!$N$5:$N$1004,"&gt;="&amp;$C$3,Programação!$N$5:$N$1004,"&lt;="&amp;$C$3+6))</f>
        <v/>
      </c>
      <c r="K28" s="66" t="str">
        <f aca="false">IF(OR($A28="",$I28=0),"",$J28/$I28)</f>
        <v/>
      </c>
      <c r="L28" s="65" t="str">
        <f aca="true">IF($A28="","",COUNTIFS(Programação!$I$5:$I$1004,$A28,Programação!$N$5:$N$1004,"&gt;="&amp;$C$3,Programação!$N$5:$N$1004,"&lt;="&amp;$C$3+6,Programação!$N$5:$N$1004,"&lt;"&amp;TODAY(),Programação!$Z$5:$Z$1004,0,Programação!$P$5:$P$1004,"&lt;&gt;Cancelada")+COUNTIFS(Programação!$J$5:$J$1004,$A28,Programação!$N$5:$N$1004,"&gt;="&amp;$C$3,Programação!$N$5:$N$1004,"&lt;="&amp;$C$3+6,Programação!$N$5:$N$1004,"&lt;"&amp;TODAY(),Programação!$Z$5:$Z$1004,0,Programação!$P$5:$P$1004,"&lt;&gt;Cancelada")+COUNTIFS(Programação!$K$5:$K$1004,$A28,Programação!$N$5:$N$1004,"&gt;="&amp;$C$3,Programação!$N$5:$N$1004,"&lt;="&amp;$C$3+6,Programação!$N$5:$N$1004,"&lt;"&amp;TODAY(),Programação!$Z$5:$Z$1004,0,Programação!$P$5:$P$1004,"&lt;&gt;Cancelada"))</f>
        <v/>
      </c>
    </row>
    <row r="29" customFormat="false" ht="16.5" hidden="false" customHeight="true" outlineLevel="0" collapsed="false">
      <c r="A29" s="26" t="str">
        <f aca="false">IF(Listas!A21="","",Listas!A21)</f>
        <v/>
      </c>
      <c r="B29" s="64" t="str">
        <f aca="false">IF($A29="","",COUNTIFS(Programação!$I$5:$I$1004,$A29,Programação!$N$5:$N$1004,B$12,Programação!$P$5:$P$1004,"&lt;&gt;Cancelada")+COUNTIFS(Programação!$J$5:$J$1004,$A29,Programação!$N$5:$N$1004,B$12,Programação!$P$5:$P$1004,"&lt;&gt;Cancelada")+COUNTIFS(Programação!$K$5:$K$1004,$A29,Programação!$N$5:$N$1004,B$12,Programação!$P$5:$P$1004,"&lt;&gt;Cancelada"))</f>
        <v/>
      </c>
      <c r="C29" s="64" t="str">
        <f aca="false">IF($A29="","",COUNTIFS(Programação!$I$5:$I$1004,$A29,Programação!$N$5:$N$1004,C$12,Programação!$P$5:$P$1004,"&lt;&gt;Cancelada")+COUNTIFS(Programação!$J$5:$J$1004,$A29,Programação!$N$5:$N$1004,C$12,Programação!$P$5:$P$1004,"&lt;&gt;Cancelada")+COUNTIFS(Programação!$K$5:$K$1004,$A29,Programação!$N$5:$N$1004,C$12,Programação!$P$5:$P$1004,"&lt;&gt;Cancelada"))</f>
        <v/>
      </c>
      <c r="D29" s="64" t="str">
        <f aca="false">IF($A29="","",COUNTIFS(Programação!$I$5:$I$1004,$A29,Programação!$N$5:$N$1004,D$12,Programação!$P$5:$P$1004,"&lt;&gt;Cancelada")+COUNTIFS(Programação!$J$5:$J$1004,$A29,Programação!$N$5:$N$1004,D$12,Programação!$P$5:$P$1004,"&lt;&gt;Cancelada")+COUNTIFS(Programação!$K$5:$K$1004,$A29,Programação!$N$5:$N$1004,D$12,Programação!$P$5:$P$1004,"&lt;&gt;Cancelada"))</f>
        <v/>
      </c>
      <c r="E29" s="64" t="str">
        <f aca="false">IF($A29="","",COUNTIFS(Programação!$I$5:$I$1004,$A29,Programação!$N$5:$N$1004,E$12,Programação!$P$5:$P$1004,"&lt;&gt;Cancelada")+COUNTIFS(Programação!$J$5:$J$1004,$A29,Programação!$N$5:$N$1004,E$12,Programação!$P$5:$P$1004,"&lt;&gt;Cancelada")+COUNTIFS(Programação!$K$5:$K$1004,$A29,Programação!$N$5:$N$1004,E$12,Programação!$P$5:$P$1004,"&lt;&gt;Cancelada"))</f>
        <v/>
      </c>
      <c r="F29" s="64" t="str">
        <f aca="false">IF($A29="","",COUNTIFS(Programação!$I$5:$I$1004,$A29,Programação!$N$5:$N$1004,F$12,Programação!$P$5:$P$1004,"&lt;&gt;Cancelada")+COUNTIFS(Programação!$J$5:$J$1004,$A29,Programação!$N$5:$N$1004,F$12,Programação!$P$5:$P$1004,"&lt;&gt;Cancelada")+COUNTIFS(Programação!$K$5:$K$1004,$A29,Programação!$N$5:$N$1004,F$12,Programação!$P$5:$P$1004,"&lt;&gt;Cancelada"))</f>
        <v/>
      </c>
      <c r="G29" s="64" t="str">
        <f aca="false">IF($A29="","",COUNTIFS(Programação!$I$5:$I$1004,$A29,Programação!$N$5:$N$1004,G$12,Programação!$P$5:$P$1004,"&lt;&gt;Cancelada")+COUNTIFS(Programação!$J$5:$J$1004,$A29,Programação!$N$5:$N$1004,G$12,Programação!$P$5:$P$1004,"&lt;&gt;Cancelada")+COUNTIFS(Programação!$K$5:$K$1004,$A29,Programação!$N$5:$N$1004,G$12,Programação!$P$5:$P$1004,"&lt;&gt;Cancelada"))</f>
        <v/>
      </c>
      <c r="H29" s="64" t="str">
        <f aca="false">IF($A29="","",COUNTIFS(Programação!$I$5:$I$1004,$A29,Programação!$N$5:$N$1004,H$12,Programação!$P$5:$P$1004,"&lt;&gt;Cancelada")+COUNTIFS(Programação!$J$5:$J$1004,$A29,Programação!$N$5:$N$1004,H$12,Programação!$P$5:$P$1004,"&lt;&gt;Cancelada")+COUNTIFS(Programação!$K$5:$K$1004,$A29,Programação!$N$5:$N$1004,H$12,Programação!$P$5:$P$1004,"&lt;&gt;Cancelada"))</f>
        <v/>
      </c>
      <c r="I29" s="65" t="str">
        <f aca="false">IF($A29="","",SUM($B29:$H29))</f>
        <v/>
      </c>
      <c r="J29" s="65" t="str">
        <f aca="false">IF($A29="","",SUMIFS(Programação!$Z$5:$Z$1004,Programação!$I$5:$I$1004,$A29,Programação!$N$5:$N$1004,"&gt;="&amp;$C$3,Programação!$N$5:$N$1004,"&lt;="&amp;$C$3+6)+SUMIFS(Programação!$Z$5:$Z$1004,Programação!$J$5:$J$1004,$A29,Programação!$N$5:$N$1004,"&gt;="&amp;$C$3,Programação!$N$5:$N$1004,"&lt;="&amp;$C$3+6)+SUMIFS(Programação!$Z$5:$Z$1004,Programação!$K$5:$K$1004,$A29,Programação!$N$5:$N$1004,"&gt;="&amp;$C$3,Programação!$N$5:$N$1004,"&lt;="&amp;$C$3+6))</f>
        <v/>
      </c>
      <c r="K29" s="66" t="str">
        <f aca="false">IF(OR($A29="",$I29=0),"",$J29/$I29)</f>
        <v/>
      </c>
      <c r="L29" s="65" t="str">
        <f aca="true">IF($A29="","",COUNTIFS(Programação!$I$5:$I$1004,$A29,Programação!$N$5:$N$1004,"&gt;="&amp;$C$3,Programação!$N$5:$N$1004,"&lt;="&amp;$C$3+6,Programação!$N$5:$N$1004,"&lt;"&amp;TODAY(),Programação!$Z$5:$Z$1004,0,Programação!$P$5:$P$1004,"&lt;&gt;Cancelada")+COUNTIFS(Programação!$J$5:$J$1004,$A29,Programação!$N$5:$N$1004,"&gt;="&amp;$C$3,Programação!$N$5:$N$1004,"&lt;="&amp;$C$3+6,Programação!$N$5:$N$1004,"&lt;"&amp;TODAY(),Programação!$Z$5:$Z$1004,0,Programação!$P$5:$P$1004,"&lt;&gt;Cancelada")+COUNTIFS(Programação!$K$5:$K$1004,$A29,Programação!$N$5:$N$1004,"&gt;="&amp;$C$3,Programação!$N$5:$N$1004,"&lt;="&amp;$C$3+6,Programação!$N$5:$N$1004,"&lt;"&amp;TODAY(),Programação!$Z$5:$Z$1004,0,Programação!$P$5:$P$1004,"&lt;&gt;Cancelada"))</f>
        <v/>
      </c>
    </row>
    <row r="30" customFormat="false" ht="16.5" hidden="false" customHeight="true" outlineLevel="0" collapsed="false">
      <c r="A30" s="26" t="str">
        <f aca="false">IF(Listas!A22="","",Listas!A22)</f>
        <v/>
      </c>
      <c r="B30" s="64" t="str">
        <f aca="false">IF($A30="","",COUNTIFS(Programação!$I$5:$I$1004,$A30,Programação!$N$5:$N$1004,B$12,Programação!$P$5:$P$1004,"&lt;&gt;Cancelada")+COUNTIFS(Programação!$J$5:$J$1004,$A30,Programação!$N$5:$N$1004,B$12,Programação!$P$5:$P$1004,"&lt;&gt;Cancelada")+COUNTIFS(Programação!$K$5:$K$1004,$A30,Programação!$N$5:$N$1004,B$12,Programação!$P$5:$P$1004,"&lt;&gt;Cancelada"))</f>
        <v/>
      </c>
      <c r="C30" s="64" t="str">
        <f aca="false">IF($A30="","",COUNTIFS(Programação!$I$5:$I$1004,$A30,Programação!$N$5:$N$1004,C$12,Programação!$P$5:$P$1004,"&lt;&gt;Cancelada")+COUNTIFS(Programação!$J$5:$J$1004,$A30,Programação!$N$5:$N$1004,C$12,Programação!$P$5:$P$1004,"&lt;&gt;Cancelada")+COUNTIFS(Programação!$K$5:$K$1004,$A30,Programação!$N$5:$N$1004,C$12,Programação!$P$5:$P$1004,"&lt;&gt;Cancelada"))</f>
        <v/>
      </c>
      <c r="D30" s="64" t="str">
        <f aca="false">IF($A30="","",COUNTIFS(Programação!$I$5:$I$1004,$A30,Programação!$N$5:$N$1004,D$12,Programação!$P$5:$P$1004,"&lt;&gt;Cancelada")+COUNTIFS(Programação!$J$5:$J$1004,$A30,Programação!$N$5:$N$1004,D$12,Programação!$P$5:$P$1004,"&lt;&gt;Cancelada")+COUNTIFS(Programação!$K$5:$K$1004,$A30,Programação!$N$5:$N$1004,D$12,Programação!$P$5:$P$1004,"&lt;&gt;Cancelada"))</f>
        <v/>
      </c>
      <c r="E30" s="64" t="str">
        <f aca="false">IF($A30="","",COUNTIFS(Programação!$I$5:$I$1004,$A30,Programação!$N$5:$N$1004,E$12,Programação!$P$5:$P$1004,"&lt;&gt;Cancelada")+COUNTIFS(Programação!$J$5:$J$1004,$A30,Programação!$N$5:$N$1004,E$12,Programação!$P$5:$P$1004,"&lt;&gt;Cancelada")+COUNTIFS(Programação!$K$5:$K$1004,$A30,Programação!$N$5:$N$1004,E$12,Programação!$P$5:$P$1004,"&lt;&gt;Cancelada"))</f>
        <v/>
      </c>
      <c r="F30" s="64" t="str">
        <f aca="false">IF($A30="","",COUNTIFS(Programação!$I$5:$I$1004,$A30,Programação!$N$5:$N$1004,F$12,Programação!$P$5:$P$1004,"&lt;&gt;Cancelada")+COUNTIFS(Programação!$J$5:$J$1004,$A30,Programação!$N$5:$N$1004,F$12,Programação!$P$5:$P$1004,"&lt;&gt;Cancelada")+COUNTIFS(Programação!$K$5:$K$1004,$A30,Programação!$N$5:$N$1004,F$12,Programação!$P$5:$P$1004,"&lt;&gt;Cancelada"))</f>
        <v/>
      </c>
      <c r="G30" s="64" t="str">
        <f aca="false">IF($A30="","",COUNTIFS(Programação!$I$5:$I$1004,$A30,Programação!$N$5:$N$1004,G$12,Programação!$P$5:$P$1004,"&lt;&gt;Cancelada")+COUNTIFS(Programação!$J$5:$J$1004,$A30,Programação!$N$5:$N$1004,G$12,Programação!$P$5:$P$1004,"&lt;&gt;Cancelada")+COUNTIFS(Programação!$K$5:$K$1004,$A30,Programação!$N$5:$N$1004,G$12,Programação!$P$5:$P$1004,"&lt;&gt;Cancelada"))</f>
        <v/>
      </c>
      <c r="H30" s="64" t="str">
        <f aca="false">IF($A30="","",COUNTIFS(Programação!$I$5:$I$1004,$A30,Programação!$N$5:$N$1004,H$12,Programação!$P$5:$P$1004,"&lt;&gt;Cancelada")+COUNTIFS(Programação!$J$5:$J$1004,$A30,Programação!$N$5:$N$1004,H$12,Programação!$P$5:$P$1004,"&lt;&gt;Cancelada")+COUNTIFS(Programação!$K$5:$K$1004,$A30,Programação!$N$5:$N$1004,H$12,Programação!$P$5:$P$1004,"&lt;&gt;Cancelada"))</f>
        <v/>
      </c>
      <c r="I30" s="65" t="str">
        <f aca="false">IF($A30="","",SUM($B30:$H30))</f>
        <v/>
      </c>
      <c r="J30" s="65" t="str">
        <f aca="false">IF($A30="","",SUMIFS(Programação!$Z$5:$Z$1004,Programação!$I$5:$I$1004,$A30,Programação!$N$5:$N$1004,"&gt;="&amp;$C$3,Programação!$N$5:$N$1004,"&lt;="&amp;$C$3+6)+SUMIFS(Programação!$Z$5:$Z$1004,Programação!$J$5:$J$1004,$A30,Programação!$N$5:$N$1004,"&gt;="&amp;$C$3,Programação!$N$5:$N$1004,"&lt;="&amp;$C$3+6)+SUMIFS(Programação!$Z$5:$Z$1004,Programação!$K$5:$K$1004,$A30,Programação!$N$5:$N$1004,"&gt;="&amp;$C$3,Programação!$N$5:$N$1004,"&lt;="&amp;$C$3+6))</f>
        <v/>
      </c>
      <c r="K30" s="66" t="str">
        <f aca="false">IF(OR($A30="",$I30=0),"",$J30/$I30)</f>
        <v/>
      </c>
      <c r="L30" s="65" t="str">
        <f aca="true">IF($A30="","",COUNTIFS(Programação!$I$5:$I$1004,$A30,Programação!$N$5:$N$1004,"&gt;="&amp;$C$3,Programação!$N$5:$N$1004,"&lt;="&amp;$C$3+6,Programação!$N$5:$N$1004,"&lt;"&amp;TODAY(),Programação!$Z$5:$Z$1004,0,Programação!$P$5:$P$1004,"&lt;&gt;Cancelada")+COUNTIFS(Programação!$J$5:$J$1004,$A30,Programação!$N$5:$N$1004,"&gt;="&amp;$C$3,Programação!$N$5:$N$1004,"&lt;="&amp;$C$3+6,Programação!$N$5:$N$1004,"&lt;"&amp;TODAY(),Programação!$Z$5:$Z$1004,0,Programação!$P$5:$P$1004,"&lt;&gt;Cancelada")+COUNTIFS(Programação!$K$5:$K$1004,$A30,Programação!$N$5:$N$1004,"&gt;="&amp;$C$3,Programação!$N$5:$N$1004,"&lt;="&amp;$C$3+6,Programação!$N$5:$N$1004,"&lt;"&amp;TODAY(),Programação!$Z$5:$Z$1004,0,Programação!$P$5:$P$1004,"&lt;&gt;Cancelada"))</f>
        <v/>
      </c>
    </row>
    <row r="31" customFormat="false" ht="16.5" hidden="false" customHeight="true" outlineLevel="0" collapsed="false">
      <c r="A31" s="26" t="str">
        <f aca="false">IF(Listas!A23="","",Listas!A23)</f>
        <v/>
      </c>
      <c r="B31" s="64" t="str">
        <f aca="false">IF($A31="","",COUNTIFS(Programação!$I$5:$I$1004,$A31,Programação!$N$5:$N$1004,B$12,Programação!$P$5:$P$1004,"&lt;&gt;Cancelada")+COUNTIFS(Programação!$J$5:$J$1004,$A31,Programação!$N$5:$N$1004,B$12,Programação!$P$5:$P$1004,"&lt;&gt;Cancelada")+COUNTIFS(Programação!$K$5:$K$1004,$A31,Programação!$N$5:$N$1004,B$12,Programação!$P$5:$P$1004,"&lt;&gt;Cancelada"))</f>
        <v/>
      </c>
      <c r="C31" s="64" t="str">
        <f aca="false">IF($A31="","",COUNTIFS(Programação!$I$5:$I$1004,$A31,Programação!$N$5:$N$1004,C$12,Programação!$P$5:$P$1004,"&lt;&gt;Cancelada")+COUNTIFS(Programação!$J$5:$J$1004,$A31,Programação!$N$5:$N$1004,C$12,Programação!$P$5:$P$1004,"&lt;&gt;Cancelada")+COUNTIFS(Programação!$K$5:$K$1004,$A31,Programação!$N$5:$N$1004,C$12,Programação!$P$5:$P$1004,"&lt;&gt;Cancelada"))</f>
        <v/>
      </c>
      <c r="D31" s="64" t="str">
        <f aca="false">IF($A31="","",COUNTIFS(Programação!$I$5:$I$1004,$A31,Programação!$N$5:$N$1004,D$12,Programação!$P$5:$P$1004,"&lt;&gt;Cancelada")+COUNTIFS(Programação!$J$5:$J$1004,$A31,Programação!$N$5:$N$1004,D$12,Programação!$P$5:$P$1004,"&lt;&gt;Cancelada")+COUNTIFS(Programação!$K$5:$K$1004,$A31,Programação!$N$5:$N$1004,D$12,Programação!$P$5:$P$1004,"&lt;&gt;Cancelada"))</f>
        <v/>
      </c>
      <c r="E31" s="64" t="str">
        <f aca="false">IF($A31="","",COUNTIFS(Programação!$I$5:$I$1004,$A31,Programação!$N$5:$N$1004,E$12,Programação!$P$5:$P$1004,"&lt;&gt;Cancelada")+COUNTIFS(Programação!$J$5:$J$1004,$A31,Programação!$N$5:$N$1004,E$12,Programação!$P$5:$P$1004,"&lt;&gt;Cancelada")+COUNTIFS(Programação!$K$5:$K$1004,$A31,Programação!$N$5:$N$1004,E$12,Programação!$P$5:$P$1004,"&lt;&gt;Cancelada"))</f>
        <v/>
      </c>
      <c r="F31" s="64" t="str">
        <f aca="false">IF($A31="","",COUNTIFS(Programação!$I$5:$I$1004,$A31,Programação!$N$5:$N$1004,F$12,Programação!$P$5:$P$1004,"&lt;&gt;Cancelada")+COUNTIFS(Programação!$J$5:$J$1004,$A31,Programação!$N$5:$N$1004,F$12,Programação!$P$5:$P$1004,"&lt;&gt;Cancelada")+COUNTIFS(Programação!$K$5:$K$1004,$A31,Programação!$N$5:$N$1004,F$12,Programação!$P$5:$P$1004,"&lt;&gt;Cancelada"))</f>
        <v/>
      </c>
      <c r="G31" s="64" t="str">
        <f aca="false">IF($A31="","",COUNTIFS(Programação!$I$5:$I$1004,$A31,Programação!$N$5:$N$1004,G$12,Programação!$P$5:$P$1004,"&lt;&gt;Cancelada")+COUNTIFS(Programação!$J$5:$J$1004,$A31,Programação!$N$5:$N$1004,G$12,Programação!$P$5:$P$1004,"&lt;&gt;Cancelada")+COUNTIFS(Programação!$K$5:$K$1004,$A31,Programação!$N$5:$N$1004,G$12,Programação!$P$5:$P$1004,"&lt;&gt;Cancelada"))</f>
        <v/>
      </c>
      <c r="H31" s="64" t="str">
        <f aca="false">IF($A31="","",COUNTIFS(Programação!$I$5:$I$1004,$A31,Programação!$N$5:$N$1004,H$12,Programação!$P$5:$P$1004,"&lt;&gt;Cancelada")+COUNTIFS(Programação!$J$5:$J$1004,$A31,Programação!$N$5:$N$1004,H$12,Programação!$P$5:$P$1004,"&lt;&gt;Cancelada")+COUNTIFS(Programação!$K$5:$K$1004,$A31,Programação!$N$5:$N$1004,H$12,Programação!$P$5:$P$1004,"&lt;&gt;Cancelada"))</f>
        <v/>
      </c>
      <c r="I31" s="65" t="str">
        <f aca="false">IF($A31="","",SUM($B31:$H31))</f>
        <v/>
      </c>
      <c r="J31" s="65" t="str">
        <f aca="false">IF($A31="","",SUMIFS(Programação!$Z$5:$Z$1004,Programação!$I$5:$I$1004,$A31,Programação!$N$5:$N$1004,"&gt;="&amp;$C$3,Programação!$N$5:$N$1004,"&lt;="&amp;$C$3+6)+SUMIFS(Programação!$Z$5:$Z$1004,Programação!$J$5:$J$1004,$A31,Programação!$N$5:$N$1004,"&gt;="&amp;$C$3,Programação!$N$5:$N$1004,"&lt;="&amp;$C$3+6)+SUMIFS(Programação!$Z$5:$Z$1004,Programação!$K$5:$K$1004,$A31,Programação!$N$5:$N$1004,"&gt;="&amp;$C$3,Programação!$N$5:$N$1004,"&lt;="&amp;$C$3+6))</f>
        <v/>
      </c>
      <c r="K31" s="66" t="str">
        <f aca="false">IF(OR($A31="",$I31=0),"",$J31/$I31)</f>
        <v/>
      </c>
      <c r="L31" s="65" t="str">
        <f aca="true">IF($A31="","",COUNTIFS(Programação!$I$5:$I$1004,$A31,Programação!$N$5:$N$1004,"&gt;="&amp;$C$3,Programação!$N$5:$N$1004,"&lt;="&amp;$C$3+6,Programação!$N$5:$N$1004,"&lt;"&amp;TODAY(),Programação!$Z$5:$Z$1004,0,Programação!$P$5:$P$1004,"&lt;&gt;Cancelada")+COUNTIFS(Programação!$J$5:$J$1004,$A31,Programação!$N$5:$N$1004,"&gt;="&amp;$C$3,Programação!$N$5:$N$1004,"&lt;="&amp;$C$3+6,Programação!$N$5:$N$1004,"&lt;"&amp;TODAY(),Programação!$Z$5:$Z$1004,0,Programação!$P$5:$P$1004,"&lt;&gt;Cancelada")+COUNTIFS(Programação!$K$5:$K$1004,$A31,Programação!$N$5:$N$1004,"&gt;="&amp;$C$3,Programação!$N$5:$N$1004,"&lt;="&amp;$C$3+6,Programação!$N$5:$N$1004,"&lt;"&amp;TODAY(),Programação!$Z$5:$Z$1004,0,Programação!$P$5:$P$1004,"&lt;&gt;Cancelada"))</f>
        <v/>
      </c>
    </row>
    <row r="32" customFormat="false" ht="16.5" hidden="false" customHeight="true" outlineLevel="0" collapsed="false">
      <c r="A32" s="26" t="str">
        <f aca="false">IF(Listas!A24="","",Listas!A24)</f>
        <v/>
      </c>
      <c r="B32" s="64" t="str">
        <f aca="false">IF($A32="","",COUNTIFS(Programação!$I$5:$I$1004,$A32,Programação!$N$5:$N$1004,B$12,Programação!$P$5:$P$1004,"&lt;&gt;Cancelada")+COUNTIFS(Programação!$J$5:$J$1004,$A32,Programação!$N$5:$N$1004,B$12,Programação!$P$5:$P$1004,"&lt;&gt;Cancelada")+COUNTIFS(Programação!$K$5:$K$1004,$A32,Programação!$N$5:$N$1004,B$12,Programação!$P$5:$P$1004,"&lt;&gt;Cancelada"))</f>
        <v/>
      </c>
      <c r="C32" s="64" t="str">
        <f aca="false">IF($A32="","",COUNTIFS(Programação!$I$5:$I$1004,$A32,Programação!$N$5:$N$1004,C$12,Programação!$P$5:$P$1004,"&lt;&gt;Cancelada")+COUNTIFS(Programação!$J$5:$J$1004,$A32,Programação!$N$5:$N$1004,C$12,Programação!$P$5:$P$1004,"&lt;&gt;Cancelada")+COUNTIFS(Programação!$K$5:$K$1004,$A32,Programação!$N$5:$N$1004,C$12,Programação!$P$5:$P$1004,"&lt;&gt;Cancelada"))</f>
        <v/>
      </c>
      <c r="D32" s="64" t="str">
        <f aca="false">IF($A32="","",COUNTIFS(Programação!$I$5:$I$1004,$A32,Programação!$N$5:$N$1004,D$12,Programação!$P$5:$P$1004,"&lt;&gt;Cancelada")+COUNTIFS(Programação!$J$5:$J$1004,$A32,Programação!$N$5:$N$1004,D$12,Programação!$P$5:$P$1004,"&lt;&gt;Cancelada")+COUNTIFS(Programação!$K$5:$K$1004,$A32,Programação!$N$5:$N$1004,D$12,Programação!$P$5:$P$1004,"&lt;&gt;Cancelada"))</f>
        <v/>
      </c>
      <c r="E32" s="64" t="str">
        <f aca="false">IF($A32="","",COUNTIFS(Programação!$I$5:$I$1004,$A32,Programação!$N$5:$N$1004,E$12,Programação!$P$5:$P$1004,"&lt;&gt;Cancelada")+COUNTIFS(Programação!$J$5:$J$1004,$A32,Programação!$N$5:$N$1004,E$12,Programação!$P$5:$P$1004,"&lt;&gt;Cancelada")+COUNTIFS(Programação!$K$5:$K$1004,$A32,Programação!$N$5:$N$1004,E$12,Programação!$P$5:$P$1004,"&lt;&gt;Cancelada"))</f>
        <v/>
      </c>
      <c r="F32" s="64" t="str">
        <f aca="false">IF($A32="","",COUNTIFS(Programação!$I$5:$I$1004,$A32,Programação!$N$5:$N$1004,F$12,Programação!$P$5:$P$1004,"&lt;&gt;Cancelada")+COUNTIFS(Programação!$J$5:$J$1004,$A32,Programação!$N$5:$N$1004,F$12,Programação!$P$5:$P$1004,"&lt;&gt;Cancelada")+COUNTIFS(Programação!$K$5:$K$1004,$A32,Programação!$N$5:$N$1004,F$12,Programação!$P$5:$P$1004,"&lt;&gt;Cancelada"))</f>
        <v/>
      </c>
      <c r="G32" s="64" t="str">
        <f aca="false">IF($A32="","",COUNTIFS(Programação!$I$5:$I$1004,$A32,Programação!$N$5:$N$1004,G$12,Programação!$P$5:$P$1004,"&lt;&gt;Cancelada")+COUNTIFS(Programação!$J$5:$J$1004,$A32,Programação!$N$5:$N$1004,G$12,Programação!$P$5:$P$1004,"&lt;&gt;Cancelada")+COUNTIFS(Programação!$K$5:$K$1004,$A32,Programação!$N$5:$N$1004,G$12,Programação!$P$5:$P$1004,"&lt;&gt;Cancelada"))</f>
        <v/>
      </c>
      <c r="H32" s="64" t="str">
        <f aca="false">IF($A32="","",COUNTIFS(Programação!$I$5:$I$1004,$A32,Programação!$N$5:$N$1004,H$12,Programação!$P$5:$P$1004,"&lt;&gt;Cancelada")+COUNTIFS(Programação!$J$5:$J$1004,$A32,Programação!$N$5:$N$1004,H$12,Programação!$P$5:$P$1004,"&lt;&gt;Cancelada")+COUNTIFS(Programação!$K$5:$K$1004,$A32,Programação!$N$5:$N$1004,H$12,Programação!$P$5:$P$1004,"&lt;&gt;Cancelada"))</f>
        <v/>
      </c>
      <c r="I32" s="65" t="str">
        <f aca="false">IF($A32="","",SUM($B32:$H32))</f>
        <v/>
      </c>
      <c r="J32" s="65" t="str">
        <f aca="false">IF($A32="","",SUMIFS(Programação!$Z$5:$Z$1004,Programação!$I$5:$I$1004,$A32,Programação!$N$5:$N$1004,"&gt;="&amp;$C$3,Programação!$N$5:$N$1004,"&lt;="&amp;$C$3+6)+SUMIFS(Programação!$Z$5:$Z$1004,Programação!$J$5:$J$1004,$A32,Programação!$N$5:$N$1004,"&gt;="&amp;$C$3,Programação!$N$5:$N$1004,"&lt;="&amp;$C$3+6)+SUMIFS(Programação!$Z$5:$Z$1004,Programação!$K$5:$K$1004,$A32,Programação!$N$5:$N$1004,"&gt;="&amp;$C$3,Programação!$N$5:$N$1004,"&lt;="&amp;$C$3+6))</f>
        <v/>
      </c>
      <c r="K32" s="66" t="str">
        <f aca="false">IF(OR($A32="",$I32=0),"",$J32/$I32)</f>
        <v/>
      </c>
      <c r="L32" s="65" t="str">
        <f aca="true">IF($A32="","",COUNTIFS(Programação!$I$5:$I$1004,$A32,Programação!$N$5:$N$1004,"&gt;="&amp;$C$3,Programação!$N$5:$N$1004,"&lt;="&amp;$C$3+6,Programação!$N$5:$N$1004,"&lt;"&amp;TODAY(),Programação!$Z$5:$Z$1004,0,Programação!$P$5:$P$1004,"&lt;&gt;Cancelada")+COUNTIFS(Programação!$J$5:$J$1004,$A32,Programação!$N$5:$N$1004,"&gt;="&amp;$C$3,Programação!$N$5:$N$1004,"&lt;="&amp;$C$3+6,Programação!$N$5:$N$1004,"&lt;"&amp;TODAY(),Programação!$Z$5:$Z$1004,0,Programação!$P$5:$P$1004,"&lt;&gt;Cancelada")+COUNTIFS(Programação!$K$5:$K$1004,$A32,Programação!$N$5:$N$1004,"&gt;="&amp;$C$3,Programação!$N$5:$N$1004,"&lt;="&amp;$C$3+6,Programação!$N$5:$N$1004,"&lt;"&amp;TODAY(),Programação!$Z$5:$Z$1004,0,Programação!$P$5:$P$1004,"&lt;&gt;Cancelada"))</f>
        <v/>
      </c>
    </row>
    <row r="33" customFormat="false" ht="16.5" hidden="false" customHeight="true" outlineLevel="0" collapsed="false">
      <c r="A33" s="26" t="str">
        <f aca="false">IF(Listas!A25="","",Listas!A25)</f>
        <v/>
      </c>
      <c r="B33" s="64" t="str">
        <f aca="false">IF($A33="","",COUNTIFS(Programação!$I$5:$I$1004,$A33,Programação!$N$5:$N$1004,B$12,Programação!$P$5:$P$1004,"&lt;&gt;Cancelada")+COUNTIFS(Programação!$J$5:$J$1004,$A33,Programação!$N$5:$N$1004,B$12,Programação!$P$5:$P$1004,"&lt;&gt;Cancelada")+COUNTIFS(Programação!$K$5:$K$1004,$A33,Programação!$N$5:$N$1004,B$12,Programação!$P$5:$P$1004,"&lt;&gt;Cancelada"))</f>
        <v/>
      </c>
      <c r="C33" s="64" t="str">
        <f aca="false">IF($A33="","",COUNTIFS(Programação!$I$5:$I$1004,$A33,Programação!$N$5:$N$1004,C$12,Programação!$P$5:$P$1004,"&lt;&gt;Cancelada")+COUNTIFS(Programação!$J$5:$J$1004,$A33,Programação!$N$5:$N$1004,C$12,Programação!$P$5:$P$1004,"&lt;&gt;Cancelada")+COUNTIFS(Programação!$K$5:$K$1004,$A33,Programação!$N$5:$N$1004,C$12,Programação!$P$5:$P$1004,"&lt;&gt;Cancelada"))</f>
        <v/>
      </c>
      <c r="D33" s="64" t="str">
        <f aca="false">IF($A33="","",COUNTIFS(Programação!$I$5:$I$1004,$A33,Programação!$N$5:$N$1004,D$12,Programação!$P$5:$P$1004,"&lt;&gt;Cancelada")+COUNTIFS(Programação!$J$5:$J$1004,$A33,Programação!$N$5:$N$1004,D$12,Programação!$P$5:$P$1004,"&lt;&gt;Cancelada")+COUNTIFS(Programação!$K$5:$K$1004,$A33,Programação!$N$5:$N$1004,D$12,Programação!$P$5:$P$1004,"&lt;&gt;Cancelada"))</f>
        <v/>
      </c>
      <c r="E33" s="64" t="str">
        <f aca="false">IF($A33="","",COUNTIFS(Programação!$I$5:$I$1004,$A33,Programação!$N$5:$N$1004,E$12,Programação!$P$5:$P$1004,"&lt;&gt;Cancelada")+COUNTIFS(Programação!$J$5:$J$1004,$A33,Programação!$N$5:$N$1004,E$12,Programação!$P$5:$P$1004,"&lt;&gt;Cancelada")+COUNTIFS(Programação!$K$5:$K$1004,$A33,Programação!$N$5:$N$1004,E$12,Programação!$P$5:$P$1004,"&lt;&gt;Cancelada"))</f>
        <v/>
      </c>
      <c r="F33" s="64" t="str">
        <f aca="false">IF($A33="","",COUNTIFS(Programação!$I$5:$I$1004,$A33,Programação!$N$5:$N$1004,F$12,Programação!$P$5:$P$1004,"&lt;&gt;Cancelada")+COUNTIFS(Programação!$J$5:$J$1004,$A33,Programação!$N$5:$N$1004,F$12,Programação!$P$5:$P$1004,"&lt;&gt;Cancelada")+COUNTIFS(Programação!$K$5:$K$1004,$A33,Programação!$N$5:$N$1004,F$12,Programação!$P$5:$P$1004,"&lt;&gt;Cancelada"))</f>
        <v/>
      </c>
      <c r="G33" s="64" t="str">
        <f aca="false">IF($A33="","",COUNTIFS(Programação!$I$5:$I$1004,$A33,Programação!$N$5:$N$1004,G$12,Programação!$P$5:$P$1004,"&lt;&gt;Cancelada")+COUNTIFS(Programação!$J$5:$J$1004,$A33,Programação!$N$5:$N$1004,G$12,Programação!$P$5:$P$1004,"&lt;&gt;Cancelada")+COUNTIFS(Programação!$K$5:$K$1004,$A33,Programação!$N$5:$N$1004,G$12,Programação!$P$5:$P$1004,"&lt;&gt;Cancelada"))</f>
        <v/>
      </c>
      <c r="H33" s="64" t="str">
        <f aca="false">IF($A33="","",COUNTIFS(Programação!$I$5:$I$1004,$A33,Programação!$N$5:$N$1004,H$12,Programação!$P$5:$P$1004,"&lt;&gt;Cancelada")+COUNTIFS(Programação!$J$5:$J$1004,$A33,Programação!$N$5:$N$1004,H$12,Programação!$P$5:$P$1004,"&lt;&gt;Cancelada")+COUNTIFS(Programação!$K$5:$K$1004,$A33,Programação!$N$5:$N$1004,H$12,Programação!$P$5:$P$1004,"&lt;&gt;Cancelada"))</f>
        <v/>
      </c>
      <c r="I33" s="65" t="str">
        <f aca="false">IF($A33="","",SUM($B33:$H33))</f>
        <v/>
      </c>
      <c r="J33" s="65" t="str">
        <f aca="false">IF($A33="","",SUMIFS(Programação!$Z$5:$Z$1004,Programação!$I$5:$I$1004,$A33,Programação!$N$5:$N$1004,"&gt;="&amp;$C$3,Programação!$N$5:$N$1004,"&lt;="&amp;$C$3+6)+SUMIFS(Programação!$Z$5:$Z$1004,Programação!$J$5:$J$1004,$A33,Programação!$N$5:$N$1004,"&gt;="&amp;$C$3,Programação!$N$5:$N$1004,"&lt;="&amp;$C$3+6)+SUMIFS(Programação!$Z$5:$Z$1004,Programação!$K$5:$K$1004,$A33,Programação!$N$5:$N$1004,"&gt;="&amp;$C$3,Programação!$N$5:$N$1004,"&lt;="&amp;$C$3+6))</f>
        <v/>
      </c>
      <c r="K33" s="66" t="str">
        <f aca="false">IF(OR($A33="",$I33=0),"",$J33/$I33)</f>
        <v/>
      </c>
      <c r="L33" s="65" t="str">
        <f aca="true">IF($A33="","",COUNTIFS(Programação!$I$5:$I$1004,$A33,Programação!$N$5:$N$1004,"&gt;="&amp;$C$3,Programação!$N$5:$N$1004,"&lt;="&amp;$C$3+6,Programação!$N$5:$N$1004,"&lt;"&amp;TODAY(),Programação!$Z$5:$Z$1004,0,Programação!$P$5:$P$1004,"&lt;&gt;Cancelada")+COUNTIFS(Programação!$J$5:$J$1004,$A33,Programação!$N$5:$N$1004,"&gt;="&amp;$C$3,Programação!$N$5:$N$1004,"&lt;="&amp;$C$3+6,Programação!$N$5:$N$1004,"&lt;"&amp;TODAY(),Programação!$Z$5:$Z$1004,0,Programação!$P$5:$P$1004,"&lt;&gt;Cancelada")+COUNTIFS(Programação!$K$5:$K$1004,$A33,Programação!$N$5:$N$1004,"&gt;="&amp;$C$3,Programação!$N$5:$N$1004,"&lt;="&amp;$C$3+6,Programação!$N$5:$N$1004,"&lt;"&amp;TODAY(),Programação!$Z$5:$Z$1004,0,Programação!$P$5:$P$1004,"&lt;&gt;Cancelada"))</f>
        <v/>
      </c>
    </row>
    <row r="34" customFormat="false" ht="16.5" hidden="false" customHeight="true" outlineLevel="0" collapsed="false">
      <c r="A34" s="26" t="str">
        <f aca="false">IF(Listas!A26="","",Listas!A26)</f>
        <v/>
      </c>
      <c r="B34" s="64" t="str">
        <f aca="false">IF($A34="","",COUNTIFS(Programação!$I$5:$I$1004,$A34,Programação!$N$5:$N$1004,B$12,Programação!$P$5:$P$1004,"&lt;&gt;Cancelada")+COUNTIFS(Programação!$J$5:$J$1004,$A34,Programação!$N$5:$N$1004,B$12,Programação!$P$5:$P$1004,"&lt;&gt;Cancelada")+COUNTIFS(Programação!$K$5:$K$1004,$A34,Programação!$N$5:$N$1004,B$12,Programação!$P$5:$P$1004,"&lt;&gt;Cancelada"))</f>
        <v/>
      </c>
      <c r="C34" s="64" t="str">
        <f aca="false">IF($A34="","",COUNTIFS(Programação!$I$5:$I$1004,$A34,Programação!$N$5:$N$1004,C$12,Programação!$P$5:$P$1004,"&lt;&gt;Cancelada")+COUNTIFS(Programação!$J$5:$J$1004,$A34,Programação!$N$5:$N$1004,C$12,Programação!$P$5:$P$1004,"&lt;&gt;Cancelada")+COUNTIFS(Programação!$K$5:$K$1004,$A34,Programação!$N$5:$N$1004,C$12,Programação!$P$5:$P$1004,"&lt;&gt;Cancelada"))</f>
        <v/>
      </c>
      <c r="D34" s="64" t="str">
        <f aca="false">IF($A34="","",COUNTIFS(Programação!$I$5:$I$1004,$A34,Programação!$N$5:$N$1004,D$12,Programação!$P$5:$P$1004,"&lt;&gt;Cancelada")+COUNTIFS(Programação!$J$5:$J$1004,$A34,Programação!$N$5:$N$1004,D$12,Programação!$P$5:$P$1004,"&lt;&gt;Cancelada")+COUNTIFS(Programação!$K$5:$K$1004,$A34,Programação!$N$5:$N$1004,D$12,Programação!$P$5:$P$1004,"&lt;&gt;Cancelada"))</f>
        <v/>
      </c>
      <c r="E34" s="64" t="str">
        <f aca="false">IF($A34="","",COUNTIFS(Programação!$I$5:$I$1004,$A34,Programação!$N$5:$N$1004,E$12,Programação!$P$5:$P$1004,"&lt;&gt;Cancelada")+COUNTIFS(Programação!$J$5:$J$1004,$A34,Programação!$N$5:$N$1004,E$12,Programação!$P$5:$P$1004,"&lt;&gt;Cancelada")+COUNTIFS(Programação!$K$5:$K$1004,$A34,Programação!$N$5:$N$1004,E$12,Programação!$P$5:$P$1004,"&lt;&gt;Cancelada"))</f>
        <v/>
      </c>
      <c r="F34" s="64" t="str">
        <f aca="false">IF($A34="","",COUNTIFS(Programação!$I$5:$I$1004,$A34,Programação!$N$5:$N$1004,F$12,Programação!$P$5:$P$1004,"&lt;&gt;Cancelada")+COUNTIFS(Programação!$J$5:$J$1004,$A34,Programação!$N$5:$N$1004,F$12,Programação!$P$5:$P$1004,"&lt;&gt;Cancelada")+COUNTIFS(Programação!$K$5:$K$1004,$A34,Programação!$N$5:$N$1004,F$12,Programação!$P$5:$P$1004,"&lt;&gt;Cancelada"))</f>
        <v/>
      </c>
      <c r="G34" s="64" t="str">
        <f aca="false">IF($A34="","",COUNTIFS(Programação!$I$5:$I$1004,$A34,Programação!$N$5:$N$1004,G$12,Programação!$P$5:$P$1004,"&lt;&gt;Cancelada")+COUNTIFS(Programação!$J$5:$J$1004,$A34,Programação!$N$5:$N$1004,G$12,Programação!$P$5:$P$1004,"&lt;&gt;Cancelada")+COUNTIFS(Programação!$K$5:$K$1004,$A34,Programação!$N$5:$N$1004,G$12,Programação!$P$5:$P$1004,"&lt;&gt;Cancelada"))</f>
        <v/>
      </c>
      <c r="H34" s="64" t="str">
        <f aca="false">IF($A34="","",COUNTIFS(Programação!$I$5:$I$1004,$A34,Programação!$N$5:$N$1004,H$12,Programação!$P$5:$P$1004,"&lt;&gt;Cancelada")+COUNTIFS(Programação!$J$5:$J$1004,$A34,Programação!$N$5:$N$1004,H$12,Programação!$P$5:$P$1004,"&lt;&gt;Cancelada")+COUNTIFS(Programação!$K$5:$K$1004,$A34,Programação!$N$5:$N$1004,H$12,Programação!$P$5:$P$1004,"&lt;&gt;Cancelada"))</f>
        <v/>
      </c>
      <c r="I34" s="65" t="str">
        <f aca="false">IF($A34="","",SUM($B34:$H34))</f>
        <v/>
      </c>
      <c r="J34" s="65" t="str">
        <f aca="false">IF($A34="","",SUMIFS(Programação!$Z$5:$Z$1004,Programação!$I$5:$I$1004,$A34,Programação!$N$5:$N$1004,"&gt;="&amp;$C$3,Programação!$N$5:$N$1004,"&lt;="&amp;$C$3+6)+SUMIFS(Programação!$Z$5:$Z$1004,Programação!$J$5:$J$1004,$A34,Programação!$N$5:$N$1004,"&gt;="&amp;$C$3,Programação!$N$5:$N$1004,"&lt;="&amp;$C$3+6)+SUMIFS(Programação!$Z$5:$Z$1004,Programação!$K$5:$K$1004,$A34,Programação!$N$5:$N$1004,"&gt;="&amp;$C$3,Programação!$N$5:$N$1004,"&lt;="&amp;$C$3+6))</f>
        <v/>
      </c>
      <c r="K34" s="66" t="str">
        <f aca="false">IF(OR($A34="",$I34=0),"",$J34/$I34)</f>
        <v/>
      </c>
      <c r="L34" s="65" t="str">
        <f aca="true">IF($A34="","",COUNTIFS(Programação!$I$5:$I$1004,$A34,Programação!$N$5:$N$1004,"&gt;="&amp;$C$3,Programação!$N$5:$N$1004,"&lt;="&amp;$C$3+6,Programação!$N$5:$N$1004,"&lt;"&amp;TODAY(),Programação!$Z$5:$Z$1004,0,Programação!$P$5:$P$1004,"&lt;&gt;Cancelada")+COUNTIFS(Programação!$J$5:$J$1004,$A34,Programação!$N$5:$N$1004,"&gt;="&amp;$C$3,Programação!$N$5:$N$1004,"&lt;="&amp;$C$3+6,Programação!$N$5:$N$1004,"&lt;"&amp;TODAY(),Programação!$Z$5:$Z$1004,0,Programação!$P$5:$P$1004,"&lt;&gt;Cancelada")+COUNTIFS(Programação!$K$5:$K$1004,$A34,Programação!$N$5:$N$1004,"&gt;="&amp;$C$3,Programação!$N$5:$N$1004,"&lt;="&amp;$C$3+6,Programação!$N$5:$N$1004,"&lt;"&amp;TODAY(),Programação!$Z$5:$Z$1004,0,Programação!$P$5:$P$1004,"&lt;&gt;Cancelada"))</f>
        <v/>
      </c>
    </row>
    <row r="35" customFormat="false" ht="16.5" hidden="false" customHeight="true" outlineLevel="0" collapsed="false">
      <c r="A35" s="67" t="s">
        <v>369</v>
      </c>
      <c r="B35" s="65" t="n">
        <f aca="false">COUNTIFS(Programação!$I$5:$I$1004,"",Programação!$N$5:$N$1004,B$12,Programação!$P$5:$P$1004,"&lt;&gt;Cancelada")</f>
        <v>0</v>
      </c>
      <c r="C35" s="65" t="n">
        <f aca="false">COUNTIFS(Programação!$I$5:$I$1004,"",Programação!$N$5:$N$1004,C$12,Programação!$P$5:$P$1004,"&lt;&gt;Cancelada")</f>
        <v>0</v>
      </c>
      <c r="D35" s="65" t="n">
        <f aca="false">COUNTIFS(Programação!$I$5:$I$1004,"",Programação!$N$5:$N$1004,D$12,Programação!$P$5:$P$1004,"&lt;&gt;Cancelada")</f>
        <v>0</v>
      </c>
      <c r="E35" s="65" t="n">
        <f aca="false">COUNTIFS(Programação!$I$5:$I$1004,"",Programação!$N$5:$N$1004,E$12,Programação!$P$5:$P$1004,"&lt;&gt;Cancelada")</f>
        <v>0</v>
      </c>
      <c r="F35" s="65" t="n">
        <f aca="false">COUNTIFS(Programação!$I$5:$I$1004,"",Programação!$N$5:$N$1004,F$12,Programação!$P$5:$P$1004,"&lt;&gt;Cancelada")</f>
        <v>0</v>
      </c>
      <c r="G35" s="65" t="n">
        <f aca="false">COUNTIFS(Programação!$I$5:$I$1004,"",Programação!$N$5:$N$1004,G$12,Programação!$P$5:$P$1004,"&lt;&gt;Cancelada")</f>
        <v>0</v>
      </c>
      <c r="H35" s="65" t="n">
        <f aca="false">COUNTIFS(Programação!$I$5:$I$1004,"",Programação!$N$5:$N$1004,H$12,Programação!$P$5:$P$1004,"&lt;&gt;Cancelada")</f>
        <v>0</v>
      </c>
      <c r="I35" s="65" t="n">
        <f aca="false">SUM($B35:$H35)</f>
        <v>0</v>
      </c>
      <c r="J35" s="65" t="n">
        <f aca="false">SUMIFS(Programação!$Z$5:$Z$1004,Programação!$I$5:$I$1004,"",Programação!$N$5:$N$1004,"&gt;="&amp;$C$3,Programação!$N$5:$N$1004,"&lt;="&amp;$C$3+6)</f>
        <v>0</v>
      </c>
      <c r="K35" s="66" t="str">
        <f aca="false">IF($I35=0,"",$J35/$I35)</f>
        <v/>
      </c>
      <c r="L35" s="65" t="n">
        <f aca="true">COUNTIFS(Programação!$I$5:$I$1004,"",Programação!$N$5:$N$1004,"&gt;="&amp;$C$3,Programação!$N$5:$N$1004,"&lt;="&amp;$C$3+6,Programação!$N$5:$N$1004,"&lt;"&amp;TODAY(),Programação!$Z$5:$Z$1004,0,Programação!$P$5:$P$1004,"&lt;&gt;Cancelada")</f>
        <v>0</v>
      </c>
    </row>
    <row r="36" customFormat="false" ht="16.5" hidden="false" customHeight="true" outlineLevel="0" collapsed="false">
      <c r="A36" s="68" t="s">
        <v>370</v>
      </c>
      <c r="B36" s="69" t="n">
        <f aca="false">COUNTIFS(Programação!$N$5:$N$1004,B$12,Programação!$P$5:$P$1004,"&lt;&gt;Cancelada")</f>
        <v>9</v>
      </c>
      <c r="C36" s="69" t="n">
        <f aca="false">COUNTIFS(Programação!$N$5:$N$1004,C$12,Programação!$P$5:$P$1004,"&lt;&gt;Cancelada")</f>
        <v>14</v>
      </c>
      <c r="D36" s="69" t="n">
        <f aca="false">COUNTIFS(Programação!$N$5:$N$1004,D$12,Programação!$P$5:$P$1004,"&lt;&gt;Cancelada")</f>
        <v>64</v>
      </c>
      <c r="E36" s="69" t="n">
        <f aca="false">COUNTIFS(Programação!$N$5:$N$1004,E$12,Programação!$P$5:$P$1004,"&lt;&gt;Cancelada")</f>
        <v>74</v>
      </c>
      <c r="F36" s="69" t="n">
        <f aca="false">COUNTIFS(Programação!$N$5:$N$1004,F$12,Programação!$P$5:$P$1004,"&lt;&gt;Cancelada")</f>
        <v>11</v>
      </c>
      <c r="G36" s="69" t="n">
        <f aca="false">COUNTIFS(Programação!$N$5:$N$1004,G$12,Programação!$P$5:$P$1004,"&lt;&gt;Cancelada")</f>
        <v>0</v>
      </c>
      <c r="H36" s="69" t="n">
        <f aca="false">COUNTIFS(Programação!$N$5:$N$1004,H$12,Programação!$P$5:$P$1004,"&lt;&gt;Cancelada")</f>
        <v>0</v>
      </c>
      <c r="I36" s="69" t="n">
        <f aca="false">COUNTIFS(Programação!$N$5:$N$1004,"&gt;="&amp;$C$3,Programação!$N$5:$N$1004,"&lt;="&amp;$C$3+6,Programação!$P$5:$P$1004,"&lt;&gt;Cancelada")</f>
        <v>172</v>
      </c>
      <c r="J36" s="69" t="n">
        <f aca="false">SUMIFS(Programação!$Z$5:$Z$1004,Programação!$N$5:$N$1004,"&gt;="&amp;$C$3,Programação!$N$5:$N$1004,"&lt;="&amp;$C$3+6)</f>
        <v>71</v>
      </c>
      <c r="K36" s="70" t="n">
        <f aca="false">IF($I36=0,"",$J36/$I36)</f>
        <v>0.412790697674419</v>
      </c>
      <c r="L36" s="69" t="n">
        <f aca="true">COUNTIFS(Programação!$N$5:$N$1004,"&gt;="&amp;$C$3,Programação!$N$5:$N$1004,"&lt;="&amp;$C$3+6,Programação!$N$5:$N$1004,"&lt;"&amp;TODAY(),Programação!$Z$5:$Z$1004,0,Programação!$P$5:$P$1004,"&lt;&gt;Cancelada")</f>
        <v>16</v>
      </c>
    </row>
    <row r="38" customFormat="false" ht="15" hidden="false" customHeight="false" outlineLevel="0" collapsed="false">
      <c r="A38" s="23" t="s">
        <v>371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</row>
  </sheetData>
  <mergeCells count="19">
    <mergeCell ref="A1:L1"/>
    <mergeCell ref="A3:B3"/>
    <mergeCell ref="F3:L3"/>
    <mergeCell ref="A4:L4"/>
    <mergeCell ref="A5:B5"/>
    <mergeCell ref="C5:D5"/>
    <mergeCell ref="E5:F5"/>
    <mergeCell ref="G5:H5"/>
    <mergeCell ref="I5:J5"/>
    <mergeCell ref="K5:L5"/>
    <mergeCell ref="A6:B6"/>
    <mergeCell ref="C6:D6"/>
    <mergeCell ref="E6:F6"/>
    <mergeCell ref="G6:H6"/>
    <mergeCell ref="I6:J6"/>
    <mergeCell ref="K6:L6"/>
    <mergeCell ref="A8:C8"/>
    <mergeCell ref="D8:L8"/>
    <mergeCell ref="A38:L38"/>
  </mergeCells>
  <conditionalFormatting sqref="D10:L10">
    <cfRule type="cellIs" priority="2" operator="equal" aboveAverage="0" equalAverage="0" bottom="0" percent="0" rank="0" text="" dxfId="24">
      <formula>0</formula>
    </cfRule>
  </conditionalFormatting>
  <conditionalFormatting sqref="B13:H34">
    <cfRule type="dataBar" priority="3">
      <dataBar showValue="1" minLength="10" maxLength="90">
        <cfvo type="num" val="0"/>
        <cfvo type="num" val="8"/>
        <color rgb="FF9DB4DE"/>
      </dataBar>
      <extLst>
        <ext xmlns:x14="http://schemas.microsoft.com/office/spreadsheetml/2009/9/main" uri="{B025F937-C7B1-47D3-B67F-A62EFF666E3E}">
          <x14:id>{56A44220-A71C-4CDE-AADF-536131EB6921}</x14:id>
        </ext>
      </extLst>
    </cfRule>
    <cfRule type="cellIs" priority="4" operator="equal" aboveAverage="0" equalAverage="0" bottom="0" percent="0" rank="0" text="" dxfId="25">
      <formula>0</formula>
    </cfRule>
  </conditionalFormatting>
  <conditionalFormatting sqref="K13:K34">
    <cfRule type="cellIs" priority="5" operator="greaterThanOrEqual" aboveAverage="0" equalAverage="0" bottom="0" percent="0" rank="0" text="" dxfId="17">
      <formula>0.85</formula>
    </cfRule>
    <cfRule type="cellIs" priority="6" operator="lessThan" aboveAverage="0" equalAverage="0" bottom="0" percent="0" rank="0" text="" dxfId="16">
      <formula>0.6</formula>
    </cfRule>
  </conditionalFormatting>
  <conditionalFormatting sqref="L13:L35">
    <cfRule type="cellIs" priority="7" operator="greaterThan" aboveAverage="0" equalAverage="0" bottom="0" percent="0" rank="0" text="" dxfId="16">
      <formula>0</formula>
    </cfRule>
  </conditionalFormatting>
  <dataValidations count="1">
    <dataValidation allowBlank="false" error="Escolha uma segunda-feira da lista." errorStyle="stop" errorTitle="Semana" operator="between" showDropDown="false" showErrorMessage="true" showInputMessage="false" sqref="C3" type="list">
      <formula1>Listas!$G$5:$G$134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6A44220-A71C-4CDE-AADF-536131EB6921}">
            <x14:dataBar minLength="10" maxLength="90" axisPosition="none" gradient="true">
              <x14:cfvo type="num">
                <xm:f>0</xm:f>
              </x14:cfvo>
              <x14:cfvo type="num">
                <xm:f>8</xm:f>
              </x14:cfvo>
              <x14:negativeFillColor rgb="FF9DB4DE"/>
              <x14:axisColor rgb="FF000000"/>
            </x14:dataBar>
          </x14:cfRule>
          <xm:sqref>B13:H34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M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0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3"/>
    <col collapsed="false" customWidth="true" hidden="false" outlineLevel="0" max="8" min="8" style="0" width="15"/>
    <col collapsed="false" customWidth="true" hidden="false" outlineLevel="0" max="10" min="9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9"/>
  </cols>
  <sheetData>
    <row r="1" customFormat="false" ht="30" hidden="false" customHeight="true" outlineLevel="0" collapsed="false">
      <c r="A1" s="28" t="s">
        <v>372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</row>
    <row r="3" customFormat="false" ht="15" hidden="false" customHeight="false" outlineLevel="0" collapsed="false">
      <c r="A3" s="71" t="s">
        <v>373</v>
      </c>
      <c r="B3" s="72" t="n">
        <f aca="false">Semana!$C$3</f>
        <v>46258</v>
      </c>
      <c r="C3" s="23" t="s">
        <v>374</v>
      </c>
      <c r="D3" s="23"/>
      <c r="E3" s="23"/>
      <c r="F3" s="23"/>
      <c r="G3" s="23"/>
      <c r="H3" s="23"/>
      <c r="I3" s="23"/>
      <c r="J3" s="23"/>
      <c r="K3" s="23"/>
      <c r="L3" s="23"/>
      <c r="M3" s="23"/>
    </row>
    <row r="4" customFormat="false" ht="15" hidden="false" customHeight="false" outlineLevel="0" collapsed="false">
      <c r="A4" s="71" t="s">
        <v>375</v>
      </c>
      <c r="B4" s="72" t="n">
        <f aca="false">Semana!$C$3+6</f>
        <v>46264</v>
      </c>
      <c r="C4" s="23" t="s">
        <v>376</v>
      </c>
      <c r="D4" s="23"/>
      <c r="E4" s="23"/>
      <c r="F4" s="23"/>
      <c r="G4" s="23"/>
      <c r="H4" s="23"/>
      <c r="I4" s="23"/>
      <c r="J4" s="23"/>
      <c r="K4" s="23"/>
      <c r="L4" s="23"/>
      <c r="M4" s="23"/>
    </row>
    <row r="6" customFormat="false" ht="21.75" hidden="false" customHeight="true" outlineLevel="0" collapsed="false">
      <c r="A6" s="73" t="n">
        <f aca="false">IFERROR(B14,"—")</f>
        <v>0.412790697674419</v>
      </c>
      <c r="B6" s="73"/>
      <c r="C6" s="74" t="str">
        <f aca="false">"ADERÊNCIA POR ATIVIDADE"&amp;CHAR(10)&amp;B13&amp;" de "&amp;B12&amp;" atividades programadas no período foram concluídas."&amp;CHAR(10)&amp;"Cada linha da aba Programação é uma atividade — é ela que conta, não o serviço inteiro."</f>
        <v>ADERÊNCIA POR ATIVIDADE
71 de 172 atividades programadas no período foram concluídas.
Cada linha da aba Programação é uma atividade — é ela que conta, não o serviço inteiro.</v>
      </c>
      <c r="D6" s="74"/>
      <c r="E6" s="74"/>
      <c r="F6" s="74"/>
      <c r="G6" s="74"/>
      <c r="H6" s="74"/>
      <c r="I6" s="74"/>
      <c r="J6" s="74"/>
      <c r="K6" s="74"/>
      <c r="L6" s="74"/>
      <c r="M6" s="74"/>
    </row>
    <row r="7" customFormat="false" ht="21.75" hidden="false" customHeight="true" outlineLevel="0" collapsed="false">
      <c r="A7" s="73"/>
      <c r="B7" s="73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</row>
    <row r="8" customFormat="false" ht="21.75" hidden="false" customHeight="true" outlineLevel="0" collapsed="false">
      <c r="A8" s="73"/>
      <c r="B8" s="73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</row>
    <row r="9" customFormat="false" ht="21.75" hidden="false" customHeight="true" outlineLevel="0" collapsed="false">
      <c r="A9" s="73"/>
      <c r="B9" s="73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</row>
    <row r="11" customFormat="false" ht="15" hidden="false" customHeight="false" outlineLevel="0" collapsed="false">
      <c r="A11" s="35" t="s">
        <v>377</v>
      </c>
      <c r="B11" s="35" t="s">
        <v>378</v>
      </c>
      <c r="C11" s="75" t="s">
        <v>379</v>
      </c>
      <c r="D11" s="75"/>
      <c r="E11" s="75"/>
      <c r="F11" s="75"/>
      <c r="G11" s="75"/>
      <c r="H11" s="75"/>
      <c r="I11" s="75"/>
      <c r="J11" s="75"/>
      <c r="K11" s="75"/>
      <c r="L11" s="75"/>
      <c r="M11" s="75"/>
    </row>
    <row r="12" customFormat="false" ht="16.5" hidden="false" customHeight="true" outlineLevel="0" collapsed="false">
      <c r="A12" s="26" t="s">
        <v>380</v>
      </c>
      <c r="B12" s="76" t="n">
        <f aca="false">COUNTIFS(Programação!$N$5:$N$1004,"&gt;="&amp;$B$3,Programação!$N$5:$N$1004,"&lt;="&amp;$B$4,Programação!$P$5:$P$1004,"&lt;&gt;Cancelada",Programação!$H$5:$H$1004,"&lt;&gt;Extra")</f>
        <v>172</v>
      </c>
      <c r="C12" s="77" t="s">
        <v>381</v>
      </c>
      <c r="D12" s="77"/>
      <c r="E12" s="77"/>
      <c r="F12" s="77"/>
      <c r="G12" s="77"/>
      <c r="H12" s="77"/>
      <c r="I12" s="77"/>
      <c r="J12" s="77"/>
      <c r="K12" s="77"/>
      <c r="L12" s="77"/>
      <c r="M12" s="77"/>
    </row>
    <row r="13" customFormat="false" ht="16.5" hidden="false" customHeight="true" outlineLevel="0" collapsed="false">
      <c r="A13" s="26" t="s">
        <v>366</v>
      </c>
      <c r="B13" s="76" t="n">
        <f aca="false">SUMIFS(Programação!$Z$5:$Z$1004,Programação!$N$5:$N$1004,"&gt;="&amp;$B$3,Programação!$N$5:$N$1004,"&lt;="&amp;$B$4,Programação!$H$5:$H$1004,"&lt;&gt;Extra")</f>
        <v>71</v>
      </c>
      <c r="C13" s="77" t="s">
        <v>382</v>
      </c>
      <c r="D13" s="77"/>
      <c r="E13" s="77"/>
      <c r="F13" s="77"/>
      <c r="G13" s="77"/>
      <c r="H13" s="77"/>
      <c r="I13" s="77"/>
      <c r="J13" s="77"/>
      <c r="K13" s="77"/>
      <c r="L13" s="77"/>
      <c r="M13" s="77"/>
    </row>
    <row r="14" customFormat="false" ht="16.5" hidden="false" customHeight="true" outlineLevel="0" collapsed="false">
      <c r="A14" s="78" t="s">
        <v>383</v>
      </c>
      <c r="B14" s="79" t="n">
        <f aca="false">IFERROR(B13/B12,"")</f>
        <v>0.412790697674419</v>
      </c>
      <c r="C14" s="80" t="s">
        <v>384</v>
      </c>
      <c r="D14" s="80"/>
      <c r="E14" s="80"/>
      <c r="F14" s="80"/>
      <c r="G14" s="80"/>
      <c r="H14" s="80"/>
      <c r="I14" s="80"/>
      <c r="J14" s="80"/>
      <c r="K14" s="80"/>
      <c r="L14" s="80"/>
      <c r="M14" s="80"/>
    </row>
    <row r="15" customFormat="false" ht="16.5" hidden="false" customHeight="true" outlineLevel="0" collapsed="false">
      <c r="A15" s="26" t="s">
        <v>385</v>
      </c>
      <c r="B15" s="76" t="str">
        <f aca="false">IF(COUNTIFS(Programação!$N$5:$N$1004,"&gt;="&amp;$B$3,Programação!$N$5:$N$1004,"&lt;="&amp;$B$4,Programação!$O$5:$O$1004,"&lt;&gt;")=0,"",SUMIFS(Programação!$V$5:$V$1004,Programação!$N$5:$N$1004,"&gt;="&amp;$B$3,Programação!$N$5:$N$1004,"&lt;="&amp;$B$4,Programação!$H$5:$H$1004,"&lt;&gt;Extra"))</f>
        <v/>
      </c>
      <c r="C15" s="77" t="s">
        <v>386</v>
      </c>
      <c r="D15" s="77"/>
      <c r="E15" s="77"/>
      <c r="F15" s="77"/>
      <c r="G15" s="77"/>
      <c r="H15" s="77"/>
      <c r="I15" s="77"/>
      <c r="J15" s="77"/>
      <c r="K15" s="77"/>
      <c r="L15" s="77"/>
      <c r="M15" s="77"/>
    </row>
    <row r="16" customFormat="false" ht="16.5" hidden="false" customHeight="true" outlineLevel="0" collapsed="false">
      <c r="A16" s="26" t="s">
        <v>387</v>
      </c>
      <c r="B16" s="81" t="str">
        <f aca="false">IFERROR(B15/COUNTIFS(Programação!$N$5:$N$1004,"&gt;="&amp;$B$3,Programação!$N$5:$N$1004,"&lt;="&amp;$B$4,Programação!$O$5:$O$1004,"&lt;&gt;",Programação!$P$5:$P$1004,"&lt;&gt;Cancelada",Programação!$H$5:$H$1004,"&lt;&gt;Extra"),"")</f>
        <v/>
      </c>
      <c r="C16" s="77" t="s">
        <v>388</v>
      </c>
      <c r="D16" s="77"/>
      <c r="E16" s="77"/>
      <c r="F16" s="77"/>
      <c r="G16" s="77"/>
      <c r="H16" s="77"/>
      <c r="I16" s="77"/>
      <c r="J16" s="77"/>
      <c r="K16" s="77"/>
      <c r="L16" s="77"/>
      <c r="M16" s="77"/>
    </row>
    <row r="17" customFormat="false" ht="16.5" hidden="false" customHeight="true" outlineLevel="0" collapsed="false">
      <c r="A17" s="26" t="s">
        <v>389</v>
      </c>
      <c r="B17" s="76" t="n">
        <f aca="false">COUNTIFS(Programação!$U$5:$U$1004,"&gt;="&amp;$B$3,Programação!$U$5:$U$1004,"&lt;="&amp;$B$4,Programação!$P$5:$P$1004,"&lt;&gt;Cancelada",Programação!$H$5:$H$1004,"&lt;&gt;Extra")</f>
        <v>172</v>
      </c>
      <c r="C17" s="77" t="s">
        <v>390</v>
      </c>
      <c r="D17" s="77"/>
      <c r="E17" s="77"/>
      <c r="F17" s="77"/>
      <c r="G17" s="77"/>
      <c r="H17" s="77"/>
      <c r="I17" s="77"/>
      <c r="J17" s="77"/>
      <c r="K17" s="77"/>
      <c r="L17" s="77"/>
      <c r="M17" s="77"/>
    </row>
    <row r="18" customFormat="false" ht="16.5" hidden="false" customHeight="true" outlineLevel="0" collapsed="false">
      <c r="A18" s="26" t="s">
        <v>391</v>
      </c>
      <c r="B18" s="76" t="str">
        <f aca="false">IF(COUNTIFS(Programação!$U$5:$U$1004,"&gt;="&amp;$B$3,Programação!$U$5:$U$1004,"&lt;="&amp;$B$4,Programação!$O$5:$O$1004,"&lt;&gt;")=0,"",SUMIFS(Programação!$W$5:$W$1004,Programação!$U$5:$U$1004,"&gt;="&amp;$B$3,Programação!$U$5:$U$1004,"&lt;="&amp;$B$4,Programação!$H$5:$H$1004,"&lt;&gt;Extra"))</f>
        <v/>
      </c>
      <c r="C18" s="77" t="s">
        <v>392</v>
      </c>
      <c r="D18" s="77"/>
      <c r="E18" s="77"/>
      <c r="F18" s="77"/>
      <c r="G18" s="77"/>
      <c r="H18" s="77"/>
      <c r="I18" s="77"/>
      <c r="J18" s="77"/>
      <c r="K18" s="77"/>
      <c r="L18" s="77"/>
      <c r="M18" s="77"/>
    </row>
    <row r="19" customFormat="false" ht="16.5" hidden="false" customHeight="true" outlineLevel="0" collapsed="false">
      <c r="A19" s="78" t="s">
        <v>393</v>
      </c>
      <c r="B19" s="79" t="str">
        <f aca="false">IF(COUNTIFS(Programação!$U$5:$U$1004,"&gt;="&amp;$B$3,Programação!$U$5:$U$1004,"&lt;="&amp;$B$4,Programação!$O$5:$O$1004,"&lt;&gt;")=0,"",IFERROR(B18/B17,""))</f>
        <v/>
      </c>
      <c r="C19" s="80" t="s">
        <v>394</v>
      </c>
      <c r="D19" s="80"/>
      <c r="E19" s="80"/>
      <c r="F19" s="80"/>
      <c r="G19" s="80"/>
      <c r="H19" s="80"/>
      <c r="I19" s="80"/>
      <c r="J19" s="80"/>
      <c r="K19" s="80"/>
      <c r="L19" s="80"/>
      <c r="M19" s="80"/>
    </row>
    <row r="20" customFormat="false" ht="16.5" hidden="false" customHeight="true" outlineLevel="0" collapsed="false">
      <c r="A20" s="26" t="s">
        <v>368</v>
      </c>
      <c r="B20" s="76" t="n">
        <f aca="true">COUNTIFS(Programação!$N$5:$N$1004,"&gt;="&amp;$B$3,Programação!$N$5:$N$1004,"&lt;="&amp;$B$4,Programação!$N$5:$N$1004,"&lt;"&amp;TODAY(),Programação!$Z$5:$Z$1004,0,Programação!$P$5:$P$1004,"&lt;&gt;Cancelada")</f>
        <v>16</v>
      </c>
      <c r="C20" s="77" t="s">
        <v>395</v>
      </c>
      <c r="D20" s="77"/>
      <c r="E20" s="77"/>
      <c r="F20" s="77"/>
      <c r="G20" s="77"/>
      <c r="H20" s="77"/>
      <c r="I20" s="77"/>
      <c r="J20" s="77"/>
      <c r="K20" s="77"/>
      <c r="L20" s="77"/>
      <c r="M20" s="77"/>
    </row>
    <row r="21" customFormat="false" ht="16.5" hidden="false" customHeight="true" outlineLevel="0" collapsed="false">
      <c r="A21" s="26" t="s">
        <v>396</v>
      </c>
      <c r="B21" s="76" t="n">
        <f aca="false">COUNTIFS(Programação!$N$5:$N$1004,"&gt;="&amp;$B$3,Programação!$N$5:$N$1004,"&lt;="&amp;$B$4,Programação!$P$5:$P$1004,"Cancelada")</f>
        <v>0</v>
      </c>
      <c r="C21" s="77" t="s">
        <v>397</v>
      </c>
      <c r="D21" s="77"/>
      <c r="E21" s="77"/>
      <c r="F21" s="77"/>
      <c r="G21" s="77"/>
      <c r="H21" s="77"/>
      <c r="I21" s="77"/>
      <c r="J21" s="77"/>
      <c r="K21" s="77"/>
      <c r="L21" s="77"/>
      <c r="M21" s="77"/>
    </row>
    <row r="22" customFormat="false" ht="16.5" hidden="false" customHeight="true" outlineLevel="0" collapsed="false">
      <c r="A22" s="26" t="s">
        <v>398</v>
      </c>
      <c r="B22" s="76" t="n">
        <f aca="false">COUNTIFS(Programação!$N$5:$N$1004,"&gt;="&amp;$B$3,Programação!$N$5:$N$1004,"&lt;="&amp;$B$4,Programação!$H$5:$H$1004,"Extra",Programação!$P$5:$P$1004,"&lt;&gt;Cancelada")</f>
        <v>0</v>
      </c>
      <c r="C22" s="77" t="s">
        <v>399</v>
      </c>
      <c r="D22" s="77"/>
      <c r="E22" s="77"/>
      <c r="F22" s="77"/>
      <c r="G22" s="77"/>
      <c r="H22" s="77"/>
      <c r="I22" s="77"/>
      <c r="J22" s="77"/>
      <c r="K22" s="77"/>
      <c r="L22" s="77"/>
      <c r="M22" s="77"/>
    </row>
    <row r="23" customFormat="false" ht="16.5" hidden="false" customHeight="true" outlineLevel="0" collapsed="false">
      <c r="A23" s="26" t="s">
        <v>400</v>
      </c>
      <c r="B23" s="76" t="n">
        <f aca="false">SUMIFS(Programação!$Z$5:$Z$1004,Programação!$N$5:$N$1004,"&gt;="&amp;$B$3,Programação!$N$5:$N$1004,"&lt;="&amp;$B$4,Programação!$H$5:$H$1004,"Extra")</f>
        <v>0</v>
      </c>
      <c r="C23" s="77" t="s">
        <v>401</v>
      </c>
      <c r="D23" s="77"/>
      <c r="E23" s="77"/>
      <c r="F23" s="77"/>
      <c r="G23" s="77"/>
      <c r="H23" s="77"/>
      <c r="I23" s="77"/>
      <c r="J23" s="77"/>
      <c r="K23" s="77"/>
      <c r="L23" s="77"/>
      <c r="M23" s="77"/>
    </row>
    <row r="24" customFormat="false" ht="16.5" hidden="false" customHeight="true" outlineLevel="0" collapsed="false">
      <c r="A24" s="26" t="s">
        <v>402</v>
      </c>
      <c r="B24" s="81" t="n">
        <f aca="false">IFERROR(B22/(B12+B22),"")</f>
        <v>0</v>
      </c>
      <c r="C24" s="77" t="s">
        <v>403</v>
      </c>
      <c r="D24" s="77"/>
      <c r="E24" s="77"/>
      <c r="F24" s="77"/>
      <c r="G24" s="77"/>
      <c r="H24" s="77"/>
      <c r="I24" s="77"/>
      <c r="J24" s="77"/>
      <c r="K24" s="77"/>
      <c r="L24" s="77"/>
      <c r="M24" s="77"/>
    </row>
    <row r="25" customFormat="false" ht="16.5" hidden="false" customHeight="true" outlineLevel="0" collapsed="false">
      <c r="A25" s="26" t="s">
        <v>404</v>
      </c>
      <c r="B25" s="76" t="n">
        <f aca="false">SUMIFS(Programação!$Y$5:$Y$1004,Programação!$N$5:$N$1004,"&gt;="&amp;$B$3,Programação!$N$5:$N$1004,"&lt;="&amp;$B$4)</f>
        <v>47</v>
      </c>
      <c r="C25" s="77" t="s">
        <v>405</v>
      </c>
      <c r="D25" s="77"/>
      <c r="E25" s="77"/>
      <c r="F25" s="77"/>
      <c r="G25" s="77"/>
      <c r="H25" s="77"/>
      <c r="I25" s="77"/>
      <c r="J25" s="77"/>
      <c r="K25" s="77"/>
      <c r="L25" s="77"/>
      <c r="M25" s="77"/>
    </row>
    <row r="26" customFormat="false" ht="16.5" hidden="false" customHeight="true" outlineLevel="0" collapsed="false">
      <c r="A26" s="26" t="s">
        <v>406</v>
      </c>
      <c r="B26" s="82" t="n">
        <f aca="false">IFERROR(SUMIFS(Programação!$X$5:$X$1004,Programação!$N$5:$N$1004,"&gt;="&amp;$B$3,Programação!$N$5:$N$1004,"&lt;="&amp;$B$4)/COUNTIFS(Programação!$N$5:$N$1004,"&gt;="&amp;$B$3,Programação!$N$5:$N$1004,"&lt;="&amp;$B$4,Programação!$X$5:$X$1004,"&gt;0"),0)</f>
        <v>0</v>
      </c>
      <c r="C26" s="77" t="s">
        <v>407</v>
      </c>
      <c r="D26" s="77"/>
      <c r="E26" s="77"/>
      <c r="F26" s="77"/>
      <c r="G26" s="77"/>
      <c r="H26" s="77"/>
      <c r="I26" s="77"/>
      <c r="J26" s="77"/>
      <c r="K26" s="77"/>
      <c r="L26" s="77"/>
      <c r="M26" s="77"/>
    </row>
    <row r="27" customFormat="false" ht="16.5" hidden="false" customHeight="true" outlineLevel="0" collapsed="false">
      <c r="A27" s="26" t="s">
        <v>408</v>
      </c>
      <c r="B27" s="76" t="n">
        <f aca="false">COUNTIFS(Programação!$N$5:$N$1004,"",Programação!$F$5:$F$1004,"&lt;&gt;",Programação!$P$5:$P$1004,"&lt;&gt;Cancelada")</f>
        <v>0</v>
      </c>
      <c r="C27" s="77" t="s">
        <v>409</v>
      </c>
      <c r="D27" s="77"/>
      <c r="E27" s="77"/>
      <c r="F27" s="77"/>
      <c r="G27" s="77"/>
      <c r="H27" s="77"/>
      <c r="I27" s="77"/>
      <c r="J27" s="77"/>
      <c r="K27" s="77"/>
      <c r="L27" s="77"/>
      <c r="M27" s="77"/>
    </row>
    <row r="28" customFormat="false" ht="16.5" hidden="false" customHeight="true" outlineLevel="0" collapsed="false">
      <c r="A28" s="26" t="s">
        <v>410</v>
      </c>
      <c r="B28" s="76" t="n">
        <f aca="false">COUNTIFS(Programação!$N$5:$N$1004,"&gt;="&amp;$B$3,Programação!$N$5:$N$1004,"&lt;="&amp;$B$4,Programação!$T$5:$T$1004,"Terceirizada")</f>
        <v>47</v>
      </c>
      <c r="C28" s="77" t="s">
        <v>411</v>
      </c>
      <c r="D28" s="77"/>
      <c r="E28" s="77"/>
      <c r="F28" s="77"/>
      <c r="G28" s="77"/>
      <c r="H28" s="77"/>
      <c r="I28" s="77"/>
      <c r="J28" s="77"/>
      <c r="K28" s="77"/>
      <c r="L28" s="77"/>
      <c r="M28" s="77"/>
    </row>
    <row r="31" customFormat="false" ht="15" hidden="false" customHeight="false" outlineLevel="0" collapsed="false">
      <c r="A31" s="3" t="s">
        <v>412</v>
      </c>
      <c r="B31" s="3"/>
      <c r="C31" s="3"/>
      <c r="D31" s="3"/>
      <c r="E31" s="3"/>
      <c r="F31" s="3"/>
      <c r="H31" s="3" t="s">
        <v>413</v>
      </c>
      <c r="I31" s="3"/>
      <c r="J31" s="3"/>
      <c r="K31" s="3"/>
      <c r="L31" s="3"/>
      <c r="M31" s="3"/>
    </row>
    <row r="32" customFormat="false" ht="15" hidden="false" customHeight="false" outlineLevel="0" collapsed="false">
      <c r="A32" s="34" t="s">
        <v>414</v>
      </c>
      <c r="B32" s="34" t="s">
        <v>415</v>
      </c>
      <c r="C32" s="34" t="s">
        <v>158</v>
      </c>
      <c r="D32" s="34" t="s">
        <v>416</v>
      </c>
      <c r="E32" s="34" t="s">
        <v>368</v>
      </c>
      <c r="F32" s="34" t="s">
        <v>417</v>
      </c>
      <c r="H32" s="34" t="s">
        <v>414</v>
      </c>
      <c r="I32" s="34" t="s">
        <v>415</v>
      </c>
      <c r="J32" s="34" t="s">
        <v>158</v>
      </c>
      <c r="K32" s="34" t="s">
        <v>416</v>
      </c>
      <c r="L32" s="34" t="s">
        <v>368</v>
      </c>
      <c r="M32" s="34" t="s">
        <v>417</v>
      </c>
    </row>
    <row r="33" customFormat="false" ht="15.75" hidden="false" customHeight="true" outlineLevel="0" collapsed="false">
      <c r="A33" s="26" t="str">
        <f aca="false">IF(Listas!A5="","",Listas!A5)</f>
        <v>Adilton</v>
      </c>
      <c r="B33" s="65" t="n">
        <f aca="false">IF($A33="","",COUNTIFS(Programação!$I$5:$I$1004,$A33,Programação!$N$5:$N$1004,"&gt;="&amp;$B$3,Programação!$N$5:$N$1004,"&lt;="&amp;$B$4,Programação!$P$5:$P$1004,"&lt;&gt;Cancelada",Programação!$H$5:$H$1004,"&lt;&gt;Extra")+COUNTIFS(Programação!$J$5:$J$1004,$A33,Programação!$N$5:$N$1004,"&gt;="&amp;$B$3,Programação!$N$5:$N$1004,"&lt;="&amp;$B$4,Programação!$P$5:$P$1004,"&lt;&gt;Cancelada",Programação!$H$5:$H$1004,"&lt;&gt;Extra")+COUNTIFS(Programação!$K$5:$K$1004,$A33,Programação!$N$5:$N$1004,"&gt;="&amp;$B$3,Programação!$N$5:$N$1004,"&lt;="&amp;$B$4,Programação!$P$5:$P$1004,"&lt;&gt;Cancelada",Programação!$H$5:$H$1004,"&lt;&gt;Extra"))</f>
        <v>41</v>
      </c>
      <c r="C33" s="65" t="n">
        <f aca="false">IF($A33="","",SUMIFS(Programação!$Z$5:$Z$1004,Programação!$I$5:$I$1004,$A33,Programação!$N$5:$N$1004,"&gt;="&amp;$B$3,Programação!$N$5:$N$1004,"&lt;="&amp;$B$4,Programação!$H$5:$H$1004,"&lt;&gt;Extra")+SUMIFS(Programação!$Z$5:$Z$1004,Programação!$J$5:$J$1004,$A33,Programação!$N$5:$N$1004,"&gt;="&amp;$B$3,Programação!$N$5:$N$1004,"&lt;="&amp;$B$4,Programação!$H$5:$H$1004,"&lt;&gt;Extra")+SUMIFS(Programação!$Z$5:$Z$1004,Programação!$K$5:$K$1004,$A33,Programação!$N$5:$N$1004,"&gt;="&amp;$B$3,Programação!$N$5:$N$1004,"&lt;="&amp;$B$4,Programação!$H$5:$H$1004,"&lt;&gt;Extra"))</f>
        <v>28</v>
      </c>
      <c r="D33" s="66" t="n">
        <f aca="false">IF(OR($A33="",$B33=0),"",$C33/$B33)</f>
        <v>0.682926829268293</v>
      </c>
      <c r="E33" s="65" t="n">
        <f aca="true">IF($A33="","",COUNTIFS(Programação!$I$5:$I$1004,$A33,Programação!$N$5:$N$1004,"&gt;="&amp;$B$3,Programação!$N$5:$N$1004,"&lt;="&amp;$B$4,Programação!$N$5:$N$1004,"&lt;"&amp;TODAY(),Programação!$Z$5:$Z$1004,0,Programação!$P$5:$P$1004,"&lt;&gt;Cancelada")+COUNTIFS(Programação!$J$5:$J$1004,$A33,Programação!$N$5:$N$1004,"&gt;="&amp;$B$3,Programação!$N$5:$N$1004,"&lt;="&amp;$B$4,Programação!$N$5:$N$1004,"&lt;"&amp;TODAY(),Programação!$Z$5:$Z$1004,0,Programação!$P$5:$P$1004,"&lt;&gt;Cancelada")+COUNTIFS(Programação!$K$5:$K$1004,$A33,Programação!$N$5:$N$1004,"&gt;="&amp;$B$3,Programação!$N$5:$N$1004,"&lt;="&amp;$B$4,Programação!$N$5:$N$1004,"&lt;"&amp;TODAY(),Programação!$Z$5:$Z$1004,0,Programação!$P$5:$P$1004,"&lt;&gt;Cancelada"))</f>
        <v>0</v>
      </c>
      <c r="F33" s="65" t="n">
        <f aca="false">IF($A33="","",COUNTIFS(Programação!$I$5:$I$1004,$A33,Programação!$N$5:$N$1004,"&gt;="&amp;$B$3,Programação!$N$5:$N$1004,"&lt;="&amp;$B$4,Programação!$H$5:$H$1004,"Extra",Programação!$P$5:$P$1004,"&lt;&gt;Cancelada")+COUNTIFS(Programação!$J$5:$J$1004,$A33,Programação!$N$5:$N$1004,"&gt;="&amp;$B$3,Programação!$N$5:$N$1004,"&lt;="&amp;$B$4,Programação!$H$5:$H$1004,"Extra",Programação!$P$5:$P$1004,"&lt;&gt;Cancelada")+COUNTIFS(Programação!$K$5:$K$1004,$A33,Programação!$N$5:$N$1004,"&gt;="&amp;$B$3,Programação!$N$5:$N$1004,"&lt;="&amp;$B$4,Programação!$H$5:$H$1004,"Extra",Programação!$P$5:$P$1004,"&lt;&gt;Cancelada"))</f>
        <v>0</v>
      </c>
      <c r="H33" s="26" t="str">
        <f aca="false">IF(Listas!B5="","",Listas!B5)</f>
        <v>F-1064</v>
      </c>
      <c r="I33" s="65" t="n">
        <f aca="false">IF($H33="","",COUNTIFS(Programação!$D$5:$D$1004,$H33,Programação!$N$5:$N$1004,"&gt;="&amp;$B$3,Programação!$N$5:$N$1004,"&lt;="&amp;$B$4,Programação!$P$5:$P$1004,"&lt;&gt;Cancelada",Programação!$H$5:$H$1004,"&lt;&gt;Extra"))</f>
        <v>1</v>
      </c>
      <c r="J33" s="65" t="n">
        <f aca="false">IF($H33="","",SUMIFS(Programação!$Z$5:$Z$1004,Programação!$D$5:$D$1004,$H33,Programação!$N$5:$N$1004,"&gt;="&amp;$B$3,Programação!$N$5:$N$1004,"&lt;="&amp;$B$4,Programação!$H$5:$H$1004,"&lt;&gt;Extra"))</f>
        <v>0</v>
      </c>
      <c r="K33" s="66" t="n">
        <f aca="false">IF(OR($H33="",$I33=0),"",$J33/$I33)</f>
        <v>0</v>
      </c>
      <c r="L33" s="65" t="n">
        <f aca="true">IF($H33="","",COUNTIFS(Programação!$D$5:$D$1004,$H33,Programação!$N$5:$N$1004,"&gt;="&amp;$B$3,Programação!$N$5:$N$1004,"&lt;="&amp;$B$4,Programação!$N$5:$N$1004,"&lt;"&amp;TODAY(),Programação!$Z$5:$Z$1004,0,Programação!$P$5:$P$1004,"&lt;&gt;Cancelada"))</f>
        <v>1</v>
      </c>
      <c r="M33" s="65" t="n">
        <f aca="false">IF($H33="","",COUNTIFS(Programação!$D$5:$D$1004,$H33,Programação!$N$5:$N$1004,"&gt;="&amp;$B$3,Programação!$N$5:$N$1004,"&lt;="&amp;$B$4,Programação!$H$5:$H$1004,"Extra",Programação!$P$5:$P$1004,"&lt;&gt;Cancelada"))</f>
        <v>0</v>
      </c>
    </row>
    <row r="34" customFormat="false" ht="15.75" hidden="false" customHeight="true" outlineLevel="0" collapsed="false">
      <c r="A34" s="26" t="str">
        <f aca="false">IF(Listas!A6="","",Listas!A6)</f>
        <v>Airton</v>
      </c>
      <c r="B34" s="65" t="n">
        <f aca="false">IF($A34="","",COUNTIFS(Programação!$I$5:$I$1004,$A34,Programação!$N$5:$N$1004,"&gt;="&amp;$B$3,Programação!$N$5:$N$1004,"&lt;="&amp;$B$4,Programação!$P$5:$P$1004,"&lt;&gt;Cancelada",Programação!$H$5:$H$1004,"&lt;&gt;Extra")+COUNTIFS(Programação!$J$5:$J$1004,$A34,Programação!$N$5:$N$1004,"&gt;="&amp;$B$3,Programação!$N$5:$N$1004,"&lt;="&amp;$B$4,Programação!$P$5:$P$1004,"&lt;&gt;Cancelada",Programação!$H$5:$H$1004,"&lt;&gt;Extra")+COUNTIFS(Programação!$K$5:$K$1004,$A34,Programação!$N$5:$N$1004,"&gt;="&amp;$B$3,Programação!$N$5:$N$1004,"&lt;="&amp;$B$4,Programação!$P$5:$P$1004,"&lt;&gt;Cancelada",Programação!$H$5:$H$1004,"&lt;&gt;Extra"))</f>
        <v>57</v>
      </c>
      <c r="C34" s="65" t="n">
        <f aca="false">IF($A34="","",SUMIFS(Programação!$Z$5:$Z$1004,Programação!$I$5:$I$1004,$A34,Programação!$N$5:$N$1004,"&gt;="&amp;$B$3,Programação!$N$5:$N$1004,"&lt;="&amp;$B$4,Programação!$H$5:$H$1004,"&lt;&gt;Extra")+SUMIFS(Programação!$Z$5:$Z$1004,Programação!$J$5:$J$1004,$A34,Programação!$N$5:$N$1004,"&gt;="&amp;$B$3,Programação!$N$5:$N$1004,"&lt;="&amp;$B$4,Programação!$H$5:$H$1004,"&lt;&gt;Extra")+SUMIFS(Programação!$Z$5:$Z$1004,Programação!$K$5:$K$1004,$A34,Programação!$N$5:$N$1004,"&gt;="&amp;$B$3,Programação!$N$5:$N$1004,"&lt;="&amp;$B$4,Programação!$H$5:$H$1004,"&lt;&gt;Extra"))</f>
        <v>15</v>
      </c>
      <c r="D34" s="66" t="n">
        <f aca="false">IF(OR($A34="",$B34=0),"",$C34/$B34)</f>
        <v>0.263157894736842</v>
      </c>
      <c r="E34" s="65" t="n">
        <f aca="true">IF($A34="","",COUNTIFS(Programação!$I$5:$I$1004,$A34,Programação!$N$5:$N$1004,"&gt;="&amp;$B$3,Programação!$N$5:$N$1004,"&lt;="&amp;$B$4,Programação!$N$5:$N$1004,"&lt;"&amp;TODAY(),Programação!$Z$5:$Z$1004,0,Programação!$P$5:$P$1004,"&lt;&gt;Cancelada")+COUNTIFS(Programação!$J$5:$J$1004,$A34,Programação!$N$5:$N$1004,"&gt;="&amp;$B$3,Programação!$N$5:$N$1004,"&lt;="&amp;$B$4,Programação!$N$5:$N$1004,"&lt;"&amp;TODAY(),Programação!$Z$5:$Z$1004,0,Programação!$P$5:$P$1004,"&lt;&gt;Cancelada")+COUNTIFS(Programação!$K$5:$K$1004,$A34,Programação!$N$5:$N$1004,"&gt;="&amp;$B$3,Programação!$N$5:$N$1004,"&lt;="&amp;$B$4,Programação!$N$5:$N$1004,"&lt;"&amp;TODAY(),Programação!$Z$5:$Z$1004,0,Programação!$P$5:$P$1004,"&lt;&gt;Cancelada"))</f>
        <v>2</v>
      </c>
      <c r="F34" s="65" t="n">
        <f aca="false">IF($A34="","",COUNTIFS(Programação!$I$5:$I$1004,$A34,Programação!$N$5:$N$1004,"&gt;="&amp;$B$3,Programação!$N$5:$N$1004,"&lt;="&amp;$B$4,Programação!$H$5:$H$1004,"Extra",Programação!$P$5:$P$1004,"&lt;&gt;Cancelada")+COUNTIFS(Programação!$J$5:$J$1004,$A34,Programação!$N$5:$N$1004,"&gt;="&amp;$B$3,Programação!$N$5:$N$1004,"&lt;="&amp;$B$4,Programação!$H$5:$H$1004,"Extra",Programação!$P$5:$P$1004,"&lt;&gt;Cancelada")+COUNTIFS(Programação!$K$5:$K$1004,$A34,Programação!$N$5:$N$1004,"&gt;="&amp;$B$3,Programação!$N$5:$N$1004,"&lt;="&amp;$B$4,Programação!$H$5:$H$1004,"Extra",Programação!$P$5:$P$1004,"&lt;&gt;Cancelada"))</f>
        <v>0</v>
      </c>
      <c r="H34" s="26" t="str">
        <f aca="false">IF(Listas!B6="","",Listas!B6)</f>
        <v>F-1065</v>
      </c>
      <c r="I34" s="65" t="n">
        <f aca="false">IF($H34="","",COUNTIFS(Programação!$D$5:$D$1004,$H34,Programação!$N$5:$N$1004,"&gt;="&amp;$B$3,Programação!$N$5:$N$1004,"&lt;="&amp;$B$4,Programação!$P$5:$P$1004,"&lt;&gt;Cancelada",Programação!$H$5:$H$1004,"&lt;&gt;Extra"))</f>
        <v>1</v>
      </c>
      <c r="J34" s="65" t="n">
        <f aca="false">IF($H34="","",SUMIFS(Programação!$Z$5:$Z$1004,Programação!$D$5:$D$1004,$H34,Programação!$N$5:$N$1004,"&gt;="&amp;$B$3,Programação!$N$5:$N$1004,"&lt;="&amp;$B$4,Programação!$H$5:$H$1004,"&lt;&gt;Extra"))</f>
        <v>0</v>
      </c>
      <c r="K34" s="66" t="n">
        <f aca="false">IF(OR($H34="",$I34=0),"",$J34/$I34)</f>
        <v>0</v>
      </c>
      <c r="L34" s="65" t="n">
        <f aca="true">IF($H34="","",COUNTIFS(Programação!$D$5:$D$1004,$H34,Programação!$N$5:$N$1004,"&gt;="&amp;$B$3,Programação!$N$5:$N$1004,"&lt;="&amp;$B$4,Programação!$N$5:$N$1004,"&lt;"&amp;TODAY(),Programação!$Z$5:$Z$1004,0,Programação!$P$5:$P$1004,"&lt;&gt;Cancelada"))</f>
        <v>1</v>
      </c>
      <c r="M34" s="65" t="n">
        <f aca="false">IF($H34="","",COUNTIFS(Programação!$D$5:$D$1004,$H34,Programação!$N$5:$N$1004,"&gt;="&amp;$B$3,Programação!$N$5:$N$1004,"&lt;="&amp;$B$4,Programação!$H$5:$H$1004,"Extra",Programação!$P$5:$P$1004,"&lt;&gt;Cancelada"))</f>
        <v>0</v>
      </c>
    </row>
    <row r="35" customFormat="false" ht="15.75" hidden="false" customHeight="true" outlineLevel="0" collapsed="false">
      <c r="A35" s="26" t="str">
        <f aca="false">IF(Listas!A7="","",Listas!A7)</f>
        <v>Alexandre</v>
      </c>
      <c r="B35" s="65" t="n">
        <f aca="false">IF($A35="","",COUNTIFS(Programação!$I$5:$I$1004,$A35,Programação!$N$5:$N$1004,"&gt;="&amp;$B$3,Programação!$N$5:$N$1004,"&lt;="&amp;$B$4,Programação!$P$5:$P$1004,"&lt;&gt;Cancelada",Programação!$H$5:$H$1004,"&lt;&gt;Extra")+COUNTIFS(Programação!$J$5:$J$1004,$A35,Programação!$N$5:$N$1004,"&gt;="&amp;$B$3,Programação!$N$5:$N$1004,"&lt;="&amp;$B$4,Programação!$P$5:$P$1004,"&lt;&gt;Cancelada",Programação!$H$5:$H$1004,"&lt;&gt;Extra")+COUNTIFS(Programação!$K$5:$K$1004,$A35,Programação!$N$5:$N$1004,"&gt;="&amp;$B$3,Programação!$N$5:$N$1004,"&lt;="&amp;$B$4,Programação!$P$5:$P$1004,"&lt;&gt;Cancelada",Programação!$H$5:$H$1004,"&lt;&gt;Extra"))</f>
        <v>8</v>
      </c>
      <c r="C35" s="65" t="n">
        <f aca="false">IF($A35="","",SUMIFS(Programação!$Z$5:$Z$1004,Programação!$I$5:$I$1004,$A35,Programação!$N$5:$N$1004,"&gt;="&amp;$B$3,Programação!$N$5:$N$1004,"&lt;="&amp;$B$4,Programação!$H$5:$H$1004,"&lt;&gt;Extra")+SUMIFS(Programação!$Z$5:$Z$1004,Programação!$J$5:$J$1004,$A35,Programação!$N$5:$N$1004,"&gt;="&amp;$B$3,Programação!$N$5:$N$1004,"&lt;="&amp;$B$4,Programação!$H$5:$H$1004,"&lt;&gt;Extra")+SUMIFS(Programação!$Z$5:$Z$1004,Programação!$K$5:$K$1004,$A35,Programação!$N$5:$N$1004,"&gt;="&amp;$B$3,Programação!$N$5:$N$1004,"&lt;="&amp;$B$4,Programação!$H$5:$H$1004,"&lt;&gt;Extra"))</f>
        <v>8</v>
      </c>
      <c r="D35" s="66" t="n">
        <f aca="false">IF(OR($A35="",$B35=0),"",$C35/$B35)</f>
        <v>1</v>
      </c>
      <c r="E35" s="65" t="n">
        <f aca="true">IF($A35="","",COUNTIFS(Programação!$I$5:$I$1004,$A35,Programação!$N$5:$N$1004,"&gt;="&amp;$B$3,Programação!$N$5:$N$1004,"&lt;="&amp;$B$4,Programação!$N$5:$N$1004,"&lt;"&amp;TODAY(),Programação!$Z$5:$Z$1004,0,Programação!$P$5:$P$1004,"&lt;&gt;Cancelada")+COUNTIFS(Programação!$J$5:$J$1004,$A35,Programação!$N$5:$N$1004,"&gt;="&amp;$B$3,Programação!$N$5:$N$1004,"&lt;="&amp;$B$4,Programação!$N$5:$N$1004,"&lt;"&amp;TODAY(),Programação!$Z$5:$Z$1004,0,Programação!$P$5:$P$1004,"&lt;&gt;Cancelada")+COUNTIFS(Programação!$K$5:$K$1004,$A35,Programação!$N$5:$N$1004,"&gt;="&amp;$B$3,Programação!$N$5:$N$1004,"&lt;="&amp;$B$4,Programação!$N$5:$N$1004,"&lt;"&amp;TODAY(),Programação!$Z$5:$Z$1004,0,Programação!$P$5:$P$1004,"&lt;&gt;Cancelada"))</f>
        <v>0</v>
      </c>
      <c r="F35" s="65" t="n">
        <f aca="false">IF($A35="","",COUNTIFS(Programação!$I$5:$I$1004,$A35,Programação!$N$5:$N$1004,"&gt;="&amp;$B$3,Programação!$N$5:$N$1004,"&lt;="&amp;$B$4,Programação!$H$5:$H$1004,"Extra",Programação!$P$5:$P$1004,"&lt;&gt;Cancelada")+COUNTIFS(Programação!$J$5:$J$1004,$A35,Programação!$N$5:$N$1004,"&gt;="&amp;$B$3,Programação!$N$5:$N$1004,"&lt;="&amp;$B$4,Programação!$H$5:$H$1004,"Extra",Programação!$P$5:$P$1004,"&lt;&gt;Cancelada")+COUNTIFS(Programação!$K$5:$K$1004,$A35,Programação!$N$5:$N$1004,"&gt;="&amp;$B$3,Programação!$N$5:$N$1004,"&lt;="&amp;$B$4,Programação!$H$5:$H$1004,"Extra",Programação!$P$5:$P$1004,"&lt;&gt;Cancelada"))</f>
        <v>0</v>
      </c>
      <c r="H35" s="26" t="str">
        <f aca="false">IF(Listas!B7="","",Listas!B7)</f>
        <v>F-150</v>
      </c>
      <c r="I35" s="65" t="n">
        <f aca="false">IF($H35="","",COUNTIFS(Programação!$D$5:$D$1004,$H35,Programação!$N$5:$N$1004,"&gt;="&amp;$B$3,Programação!$N$5:$N$1004,"&lt;="&amp;$B$4,Programação!$P$5:$P$1004,"&lt;&gt;Cancelada",Programação!$H$5:$H$1004,"&lt;&gt;Extra"))</f>
        <v>2</v>
      </c>
      <c r="J35" s="65" t="n">
        <f aca="false">IF($H35="","",SUMIFS(Programação!$Z$5:$Z$1004,Programação!$D$5:$D$1004,$H35,Programação!$N$5:$N$1004,"&gt;="&amp;$B$3,Programação!$N$5:$N$1004,"&lt;="&amp;$B$4,Programação!$H$5:$H$1004,"&lt;&gt;Extra"))</f>
        <v>0</v>
      </c>
      <c r="K35" s="66" t="n">
        <f aca="false">IF(OR($H35="",$I35=0),"",$J35/$I35)</f>
        <v>0</v>
      </c>
      <c r="L35" s="65" t="n">
        <f aca="true">IF($H35="","",COUNTIFS(Programação!$D$5:$D$1004,$H35,Programação!$N$5:$N$1004,"&gt;="&amp;$B$3,Programação!$N$5:$N$1004,"&lt;="&amp;$B$4,Programação!$N$5:$N$1004,"&lt;"&amp;TODAY(),Programação!$Z$5:$Z$1004,0,Programação!$P$5:$P$1004,"&lt;&gt;Cancelada"))</f>
        <v>1</v>
      </c>
      <c r="M35" s="65" t="n">
        <f aca="false">IF($H35="","",COUNTIFS(Programação!$D$5:$D$1004,$H35,Programação!$N$5:$N$1004,"&gt;="&amp;$B$3,Programação!$N$5:$N$1004,"&lt;="&amp;$B$4,Programação!$H$5:$H$1004,"Extra",Programação!$P$5:$P$1004,"&lt;&gt;Cancelada"))</f>
        <v>0</v>
      </c>
    </row>
    <row r="36" customFormat="false" ht="15.75" hidden="false" customHeight="true" outlineLevel="0" collapsed="false">
      <c r="A36" s="26" t="str">
        <f aca="false">IF(Listas!A8="","",Listas!A8)</f>
        <v>Gabriel</v>
      </c>
      <c r="B36" s="65" t="n">
        <f aca="false">IF($A36="","",COUNTIFS(Programação!$I$5:$I$1004,$A36,Programação!$N$5:$N$1004,"&gt;="&amp;$B$3,Programação!$N$5:$N$1004,"&lt;="&amp;$B$4,Programação!$P$5:$P$1004,"&lt;&gt;Cancelada",Programação!$H$5:$H$1004,"&lt;&gt;Extra")+COUNTIFS(Programação!$J$5:$J$1004,$A36,Programação!$N$5:$N$1004,"&gt;="&amp;$B$3,Programação!$N$5:$N$1004,"&lt;="&amp;$B$4,Programação!$P$5:$P$1004,"&lt;&gt;Cancelada",Programação!$H$5:$H$1004,"&lt;&gt;Extra")+COUNTIFS(Programação!$K$5:$K$1004,$A36,Programação!$N$5:$N$1004,"&gt;="&amp;$B$3,Programação!$N$5:$N$1004,"&lt;="&amp;$B$4,Programação!$P$5:$P$1004,"&lt;&gt;Cancelada",Programação!$H$5:$H$1004,"&lt;&gt;Extra"))</f>
        <v>36</v>
      </c>
      <c r="C36" s="65" t="n">
        <f aca="false">IF($A36="","",SUMIFS(Programação!$Z$5:$Z$1004,Programação!$I$5:$I$1004,$A36,Programação!$N$5:$N$1004,"&gt;="&amp;$B$3,Programação!$N$5:$N$1004,"&lt;="&amp;$B$4,Programação!$H$5:$H$1004,"&lt;&gt;Extra")+SUMIFS(Programação!$Z$5:$Z$1004,Programação!$J$5:$J$1004,$A36,Programação!$N$5:$N$1004,"&gt;="&amp;$B$3,Programação!$N$5:$N$1004,"&lt;="&amp;$B$4,Programação!$H$5:$H$1004,"&lt;&gt;Extra")+SUMIFS(Programação!$Z$5:$Z$1004,Programação!$K$5:$K$1004,$A36,Programação!$N$5:$N$1004,"&gt;="&amp;$B$3,Programação!$N$5:$N$1004,"&lt;="&amp;$B$4,Programação!$H$5:$H$1004,"&lt;&gt;Extra"))</f>
        <v>20</v>
      </c>
      <c r="D36" s="66" t="n">
        <f aca="false">IF(OR($A36="",$B36=0),"",$C36/$B36)</f>
        <v>0.555555555555556</v>
      </c>
      <c r="E36" s="65" t="n">
        <f aca="true">IF($A36="","",COUNTIFS(Programação!$I$5:$I$1004,$A36,Programação!$N$5:$N$1004,"&gt;="&amp;$B$3,Programação!$N$5:$N$1004,"&lt;="&amp;$B$4,Programação!$N$5:$N$1004,"&lt;"&amp;TODAY(),Programação!$Z$5:$Z$1004,0,Programação!$P$5:$P$1004,"&lt;&gt;Cancelada")+COUNTIFS(Programação!$J$5:$J$1004,$A36,Programação!$N$5:$N$1004,"&gt;="&amp;$B$3,Programação!$N$5:$N$1004,"&lt;="&amp;$B$4,Programação!$N$5:$N$1004,"&lt;"&amp;TODAY(),Programação!$Z$5:$Z$1004,0,Programação!$P$5:$P$1004,"&lt;&gt;Cancelada")+COUNTIFS(Programação!$K$5:$K$1004,$A36,Programação!$N$5:$N$1004,"&gt;="&amp;$B$3,Programação!$N$5:$N$1004,"&lt;="&amp;$B$4,Programação!$N$5:$N$1004,"&lt;"&amp;TODAY(),Programação!$Z$5:$Z$1004,0,Programação!$P$5:$P$1004,"&lt;&gt;Cancelada"))</f>
        <v>0</v>
      </c>
      <c r="F36" s="65" t="n">
        <f aca="false">IF($A36="","",COUNTIFS(Programação!$I$5:$I$1004,$A36,Programação!$N$5:$N$1004,"&gt;="&amp;$B$3,Programação!$N$5:$N$1004,"&lt;="&amp;$B$4,Programação!$H$5:$H$1004,"Extra",Programação!$P$5:$P$1004,"&lt;&gt;Cancelada")+COUNTIFS(Programação!$J$5:$J$1004,$A36,Programação!$N$5:$N$1004,"&gt;="&amp;$B$3,Programação!$N$5:$N$1004,"&lt;="&amp;$B$4,Programação!$H$5:$H$1004,"Extra",Programação!$P$5:$P$1004,"&lt;&gt;Cancelada")+COUNTIFS(Programação!$K$5:$K$1004,$A36,Programação!$N$5:$N$1004,"&gt;="&amp;$B$3,Programação!$N$5:$N$1004,"&lt;="&amp;$B$4,Programação!$H$5:$H$1004,"Extra",Programação!$P$5:$P$1004,"&lt;&gt;Cancelada"))</f>
        <v>0</v>
      </c>
      <c r="H36" s="26" t="str">
        <f aca="false">IF(Listas!B8="","",Listas!B8)</f>
        <v>F-246</v>
      </c>
      <c r="I36" s="65" t="n">
        <f aca="false">IF($H36="","",COUNTIFS(Programação!$D$5:$D$1004,$H36,Programação!$N$5:$N$1004,"&gt;="&amp;$B$3,Programação!$N$5:$N$1004,"&lt;="&amp;$B$4,Programação!$P$5:$P$1004,"&lt;&gt;Cancelada",Programação!$H$5:$H$1004,"&lt;&gt;Extra"))</f>
        <v>2</v>
      </c>
      <c r="J36" s="65" t="n">
        <f aca="false">IF($H36="","",SUMIFS(Programação!$Z$5:$Z$1004,Programação!$D$5:$D$1004,$H36,Programação!$N$5:$N$1004,"&gt;="&amp;$B$3,Programação!$N$5:$N$1004,"&lt;="&amp;$B$4,Programação!$H$5:$H$1004,"&lt;&gt;Extra"))</f>
        <v>0</v>
      </c>
      <c r="K36" s="66" t="n">
        <f aca="false">IF(OR($H36="",$I36=0),"",$J36/$I36)</f>
        <v>0</v>
      </c>
      <c r="L36" s="65" t="n">
        <f aca="true">IF($H36="","",COUNTIFS(Programação!$D$5:$D$1004,$H36,Programação!$N$5:$N$1004,"&gt;="&amp;$B$3,Programação!$N$5:$N$1004,"&lt;="&amp;$B$4,Programação!$N$5:$N$1004,"&lt;"&amp;TODAY(),Programação!$Z$5:$Z$1004,0,Programação!$P$5:$P$1004,"&lt;&gt;Cancelada"))</f>
        <v>0</v>
      </c>
      <c r="M36" s="65" t="n">
        <f aca="false">IF($H36="","",COUNTIFS(Programação!$D$5:$D$1004,$H36,Programação!$N$5:$N$1004,"&gt;="&amp;$B$3,Programação!$N$5:$N$1004,"&lt;="&amp;$B$4,Programação!$H$5:$H$1004,"Extra",Programação!$P$5:$P$1004,"&lt;&gt;Cancelada"))</f>
        <v>0</v>
      </c>
    </row>
    <row r="37" customFormat="false" ht="15.75" hidden="false" customHeight="true" outlineLevel="0" collapsed="false">
      <c r="A37" s="26" t="str">
        <f aca="false">IF(Listas!A9="","",Listas!A9)</f>
        <v>Heliton</v>
      </c>
      <c r="B37" s="65" t="n">
        <f aca="false">IF($A37="","",COUNTIFS(Programação!$I$5:$I$1004,$A37,Programação!$N$5:$N$1004,"&gt;="&amp;$B$3,Programação!$N$5:$N$1004,"&lt;="&amp;$B$4,Programação!$P$5:$P$1004,"&lt;&gt;Cancelada",Programação!$H$5:$H$1004,"&lt;&gt;Extra")+COUNTIFS(Programação!$J$5:$J$1004,$A37,Programação!$N$5:$N$1004,"&gt;="&amp;$B$3,Programação!$N$5:$N$1004,"&lt;="&amp;$B$4,Programação!$P$5:$P$1004,"&lt;&gt;Cancelada",Programação!$H$5:$H$1004,"&lt;&gt;Extra")+COUNTIFS(Programação!$K$5:$K$1004,$A37,Programação!$N$5:$N$1004,"&gt;="&amp;$B$3,Programação!$N$5:$N$1004,"&lt;="&amp;$B$4,Programação!$P$5:$P$1004,"&lt;&gt;Cancelada",Programação!$H$5:$H$1004,"&lt;&gt;Extra"))</f>
        <v>34</v>
      </c>
      <c r="C37" s="65" t="n">
        <f aca="false">IF($A37="","",SUMIFS(Programação!$Z$5:$Z$1004,Programação!$I$5:$I$1004,$A37,Programação!$N$5:$N$1004,"&gt;="&amp;$B$3,Programação!$N$5:$N$1004,"&lt;="&amp;$B$4,Programação!$H$5:$H$1004,"&lt;&gt;Extra")+SUMIFS(Programação!$Z$5:$Z$1004,Programação!$J$5:$J$1004,$A37,Programação!$N$5:$N$1004,"&gt;="&amp;$B$3,Programação!$N$5:$N$1004,"&lt;="&amp;$B$4,Programação!$H$5:$H$1004,"&lt;&gt;Extra")+SUMIFS(Programação!$Z$5:$Z$1004,Programação!$K$5:$K$1004,$A37,Programação!$N$5:$N$1004,"&gt;="&amp;$B$3,Programação!$N$5:$N$1004,"&lt;="&amp;$B$4,Programação!$H$5:$H$1004,"&lt;&gt;Extra"))</f>
        <v>0</v>
      </c>
      <c r="D37" s="66" t="n">
        <f aca="false">IF(OR($A37="",$B37=0),"",$C37/$B37)</f>
        <v>0</v>
      </c>
      <c r="E37" s="65" t="n">
        <f aca="true">IF($A37="","",COUNTIFS(Programação!$I$5:$I$1004,$A37,Programação!$N$5:$N$1004,"&gt;="&amp;$B$3,Programação!$N$5:$N$1004,"&lt;="&amp;$B$4,Programação!$N$5:$N$1004,"&lt;"&amp;TODAY(),Programação!$Z$5:$Z$1004,0,Programação!$P$5:$P$1004,"&lt;&gt;Cancelada")+COUNTIFS(Programação!$J$5:$J$1004,$A37,Programação!$N$5:$N$1004,"&gt;="&amp;$B$3,Programação!$N$5:$N$1004,"&lt;="&amp;$B$4,Programação!$N$5:$N$1004,"&lt;"&amp;TODAY(),Programação!$Z$5:$Z$1004,0,Programação!$P$5:$P$1004,"&lt;&gt;Cancelada")+COUNTIFS(Programação!$K$5:$K$1004,$A37,Programação!$N$5:$N$1004,"&gt;="&amp;$B$3,Programação!$N$5:$N$1004,"&lt;="&amp;$B$4,Programação!$N$5:$N$1004,"&lt;"&amp;TODAY(),Programação!$Z$5:$Z$1004,0,Programação!$P$5:$P$1004,"&lt;&gt;Cancelada"))</f>
        <v>0</v>
      </c>
      <c r="F37" s="65" t="n">
        <f aca="false">IF($A37="","",COUNTIFS(Programação!$I$5:$I$1004,$A37,Programação!$N$5:$N$1004,"&gt;="&amp;$B$3,Programação!$N$5:$N$1004,"&lt;="&amp;$B$4,Programação!$H$5:$H$1004,"Extra",Programação!$P$5:$P$1004,"&lt;&gt;Cancelada")+COUNTIFS(Programação!$J$5:$J$1004,$A37,Programação!$N$5:$N$1004,"&gt;="&amp;$B$3,Programação!$N$5:$N$1004,"&lt;="&amp;$B$4,Programação!$H$5:$H$1004,"Extra",Programação!$P$5:$P$1004,"&lt;&gt;Cancelada")+COUNTIFS(Programação!$K$5:$K$1004,$A37,Programação!$N$5:$N$1004,"&gt;="&amp;$B$3,Programação!$N$5:$N$1004,"&lt;="&amp;$B$4,Programação!$H$5:$H$1004,"Extra",Programação!$P$5:$P$1004,"&lt;&gt;Cancelada"))</f>
        <v>0</v>
      </c>
      <c r="H37" s="26" t="str">
        <f aca="false">IF(Listas!B9="","",Listas!B9)</f>
        <v>F-326</v>
      </c>
      <c r="I37" s="65" t="n">
        <f aca="false">IF($H37="","",COUNTIFS(Programação!$D$5:$D$1004,$H37,Programação!$N$5:$N$1004,"&gt;="&amp;$B$3,Programação!$N$5:$N$1004,"&lt;="&amp;$B$4,Programação!$P$5:$P$1004,"&lt;&gt;Cancelada",Programação!$H$5:$H$1004,"&lt;&gt;Extra"))</f>
        <v>5</v>
      </c>
      <c r="J37" s="65" t="n">
        <f aca="false">IF($H37="","",SUMIFS(Programação!$Z$5:$Z$1004,Programação!$D$5:$D$1004,$H37,Programação!$N$5:$N$1004,"&gt;="&amp;$B$3,Programação!$N$5:$N$1004,"&lt;="&amp;$B$4,Programação!$H$5:$H$1004,"&lt;&gt;Extra"))</f>
        <v>5</v>
      </c>
      <c r="K37" s="66" t="n">
        <f aca="false">IF(OR($H37="",$I37=0),"",$J37/$I37)</f>
        <v>1</v>
      </c>
      <c r="L37" s="65" t="n">
        <f aca="true">IF($H37="","",COUNTIFS(Programação!$D$5:$D$1004,$H37,Programação!$N$5:$N$1004,"&gt;="&amp;$B$3,Programação!$N$5:$N$1004,"&lt;="&amp;$B$4,Programação!$N$5:$N$1004,"&lt;"&amp;TODAY(),Programação!$Z$5:$Z$1004,0,Programação!$P$5:$P$1004,"&lt;&gt;Cancelada"))</f>
        <v>0</v>
      </c>
      <c r="M37" s="65" t="n">
        <f aca="false">IF($H37="","",COUNTIFS(Programação!$D$5:$D$1004,$H37,Programação!$N$5:$N$1004,"&gt;="&amp;$B$3,Programação!$N$5:$N$1004,"&lt;="&amp;$B$4,Programação!$H$5:$H$1004,"Extra",Programação!$P$5:$P$1004,"&lt;&gt;Cancelada"))</f>
        <v>0</v>
      </c>
    </row>
    <row r="38" customFormat="false" ht="15.75" hidden="false" customHeight="true" outlineLevel="0" collapsed="false">
      <c r="A38" s="26" t="str">
        <f aca="false">IF(Listas!A10="","",Listas!A10)</f>
        <v>Júnior</v>
      </c>
      <c r="B38" s="65" t="n">
        <f aca="false">IF($A38="","",COUNTIFS(Programação!$I$5:$I$1004,$A38,Programação!$N$5:$N$1004,"&gt;="&amp;$B$3,Programação!$N$5:$N$1004,"&lt;="&amp;$B$4,Programação!$P$5:$P$1004,"&lt;&gt;Cancelada",Programação!$H$5:$H$1004,"&lt;&gt;Extra")+COUNTIFS(Programação!$J$5:$J$1004,$A38,Programação!$N$5:$N$1004,"&gt;="&amp;$B$3,Programação!$N$5:$N$1004,"&lt;="&amp;$B$4,Programação!$P$5:$P$1004,"&lt;&gt;Cancelada",Programação!$H$5:$H$1004,"&lt;&gt;Extra")+COUNTIFS(Programação!$K$5:$K$1004,$A38,Programação!$N$5:$N$1004,"&gt;="&amp;$B$3,Programação!$N$5:$N$1004,"&lt;="&amp;$B$4,Programação!$P$5:$P$1004,"&lt;&gt;Cancelada",Programação!$H$5:$H$1004,"&lt;&gt;Extra"))</f>
        <v>41</v>
      </c>
      <c r="C38" s="65" t="n">
        <f aca="false">IF($A38="","",SUMIFS(Programação!$Z$5:$Z$1004,Programação!$I$5:$I$1004,$A38,Programação!$N$5:$N$1004,"&gt;="&amp;$B$3,Programação!$N$5:$N$1004,"&lt;="&amp;$B$4,Programação!$H$5:$H$1004,"&lt;&gt;Extra")+SUMIFS(Programação!$Z$5:$Z$1004,Programação!$J$5:$J$1004,$A38,Programação!$N$5:$N$1004,"&gt;="&amp;$B$3,Programação!$N$5:$N$1004,"&lt;="&amp;$B$4,Programação!$H$5:$H$1004,"&lt;&gt;Extra")+SUMIFS(Programação!$Z$5:$Z$1004,Programação!$K$5:$K$1004,$A38,Programação!$N$5:$N$1004,"&gt;="&amp;$B$3,Programação!$N$5:$N$1004,"&lt;="&amp;$B$4,Programação!$H$5:$H$1004,"&lt;&gt;Extra"))</f>
        <v>32</v>
      </c>
      <c r="D38" s="66" t="n">
        <f aca="false">IF(OR($A38="",$B38=0),"",$C38/$B38)</f>
        <v>0.780487804878049</v>
      </c>
      <c r="E38" s="65" t="n">
        <f aca="true">IF($A38="","",COUNTIFS(Programação!$I$5:$I$1004,$A38,Programação!$N$5:$N$1004,"&gt;="&amp;$B$3,Programação!$N$5:$N$1004,"&lt;="&amp;$B$4,Programação!$N$5:$N$1004,"&lt;"&amp;TODAY(),Programação!$Z$5:$Z$1004,0,Programação!$P$5:$P$1004,"&lt;&gt;Cancelada")+COUNTIFS(Programação!$J$5:$J$1004,$A38,Programação!$N$5:$N$1004,"&gt;="&amp;$B$3,Programação!$N$5:$N$1004,"&lt;="&amp;$B$4,Programação!$N$5:$N$1004,"&lt;"&amp;TODAY(),Programação!$Z$5:$Z$1004,0,Programação!$P$5:$P$1004,"&lt;&gt;Cancelada")+COUNTIFS(Programação!$K$5:$K$1004,$A38,Programação!$N$5:$N$1004,"&gt;="&amp;$B$3,Programação!$N$5:$N$1004,"&lt;="&amp;$B$4,Programação!$N$5:$N$1004,"&lt;"&amp;TODAY(),Programação!$Z$5:$Z$1004,0,Programação!$P$5:$P$1004,"&lt;&gt;Cancelada"))</f>
        <v>1</v>
      </c>
      <c r="F38" s="65" t="n">
        <f aca="false">IF($A38="","",COUNTIFS(Programação!$I$5:$I$1004,$A38,Programação!$N$5:$N$1004,"&gt;="&amp;$B$3,Programação!$N$5:$N$1004,"&lt;="&amp;$B$4,Programação!$H$5:$H$1004,"Extra",Programação!$P$5:$P$1004,"&lt;&gt;Cancelada")+COUNTIFS(Programação!$J$5:$J$1004,$A38,Programação!$N$5:$N$1004,"&gt;="&amp;$B$3,Programação!$N$5:$N$1004,"&lt;="&amp;$B$4,Programação!$H$5:$H$1004,"Extra",Programação!$P$5:$P$1004,"&lt;&gt;Cancelada")+COUNTIFS(Programação!$K$5:$K$1004,$A38,Programação!$N$5:$N$1004,"&gt;="&amp;$B$3,Programação!$N$5:$N$1004,"&lt;="&amp;$B$4,Programação!$H$5:$H$1004,"Extra",Programação!$P$5:$P$1004,"&lt;&gt;Cancelada"))</f>
        <v>0</v>
      </c>
      <c r="H38" s="26" t="str">
        <f aca="false">IF(Listas!B10="","",Listas!B10)</f>
        <v>F-327</v>
      </c>
      <c r="I38" s="65" t="n">
        <f aca="false">IF($H38="","",COUNTIFS(Programação!$D$5:$D$1004,$H38,Programação!$N$5:$N$1004,"&gt;="&amp;$B$3,Programação!$N$5:$N$1004,"&lt;="&amp;$B$4,Programação!$P$5:$P$1004,"&lt;&gt;Cancelada",Programação!$H$5:$H$1004,"&lt;&gt;Extra"))</f>
        <v>13</v>
      </c>
      <c r="J38" s="65" t="n">
        <f aca="false">IF($H38="","",SUMIFS(Programação!$Z$5:$Z$1004,Programação!$D$5:$D$1004,$H38,Programação!$N$5:$N$1004,"&gt;="&amp;$B$3,Programação!$N$5:$N$1004,"&lt;="&amp;$B$4,Programação!$H$5:$H$1004,"&lt;&gt;Extra"))</f>
        <v>13</v>
      </c>
      <c r="K38" s="66" t="n">
        <f aca="false">IF(OR($H38="",$I38=0),"",$J38/$I38)</f>
        <v>1</v>
      </c>
      <c r="L38" s="65" t="n">
        <f aca="true">IF($H38="","",COUNTIFS(Programação!$D$5:$D$1004,$H38,Programação!$N$5:$N$1004,"&gt;="&amp;$B$3,Programação!$N$5:$N$1004,"&lt;="&amp;$B$4,Programação!$N$5:$N$1004,"&lt;"&amp;TODAY(),Programação!$Z$5:$Z$1004,0,Programação!$P$5:$P$1004,"&lt;&gt;Cancelada"))</f>
        <v>0</v>
      </c>
      <c r="M38" s="65" t="n">
        <f aca="false">IF($H38="","",COUNTIFS(Programação!$D$5:$D$1004,$H38,Programação!$N$5:$N$1004,"&gt;="&amp;$B$3,Programação!$N$5:$N$1004,"&lt;="&amp;$B$4,Programação!$H$5:$H$1004,"Extra",Programação!$P$5:$P$1004,"&lt;&gt;Cancelada"))</f>
        <v>0</v>
      </c>
    </row>
    <row r="39" customFormat="false" ht="15.75" hidden="false" customHeight="true" outlineLevel="0" collapsed="false">
      <c r="A39" s="26" t="str">
        <f aca="false">IF(Listas!A11="","",Listas!A11)</f>
        <v>Luiz Paulo</v>
      </c>
      <c r="B39" s="65" t="n">
        <f aca="false">IF($A39="","",COUNTIFS(Programação!$I$5:$I$1004,$A39,Programação!$N$5:$N$1004,"&gt;="&amp;$B$3,Programação!$N$5:$N$1004,"&lt;="&amp;$B$4,Programação!$P$5:$P$1004,"&lt;&gt;Cancelada",Programação!$H$5:$H$1004,"&lt;&gt;Extra")+COUNTIFS(Programação!$J$5:$J$1004,$A39,Programação!$N$5:$N$1004,"&gt;="&amp;$B$3,Programação!$N$5:$N$1004,"&lt;="&amp;$B$4,Programação!$P$5:$P$1004,"&lt;&gt;Cancelada",Programação!$H$5:$H$1004,"&lt;&gt;Extra")+COUNTIFS(Programação!$K$5:$K$1004,$A39,Programação!$N$5:$N$1004,"&gt;="&amp;$B$3,Programação!$N$5:$N$1004,"&lt;="&amp;$B$4,Programação!$P$5:$P$1004,"&lt;&gt;Cancelada",Programação!$H$5:$H$1004,"&lt;&gt;Extra"))</f>
        <v>57</v>
      </c>
      <c r="C39" s="65" t="n">
        <f aca="false">IF($A39="","",SUMIFS(Programação!$Z$5:$Z$1004,Programação!$I$5:$I$1004,$A39,Programação!$N$5:$N$1004,"&gt;="&amp;$B$3,Programação!$N$5:$N$1004,"&lt;="&amp;$B$4,Programação!$H$5:$H$1004,"&lt;&gt;Extra")+SUMIFS(Programação!$Z$5:$Z$1004,Programação!$J$5:$J$1004,$A39,Programação!$N$5:$N$1004,"&gt;="&amp;$B$3,Programação!$N$5:$N$1004,"&lt;="&amp;$B$4,Programação!$H$5:$H$1004,"&lt;&gt;Extra")+SUMIFS(Programação!$Z$5:$Z$1004,Programação!$K$5:$K$1004,$A39,Programação!$N$5:$N$1004,"&gt;="&amp;$B$3,Programação!$N$5:$N$1004,"&lt;="&amp;$B$4,Programação!$H$5:$H$1004,"&lt;&gt;Extra"))</f>
        <v>15</v>
      </c>
      <c r="D39" s="66" t="n">
        <f aca="false">IF(OR($A39="",$B39=0),"",$C39/$B39)</f>
        <v>0.263157894736842</v>
      </c>
      <c r="E39" s="65" t="n">
        <f aca="true">IF($A39="","",COUNTIFS(Programação!$I$5:$I$1004,$A39,Programação!$N$5:$N$1004,"&gt;="&amp;$B$3,Programação!$N$5:$N$1004,"&lt;="&amp;$B$4,Programação!$N$5:$N$1004,"&lt;"&amp;TODAY(),Programação!$Z$5:$Z$1004,0,Programação!$P$5:$P$1004,"&lt;&gt;Cancelada")+COUNTIFS(Programação!$J$5:$J$1004,$A39,Programação!$N$5:$N$1004,"&gt;="&amp;$B$3,Programação!$N$5:$N$1004,"&lt;="&amp;$B$4,Programação!$N$5:$N$1004,"&lt;"&amp;TODAY(),Programação!$Z$5:$Z$1004,0,Programação!$P$5:$P$1004,"&lt;&gt;Cancelada")+COUNTIFS(Programação!$K$5:$K$1004,$A39,Programação!$N$5:$N$1004,"&gt;="&amp;$B$3,Programação!$N$5:$N$1004,"&lt;="&amp;$B$4,Programação!$N$5:$N$1004,"&lt;"&amp;TODAY(),Programação!$Z$5:$Z$1004,0,Programação!$P$5:$P$1004,"&lt;&gt;Cancelada"))</f>
        <v>2</v>
      </c>
      <c r="F39" s="65" t="n">
        <f aca="false">IF($A39="","",COUNTIFS(Programação!$I$5:$I$1004,$A39,Programação!$N$5:$N$1004,"&gt;="&amp;$B$3,Programação!$N$5:$N$1004,"&lt;="&amp;$B$4,Programação!$H$5:$H$1004,"Extra",Programação!$P$5:$P$1004,"&lt;&gt;Cancelada")+COUNTIFS(Programação!$J$5:$J$1004,$A39,Programação!$N$5:$N$1004,"&gt;="&amp;$B$3,Programação!$N$5:$N$1004,"&lt;="&amp;$B$4,Programação!$H$5:$H$1004,"Extra",Programação!$P$5:$P$1004,"&lt;&gt;Cancelada")+COUNTIFS(Programação!$K$5:$K$1004,$A39,Programação!$N$5:$N$1004,"&gt;="&amp;$B$3,Programação!$N$5:$N$1004,"&lt;="&amp;$B$4,Programação!$H$5:$H$1004,"Extra",Programação!$P$5:$P$1004,"&lt;&gt;Cancelada"))</f>
        <v>0</v>
      </c>
      <c r="H39" s="26" t="str">
        <f aca="false">IF(Listas!B11="","",Listas!B11)</f>
        <v>F-328</v>
      </c>
      <c r="I39" s="65" t="n">
        <f aca="false">IF($H39="","",COUNTIFS(Programação!$D$5:$D$1004,$H39,Programação!$N$5:$N$1004,"&gt;="&amp;$B$3,Programação!$N$5:$N$1004,"&lt;="&amp;$B$4,Programação!$P$5:$P$1004,"&lt;&gt;Cancelada",Programação!$H$5:$H$1004,"&lt;&gt;Extra"))</f>
        <v>2</v>
      </c>
      <c r="J39" s="65" t="n">
        <f aca="false">IF($H39="","",SUMIFS(Programação!$Z$5:$Z$1004,Programação!$D$5:$D$1004,$H39,Programação!$N$5:$N$1004,"&gt;="&amp;$B$3,Programação!$N$5:$N$1004,"&lt;="&amp;$B$4,Programação!$H$5:$H$1004,"&lt;&gt;Extra"))</f>
        <v>2</v>
      </c>
      <c r="K39" s="66" t="n">
        <f aca="false">IF(OR($H39="",$I39=0),"",$J39/$I39)</f>
        <v>1</v>
      </c>
      <c r="L39" s="65" t="n">
        <f aca="true">IF($H39="","",COUNTIFS(Programação!$D$5:$D$1004,$H39,Programação!$N$5:$N$1004,"&gt;="&amp;$B$3,Programação!$N$5:$N$1004,"&lt;="&amp;$B$4,Programação!$N$5:$N$1004,"&lt;"&amp;TODAY(),Programação!$Z$5:$Z$1004,0,Programação!$P$5:$P$1004,"&lt;&gt;Cancelada"))</f>
        <v>0</v>
      </c>
      <c r="M39" s="65" t="n">
        <f aca="false">IF($H39="","",COUNTIFS(Programação!$D$5:$D$1004,$H39,Programação!$N$5:$N$1004,"&gt;="&amp;$B$3,Programação!$N$5:$N$1004,"&lt;="&amp;$B$4,Programação!$H$5:$H$1004,"Extra",Programação!$P$5:$P$1004,"&lt;&gt;Cancelada"))</f>
        <v>0</v>
      </c>
    </row>
    <row r="40" customFormat="false" ht="15.75" hidden="false" customHeight="true" outlineLevel="0" collapsed="false">
      <c r="A40" s="26" t="str">
        <f aca="false">IF(Listas!A12="","",Listas!A12)</f>
        <v>Thawan</v>
      </c>
      <c r="B40" s="65" t="n">
        <f aca="false">IF($A40="","",COUNTIFS(Programação!$I$5:$I$1004,$A40,Programação!$N$5:$N$1004,"&gt;="&amp;$B$3,Programação!$N$5:$N$1004,"&lt;="&amp;$B$4,Programação!$P$5:$P$1004,"&lt;&gt;Cancelada",Programação!$H$5:$H$1004,"&lt;&gt;Extra")+COUNTIFS(Programação!$J$5:$J$1004,$A40,Programação!$N$5:$N$1004,"&gt;="&amp;$B$3,Programação!$N$5:$N$1004,"&lt;="&amp;$B$4,Programação!$P$5:$P$1004,"&lt;&gt;Cancelada",Programação!$H$5:$H$1004,"&lt;&gt;Extra")+COUNTIFS(Programação!$K$5:$K$1004,$A40,Programação!$N$5:$N$1004,"&gt;="&amp;$B$3,Programação!$N$5:$N$1004,"&lt;="&amp;$B$4,Programação!$P$5:$P$1004,"&lt;&gt;Cancelada",Programação!$H$5:$H$1004,"&lt;&gt;Extra"))</f>
        <v>6</v>
      </c>
      <c r="C40" s="65" t="n">
        <f aca="false">IF($A40="","",SUMIFS(Programação!$Z$5:$Z$1004,Programação!$I$5:$I$1004,$A40,Programação!$N$5:$N$1004,"&gt;="&amp;$B$3,Programação!$N$5:$N$1004,"&lt;="&amp;$B$4,Programação!$H$5:$H$1004,"&lt;&gt;Extra")+SUMIFS(Programação!$Z$5:$Z$1004,Programação!$J$5:$J$1004,$A40,Programação!$N$5:$N$1004,"&gt;="&amp;$B$3,Programação!$N$5:$N$1004,"&lt;="&amp;$B$4,Programação!$H$5:$H$1004,"&lt;&gt;Extra")+SUMIFS(Programação!$Z$5:$Z$1004,Programação!$K$5:$K$1004,$A40,Programação!$N$5:$N$1004,"&gt;="&amp;$B$3,Programação!$N$5:$N$1004,"&lt;="&amp;$B$4,Programação!$H$5:$H$1004,"&lt;&gt;Extra"))</f>
        <v>6</v>
      </c>
      <c r="D40" s="66" t="n">
        <f aca="false">IF(OR($A40="",$B40=0),"",$C40/$B40)</f>
        <v>1</v>
      </c>
      <c r="E40" s="65" t="n">
        <f aca="true">IF($A40="","",COUNTIFS(Programação!$I$5:$I$1004,$A40,Programação!$N$5:$N$1004,"&gt;="&amp;$B$3,Programação!$N$5:$N$1004,"&lt;="&amp;$B$4,Programação!$N$5:$N$1004,"&lt;"&amp;TODAY(),Programação!$Z$5:$Z$1004,0,Programação!$P$5:$P$1004,"&lt;&gt;Cancelada")+COUNTIFS(Programação!$J$5:$J$1004,$A40,Programação!$N$5:$N$1004,"&gt;="&amp;$B$3,Programação!$N$5:$N$1004,"&lt;="&amp;$B$4,Programação!$N$5:$N$1004,"&lt;"&amp;TODAY(),Programação!$Z$5:$Z$1004,0,Programação!$P$5:$P$1004,"&lt;&gt;Cancelada")+COUNTIFS(Programação!$K$5:$K$1004,$A40,Programação!$N$5:$N$1004,"&gt;="&amp;$B$3,Programação!$N$5:$N$1004,"&lt;="&amp;$B$4,Programação!$N$5:$N$1004,"&lt;"&amp;TODAY(),Programação!$Z$5:$Z$1004,0,Programação!$P$5:$P$1004,"&lt;&gt;Cancelada"))</f>
        <v>0</v>
      </c>
      <c r="F40" s="65" t="n">
        <f aca="false">IF($A40="","",COUNTIFS(Programação!$I$5:$I$1004,$A40,Programação!$N$5:$N$1004,"&gt;="&amp;$B$3,Programação!$N$5:$N$1004,"&lt;="&amp;$B$4,Programação!$H$5:$H$1004,"Extra",Programação!$P$5:$P$1004,"&lt;&gt;Cancelada")+COUNTIFS(Programação!$J$5:$J$1004,$A40,Programação!$N$5:$N$1004,"&gt;="&amp;$B$3,Programação!$N$5:$N$1004,"&lt;="&amp;$B$4,Programação!$H$5:$H$1004,"Extra",Programação!$P$5:$P$1004,"&lt;&gt;Cancelada")+COUNTIFS(Programação!$K$5:$K$1004,$A40,Programação!$N$5:$N$1004,"&gt;="&amp;$B$3,Programação!$N$5:$N$1004,"&lt;="&amp;$B$4,Programação!$H$5:$H$1004,"Extra",Programação!$P$5:$P$1004,"&lt;&gt;Cancelada"))</f>
        <v>0</v>
      </c>
      <c r="H40" s="26" t="str">
        <f aca="false">IF(Listas!B12="","",Listas!B12)</f>
        <v>F-331</v>
      </c>
      <c r="I40" s="65" t="n">
        <f aca="false">IF($H40="","",COUNTIFS(Programação!$D$5:$D$1004,$H40,Programação!$N$5:$N$1004,"&gt;="&amp;$B$3,Programação!$N$5:$N$1004,"&lt;="&amp;$B$4,Programação!$P$5:$P$1004,"&lt;&gt;Cancelada",Programação!$H$5:$H$1004,"&lt;&gt;Extra"))</f>
        <v>11</v>
      </c>
      <c r="J40" s="65" t="n">
        <f aca="false">IF($H40="","",SUMIFS(Programação!$Z$5:$Z$1004,Programação!$D$5:$D$1004,$H40,Programação!$N$5:$N$1004,"&gt;="&amp;$B$3,Programação!$N$5:$N$1004,"&lt;="&amp;$B$4,Programação!$H$5:$H$1004,"&lt;&gt;Extra"))</f>
        <v>0</v>
      </c>
      <c r="K40" s="66" t="n">
        <f aca="false">IF(OR($H40="",$I40=0),"",$J40/$I40)</f>
        <v>0</v>
      </c>
      <c r="L40" s="65" t="n">
        <f aca="true">IF($H40="","",COUNTIFS(Programação!$D$5:$D$1004,$H40,Programação!$N$5:$N$1004,"&gt;="&amp;$B$3,Programação!$N$5:$N$1004,"&lt;="&amp;$B$4,Programação!$N$5:$N$1004,"&lt;"&amp;TODAY(),Programação!$Z$5:$Z$1004,0,Programação!$P$5:$P$1004,"&lt;&gt;Cancelada"))</f>
        <v>0</v>
      </c>
      <c r="M40" s="65" t="n">
        <f aca="false">IF($H40="","",COUNTIFS(Programação!$D$5:$D$1004,$H40,Programação!$N$5:$N$1004,"&gt;="&amp;$B$3,Programação!$N$5:$N$1004,"&lt;="&amp;$B$4,Programação!$H$5:$H$1004,"Extra",Programação!$P$5:$P$1004,"&lt;&gt;Cancelada"))</f>
        <v>0</v>
      </c>
    </row>
    <row r="41" customFormat="false" ht="15.75" hidden="false" customHeight="true" outlineLevel="0" collapsed="false">
      <c r="A41" s="26" t="str">
        <f aca="false">IF(Listas!A13="","",Listas!A13)</f>
        <v>ASX (externo)</v>
      </c>
      <c r="B41" s="65" t="n">
        <f aca="false">IF($A41="","",COUNTIFS(Programação!$I$5:$I$1004,$A41,Programação!$N$5:$N$1004,"&gt;="&amp;$B$3,Programação!$N$5:$N$1004,"&lt;="&amp;$B$4,Programação!$P$5:$P$1004,"&lt;&gt;Cancelada",Programação!$H$5:$H$1004,"&lt;&gt;Extra")+COUNTIFS(Programação!$J$5:$J$1004,$A41,Programação!$N$5:$N$1004,"&gt;="&amp;$B$3,Programação!$N$5:$N$1004,"&lt;="&amp;$B$4,Programação!$P$5:$P$1004,"&lt;&gt;Cancelada",Programação!$H$5:$H$1004,"&lt;&gt;Extra")+COUNTIFS(Programação!$K$5:$K$1004,$A41,Programação!$N$5:$N$1004,"&gt;="&amp;$B$3,Programação!$N$5:$N$1004,"&lt;="&amp;$B$4,Programação!$P$5:$P$1004,"&lt;&gt;Cancelada",Programação!$H$5:$H$1004,"&lt;&gt;Extra"))</f>
        <v>34</v>
      </c>
      <c r="C41" s="65" t="n">
        <f aca="false">IF($A41="","",SUMIFS(Programação!$Z$5:$Z$1004,Programação!$I$5:$I$1004,$A41,Programação!$N$5:$N$1004,"&gt;="&amp;$B$3,Programação!$N$5:$N$1004,"&lt;="&amp;$B$4,Programação!$H$5:$H$1004,"&lt;&gt;Extra")+SUMIFS(Programação!$Z$5:$Z$1004,Programação!$J$5:$J$1004,$A41,Programação!$N$5:$N$1004,"&gt;="&amp;$B$3,Programação!$N$5:$N$1004,"&lt;="&amp;$B$4,Programação!$H$5:$H$1004,"&lt;&gt;Extra")+SUMIFS(Programação!$Z$5:$Z$1004,Programação!$K$5:$K$1004,$A41,Programação!$N$5:$N$1004,"&gt;="&amp;$B$3,Programação!$N$5:$N$1004,"&lt;="&amp;$B$4,Programação!$H$5:$H$1004,"&lt;&gt;Extra"))</f>
        <v>0</v>
      </c>
      <c r="D41" s="66" t="n">
        <f aca="false">IF(OR($A41="",$B41=0),"",$C41/$B41)</f>
        <v>0</v>
      </c>
      <c r="E41" s="65" t="n">
        <f aca="true">IF($A41="","",COUNTIFS(Programação!$I$5:$I$1004,$A41,Programação!$N$5:$N$1004,"&gt;="&amp;$B$3,Programação!$N$5:$N$1004,"&lt;="&amp;$B$4,Programação!$N$5:$N$1004,"&lt;"&amp;TODAY(),Programação!$Z$5:$Z$1004,0,Programação!$P$5:$P$1004,"&lt;&gt;Cancelada")+COUNTIFS(Programação!$J$5:$J$1004,$A41,Programação!$N$5:$N$1004,"&gt;="&amp;$B$3,Programação!$N$5:$N$1004,"&lt;="&amp;$B$4,Programação!$N$5:$N$1004,"&lt;"&amp;TODAY(),Programação!$Z$5:$Z$1004,0,Programação!$P$5:$P$1004,"&lt;&gt;Cancelada")+COUNTIFS(Programação!$K$5:$K$1004,$A41,Programação!$N$5:$N$1004,"&gt;="&amp;$B$3,Programação!$N$5:$N$1004,"&lt;="&amp;$B$4,Programação!$N$5:$N$1004,"&lt;"&amp;TODAY(),Programação!$Z$5:$Z$1004,0,Programação!$P$5:$P$1004,"&lt;&gt;Cancelada"))</f>
        <v>12</v>
      </c>
      <c r="F41" s="65" t="n">
        <f aca="false">IF($A41="","",COUNTIFS(Programação!$I$5:$I$1004,$A41,Programação!$N$5:$N$1004,"&gt;="&amp;$B$3,Programação!$N$5:$N$1004,"&lt;="&amp;$B$4,Programação!$H$5:$H$1004,"Extra",Programação!$P$5:$P$1004,"&lt;&gt;Cancelada")+COUNTIFS(Programação!$J$5:$J$1004,$A41,Programação!$N$5:$N$1004,"&gt;="&amp;$B$3,Programação!$N$5:$N$1004,"&lt;="&amp;$B$4,Programação!$H$5:$H$1004,"Extra",Programação!$P$5:$P$1004,"&lt;&gt;Cancelada")+COUNTIFS(Programação!$K$5:$K$1004,$A41,Programação!$N$5:$N$1004,"&gt;="&amp;$B$3,Programação!$N$5:$N$1004,"&lt;="&amp;$B$4,Programação!$H$5:$H$1004,"Extra",Programação!$P$5:$P$1004,"&lt;&gt;Cancelada"))</f>
        <v>0</v>
      </c>
      <c r="H41" s="26" t="str">
        <f aca="false">IF(Listas!B13="","",Listas!B13)</f>
        <v>F-457</v>
      </c>
      <c r="I41" s="65" t="n">
        <f aca="false">IF($H41="","",COUNTIFS(Programação!$D$5:$D$1004,$H41,Programação!$N$5:$N$1004,"&gt;="&amp;$B$3,Programação!$N$5:$N$1004,"&lt;="&amp;$B$4,Programação!$P$5:$P$1004,"&lt;&gt;Cancelada",Programação!$H$5:$H$1004,"&lt;&gt;Extra"))</f>
        <v>1</v>
      </c>
      <c r="J41" s="65" t="n">
        <f aca="false">IF($H41="","",SUMIFS(Programação!$Z$5:$Z$1004,Programação!$D$5:$D$1004,$H41,Programação!$N$5:$N$1004,"&gt;="&amp;$B$3,Programação!$N$5:$N$1004,"&lt;="&amp;$B$4,Programação!$H$5:$H$1004,"&lt;&gt;Extra"))</f>
        <v>0</v>
      </c>
      <c r="K41" s="66" t="n">
        <f aca="false">IF(OR($H41="",$I41=0),"",$J41/$I41)</f>
        <v>0</v>
      </c>
      <c r="L41" s="65" t="n">
        <f aca="true">IF($H41="","",COUNTIFS(Programação!$D$5:$D$1004,$H41,Programação!$N$5:$N$1004,"&gt;="&amp;$B$3,Programação!$N$5:$N$1004,"&lt;="&amp;$B$4,Programação!$N$5:$N$1004,"&lt;"&amp;TODAY(),Programação!$Z$5:$Z$1004,0,Programação!$P$5:$P$1004,"&lt;&gt;Cancelada"))</f>
        <v>0</v>
      </c>
      <c r="M41" s="65" t="n">
        <f aca="false">IF($H41="","",COUNTIFS(Programação!$D$5:$D$1004,$H41,Programação!$N$5:$N$1004,"&gt;="&amp;$B$3,Programação!$N$5:$N$1004,"&lt;="&amp;$B$4,Programação!$H$5:$H$1004,"Extra",Programação!$P$5:$P$1004,"&lt;&gt;Cancelada"))</f>
        <v>0</v>
      </c>
    </row>
    <row r="42" customFormat="false" ht="15.75" hidden="false" customHeight="true" outlineLevel="0" collapsed="false">
      <c r="A42" s="26" t="str">
        <f aca="false">IF(Listas!A14="","",Listas!A14)</f>
        <v>Eduardo da sticker (externo)</v>
      </c>
      <c r="B42" s="65" t="n">
        <f aca="false">IF($A42="","",COUNTIFS(Programação!$I$5:$I$1004,$A42,Programação!$N$5:$N$1004,"&gt;="&amp;$B$3,Programação!$N$5:$N$1004,"&lt;="&amp;$B$4,Programação!$P$5:$P$1004,"&lt;&gt;Cancelada",Programação!$H$5:$H$1004,"&lt;&gt;Extra")+COUNTIFS(Programação!$J$5:$J$1004,$A42,Programação!$N$5:$N$1004,"&gt;="&amp;$B$3,Programação!$N$5:$N$1004,"&lt;="&amp;$B$4,Programação!$P$5:$P$1004,"&lt;&gt;Cancelada",Programação!$H$5:$H$1004,"&lt;&gt;Extra")+COUNTIFS(Programação!$K$5:$K$1004,$A42,Programação!$N$5:$N$1004,"&gt;="&amp;$B$3,Programação!$N$5:$N$1004,"&lt;="&amp;$B$4,Programação!$P$5:$P$1004,"&lt;&gt;Cancelada",Programação!$H$5:$H$1004,"&lt;&gt;Extra"))</f>
        <v>10</v>
      </c>
      <c r="C42" s="65" t="n">
        <f aca="false">IF($A42="","",SUMIFS(Programação!$Z$5:$Z$1004,Programação!$I$5:$I$1004,$A42,Programação!$N$5:$N$1004,"&gt;="&amp;$B$3,Programação!$N$5:$N$1004,"&lt;="&amp;$B$4,Programação!$H$5:$H$1004,"&lt;&gt;Extra")+SUMIFS(Programação!$Z$5:$Z$1004,Programação!$J$5:$J$1004,$A42,Programação!$N$5:$N$1004,"&gt;="&amp;$B$3,Programação!$N$5:$N$1004,"&lt;="&amp;$B$4,Programação!$H$5:$H$1004,"&lt;&gt;Extra")+SUMIFS(Programação!$Z$5:$Z$1004,Programação!$K$5:$K$1004,$A42,Programação!$N$5:$N$1004,"&gt;="&amp;$B$3,Programação!$N$5:$N$1004,"&lt;="&amp;$B$4,Programação!$H$5:$H$1004,"&lt;&gt;Extra"))</f>
        <v>10</v>
      </c>
      <c r="D42" s="66" t="n">
        <f aca="false">IF(OR($A42="",$B42=0),"",$C42/$B42)</f>
        <v>1</v>
      </c>
      <c r="E42" s="65" t="n">
        <f aca="true">IF($A42="","",COUNTIFS(Programação!$I$5:$I$1004,$A42,Programação!$N$5:$N$1004,"&gt;="&amp;$B$3,Programação!$N$5:$N$1004,"&lt;="&amp;$B$4,Programação!$N$5:$N$1004,"&lt;"&amp;TODAY(),Programação!$Z$5:$Z$1004,0,Programação!$P$5:$P$1004,"&lt;&gt;Cancelada")+COUNTIFS(Programação!$J$5:$J$1004,$A42,Programação!$N$5:$N$1004,"&gt;="&amp;$B$3,Programação!$N$5:$N$1004,"&lt;="&amp;$B$4,Programação!$N$5:$N$1004,"&lt;"&amp;TODAY(),Programação!$Z$5:$Z$1004,0,Programação!$P$5:$P$1004,"&lt;&gt;Cancelada")+COUNTIFS(Programação!$K$5:$K$1004,$A42,Programação!$N$5:$N$1004,"&gt;="&amp;$B$3,Programação!$N$5:$N$1004,"&lt;="&amp;$B$4,Programação!$N$5:$N$1004,"&lt;"&amp;TODAY(),Programação!$Z$5:$Z$1004,0,Programação!$P$5:$P$1004,"&lt;&gt;Cancelada"))</f>
        <v>0</v>
      </c>
      <c r="F42" s="65" t="n">
        <f aca="false">IF($A42="","",COUNTIFS(Programação!$I$5:$I$1004,$A42,Programação!$N$5:$N$1004,"&gt;="&amp;$B$3,Programação!$N$5:$N$1004,"&lt;="&amp;$B$4,Programação!$H$5:$H$1004,"Extra",Programação!$P$5:$P$1004,"&lt;&gt;Cancelada")+COUNTIFS(Programação!$J$5:$J$1004,$A42,Programação!$N$5:$N$1004,"&gt;="&amp;$B$3,Programação!$N$5:$N$1004,"&lt;="&amp;$B$4,Programação!$H$5:$H$1004,"Extra",Programação!$P$5:$P$1004,"&lt;&gt;Cancelada")+COUNTIFS(Programação!$K$5:$K$1004,$A42,Programação!$N$5:$N$1004,"&gt;="&amp;$B$3,Programação!$N$5:$N$1004,"&lt;="&amp;$B$4,Programação!$H$5:$H$1004,"Extra",Programação!$P$5:$P$1004,"&lt;&gt;Cancelada"))</f>
        <v>0</v>
      </c>
      <c r="H42" s="26" t="str">
        <f aca="false">IF(Listas!B14="","",Listas!B14)</f>
        <v>F-458</v>
      </c>
      <c r="I42" s="65" t="n">
        <f aca="false">IF($H42="","",COUNTIFS(Programação!$D$5:$D$1004,$H42,Programação!$N$5:$N$1004,"&gt;="&amp;$B$3,Programação!$N$5:$N$1004,"&lt;="&amp;$B$4,Programação!$P$5:$P$1004,"&lt;&gt;Cancelada",Programação!$H$5:$H$1004,"&lt;&gt;Extra"))</f>
        <v>1</v>
      </c>
      <c r="J42" s="65" t="n">
        <f aca="false">IF($H42="","",SUMIFS(Programação!$Z$5:$Z$1004,Programação!$D$5:$D$1004,$H42,Programação!$N$5:$N$1004,"&gt;="&amp;$B$3,Programação!$N$5:$N$1004,"&lt;="&amp;$B$4,Programação!$H$5:$H$1004,"&lt;&gt;Extra"))</f>
        <v>0</v>
      </c>
      <c r="K42" s="66" t="n">
        <f aca="false">IF(OR($H42="",$I42=0),"",$J42/$I42)</f>
        <v>0</v>
      </c>
      <c r="L42" s="65" t="n">
        <f aca="true">IF($H42="","",COUNTIFS(Programação!$D$5:$D$1004,$H42,Programação!$N$5:$N$1004,"&gt;="&amp;$B$3,Programação!$N$5:$N$1004,"&lt;="&amp;$B$4,Programação!$N$5:$N$1004,"&lt;"&amp;TODAY(),Programação!$Z$5:$Z$1004,0,Programação!$P$5:$P$1004,"&lt;&gt;Cancelada"))</f>
        <v>0</v>
      </c>
      <c r="M42" s="65" t="n">
        <f aca="false">IF($H42="","",COUNTIFS(Programação!$D$5:$D$1004,$H42,Programação!$N$5:$N$1004,"&gt;="&amp;$B$3,Programação!$N$5:$N$1004,"&lt;="&amp;$B$4,Programação!$H$5:$H$1004,"Extra",Programação!$P$5:$P$1004,"&lt;&gt;Cancelada"))</f>
        <v>0</v>
      </c>
    </row>
    <row r="43" customFormat="false" ht="15.75" hidden="false" customHeight="true" outlineLevel="0" collapsed="false">
      <c r="A43" s="26" t="str">
        <f aca="false">IF(Listas!A15="","",Listas!A15)</f>
        <v>Molas Pinheiro (externo)</v>
      </c>
      <c r="B43" s="65" t="n">
        <f aca="false">IF($A43="","",COUNTIFS(Programação!$I$5:$I$1004,$A43,Programação!$N$5:$N$1004,"&gt;="&amp;$B$3,Programação!$N$5:$N$1004,"&lt;="&amp;$B$4,Programação!$P$5:$P$1004,"&lt;&gt;Cancelada",Programação!$H$5:$H$1004,"&lt;&gt;Extra")+COUNTIFS(Programação!$J$5:$J$1004,$A43,Programação!$N$5:$N$1004,"&gt;="&amp;$B$3,Programação!$N$5:$N$1004,"&lt;="&amp;$B$4,Programação!$P$5:$P$1004,"&lt;&gt;Cancelada",Programação!$H$5:$H$1004,"&lt;&gt;Extra")+COUNTIFS(Programação!$K$5:$K$1004,$A43,Programação!$N$5:$N$1004,"&gt;="&amp;$B$3,Programação!$N$5:$N$1004,"&lt;="&amp;$B$4,Programação!$P$5:$P$1004,"&lt;&gt;Cancelada",Programação!$H$5:$H$1004,"&lt;&gt;Extra"))</f>
        <v>2</v>
      </c>
      <c r="C43" s="65" t="n">
        <f aca="false">IF($A43="","",SUMIFS(Programação!$Z$5:$Z$1004,Programação!$I$5:$I$1004,$A43,Programação!$N$5:$N$1004,"&gt;="&amp;$B$3,Programação!$N$5:$N$1004,"&lt;="&amp;$B$4,Programação!$H$5:$H$1004,"&lt;&gt;Extra")+SUMIFS(Programação!$Z$5:$Z$1004,Programação!$J$5:$J$1004,$A43,Programação!$N$5:$N$1004,"&gt;="&amp;$B$3,Programação!$N$5:$N$1004,"&lt;="&amp;$B$4,Programação!$H$5:$H$1004,"&lt;&gt;Extra")+SUMIFS(Programação!$Z$5:$Z$1004,Programação!$K$5:$K$1004,$A43,Programação!$N$5:$N$1004,"&gt;="&amp;$B$3,Programação!$N$5:$N$1004,"&lt;="&amp;$B$4,Programação!$H$5:$H$1004,"&lt;&gt;Extra"))</f>
        <v>0</v>
      </c>
      <c r="D43" s="66" t="n">
        <f aca="false">IF(OR($A43="",$B43=0),"",$C43/$B43)</f>
        <v>0</v>
      </c>
      <c r="E43" s="65" t="n">
        <f aca="true">IF($A43="","",COUNTIFS(Programação!$I$5:$I$1004,$A43,Programação!$N$5:$N$1004,"&gt;="&amp;$B$3,Programação!$N$5:$N$1004,"&lt;="&amp;$B$4,Programação!$N$5:$N$1004,"&lt;"&amp;TODAY(),Programação!$Z$5:$Z$1004,0,Programação!$P$5:$P$1004,"&lt;&gt;Cancelada")+COUNTIFS(Programação!$J$5:$J$1004,$A43,Programação!$N$5:$N$1004,"&gt;="&amp;$B$3,Programação!$N$5:$N$1004,"&lt;="&amp;$B$4,Programação!$N$5:$N$1004,"&lt;"&amp;TODAY(),Programação!$Z$5:$Z$1004,0,Programação!$P$5:$P$1004,"&lt;&gt;Cancelada")+COUNTIFS(Programação!$K$5:$K$1004,$A43,Programação!$N$5:$N$1004,"&gt;="&amp;$B$3,Programação!$N$5:$N$1004,"&lt;="&amp;$B$4,Programação!$N$5:$N$1004,"&lt;"&amp;TODAY(),Programação!$Z$5:$Z$1004,0,Programação!$P$5:$P$1004,"&lt;&gt;Cancelada"))</f>
        <v>1</v>
      </c>
      <c r="F43" s="65" t="n">
        <f aca="false">IF($A43="","",COUNTIFS(Programação!$I$5:$I$1004,$A43,Programação!$N$5:$N$1004,"&gt;="&amp;$B$3,Programação!$N$5:$N$1004,"&lt;="&amp;$B$4,Programação!$H$5:$H$1004,"Extra",Programação!$P$5:$P$1004,"&lt;&gt;Cancelada")+COUNTIFS(Programação!$J$5:$J$1004,$A43,Programação!$N$5:$N$1004,"&gt;="&amp;$B$3,Programação!$N$5:$N$1004,"&lt;="&amp;$B$4,Programação!$H$5:$H$1004,"Extra",Programação!$P$5:$P$1004,"&lt;&gt;Cancelada")+COUNTIFS(Programação!$K$5:$K$1004,$A43,Programação!$N$5:$N$1004,"&gt;="&amp;$B$3,Programação!$N$5:$N$1004,"&lt;="&amp;$B$4,Programação!$H$5:$H$1004,"Extra",Programação!$P$5:$P$1004,"&lt;&gt;Cancelada"))</f>
        <v>0</v>
      </c>
      <c r="H43" s="26" t="str">
        <f aca="false">IF(Listas!B15="","",Listas!B15)</f>
        <v>F-485</v>
      </c>
      <c r="I43" s="65" t="n">
        <f aca="false">IF($H43="","",COUNTIFS(Programação!$D$5:$D$1004,$H43,Programação!$N$5:$N$1004,"&gt;="&amp;$B$3,Programação!$N$5:$N$1004,"&lt;="&amp;$B$4,Programação!$P$5:$P$1004,"&lt;&gt;Cancelada",Programação!$H$5:$H$1004,"&lt;&gt;Extra"))</f>
        <v>1</v>
      </c>
      <c r="J43" s="65" t="n">
        <f aca="false">IF($H43="","",SUMIFS(Programação!$Z$5:$Z$1004,Programação!$D$5:$D$1004,$H43,Programação!$N$5:$N$1004,"&gt;="&amp;$B$3,Programação!$N$5:$N$1004,"&lt;="&amp;$B$4,Programação!$H$5:$H$1004,"&lt;&gt;Extra"))</f>
        <v>0</v>
      </c>
      <c r="K43" s="66" t="n">
        <f aca="false">IF(OR($H43="",$I43=0),"",$J43/$I43)</f>
        <v>0</v>
      </c>
      <c r="L43" s="65" t="n">
        <f aca="true">IF($H43="","",COUNTIFS(Programação!$D$5:$D$1004,$H43,Programação!$N$5:$N$1004,"&gt;="&amp;$B$3,Programação!$N$5:$N$1004,"&lt;="&amp;$B$4,Programação!$N$5:$N$1004,"&lt;"&amp;TODAY(),Programação!$Z$5:$Z$1004,0,Programação!$P$5:$P$1004,"&lt;&gt;Cancelada"))</f>
        <v>0</v>
      </c>
      <c r="M43" s="65" t="n">
        <f aca="false">IF($H43="","",COUNTIFS(Programação!$D$5:$D$1004,$H43,Programação!$N$5:$N$1004,"&gt;="&amp;$B$3,Programação!$N$5:$N$1004,"&lt;="&amp;$B$4,Programação!$H$5:$H$1004,"Extra",Programação!$P$5:$P$1004,"&lt;&gt;Cancelada"))</f>
        <v>0</v>
      </c>
    </row>
    <row r="44" customFormat="false" ht="15.75" hidden="false" customHeight="true" outlineLevel="0" collapsed="false">
      <c r="A44" s="26" t="str">
        <f aca="false">IF(Listas!A16="","",Listas!A16)</f>
        <v>Rodo Ceará (externo)</v>
      </c>
      <c r="B44" s="65" t="n">
        <f aca="false">IF($A44="","",COUNTIFS(Programação!$I$5:$I$1004,$A44,Programação!$N$5:$N$1004,"&gt;="&amp;$B$3,Programação!$N$5:$N$1004,"&lt;="&amp;$B$4,Programação!$P$5:$P$1004,"&lt;&gt;Cancelada",Programação!$H$5:$H$1004,"&lt;&gt;Extra")+COUNTIFS(Programação!$J$5:$J$1004,$A44,Programação!$N$5:$N$1004,"&gt;="&amp;$B$3,Programação!$N$5:$N$1004,"&lt;="&amp;$B$4,Programação!$P$5:$P$1004,"&lt;&gt;Cancelada",Programação!$H$5:$H$1004,"&lt;&gt;Extra")+COUNTIFS(Programação!$K$5:$K$1004,$A44,Programação!$N$5:$N$1004,"&gt;="&amp;$B$3,Programação!$N$5:$N$1004,"&lt;="&amp;$B$4,Programação!$P$5:$P$1004,"&lt;&gt;Cancelada",Programação!$H$5:$H$1004,"&lt;&gt;Extra"))</f>
        <v>1</v>
      </c>
      <c r="C44" s="65" t="n">
        <f aca="false">IF($A44="","",SUMIFS(Programação!$Z$5:$Z$1004,Programação!$I$5:$I$1004,$A44,Programação!$N$5:$N$1004,"&gt;="&amp;$B$3,Programação!$N$5:$N$1004,"&lt;="&amp;$B$4,Programação!$H$5:$H$1004,"&lt;&gt;Extra")+SUMIFS(Programação!$Z$5:$Z$1004,Programação!$J$5:$J$1004,$A44,Programação!$N$5:$N$1004,"&gt;="&amp;$B$3,Programação!$N$5:$N$1004,"&lt;="&amp;$B$4,Programação!$H$5:$H$1004,"&lt;&gt;Extra")+SUMIFS(Programação!$Z$5:$Z$1004,Programação!$K$5:$K$1004,$A44,Programação!$N$5:$N$1004,"&gt;="&amp;$B$3,Programação!$N$5:$N$1004,"&lt;="&amp;$B$4,Programação!$H$5:$H$1004,"&lt;&gt;Extra"))</f>
        <v>0</v>
      </c>
      <c r="D44" s="66" t="n">
        <f aca="false">IF(OR($A44="",$B44=0),"",$C44/$B44)</f>
        <v>0</v>
      </c>
      <c r="E44" s="65" t="n">
        <f aca="true">IF($A44="","",COUNTIFS(Programação!$I$5:$I$1004,$A44,Programação!$N$5:$N$1004,"&gt;="&amp;$B$3,Programação!$N$5:$N$1004,"&lt;="&amp;$B$4,Programação!$N$5:$N$1004,"&lt;"&amp;TODAY(),Programação!$Z$5:$Z$1004,0,Programação!$P$5:$P$1004,"&lt;&gt;Cancelada")+COUNTIFS(Programação!$J$5:$J$1004,$A44,Programação!$N$5:$N$1004,"&gt;="&amp;$B$3,Programação!$N$5:$N$1004,"&lt;="&amp;$B$4,Programação!$N$5:$N$1004,"&lt;"&amp;TODAY(),Programação!$Z$5:$Z$1004,0,Programação!$P$5:$P$1004,"&lt;&gt;Cancelada")+COUNTIFS(Programação!$K$5:$K$1004,$A44,Programação!$N$5:$N$1004,"&gt;="&amp;$B$3,Programação!$N$5:$N$1004,"&lt;="&amp;$B$4,Programação!$N$5:$N$1004,"&lt;"&amp;TODAY(),Programação!$Z$5:$Z$1004,0,Programação!$P$5:$P$1004,"&lt;&gt;Cancelada"))</f>
        <v>0</v>
      </c>
      <c r="F44" s="65" t="n">
        <f aca="false">IF($A44="","",COUNTIFS(Programação!$I$5:$I$1004,$A44,Programação!$N$5:$N$1004,"&gt;="&amp;$B$3,Programação!$N$5:$N$1004,"&lt;="&amp;$B$4,Programação!$H$5:$H$1004,"Extra",Programação!$P$5:$P$1004,"&lt;&gt;Cancelada")+COUNTIFS(Programação!$J$5:$J$1004,$A44,Programação!$N$5:$N$1004,"&gt;="&amp;$B$3,Programação!$N$5:$N$1004,"&lt;="&amp;$B$4,Programação!$H$5:$H$1004,"Extra",Programação!$P$5:$P$1004,"&lt;&gt;Cancelada")+COUNTIFS(Programação!$K$5:$K$1004,$A44,Programação!$N$5:$N$1004,"&gt;="&amp;$B$3,Programação!$N$5:$N$1004,"&lt;="&amp;$B$4,Programação!$H$5:$H$1004,"Extra",Programação!$P$5:$P$1004,"&lt;&gt;Cancelada"))</f>
        <v>0</v>
      </c>
      <c r="H44" s="26" t="str">
        <f aca="false">IF(Listas!B16="","",Listas!B16)</f>
        <v>F-614</v>
      </c>
      <c r="I44" s="65" t="n">
        <f aca="false">IF($H44="","",COUNTIFS(Programação!$D$5:$D$1004,$H44,Programação!$N$5:$N$1004,"&gt;="&amp;$B$3,Programação!$N$5:$N$1004,"&lt;="&amp;$B$4,Programação!$P$5:$P$1004,"&lt;&gt;Cancelada",Programação!$H$5:$H$1004,"&lt;&gt;Extra"))</f>
        <v>1</v>
      </c>
      <c r="J44" s="65" t="n">
        <f aca="false">IF($H44="","",SUMIFS(Programação!$Z$5:$Z$1004,Programação!$D$5:$D$1004,$H44,Programação!$N$5:$N$1004,"&gt;="&amp;$B$3,Programação!$N$5:$N$1004,"&lt;="&amp;$B$4,Programação!$H$5:$H$1004,"&lt;&gt;Extra"))</f>
        <v>1</v>
      </c>
      <c r="K44" s="66" t="n">
        <f aca="false">IF(OR($H44="",$I44=0),"",$J44/$I44)</f>
        <v>1</v>
      </c>
      <c r="L44" s="65" t="n">
        <f aca="true">IF($H44="","",COUNTIFS(Programação!$D$5:$D$1004,$H44,Programação!$N$5:$N$1004,"&gt;="&amp;$B$3,Programação!$N$5:$N$1004,"&lt;="&amp;$B$4,Programação!$N$5:$N$1004,"&lt;"&amp;TODAY(),Programação!$Z$5:$Z$1004,0,Programação!$P$5:$P$1004,"&lt;&gt;Cancelada"))</f>
        <v>0</v>
      </c>
      <c r="M44" s="65" t="n">
        <f aca="false">IF($H44="","",COUNTIFS(Programação!$D$5:$D$1004,$H44,Programação!$N$5:$N$1004,"&gt;="&amp;$B$3,Programação!$N$5:$N$1004,"&lt;="&amp;$B$4,Programação!$H$5:$H$1004,"Extra",Programação!$P$5:$P$1004,"&lt;&gt;Cancelada"))</f>
        <v>0</v>
      </c>
    </row>
    <row r="45" customFormat="false" ht="15.75" hidden="false" customHeight="true" outlineLevel="0" collapsed="false">
      <c r="A45" s="26" t="str">
        <f aca="false">IF(Listas!A17="","",Listas!A17)</f>
        <v/>
      </c>
      <c r="B45" s="65" t="str">
        <f aca="false">IF($A45="","",COUNTIFS(Programação!$I$5:$I$1004,$A45,Programação!$N$5:$N$1004,"&gt;="&amp;$B$3,Programação!$N$5:$N$1004,"&lt;="&amp;$B$4,Programação!$P$5:$P$1004,"&lt;&gt;Cancelada",Programação!$H$5:$H$1004,"&lt;&gt;Extra")+COUNTIFS(Programação!$J$5:$J$1004,$A45,Programação!$N$5:$N$1004,"&gt;="&amp;$B$3,Programação!$N$5:$N$1004,"&lt;="&amp;$B$4,Programação!$P$5:$P$1004,"&lt;&gt;Cancelada",Programação!$H$5:$H$1004,"&lt;&gt;Extra")+COUNTIFS(Programação!$K$5:$K$1004,$A45,Programação!$N$5:$N$1004,"&gt;="&amp;$B$3,Programação!$N$5:$N$1004,"&lt;="&amp;$B$4,Programação!$P$5:$P$1004,"&lt;&gt;Cancelada",Programação!$H$5:$H$1004,"&lt;&gt;Extra"))</f>
        <v/>
      </c>
      <c r="C45" s="65" t="str">
        <f aca="false">IF($A45="","",SUMIFS(Programação!$Z$5:$Z$1004,Programação!$I$5:$I$1004,$A45,Programação!$N$5:$N$1004,"&gt;="&amp;$B$3,Programação!$N$5:$N$1004,"&lt;="&amp;$B$4,Programação!$H$5:$H$1004,"&lt;&gt;Extra")+SUMIFS(Programação!$Z$5:$Z$1004,Programação!$J$5:$J$1004,$A45,Programação!$N$5:$N$1004,"&gt;="&amp;$B$3,Programação!$N$5:$N$1004,"&lt;="&amp;$B$4,Programação!$H$5:$H$1004,"&lt;&gt;Extra")+SUMIFS(Programação!$Z$5:$Z$1004,Programação!$K$5:$K$1004,$A45,Programação!$N$5:$N$1004,"&gt;="&amp;$B$3,Programação!$N$5:$N$1004,"&lt;="&amp;$B$4,Programação!$H$5:$H$1004,"&lt;&gt;Extra"))</f>
        <v/>
      </c>
      <c r="D45" s="66" t="str">
        <f aca="false">IF(OR($A45="",$B45=0),"",$C45/$B45)</f>
        <v/>
      </c>
      <c r="E45" s="65" t="str">
        <f aca="true">IF($A45="","",COUNTIFS(Programação!$I$5:$I$1004,$A45,Programação!$N$5:$N$1004,"&gt;="&amp;$B$3,Programação!$N$5:$N$1004,"&lt;="&amp;$B$4,Programação!$N$5:$N$1004,"&lt;"&amp;TODAY(),Programação!$Z$5:$Z$1004,0,Programação!$P$5:$P$1004,"&lt;&gt;Cancelada")+COUNTIFS(Programação!$J$5:$J$1004,$A45,Programação!$N$5:$N$1004,"&gt;="&amp;$B$3,Programação!$N$5:$N$1004,"&lt;="&amp;$B$4,Programação!$N$5:$N$1004,"&lt;"&amp;TODAY(),Programação!$Z$5:$Z$1004,0,Programação!$P$5:$P$1004,"&lt;&gt;Cancelada")+COUNTIFS(Programação!$K$5:$K$1004,$A45,Programação!$N$5:$N$1004,"&gt;="&amp;$B$3,Programação!$N$5:$N$1004,"&lt;="&amp;$B$4,Programação!$N$5:$N$1004,"&lt;"&amp;TODAY(),Programação!$Z$5:$Z$1004,0,Programação!$P$5:$P$1004,"&lt;&gt;Cancelada"))</f>
        <v/>
      </c>
      <c r="F45" s="65" t="str">
        <f aca="false">IF($A45="","",COUNTIFS(Programação!$I$5:$I$1004,$A45,Programação!$N$5:$N$1004,"&gt;="&amp;$B$3,Programação!$N$5:$N$1004,"&lt;="&amp;$B$4,Programação!$H$5:$H$1004,"Extra",Programação!$P$5:$P$1004,"&lt;&gt;Cancelada")+COUNTIFS(Programação!$J$5:$J$1004,$A45,Programação!$N$5:$N$1004,"&gt;="&amp;$B$3,Programação!$N$5:$N$1004,"&lt;="&amp;$B$4,Programação!$H$5:$H$1004,"Extra",Programação!$P$5:$P$1004,"&lt;&gt;Cancelada")+COUNTIFS(Programação!$K$5:$K$1004,$A45,Programação!$N$5:$N$1004,"&gt;="&amp;$B$3,Programação!$N$5:$N$1004,"&lt;="&amp;$B$4,Programação!$H$5:$H$1004,"Extra",Programação!$P$5:$P$1004,"&lt;&gt;Cancelada"))</f>
        <v/>
      </c>
      <c r="H45" s="26" t="str">
        <f aca="false">IF(Listas!B17="","",Listas!B17)</f>
        <v>F-617</v>
      </c>
      <c r="I45" s="65" t="n">
        <f aca="false">IF($H45="","",COUNTIFS(Programação!$D$5:$D$1004,$H45,Programação!$N$5:$N$1004,"&gt;="&amp;$B$3,Programação!$N$5:$N$1004,"&lt;="&amp;$B$4,Programação!$P$5:$P$1004,"&lt;&gt;Cancelada",Programação!$H$5:$H$1004,"&lt;&gt;Extra"))</f>
        <v>1</v>
      </c>
      <c r="J45" s="65" t="n">
        <f aca="false">IF($H45="","",SUMIFS(Programação!$Z$5:$Z$1004,Programação!$D$5:$D$1004,$H45,Programação!$N$5:$N$1004,"&gt;="&amp;$B$3,Programação!$N$5:$N$1004,"&lt;="&amp;$B$4,Programação!$H$5:$H$1004,"&lt;&gt;Extra"))</f>
        <v>0</v>
      </c>
      <c r="K45" s="66" t="n">
        <f aca="false">IF(OR($H45="",$I45=0),"",$J45/$I45)</f>
        <v>0</v>
      </c>
      <c r="L45" s="65" t="n">
        <f aca="true">IF($H45="","",COUNTIFS(Programação!$D$5:$D$1004,$H45,Programação!$N$5:$N$1004,"&gt;="&amp;$B$3,Programação!$N$5:$N$1004,"&lt;="&amp;$B$4,Programação!$N$5:$N$1004,"&lt;"&amp;TODAY(),Programação!$Z$5:$Z$1004,0,Programação!$P$5:$P$1004,"&lt;&gt;Cancelada"))</f>
        <v>0</v>
      </c>
      <c r="M45" s="65" t="n">
        <f aca="false">IF($H45="","",COUNTIFS(Programação!$D$5:$D$1004,$H45,Programação!$N$5:$N$1004,"&gt;="&amp;$B$3,Programação!$N$5:$N$1004,"&lt;="&amp;$B$4,Programação!$H$5:$H$1004,"Extra",Programação!$P$5:$P$1004,"&lt;&gt;Cancelada"))</f>
        <v>0</v>
      </c>
    </row>
    <row r="46" customFormat="false" ht="15.75" hidden="false" customHeight="true" outlineLevel="0" collapsed="false">
      <c r="A46" s="26" t="str">
        <f aca="false">IF(Listas!A18="","",Listas!A18)</f>
        <v/>
      </c>
      <c r="B46" s="65" t="str">
        <f aca="false">IF($A46="","",COUNTIFS(Programação!$I$5:$I$1004,$A46,Programação!$N$5:$N$1004,"&gt;="&amp;$B$3,Programação!$N$5:$N$1004,"&lt;="&amp;$B$4,Programação!$P$5:$P$1004,"&lt;&gt;Cancelada",Programação!$H$5:$H$1004,"&lt;&gt;Extra")+COUNTIFS(Programação!$J$5:$J$1004,$A46,Programação!$N$5:$N$1004,"&gt;="&amp;$B$3,Programação!$N$5:$N$1004,"&lt;="&amp;$B$4,Programação!$P$5:$P$1004,"&lt;&gt;Cancelada",Programação!$H$5:$H$1004,"&lt;&gt;Extra")+COUNTIFS(Programação!$K$5:$K$1004,$A46,Programação!$N$5:$N$1004,"&gt;="&amp;$B$3,Programação!$N$5:$N$1004,"&lt;="&amp;$B$4,Programação!$P$5:$P$1004,"&lt;&gt;Cancelada",Programação!$H$5:$H$1004,"&lt;&gt;Extra"))</f>
        <v/>
      </c>
      <c r="C46" s="65" t="str">
        <f aca="false">IF($A46="","",SUMIFS(Programação!$Z$5:$Z$1004,Programação!$I$5:$I$1004,$A46,Programação!$N$5:$N$1004,"&gt;="&amp;$B$3,Programação!$N$5:$N$1004,"&lt;="&amp;$B$4,Programação!$H$5:$H$1004,"&lt;&gt;Extra")+SUMIFS(Programação!$Z$5:$Z$1004,Programação!$J$5:$J$1004,$A46,Programação!$N$5:$N$1004,"&gt;="&amp;$B$3,Programação!$N$5:$N$1004,"&lt;="&amp;$B$4,Programação!$H$5:$H$1004,"&lt;&gt;Extra")+SUMIFS(Programação!$Z$5:$Z$1004,Programação!$K$5:$K$1004,$A46,Programação!$N$5:$N$1004,"&gt;="&amp;$B$3,Programação!$N$5:$N$1004,"&lt;="&amp;$B$4,Programação!$H$5:$H$1004,"&lt;&gt;Extra"))</f>
        <v/>
      </c>
      <c r="D46" s="66" t="str">
        <f aca="false">IF(OR($A46="",$B46=0),"",$C46/$B46)</f>
        <v/>
      </c>
      <c r="E46" s="65" t="str">
        <f aca="true">IF($A46="","",COUNTIFS(Programação!$I$5:$I$1004,$A46,Programação!$N$5:$N$1004,"&gt;="&amp;$B$3,Programação!$N$5:$N$1004,"&lt;="&amp;$B$4,Programação!$N$5:$N$1004,"&lt;"&amp;TODAY(),Programação!$Z$5:$Z$1004,0,Programação!$P$5:$P$1004,"&lt;&gt;Cancelada")+COUNTIFS(Programação!$J$5:$J$1004,$A46,Programação!$N$5:$N$1004,"&gt;="&amp;$B$3,Programação!$N$5:$N$1004,"&lt;="&amp;$B$4,Programação!$N$5:$N$1004,"&lt;"&amp;TODAY(),Programação!$Z$5:$Z$1004,0,Programação!$P$5:$P$1004,"&lt;&gt;Cancelada")+COUNTIFS(Programação!$K$5:$K$1004,$A46,Programação!$N$5:$N$1004,"&gt;="&amp;$B$3,Programação!$N$5:$N$1004,"&lt;="&amp;$B$4,Programação!$N$5:$N$1004,"&lt;"&amp;TODAY(),Programação!$Z$5:$Z$1004,0,Programação!$P$5:$P$1004,"&lt;&gt;Cancelada"))</f>
        <v/>
      </c>
      <c r="F46" s="65" t="str">
        <f aca="false">IF($A46="","",COUNTIFS(Programação!$I$5:$I$1004,$A46,Programação!$N$5:$N$1004,"&gt;="&amp;$B$3,Programação!$N$5:$N$1004,"&lt;="&amp;$B$4,Programação!$H$5:$H$1004,"Extra",Programação!$P$5:$P$1004,"&lt;&gt;Cancelada")+COUNTIFS(Programação!$J$5:$J$1004,$A46,Programação!$N$5:$N$1004,"&gt;="&amp;$B$3,Programação!$N$5:$N$1004,"&lt;="&amp;$B$4,Programação!$H$5:$H$1004,"Extra",Programação!$P$5:$P$1004,"&lt;&gt;Cancelada")+COUNTIFS(Programação!$K$5:$K$1004,$A46,Programação!$N$5:$N$1004,"&gt;="&amp;$B$3,Programação!$N$5:$N$1004,"&lt;="&amp;$B$4,Programação!$H$5:$H$1004,"Extra",Programação!$P$5:$P$1004,"&lt;&gt;Cancelada"))</f>
        <v/>
      </c>
      <c r="H46" s="26" t="str">
        <f aca="false">IF(Listas!B18="","",Listas!B18)</f>
        <v>F-624</v>
      </c>
      <c r="I46" s="65" t="n">
        <f aca="false">IF($H46="","",COUNTIFS(Programação!$D$5:$D$1004,$H46,Programação!$N$5:$N$1004,"&gt;="&amp;$B$3,Programação!$N$5:$N$1004,"&lt;="&amp;$B$4,Programação!$P$5:$P$1004,"&lt;&gt;Cancelada",Programação!$H$5:$H$1004,"&lt;&gt;Extra"))</f>
        <v>21</v>
      </c>
      <c r="J46" s="65" t="n">
        <f aca="false">IF($H46="","",SUMIFS(Programação!$Z$5:$Z$1004,Programação!$D$5:$D$1004,$H46,Programação!$N$5:$N$1004,"&gt;="&amp;$B$3,Programação!$N$5:$N$1004,"&lt;="&amp;$B$4,Programação!$H$5:$H$1004,"&lt;&gt;Extra"))</f>
        <v>20</v>
      </c>
      <c r="K46" s="66" t="n">
        <f aca="false">IF(OR($H46="",$I46=0),"",$J46/$I46)</f>
        <v>0.952380952380952</v>
      </c>
      <c r="L46" s="65" t="n">
        <f aca="true">IF($H46="","",COUNTIFS(Programação!$D$5:$D$1004,$H46,Programação!$N$5:$N$1004,"&gt;="&amp;$B$3,Programação!$N$5:$N$1004,"&lt;="&amp;$B$4,Programação!$N$5:$N$1004,"&lt;"&amp;TODAY(),Programação!$Z$5:$Z$1004,0,Programação!$P$5:$P$1004,"&lt;&gt;Cancelada"))</f>
        <v>0</v>
      </c>
      <c r="M46" s="65" t="n">
        <f aca="false">IF($H46="","",COUNTIFS(Programação!$D$5:$D$1004,$H46,Programação!$N$5:$N$1004,"&gt;="&amp;$B$3,Programação!$N$5:$N$1004,"&lt;="&amp;$B$4,Programação!$H$5:$H$1004,"Extra",Programação!$P$5:$P$1004,"&lt;&gt;Cancelada"))</f>
        <v>0</v>
      </c>
    </row>
    <row r="47" customFormat="false" ht="15.75" hidden="false" customHeight="true" outlineLevel="0" collapsed="false">
      <c r="A47" s="26" t="str">
        <f aca="false">IF(Listas!A19="","",Listas!A19)</f>
        <v/>
      </c>
      <c r="B47" s="65" t="str">
        <f aca="false">IF($A47="","",COUNTIFS(Programação!$I$5:$I$1004,$A47,Programação!$N$5:$N$1004,"&gt;="&amp;$B$3,Programação!$N$5:$N$1004,"&lt;="&amp;$B$4,Programação!$P$5:$P$1004,"&lt;&gt;Cancelada",Programação!$H$5:$H$1004,"&lt;&gt;Extra")+COUNTIFS(Programação!$J$5:$J$1004,$A47,Programação!$N$5:$N$1004,"&gt;="&amp;$B$3,Programação!$N$5:$N$1004,"&lt;="&amp;$B$4,Programação!$P$5:$P$1004,"&lt;&gt;Cancelada",Programação!$H$5:$H$1004,"&lt;&gt;Extra")+COUNTIFS(Programação!$K$5:$K$1004,$A47,Programação!$N$5:$N$1004,"&gt;="&amp;$B$3,Programação!$N$5:$N$1004,"&lt;="&amp;$B$4,Programação!$P$5:$P$1004,"&lt;&gt;Cancelada",Programação!$H$5:$H$1004,"&lt;&gt;Extra"))</f>
        <v/>
      </c>
      <c r="C47" s="65" t="str">
        <f aca="false">IF($A47="","",SUMIFS(Programação!$Z$5:$Z$1004,Programação!$I$5:$I$1004,$A47,Programação!$N$5:$N$1004,"&gt;="&amp;$B$3,Programação!$N$5:$N$1004,"&lt;="&amp;$B$4,Programação!$H$5:$H$1004,"&lt;&gt;Extra")+SUMIFS(Programação!$Z$5:$Z$1004,Programação!$J$5:$J$1004,$A47,Programação!$N$5:$N$1004,"&gt;="&amp;$B$3,Programação!$N$5:$N$1004,"&lt;="&amp;$B$4,Programação!$H$5:$H$1004,"&lt;&gt;Extra")+SUMIFS(Programação!$Z$5:$Z$1004,Programação!$K$5:$K$1004,$A47,Programação!$N$5:$N$1004,"&gt;="&amp;$B$3,Programação!$N$5:$N$1004,"&lt;="&amp;$B$4,Programação!$H$5:$H$1004,"&lt;&gt;Extra"))</f>
        <v/>
      </c>
      <c r="D47" s="66" t="str">
        <f aca="false">IF(OR($A47="",$B47=0),"",$C47/$B47)</f>
        <v/>
      </c>
      <c r="E47" s="65" t="str">
        <f aca="true">IF($A47="","",COUNTIFS(Programação!$I$5:$I$1004,$A47,Programação!$N$5:$N$1004,"&gt;="&amp;$B$3,Programação!$N$5:$N$1004,"&lt;="&amp;$B$4,Programação!$N$5:$N$1004,"&lt;"&amp;TODAY(),Programação!$Z$5:$Z$1004,0,Programação!$P$5:$P$1004,"&lt;&gt;Cancelada")+COUNTIFS(Programação!$J$5:$J$1004,$A47,Programação!$N$5:$N$1004,"&gt;="&amp;$B$3,Programação!$N$5:$N$1004,"&lt;="&amp;$B$4,Programação!$N$5:$N$1004,"&lt;"&amp;TODAY(),Programação!$Z$5:$Z$1004,0,Programação!$P$5:$P$1004,"&lt;&gt;Cancelada")+COUNTIFS(Programação!$K$5:$K$1004,$A47,Programação!$N$5:$N$1004,"&gt;="&amp;$B$3,Programação!$N$5:$N$1004,"&lt;="&amp;$B$4,Programação!$N$5:$N$1004,"&lt;"&amp;TODAY(),Programação!$Z$5:$Z$1004,0,Programação!$P$5:$P$1004,"&lt;&gt;Cancelada"))</f>
        <v/>
      </c>
      <c r="F47" s="65" t="str">
        <f aca="false">IF($A47="","",COUNTIFS(Programação!$I$5:$I$1004,$A47,Programação!$N$5:$N$1004,"&gt;="&amp;$B$3,Programação!$N$5:$N$1004,"&lt;="&amp;$B$4,Programação!$H$5:$H$1004,"Extra",Programação!$P$5:$P$1004,"&lt;&gt;Cancelada")+COUNTIFS(Programação!$J$5:$J$1004,$A47,Programação!$N$5:$N$1004,"&gt;="&amp;$B$3,Programação!$N$5:$N$1004,"&lt;="&amp;$B$4,Programação!$H$5:$H$1004,"Extra",Programação!$P$5:$P$1004,"&lt;&gt;Cancelada")+COUNTIFS(Programação!$K$5:$K$1004,$A47,Programação!$N$5:$N$1004,"&gt;="&amp;$B$3,Programação!$N$5:$N$1004,"&lt;="&amp;$B$4,Programação!$H$5:$H$1004,"Extra",Programação!$P$5:$P$1004,"&lt;&gt;Cancelada"))</f>
        <v/>
      </c>
      <c r="H47" s="26" t="str">
        <f aca="false">IF(Listas!B19="","",Listas!B19)</f>
        <v>F-626</v>
      </c>
      <c r="I47" s="65" t="n">
        <f aca="false">IF($H47="","",COUNTIFS(Programação!$D$5:$D$1004,$H47,Programação!$N$5:$N$1004,"&gt;="&amp;$B$3,Programação!$N$5:$N$1004,"&lt;="&amp;$B$4,Programação!$P$5:$P$1004,"&lt;&gt;Cancelada",Programação!$H$5:$H$1004,"&lt;&gt;Extra"))</f>
        <v>17</v>
      </c>
      <c r="J47" s="65" t="n">
        <f aca="false">IF($H47="","",SUMIFS(Programação!$Z$5:$Z$1004,Programação!$D$5:$D$1004,$H47,Programação!$N$5:$N$1004,"&gt;="&amp;$B$3,Programação!$N$5:$N$1004,"&lt;="&amp;$B$4,Programação!$H$5:$H$1004,"&lt;&gt;Extra"))</f>
        <v>17</v>
      </c>
      <c r="K47" s="66" t="n">
        <f aca="false">IF(OR($H47="",$I47=0),"",$J47/$I47)</f>
        <v>1</v>
      </c>
      <c r="L47" s="65" t="n">
        <f aca="true">IF($H47="","",COUNTIFS(Programação!$D$5:$D$1004,$H47,Programação!$N$5:$N$1004,"&gt;="&amp;$B$3,Programação!$N$5:$N$1004,"&lt;="&amp;$B$4,Programação!$N$5:$N$1004,"&lt;"&amp;TODAY(),Programação!$Z$5:$Z$1004,0,Programação!$P$5:$P$1004,"&lt;&gt;Cancelada"))</f>
        <v>0</v>
      </c>
      <c r="M47" s="65" t="n">
        <f aca="false">IF($H47="","",COUNTIFS(Programação!$D$5:$D$1004,$H47,Programação!$N$5:$N$1004,"&gt;="&amp;$B$3,Programação!$N$5:$N$1004,"&lt;="&amp;$B$4,Programação!$H$5:$H$1004,"Extra",Programação!$P$5:$P$1004,"&lt;&gt;Cancelada"))</f>
        <v>0</v>
      </c>
    </row>
    <row r="48" customFormat="false" ht="15.75" hidden="false" customHeight="true" outlineLevel="0" collapsed="false">
      <c r="H48" s="26" t="str">
        <f aca="false">IF(Listas!B20="","",Listas!B20)</f>
        <v>F-696</v>
      </c>
      <c r="I48" s="65" t="n">
        <f aca="false">IF($H48="","",COUNTIFS(Programação!$D$5:$D$1004,$H48,Programação!$N$5:$N$1004,"&gt;="&amp;$B$3,Programação!$N$5:$N$1004,"&lt;="&amp;$B$4,Programação!$P$5:$P$1004,"&lt;&gt;Cancelada",Programação!$H$5:$H$1004,"&lt;&gt;Extra"))</f>
        <v>1</v>
      </c>
      <c r="J48" s="65" t="n">
        <f aca="false">IF($H48="","",SUMIFS(Programação!$Z$5:$Z$1004,Programação!$D$5:$D$1004,$H48,Programação!$N$5:$N$1004,"&gt;="&amp;$B$3,Programação!$N$5:$N$1004,"&lt;="&amp;$B$4,Programação!$H$5:$H$1004,"&lt;&gt;Extra"))</f>
        <v>0</v>
      </c>
      <c r="K48" s="66" t="n">
        <f aca="false">IF(OR($H48="",$I48=0),"",$J48/$I48)</f>
        <v>0</v>
      </c>
      <c r="L48" s="65" t="n">
        <f aca="true">IF($H48="","",COUNTIFS(Programação!$D$5:$D$1004,$H48,Programação!$N$5:$N$1004,"&gt;="&amp;$B$3,Programação!$N$5:$N$1004,"&lt;="&amp;$B$4,Programação!$N$5:$N$1004,"&lt;"&amp;TODAY(),Programação!$Z$5:$Z$1004,0,Programação!$P$5:$P$1004,"&lt;&gt;Cancelada"))</f>
        <v>1</v>
      </c>
      <c r="M48" s="65" t="n">
        <f aca="false">IF($H48="","",COUNTIFS(Programação!$D$5:$D$1004,$H48,Programação!$N$5:$N$1004,"&gt;="&amp;$B$3,Programação!$N$5:$N$1004,"&lt;="&amp;$B$4,Programação!$H$5:$H$1004,"Extra",Programação!$P$5:$P$1004,"&lt;&gt;Cancelada"))</f>
        <v>0</v>
      </c>
    </row>
    <row r="49" customFormat="false" ht="15.75" hidden="false" customHeight="true" outlineLevel="0" collapsed="false">
      <c r="H49" s="26" t="str">
        <f aca="false">IF(Listas!B21="","",Listas!B21)</f>
        <v>F-763</v>
      </c>
      <c r="I49" s="65" t="n">
        <f aca="false">IF($H49="","",COUNTIFS(Programação!$D$5:$D$1004,$H49,Programação!$N$5:$N$1004,"&gt;="&amp;$B$3,Programação!$N$5:$N$1004,"&lt;="&amp;$B$4,Programação!$P$5:$P$1004,"&lt;&gt;Cancelada",Programação!$H$5:$H$1004,"&lt;&gt;Extra"))</f>
        <v>2</v>
      </c>
      <c r="J49" s="65" t="n">
        <f aca="false">IF($H49="","",SUMIFS(Programação!$Z$5:$Z$1004,Programação!$D$5:$D$1004,$H49,Programação!$N$5:$N$1004,"&gt;="&amp;$B$3,Programação!$N$5:$N$1004,"&lt;="&amp;$B$4,Programação!$H$5:$H$1004,"&lt;&gt;Extra"))</f>
        <v>0</v>
      </c>
      <c r="K49" s="66" t="n">
        <f aca="false">IF(OR($H49="",$I49=0),"",$J49/$I49)</f>
        <v>0</v>
      </c>
      <c r="L49" s="65" t="n">
        <f aca="true">IF($H49="","",COUNTIFS(Programação!$D$5:$D$1004,$H49,Programação!$N$5:$N$1004,"&gt;="&amp;$B$3,Programação!$N$5:$N$1004,"&lt;="&amp;$B$4,Programação!$N$5:$N$1004,"&lt;"&amp;TODAY(),Programação!$Z$5:$Z$1004,0,Programação!$P$5:$P$1004,"&lt;&gt;Cancelada"))</f>
        <v>0</v>
      </c>
      <c r="M49" s="65" t="n">
        <f aca="false">IF($H49="","",COUNTIFS(Programação!$D$5:$D$1004,$H49,Programação!$N$5:$N$1004,"&gt;="&amp;$B$3,Programação!$N$5:$N$1004,"&lt;="&amp;$B$4,Programação!$H$5:$H$1004,"Extra",Programação!$P$5:$P$1004,"&lt;&gt;Cancelada"))</f>
        <v>0</v>
      </c>
    </row>
    <row r="50" customFormat="false" ht="15.75" hidden="false" customHeight="true" outlineLevel="0" collapsed="false">
      <c r="H50" s="26" t="str">
        <f aca="false">IF(Listas!B22="","",Listas!B22)</f>
        <v>F-789</v>
      </c>
      <c r="I50" s="65" t="n">
        <f aca="false">IF($H50="","",COUNTIFS(Programação!$D$5:$D$1004,$H50,Programação!$N$5:$N$1004,"&gt;="&amp;$B$3,Programação!$N$5:$N$1004,"&lt;="&amp;$B$4,Programação!$P$5:$P$1004,"&lt;&gt;Cancelada",Programação!$H$5:$H$1004,"&lt;&gt;Extra"))</f>
        <v>10</v>
      </c>
      <c r="J50" s="65" t="n">
        <f aca="false">IF($H50="","",SUMIFS(Programação!$Z$5:$Z$1004,Programação!$D$5:$D$1004,$H50,Programação!$N$5:$N$1004,"&gt;="&amp;$B$3,Programação!$N$5:$N$1004,"&lt;="&amp;$B$4,Programação!$H$5:$H$1004,"&lt;&gt;Extra"))</f>
        <v>10</v>
      </c>
      <c r="K50" s="66" t="n">
        <f aca="false">IF(OR($H50="",$I50=0),"",$J50/$I50)</f>
        <v>1</v>
      </c>
      <c r="L50" s="65" t="n">
        <f aca="true">IF($H50="","",COUNTIFS(Programação!$D$5:$D$1004,$H50,Programação!$N$5:$N$1004,"&gt;="&amp;$B$3,Programação!$N$5:$N$1004,"&lt;="&amp;$B$4,Programação!$N$5:$N$1004,"&lt;"&amp;TODAY(),Programação!$Z$5:$Z$1004,0,Programação!$P$5:$P$1004,"&lt;&gt;Cancelada"))</f>
        <v>0</v>
      </c>
      <c r="M50" s="65" t="n">
        <f aca="false">IF($H50="","",COUNTIFS(Programação!$D$5:$D$1004,$H50,Programação!$N$5:$N$1004,"&gt;="&amp;$B$3,Programação!$N$5:$N$1004,"&lt;="&amp;$B$4,Programação!$H$5:$H$1004,"Extra",Programação!$P$5:$P$1004,"&lt;&gt;Cancelada"))</f>
        <v>0</v>
      </c>
    </row>
    <row r="51" customFormat="false" ht="15.75" hidden="false" customHeight="true" outlineLevel="0" collapsed="false">
      <c r="H51" s="26" t="str">
        <f aca="false">IF(Listas!B23="","",Listas!B23)</f>
        <v>F-815</v>
      </c>
      <c r="I51" s="65" t="n">
        <f aca="false">IF($H51="","",COUNTIFS(Programação!$D$5:$D$1004,$H51,Programação!$N$5:$N$1004,"&gt;="&amp;$B$3,Programação!$N$5:$N$1004,"&lt;="&amp;$B$4,Programação!$P$5:$P$1004,"&lt;&gt;Cancelada",Programação!$H$5:$H$1004,"&lt;&gt;Extra"))</f>
        <v>34</v>
      </c>
      <c r="J51" s="65" t="n">
        <f aca="false">IF($H51="","",SUMIFS(Programação!$Z$5:$Z$1004,Programação!$D$5:$D$1004,$H51,Programação!$N$5:$N$1004,"&gt;="&amp;$B$3,Programação!$N$5:$N$1004,"&lt;="&amp;$B$4,Programação!$H$5:$H$1004,"&lt;&gt;Extra"))</f>
        <v>0</v>
      </c>
      <c r="K51" s="66" t="n">
        <f aca="false">IF(OR($H51="",$I51=0),"",$J51/$I51)</f>
        <v>0</v>
      </c>
      <c r="L51" s="65" t="n">
        <f aca="true">IF($H51="","",COUNTIFS(Programação!$D$5:$D$1004,$H51,Programação!$N$5:$N$1004,"&gt;="&amp;$B$3,Programação!$N$5:$N$1004,"&lt;="&amp;$B$4,Programação!$N$5:$N$1004,"&lt;"&amp;TODAY(),Programação!$Z$5:$Z$1004,0,Programação!$P$5:$P$1004,"&lt;&gt;Cancelada"))</f>
        <v>0</v>
      </c>
      <c r="M51" s="65" t="n">
        <f aca="false">IF($H51="","",COUNTIFS(Programação!$D$5:$D$1004,$H51,Programação!$N$5:$N$1004,"&gt;="&amp;$B$3,Programação!$N$5:$N$1004,"&lt;="&amp;$B$4,Programação!$H$5:$H$1004,"Extra",Programação!$P$5:$P$1004,"&lt;&gt;Cancelada"))</f>
        <v>0</v>
      </c>
    </row>
    <row r="52" customFormat="false" ht="15.75" hidden="false" customHeight="true" outlineLevel="0" collapsed="false">
      <c r="H52" s="26" t="str">
        <f aca="false">IF(Listas!B24="","",Listas!B24)</f>
        <v>F-856</v>
      </c>
      <c r="I52" s="65" t="n">
        <f aca="false">IF($H52="","",COUNTIFS(Programação!$D$5:$D$1004,$H52,Programação!$N$5:$N$1004,"&gt;="&amp;$B$3,Programação!$N$5:$N$1004,"&lt;="&amp;$B$4,Programação!$P$5:$P$1004,"&lt;&gt;Cancelada",Programação!$H$5:$H$1004,"&lt;&gt;Extra"))</f>
        <v>5</v>
      </c>
      <c r="J52" s="65" t="n">
        <f aca="false">IF($H52="","",SUMIFS(Programação!$Z$5:$Z$1004,Programação!$D$5:$D$1004,$H52,Programação!$N$5:$N$1004,"&gt;="&amp;$B$3,Programação!$N$5:$N$1004,"&lt;="&amp;$B$4,Programação!$H$5:$H$1004,"&lt;&gt;Extra"))</f>
        <v>0</v>
      </c>
      <c r="K52" s="66" t="n">
        <f aca="false">IF(OR($H52="",$I52=0),"",$J52/$I52)</f>
        <v>0</v>
      </c>
      <c r="L52" s="65" t="n">
        <f aca="true">IF($H52="","",COUNTIFS(Programação!$D$5:$D$1004,$H52,Programação!$N$5:$N$1004,"&gt;="&amp;$B$3,Programação!$N$5:$N$1004,"&lt;="&amp;$B$4,Programação!$N$5:$N$1004,"&lt;"&amp;TODAY(),Programação!$Z$5:$Z$1004,0,Programação!$P$5:$P$1004,"&lt;&gt;Cancelada"))</f>
        <v>0</v>
      </c>
      <c r="M52" s="65" t="n">
        <f aca="false">IF($H52="","",COUNTIFS(Programação!$D$5:$D$1004,$H52,Programação!$N$5:$N$1004,"&gt;="&amp;$B$3,Programação!$N$5:$N$1004,"&lt;="&amp;$B$4,Programação!$H$5:$H$1004,"Extra",Programação!$P$5:$P$1004,"&lt;&gt;Cancelada"))</f>
        <v>0</v>
      </c>
    </row>
    <row r="53" customFormat="false" ht="15.75" hidden="false" customHeight="true" outlineLevel="0" collapsed="false">
      <c r="H53" s="26" t="str">
        <f aca="false">IF(Listas!B25="","",Listas!B25)</f>
        <v>F-871</v>
      </c>
      <c r="I53" s="65" t="n">
        <f aca="false">IF($H53="","",COUNTIFS(Programação!$D$5:$D$1004,$H53,Programação!$N$5:$N$1004,"&gt;="&amp;$B$3,Programação!$N$5:$N$1004,"&lt;="&amp;$B$4,Programação!$P$5:$P$1004,"&lt;&gt;Cancelada",Programação!$H$5:$H$1004,"&lt;&gt;Extra"))</f>
        <v>3</v>
      </c>
      <c r="J53" s="65" t="n">
        <f aca="false">IF($H53="","",SUMIFS(Programação!$Z$5:$Z$1004,Programação!$D$5:$D$1004,$H53,Programação!$N$5:$N$1004,"&gt;="&amp;$B$3,Programação!$N$5:$N$1004,"&lt;="&amp;$B$4,Programação!$H$5:$H$1004,"&lt;&gt;Extra"))</f>
        <v>3</v>
      </c>
      <c r="K53" s="66" t="n">
        <f aca="false">IF(OR($H53="",$I53=0),"",$J53/$I53)</f>
        <v>1</v>
      </c>
      <c r="L53" s="65" t="n">
        <f aca="true">IF($H53="","",COUNTIFS(Programação!$D$5:$D$1004,$H53,Programação!$N$5:$N$1004,"&gt;="&amp;$B$3,Programação!$N$5:$N$1004,"&lt;="&amp;$B$4,Programação!$N$5:$N$1004,"&lt;"&amp;TODAY(),Programação!$Z$5:$Z$1004,0,Programação!$P$5:$P$1004,"&lt;&gt;Cancelada"))</f>
        <v>0</v>
      </c>
      <c r="M53" s="65" t="n">
        <f aca="false">IF($H53="","",COUNTIFS(Programação!$D$5:$D$1004,$H53,Programação!$N$5:$N$1004,"&gt;="&amp;$B$3,Programação!$N$5:$N$1004,"&lt;="&amp;$B$4,Programação!$H$5:$H$1004,"Extra",Programação!$P$5:$P$1004,"&lt;&gt;Cancelada"))</f>
        <v>0</v>
      </c>
    </row>
    <row r="54" customFormat="false" ht="15.75" hidden="false" customHeight="true" outlineLevel="0" collapsed="false">
      <c r="H54" s="26" t="str">
        <f aca="false">IF(Listas!B26="","",Listas!B26)</f>
        <v>F-938</v>
      </c>
      <c r="I54" s="65" t="n">
        <f aca="false">IF($H54="","",COUNTIFS(Programação!$D$5:$D$1004,$H54,Programação!$N$5:$N$1004,"&gt;="&amp;$B$3,Programação!$N$5:$N$1004,"&lt;="&amp;$B$4,Programação!$P$5:$P$1004,"&lt;&gt;Cancelada",Programação!$H$5:$H$1004,"&lt;&gt;Extra"))</f>
        <v>3</v>
      </c>
      <c r="J54" s="65" t="n">
        <f aca="false">IF($H54="","",SUMIFS(Programação!$Z$5:$Z$1004,Programação!$D$5:$D$1004,$H54,Programação!$N$5:$N$1004,"&gt;="&amp;$B$3,Programação!$N$5:$N$1004,"&lt;="&amp;$B$4,Programação!$H$5:$H$1004,"&lt;&gt;Extra"))</f>
        <v>0</v>
      </c>
      <c r="K54" s="66" t="n">
        <f aca="false">IF(OR($H54="",$I54=0),"",$J54/$I54)</f>
        <v>0</v>
      </c>
      <c r="L54" s="65" t="n">
        <f aca="true">IF($H54="","",COUNTIFS(Programação!$D$5:$D$1004,$H54,Programação!$N$5:$N$1004,"&gt;="&amp;$B$3,Programação!$N$5:$N$1004,"&lt;="&amp;$B$4,Programação!$N$5:$N$1004,"&lt;"&amp;TODAY(),Programação!$Z$5:$Z$1004,0,Programação!$P$5:$P$1004,"&lt;&gt;Cancelada"))</f>
        <v>0</v>
      </c>
      <c r="M54" s="65" t="n">
        <f aca="false">IF($H54="","",COUNTIFS(Programação!$D$5:$D$1004,$H54,Programação!$N$5:$N$1004,"&gt;="&amp;$B$3,Programação!$N$5:$N$1004,"&lt;="&amp;$B$4,Programação!$H$5:$H$1004,"Extra",Programação!$P$5:$P$1004,"&lt;&gt;Cancelada"))</f>
        <v>0</v>
      </c>
    </row>
    <row r="55" customFormat="false" ht="15.75" hidden="false" customHeight="true" outlineLevel="0" collapsed="false">
      <c r="H55" s="26" t="str">
        <f aca="false">IF(Listas!B27="","",Listas!B27)</f>
        <v>F-964</v>
      </c>
      <c r="I55" s="65" t="n">
        <f aca="false">IF($H55="","",COUNTIFS(Programação!$D$5:$D$1004,$H55,Programação!$N$5:$N$1004,"&gt;="&amp;$B$3,Programação!$N$5:$N$1004,"&lt;="&amp;$B$4,Programação!$P$5:$P$1004,"&lt;&gt;Cancelada",Programação!$H$5:$H$1004,"&lt;&gt;Extra"))</f>
        <v>34</v>
      </c>
      <c r="J55" s="65" t="n">
        <f aca="false">IF($H55="","",SUMIFS(Programação!$Z$5:$Z$1004,Programação!$D$5:$D$1004,$H55,Programação!$N$5:$N$1004,"&gt;="&amp;$B$3,Programação!$N$5:$N$1004,"&lt;="&amp;$B$4,Programação!$H$5:$H$1004,"&lt;&gt;Extra"))</f>
        <v>0</v>
      </c>
      <c r="K55" s="66" t="n">
        <f aca="false">IF(OR($H55="",$I55=0),"",$J55/$I55)</f>
        <v>0</v>
      </c>
      <c r="L55" s="65" t="n">
        <f aca="true">IF($H55="","",COUNTIFS(Programação!$D$5:$D$1004,$H55,Programação!$N$5:$N$1004,"&gt;="&amp;$B$3,Programação!$N$5:$N$1004,"&lt;="&amp;$B$4,Programação!$N$5:$N$1004,"&lt;"&amp;TODAY(),Programação!$Z$5:$Z$1004,0,Programação!$P$5:$P$1004,"&lt;&gt;Cancelada"))</f>
        <v>12</v>
      </c>
      <c r="M55" s="65" t="n">
        <f aca="false">IF($H55="","",COUNTIFS(Programação!$D$5:$D$1004,$H55,Programação!$N$5:$N$1004,"&gt;="&amp;$B$3,Programação!$N$5:$N$1004,"&lt;="&amp;$B$4,Programação!$H$5:$H$1004,"Extra",Programação!$P$5:$P$1004,"&lt;&gt;Cancelada"))</f>
        <v>0</v>
      </c>
    </row>
    <row r="56" customFormat="false" ht="15.75" hidden="false" customHeight="true" outlineLevel="0" collapsed="false">
      <c r="H56" s="26" t="str">
        <f aca="false">IF(Listas!B28="","",Listas!B28)</f>
        <v/>
      </c>
      <c r="I56" s="65" t="str">
        <f aca="false">IF($H56="","",COUNTIFS(Programação!$D$5:$D$1004,$H56,Programação!$N$5:$N$1004,"&gt;="&amp;$B$3,Programação!$N$5:$N$1004,"&lt;="&amp;$B$4,Programação!$P$5:$P$1004,"&lt;&gt;Cancelada",Programação!$H$5:$H$1004,"&lt;&gt;Extra"))</f>
        <v/>
      </c>
      <c r="J56" s="65" t="str">
        <f aca="false">IF($H56="","",SUMIFS(Programação!$Z$5:$Z$1004,Programação!$D$5:$D$1004,$H56,Programação!$N$5:$N$1004,"&gt;="&amp;$B$3,Programação!$N$5:$N$1004,"&lt;="&amp;$B$4,Programação!$H$5:$H$1004,"&lt;&gt;Extra"))</f>
        <v/>
      </c>
      <c r="K56" s="66" t="str">
        <f aca="false">IF(OR($H56="",$I56=0),"",$J56/$I56)</f>
        <v/>
      </c>
      <c r="L56" s="65" t="str">
        <f aca="true">IF($H56="","",COUNTIFS(Programação!$D$5:$D$1004,$H56,Programação!$N$5:$N$1004,"&gt;="&amp;$B$3,Programação!$N$5:$N$1004,"&lt;="&amp;$B$4,Programação!$N$5:$N$1004,"&lt;"&amp;TODAY(),Programação!$Z$5:$Z$1004,0,Programação!$P$5:$P$1004,"&lt;&gt;Cancelada"))</f>
        <v/>
      </c>
      <c r="M56" s="65" t="str">
        <f aca="false">IF($H56="","",COUNTIFS(Programação!$D$5:$D$1004,$H56,Programação!$N$5:$N$1004,"&gt;="&amp;$B$3,Programação!$N$5:$N$1004,"&lt;="&amp;$B$4,Programação!$H$5:$H$1004,"Extra",Programação!$P$5:$P$1004,"&lt;&gt;Cancelada"))</f>
        <v/>
      </c>
    </row>
    <row r="57" customFormat="false" ht="15.75" hidden="false" customHeight="true" outlineLevel="0" collapsed="false">
      <c r="H57" s="26" t="str">
        <f aca="false">IF(Listas!B29="","",Listas!B29)</f>
        <v/>
      </c>
      <c r="I57" s="65" t="str">
        <f aca="false">IF($H57="","",COUNTIFS(Programação!$D$5:$D$1004,$H57,Programação!$N$5:$N$1004,"&gt;="&amp;$B$3,Programação!$N$5:$N$1004,"&lt;="&amp;$B$4,Programação!$P$5:$P$1004,"&lt;&gt;Cancelada",Programação!$H$5:$H$1004,"&lt;&gt;Extra"))</f>
        <v/>
      </c>
      <c r="J57" s="65" t="str">
        <f aca="false">IF($H57="","",SUMIFS(Programação!$Z$5:$Z$1004,Programação!$D$5:$D$1004,$H57,Programação!$N$5:$N$1004,"&gt;="&amp;$B$3,Programação!$N$5:$N$1004,"&lt;="&amp;$B$4,Programação!$H$5:$H$1004,"&lt;&gt;Extra"))</f>
        <v/>
      </c>
      <c r="K57" s="66" t="str">
        <f aca="false">IF(OR($H57="",$I57=0),"",$J57/$I57)</f>
        <v/>
      </c>
      <c r="L57" s="65" t="str">
        <f aca="true">IF($H57="","",COUNTIFS(Programação!$D$5:$D$1004,$H57,Programação!$N$5:$N$1004,"&gt;="&amp;$B$3,Programação!$N$5:$N$1004,"&lt;="&amp;$B$4,Programação!$N$5:$N$1004,"&lt;"&amp;TODAY(),Programação!$Z$5:$Z$1004,0,Programação!$P$5:$P$1004,"&lt;&gt;Cancelada"))</f>
        <v/>
      </c>
      <c r="M57" s="65" t="str">
        <f aca="false">IF($H57="","",COUNTIFS(Programação!$D$5:$D$1004,$H57,Programação!$N$5:$N$1004,"&gt;="&amp;$B$3,Programação!$N$5:$N$1004,"&lt;="&amp;$B$4,Programação!$H$5:$H$1004,"Extra",Programação!$P$5:$P$1004,"&lt;&gt;Cancelada"))</f>
        <v/>
      </c>
    </row>
    <row r="58" customFormat="false" ht="15.75" hidden="false" customHeight="true" outlineLevel="0" collapsed="false">
      <c r="H58" s="26" t="str">
        <f aca="false">IF(Listas!B30="","",Listas!B30)</f>
        <v/>
      </c>
      <c r="I58" s="65" t="str">
        <f aca="false">IF($H58="","",COUNTIFS(Programação!$D$5:$D$1004,$H58,Programação!$N$5:$N$1004,"&gt;="&amp;$B$3,Programação!$N$5:$N$1004,"&lt;="&amp;$B$4,Programação!$P$5:$P$1004,"&lt;&gt;Cancelada",Programação!$H$5:$H$1004,"&lt;&gt;Extra"))</f>
        <v/>
      </c>
      <c r="J58" s="65" t="str">
        <f aca="false">IF($H58="","",SUMIFS(Programação!$Z$5:$Z$1004,Programação!$D$5:$D$1004,$H58,Programação!$N$5:$N$1004,"&gt;="&amp;$B$3,Programação!$N$5:$N$1004,"&lt;="&amp;$B$4,Programação!$H$5:$H$1004,"&lt;&gt;Extra"))</f>
        <v/>
      </c>
      <c r="K58" s="66" t="str">
        <f aca="false">IF(OR($H58="",$I58=0),"",$J58/$I58)</f>
        <v/>
      </c>
      <c r="L58" s="65" t="str">
        <f aca="true">IF($H58="","",COUNTIFS(Programação!$D$5:$D$1004,$H58,Programação!$N$5:$N$1004,"&gt;="&amp;$B$3,Programação!$N$5:$N$1004,"&lt;="&amp;$B$4,Programação!$N$5:$N$1004,"&lt;"&amp;TODAY(),Programação!$Z$5:$Z$1004,0,Programação!$P$5:$P$1004,"&lt;&gt;Cancelada"))</f>
        <v/>
      </c>
      <c r="M58" s="65" t="str">
        <f aca="false">IF($H58="","",COUNTIFS(Programação!$D$5:$D$1004,$H58,Programação!$N$5:$N$1004,"&gt;="&amp;$B$3,Programação!$N$5:$N$1004,"&lt;="&amp;$B$4,Programação!$H$5:$H$1004,"Extra",Programação!$P$5:$P$1004,"&lt;&gt;Cancelada"))</f>
        <v/>
      </c>
    </row>
    <row r="61" customFormat="false" ht="15" hidden="false" customHeight="false" outlineLevel="0" collapsed="false">
      <c r="A61" s="3" t="s">
        <v>418</v>
      </c>
      <c r="B61" s="3"/>
      <c r="C61" s="3"/>
      <c r="D61" s="3"/>
      <c r="E61" s="3"/>
      <c r="F61" s="3"/>
    </row>
    <row r="62" customFormat="false" ht="15" hidden="false" customHeight="false" outlineLevel="0" collapsed="false">
      <c r="A62" s="34" t="s">
        <v>414</v>
      </c>
      <c r="B62" s="34" t="s">
        <v>415</v>
      </c>
      <c r="C62" s="34" t="s">
        <v>158</v>
      </c>
      <c r="D62" s="34" t="s">
        <v>416</v>
      </c>
      <c r="E62" s="34" t="s">
        <v>368</v>
      </c>
      <c r="F62" s="34" t="s">
        <v>417</v>
      </c>
    </row>
    <row r="63" customFormat="false" ht="15.75" hidden="false" customHeight="true" outlineLevel="0" collapsed="false">
      <c r="A63" s="26" t="str">
        <f aca="false">IF(Listas!C5="","",Listas!C5)</f>
        <v>Corretiva</v>
      </c>
      <c r="B63" s="65" t="n">
        <f aca="false">IF($A63="","",COUNTIFS(Programação!$G$5:$G$1004,$A63,Programação!$N$5:$N$1004,"&gt;="&amp;$B$3,Programação!$N$5:$N$1004,"&lt;="&amp;$B$4,Programação!$P$5:$P$1004,"&lt;&gt;Cancelada",Programação!$H$5:$H$1004,"&lt;&gt;Extra"))</f>
        <v>155</v>
      </c>
      <c r="C63" s="65" t="n">
        <f aca="false">IF($A63="","",SUMIFS(Programação!$Z$5:$Z$1004,Programação!$G$5:$G$1004,$A63,Programação!$N$5:$N$1004,"&gt;="&amp;$B$3,Programação!$N$5:$N$1004,"&lt;="&amp;$B$4,Programação!$H$5:$H$1004,"&lt;&gt;Extra"))</f>
        <v>70</v>
      </c>
      <c r="D63" s="66" t="n">
        <f aca="false">IF(OR($A63="",$B63=0),"",$C63/$B63)</f>
        <v>0.451612903225806</v>
      </c>
      <c r="E63" s="65" t="n">
        <f aca="true">IF($A63="","",COUNTIFS(Programação!$G$5:$G$1004,$A63,Programação!$N$5:$N$1004,"&gt;="&amp;$B$3,Programação!$N$5:$N$1004,"&lt;="&amp;$B$4,Programação!$N$5:$N$1004,"&lt;"&amp;TODAY(),Programação!$Z$5:$Z$1004,0,Programação!$P$5:$P$1004,"&lt;&gt;Cancelada"))</f>
        <v>16</v>
      </c>
      <c r="F63" s="65" t="n">
        <f aca="false">IF($A63="","",COUNTIFS(Programação!$G$5:$G$1004,$A63,Programação!$N$5:$N$1004,"&gt;="&amp;$B$3,Programação!$N$5:$N$1004,"&lt;="&amp;$B$4,Programação!$H$5:$H$1004,"Extra",Programação!$P$5:$P$1004,"&lt;&gt;Cancelada"))</f>
        <v>0</v>
      </c>
    </row>
    <row r="64" customFormat="false" ht="15.75" hidden="false" customHeight="true" outlineLevel="0" collapsed="false">
      <c r="A64" s="26" t="str">
        <f aca="false">IF(Listas!C6="","",Listas!C6)</f>
        <v>Preventiva</v>
      </c>
      <c r="B64" s="65" t="n">
        <f aca="false">IF($A64="","",COUNTIFS(Programação!$G$5:$G$1004,$A64,Programação!$N$5:$N$1004,"&gt;="&amp;$B$3,Programação!$N$5:$N$1004,"&lt;="&amp;$B$4,Programação!$P$5:$P$1004,"&lt;&gt;Cancelada",Programação!$H$5:$H$1004,"&lt;&gt;Extra"))</f>
        <v>17</v>
      </c>
      <c r="C64" s="65" t="n">
        <f aca="false">IF($A64="","",SUMIFS(Programação!$Z$5:$Z$1004,Programação!$G$5:$G$1004,$A64,Programação!$N$5:$N$1004,"&gt;="&amp;$B$3,Programação!$N$5:$N$1004,"&lt;="&amp;$B$4,Programação!$H$5:$H$1004,"&lt;&gt;Extra"))</f>
        <v>1</v>
      </c>
      <c r="D64" s="66" t="n">
        <f aca="false">IF(OR($A64="",$B64=0),"",$C64/$B64)</f>
        <v>0.0588235294117647</v>
      </c>
      <c r="E64" s="65" t="n">
        <f aca="true">IF($A64="","",COUNTIFS(Programação!$G$5:$G$1004,$A64,Programação!$N$5:$N$1004,"&gt;="&amp;$B$3,Programação!$N$5:$N$1004,"&lt;="&amp;$B$4,Programação!$N$5:$N$1004,"&lt;"&amp;TODAY(),Programação!$Z$5:$Z$1004,0,Programação!$P$5:$P$1004,"&lt;&gt;Cancelada"))</f>
        <v>0</v>
      </c>
      <c r="F64" s="65" t="n">
        <f aca="false">IF($A64="","",COUNTIFS(Programação!$G$5:$G$1004,$A64,Programação!$N$5:$N$1004,"&gt;="&amp;$B$3,Programação!$N$5:$N$1004,"&lt;="&amp;$B$4,Programação!$H$5:$H$1004,"Extra",Programação!$P$5:$P$1004,"&lt;&gt;Cancelada"))</f>
        <v>0</v>
      </c>
    </row>
    <row r="65" customFormat="false" ht="15.75" hidden="false" customHeight="true" outlineLevel="0" collapsed="false">
      <c r="A65" s="26" t="str">
        <f aca="false">IF(Listas!C7="","",Listas!C7)</f>
        <v>Preditiva</v>
      </c>
      <c r="B65" s="65" t="n">
        <f aca="false">IF($A65="","",COUNTIFS(Programação!$G$5:$G$1004,$A65,Programação!$N$5:$N$1004,"&gt;="&amp;$B$3,Programação!$N$5:$N$1004,"&lt;="&amp;$B$4,Programação!$P$5:$P$1004,"&lt;&gt;Cancelada",Programação!$H$5:$H$1004,"&lt;&gt;Extra"))</f>
        <v>0</v>
      </c>
      <c r="C65" s="65" t="n">
        <f aca="false">IF($A65="","",SUMIFS(Programação!$Z$5:$Z$1004,Programação!$G$5:$G$1004,$A65,Programação!$N$5:$N$1004,"&gt;="&amp;$B$3,Programação!$N$5:$N$1004,"&lt;="&amp;$B$4,Programação!$H$5:$H$1004,"&lt;&gt;Extra"))</f>
        <v>0</v>
      </c>
      <c r="D65" s="66" t="str">
        <f aca="false">IF(OR($A65="",$B65=0),"",$C65/$B65)</f>
        <v/>
      </c>
      <c r="E65" s="65" t="n">
        <f aca="true">IF($A65="","",COUNTIFS(Programação!$G$5:$G$1004,$A65,Programação!$N$5:$N$1004,"&gt;="&amp;$B$3,Programação!$N$5:$N$1004,"&lt;="&amp;$B$4,Programação!$N$5:$N$1004,"&lt;"&amp;TODAY(),Programação!$Z$5:$Z$1004,0,Programação!$P$5:$P$1004,"&lt;&gt;Cancelada"))</f>
        <v>0</v>
      </c>
      <c r="F65" s="65" t="n">
        <f aca="false">IF($A65="","",COUNTIFS(Programação!$G$5:$G$1004,$A65,Programação!$N$5:$N$1004,"&gt;="&amp;$B$3,Programação!$N$5:$N$1004,"&lt;="&amp;$B$4,Programação!$H$5:$H$1004,"Extra",Programação!$P$5:$P$1004,"&lt;&gt;Cancelada"))</f>
        <v>0</v>
      </c>
    </row>
    <row r="66" customFormat="false" ht="15.75" hidden="false" customHeight="true" outlineLevel="0" collapsed="false">
      <c r="A66" s="26" t="str">
        <f aca="false">IF(Listas!C8="","",Listas!C8)</f>
        <v>Melhoria</v>
      </c>
      <c r="B66" s="65" t="n">
        <f aca="false">IF($A66="","",COUNTIFS(Programação!$G$5:$G$1004,$A66,Programação!$N$5:$N$1004,"&gt;="&amp;$B$3,Programação!$N$5:$N$1004,"&lt;="&amp;$B$4,Programação!$P$5:$P$1004,"&lt;&gt;Cancelada",Programação!$H$5:$H$1004,"&lt;&gt;Extra"))</f>
        <v>0</v>
      </c>
      <c r="C66" s="65" t="n">
        <f aca="false">IF($A66="","",SUMIFS(Programação!$Z$5:$Z$1004,Programação!$G$5:$G$1004,$A66,Programação!$N$5:$N$1004,"&gt;="&amp;$B$3,Programação!$N$5:$N$1004,"&lt;="&amp;$B$4,Programação!$H$5:$H$1004,"&lt;&gt;Extra"))</f>
        <v>0</v>
      </c>
      <c r="D66" s="66" t="str">
        <f aca="false">IF(OR($A66="",$B66=0),"",$C66/$B66)</f>
        <v/>
      </c>
      <c r="E66" s="65" t="n">
        <f aca="true">IF($A66="","",COUNTIFS(Programação!$G$5:$G$1004,$A66,Programação!$N$5:$N$1004,"&gt;="&amp;$B$3,Programação!$N$5:$N$1004,"&lt;="&amp;$B$4,Programação!$N$5:$N$1004,"&lt;"&amp;TODAY(),Programação!$Z$5:$Z$1004,0,Programação!$P$5:$P$1004,"&lt;&gt;Cancelada"))</f>
        <v>0</v>
      </c>
      <c r="F66" s="65" t="n">
        <f aca="false">IF($A66="","",COUNTIFS(Programação!$G$5:$G$1004,$A66,Programação!$N$5:$N$1004,"&gt;="&amp;$B$3,Programação!$N$5:$N$1004,"&lt;="&amp;$B$4,Programação!$H$5:$H$1004,"Extra",Programação!$P$5:$P$1004,"&lt;&gt;Cancelada"))</f>
        <v>0</v>
      </c>
    </row>
    <row r="67" customFormat="false" ht="15.75" hidden="false" customHeight="true" outlineLevel="0" collapsed="false">
      <c r="A67" s="26" t="str">
        <f aca="false">IF(Listas!C9="","",Listas!C9)</f>
        <v>Inspeção</v>
      </c>
      <c r="B67" s="65" t="n">
        <f aca="false">IF($A67="","",COUNTIFS(Programação!$G$5:$G$1004,$A67,Programação!$N$5:$N$1004,"&gt;="&amp;$B$3,Programação!$N$5:$N$1004,"&lt;="&amp;$B$4,Programação!$P$5:$P$1004,"&lt;&gt;Cancelada",Programação!$H$5:$H$1004,"&lt;&gt;Extra"))</f>
        <v>0</v>
      </c>
      <c r="C67" s="65" t="n">
        <f aca="false">IF($A67="","",SUMIFS(Programação!$Z$5:$Z$1004,Programação!$G$5:$G$1004,$A67,Programação!$N$5:$N$1004,"&gt;="&amp;$B$3,Programação!$N$5:$N$1004,"&lt;="&amp;$B$4,Programação!$H$5:$H$1004,"&lt;&gt;Extra"))</f>
        <v>0</v>
      </c>
      <c r="D67" s="66" t="str">
        <f aca="false">IF(OR($A67="",$B67=0),"",$C67/$B67)</f>
        <v/>
      </c>
      <c r="E67" s="65" t="n">
        <f aca="true">IF($A67="","",COUNTIFS(Programação!$G$5:$G$1004,$A67,Programação!$N$5:$N$1004,"&gt;="&amp;$B$3,Programação!$N$5:$N$1004,"&lt;="&amp;$B$4,Programação!$N$5:$N$1004,"&lt;"&amp;TODAY(),Programação!$Z$5:$Z$1004,0,Programação!$P$5:$P$1004,"&lt;&gt;Cancelada"))</f>
        <v>0</v>
      </c>
      <c r="F67" s="65" t="n">
        <f aca="false">IF($A67="","",COUNTIFS(Programação!$G$5:$G$1004,$A67,Programação!$N$5:$N$1004,"&gt;="&amp;$B$3,Programação!$N$5:$N$1004,"&lt;="&amp;$B$4,Programação!$H$5:$H$1004,"Extra",Programação!$P$5:$P$1004,"&lt;&gt;Cancelada"))</f>
        <v>0</v>
      </c>
    </row>
    <row r="68" customFormat="false" ht="15.75" hidden="false" customHeight="true" outlineLevel="0" collapsed="false">
      <c r="A68" s="26" t="str">
        <f aca="false">IF(Listas!C10="","",Listas!C10)</f>
        <v/>
      </c>
      <c r="B68" s="65" t="str">
        <f aca="false">IF($A68="","",COUNTIFS(Programação!$G$5:$G$1004,$A68,Programação!$N$5:$N$1004,"&gt;="&amp;$B$3,Programação!$N$5:$N$1004,"&lt;="&amp;$B$4,Programação!$P$5:$P$1004,"&lt;&gt;Cancelada",Programação!$H$5:$H$1004,"&lt;&gt;Extra"))</f>
        <v/>
      </c>
      <c r="C68" s="65" t="str">
        <f aca="false">IF($A68="","",SUMIFS(Programação!$Z$5:$Z$1004,Programação!$G$5:$G$1004,$A68,Programação!$N$5:$N$1004,"&gt;="&amp;$B$3,Programação!$N$5:$N$1004,"&lt;="&amp;$B$4,Programação!$H$5:$H$1004,"&lt;&gt;Extra"))</f>
        <v/>
      </c>
      <c r="D68" s="66" t="str">
        <f aca="false">IF(OR($A68="",$B68=0),"",$C68/$B68)</f>
        <v/>
      </c>
      <c r="E68" s="65" t="str">
        <f aca="true">IF($A68="","",COUNTIFS(Programação!$G$5:$G$1004,$A68,Programação!$N$5:$N$1004,"&gt;="&amp;$B$3,Programação!$N$5:$N$1004,"&lt;="&amp;$B$4,Programação!$N$5:$N$1004,"&lt;"&amp;TODAY(),Programação!$Z$5:$Z$1004,0,Programação!$P$5:$P$1004,"&lt;&gt;Cancelada"))</f>
        <v/>
      </c>
      <c r="F68" s="65" t="str">
        <f aca="false">IF($A68="","",COUNTIFS(Programação!$G$5:$G$1004,$A68,Programação!$N$5:$N$1004,"&gt;="&amp;$B$3,Programação!$N$5:$N$1004,"&lt;="&amp;$B$4,Programação!$H$5:$H$1004,"Extra",Programação!$P$5:$P$1004,"&lt;&gt;Cancelada"))</f>
        <v/>
      </c>
    </row>
    <row r="69" customFormat="false" ht="15.75" hidden="false" customHeight="true" outlineLevel="0" collapsed="false">
      <c r="A69" s="26" t="str">
        <f aca="false">IF(Listas!C11="","",Listas!C11)</f>
        <v/>
      </c>
      <c r="B69" s="65" t="str">
        <f aca="false">IF($A69="","",COUNTIFS(Programação!$G$5:$G$1004,$A69,Programação!$N$5:$N$1004,"&gt;="&amp;$B$3,Programação!$N$5:$N$1004,"&lt;="&amp;$B$4,Programação!$P$5:$P$1004,"&lt;&gt;Cancelada",Programação!$H$5:$H$1004,"&lt;&gt;Extra"))</f>
        <v/>
      </c>
      <c r="C69" s="65" t="str">
        <f aca="false">IF($A69="","",SUMIFS(Programação!$Z$5:$Z$1004,Programação!$G$5:$G$1004,$A69,Programação!$N$5:$N$1004,"&gt;="&amp;$B$3,Programação!$N$5:$N$1004,"&lt;="&amp;$B$4,Programação!$H$5:$H$1004,"&lt;&gt;Extra"))</f>
        <v/>
      </c>
      <c r="D69" s="66" t="str">
        <f aca="false">IF(OR($A69="",$B69=0),"",$C69/$B69)</f>
        <v/>
      </c>
      <c r="E69" s="65" t="str">
        <f aca="true">IF($A69="","",COUNTIFS(Programação!$G$5:$G$1004,$A69,Programação!$N$5:$N$1004,"&gt;="&amp;$B$3,Programação!$N$5:$N$1004,"&lt;="&amp;$B$4,Programação!$N$5:$N$1004,"&lt;"&amp;TODAY(),Programação!$Z$5:$Z$1004,0,Programação!$P$5:$P$1004,"&lt;&gt;Cancelada"))</f>
        <v/>
      </c>
      <c r="F69" s="65" t="str">
        <f aca="false">IF($A69="","",COUNTIFS(Programação!$G$5:$G$1004,$A69,Programação!$N$5:$N$1004,"&gt;="&amp;$B$3,Programação!$N$5:$N$1004,"&lt;="&amp;$B$4,Programação!$H$5:$H$1004,"Extra",Programação!$P$5:$P$1004,"&lt;&gt;Cancelada"))</f>
        <v/>
      </c>
    </row>
  </sheetData>
  <mergeCells count="26">
    <mergeCell ref="A1:M1"/>
    <mergeCell ref="C3:M3"/>
    <mergeCell ref="C4:M4"/>
    <mergeCell ref="A6:B9"/>
    <mergeCell ref="C6:M9"/>
    <mergeCell ref="C11:M11"/>
    <mergeCell ref="C12:M12"/>
    <mergeCell ref="C13:M13"/>
    <mergeCell ref="C14:M14"/>
    <mergeCell ref="C15:M15"/>
    <mergeCell ref="C16:M16"/>
    <mergeCell ref="C17:M17"/>
    <mergeCell ref="C18:M18"/>
    <mergeCell ref="C19:M19"/>
    <mergeCell ref="C20:M20"/>
    <mergeCell ref="C21:M21"/>
    <mergeCell ref="C22:M22"/>
    <mergeCell ref="C23:M23"/>
    <mergeCell ref="C24:M24"/>
    <mergeCell ref="C25:M25"/>
    <mergeCell ref="C26:M26"/>
    <mergeCell ref="C27:M27"/>
    <mergeCell ref="C28:M28"/>
    <mergeCell ref="A31:F31"/>
    <mergeCell ref="H31:M31"/>
    <mergeCell ref="A61:F61"/>
  </mergeCells>
  <conditionalFormatting sqref="B20">
    <cfRule type="cellIs" priority="2" operator="greaterThan" aboveAverage="0" equalAverage="0" bottom="0" percent="0" rank="0" text="" dxfId="26">
      <formula>0</formula>
    </cfRule>
  </conditionalFormatting>
  <conditionalFormatting sqref="B14">
    <cfRule type="cellIs" priority="3" operator="greaterThanOrEqual" aboveAverage="0" equalAverage="0" bottom="0" percent="0" rank="0" text="" dxfId="27">
      <formula>0.85</formula>
    </cfRule>
    <cfRule type="cellIs" priority="4" operator="lessThan" aboveAverage="0" equalAverage="0" bottom="0" percent="0" rank="0" text="" dxfId="28">
      <formula>0.6</formula>
    </cfRule>
  </conditionalFormatting>
  <conditionalFormatting sqref="B16">
    <cfRule type="cellIs" priority="5" operator="greaterThanOrEqual" aboveAverage="0" equalAverage="0" bottom="0" percent="0" rank="0" text="" dxfId="27">
      <formula>0.85</formula>
    </cfRule>
    <cfRule type="cellIs" priority="6" operator="lessThan" aboveAverage="0" equalAverage="0" bottom="0" percent="0" rank="0" text="" dxfId="28">
      <formula>0.6</formula>
    </cfRule>
  </conditionalFormatting>
  <conditionalFormatting sqref="B19">
    <cfRule type="cellIs" priority="7" operator="greaterThanOrEqual" aboveAverage="0" equalAverage="0" bottom="0" percent="0" rank="0" text="" dxfId="27">
      <formula>0.85</formula>
    </cfRule>
    <cfRule type="cellIs" priority="8" operator="lessThan" aboveAverage="0" equalAverage="0" bottom="0" percent="0" rank="0" text="" dxfId="28">
      <formula>0.6</formula>
    </cfRule>
  </conditionalFormatting>
  <conditionalFormatting sqref="A6">
    <cfRule type="cellIs" priority="9" operator="greaterThanOrEqual" aboveAverage="0" equalAverage="0" bottom="0" percent="0" rank="0" text="" dxfId="29">
      <formula>0.85</formula>
    </cfRule>
    <cfRule type="cellIs" priority="10" operator="lessThan" aboveAverage="0" equalAverage="0" bottom="0" percent="0" rank="0" text="" dxfId="30">
      <formula>0.6</formula>
    </cfRule>
  </conditionalFormatting>
  <conditionalFormatting sqref="F33:F47">
    <cfRule type="cellIs" priority="11" operator="greaterThan" aboveAverage="0" equalAverage="0" bottom="0" percent="0" rank="0" text="" dxfId="31">
      <formula>0</formula>
    </cfRule>
  </conditionalFormatting>
  <conditionalFormatting sqref="D33:D47">
    <cfRule type="cellIs" priority="12" operator="greaterThanOrEqual" aboveAverage="0" equalAverage="0" bottom="0" percent="0" rank="0" text="" dxfId="17">
      <formula>0.85</formula>
    </cfRule>
    <cfRule type="cellIs" priority="13" operator="lessThan" aboveAverage="0" equalAverage="0" bottom="0" percent="0" rank="0" text="" dxfId="16">
      <formula>0.6</formula>
    </cfRule>
  </conditionalFormatting>
  <conditionalFormatting sqref="E33:E47">
    <cfRule type="cellIs" priority="14" operator="greaterThan" aboveAverage="0" equalAverage="0" bottom="0" percent="0" rank="0" text="" dxfId="21">
      <formula>0</formula>
    </cfRule>
  </conditionalFormatting>
  <conditionalFormatting sqref="M33:M58">
    <cfRule type="cellIs" priority="15" operator="greaterThan" aboveAverage="0" equalAverage="0" bottom="0" percent="0" rank="0" text="" dxfId="31">
      <formula>0</formula>
    </cfRule>
  </conditionalFormatting>
  <conditionalFormatting sqref="K33:K58">
    <cfRule type="cellIs" priority="16" operator="greaterThanOrEqual" aboveAverage="0" equalAverage="0" bottom="0" percent="0" rank="0" text="" dxfId="17">
      <formula>0.85</formula>
    </cfRule>
    <cfRule type="cellIs" priority="17" operator="lessThan" aboveAverage="0" equalAverage="0" bottom="0" percent="0" rank="0" text="" dxfId="16">
      <formula>0.6</formula>
    </cfRule>
  </conditionalFormatting>
  <conditionalFormatting sqref="L33:L58">
    <cfRule type="cellIs" priority="18" operator="greaterThan" aboveAverage="0" equalAverage="0" bottom="0" percent="0" rank="0" text="" dxfId="21">
      <formula>0</formula>
    </cfRule>
  </conditionalFormatting>
  <conditionalFormatting sqref="F63:F69">
    <cfRule type="cellIs" priority="19" operator="greaterThan" aboveAverage="0" equalAverage="0" bottom="0" percent="0" rank="0" text="" dxfId="31">
      <formula>0</formula>
    </cfRule>
  </conditionalFormatting>
  <conditionalFormatting sqref="D63:D69">
    <cfRule type="cellIs" priority="20" operator="greaterThanOrEqual" aboveAverage="0" equalAverage="0" bottom="0" percent="0" rank="0" text="" dxfId="17">
      <formula>0.85</formula>
    </cfRule>
    <cfRule type="cellIs" priority="21" operator="lessThan" aboveAverage="0" equalAverage="0" bottom="0" percent="0" rank="0" text="" dxfId="16">
      <formula>0.6</formula>
    </cfRule>
  </conditionalFormatting>
  <conditionalFormatting sqref="E63:E69">
    <cfRule type="cellIs" priority="22" operator="greaterThan" aboveAverage="0" equalAverage="0" bottom="0" percent="0" rank="0" text="" dxfId="21">
      <formula>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2026-08-27T00:41:03Z</dcterms:created>
  <dc:creator>openpyxl</dc:creator>
  <dc:description/>
  <dc:language>en-US</dc:language>
  <cp:lastModifiedBy/>
  <dcterms:modified xsi:type="dcterms:W3CDTF">2026-08-27T00:41:05Z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