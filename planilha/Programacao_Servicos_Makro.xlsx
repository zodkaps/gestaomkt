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  <sheet name="Movimentações" sheetId="7" state="visible" r:id="rId9"/>
  </sheets>
  <definedNames>
    <definedName function="false" hidden="false" localSheetId="5" name="_xlnm.Print_Area" vbProcedure="false">Aderência!$A$1:$M$121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6" name="_xlnm.Print_Area" vbProcedure="false">Movimentações!$A$1:$I$37</definedName>
    <definedName function="false" hidden="false" localSheetId="6" name="_xlnm.Print_Titles" vbProcedure="false">Movimentações!$1:$8</definedName>
    <definedName function="false" hidden="true" localSheetId="6" name="_xlnm._FilterDatabase" vbProcedure="false">Movimentações!$A$8:$I$308</definedName>
    <definedName function="false" hidden="false" localSheetId="3" name="_xlnm.Print_Area" vbProcedure="false">Programação!$A$1:$U$272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Semana!$A$1:$N$38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<sst xmlns="http://schemas.openxmlformats.org/spreadsheetml/2006/main" count="2556" uniqueCount="764">
  <si>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</si>
  <si>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</si>
  <si>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</si>
  <si>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</si>
  <si>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</si>
  <si>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</si>
  <si>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</si>
  <si>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</si>
  <si>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</si>
  <si>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</si>
  <si>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</si>
  <si>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</si>
  <si>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</si>
  <si>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</si>
  <si>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</si>
  <si>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</si>
  <si>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</si>
  <si>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</si>
  <si>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</si>
  <si>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</si>
  <si>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</si>
  <si>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</si>
  <si>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</si>
  <si>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</si>
  <si>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</si>
  <si>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</si>
  <si>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</si>
  <si>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</si>
  <si>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</si>
  <si>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</si>
  <si>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</si>
  <si>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</si>
  <si>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</si>
  <si>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</si>
  <si>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</si>
  <si>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</si>
  <si>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</si>
  <si>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</si>
  <si>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</si>
  <si>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</si>
  <si>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</si>
  <si>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</si>
  <si>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</si>
  <si>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</si>
  <si>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</si>
  <si>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</si>
  <si>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</si>
  <si>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</si>
  <si>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</si>
  <si>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</si>
  <si>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</si>
  <si>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</si>
  <si>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</si>
  <si>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</si>
  <si>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</si>
  <si>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</si>
  <si>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</si>
  <si>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</si>
  <si>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</si>
  <si>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</si>
  <si>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</si>
  <si>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</si>
  <si>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</si>
  <si>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</si>
  <si>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</si>
  <si>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</si>
  <si>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</si>
  <si>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</si>
  <si>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</si>
  <si>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</si>
  <si>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</si>
  <si>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</si>
  <si>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</si>
  <si>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</si>
  <si>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</si>
  <si>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</si>
  <si>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</si>
  <si>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</si>
  <si>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</si>
  <si>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</si>
  <si>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</si>
  <si>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</si>
  <si>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</si>
  <si>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</si>
  <si>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</si>
  <si>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</si>
  <si>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</si>
  <si>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</si>
  <si>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</si>
  <si>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</si>
  <si>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</si>
  <si>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</si>
  <si>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</si>
  <si>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</si>
  <si>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</si>
  <si>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</si>
  <si>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</si>
  <si>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</si>
  <si>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</si>
  <si>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</si>
  <si>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</si>
  <si>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</si>
  <si>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</si>
  <si>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</si>
  <si>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</si>
  <si>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</si>
  <si>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</si>
  <si>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</si>
  <si>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</si>
  <si>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</si>
  <si>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</si>
  <si>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</si>
  <si>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</si>
  <si>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</si>
  <si>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</si>
  <si>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</si>
  <si>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</si>
  <si>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</si>
  <si>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</si>
  <si>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</si>
  <si>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</si>
  <si>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</si>
  <si>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</si>
  <si>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</si>
  <si>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</si>
  <si>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</si>
  <si>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</si>
  <si>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</si>
  <si>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</si>
  <si>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</si>
  <si>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</si>
  <si>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</si>
  <si>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</si>
  <si>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</si>
  <si>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</si>
  <si>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Borracharia</t>
  </si>
  <si>
    <t xml:space="preserve">Oficina cheia</t>
  </si>
  <si>
    <t xml:space="preserve">Sáb</t>
  </si>
  <si>
    <t xml:space="preserve">Luiz Paulo</t>
  </si>
  <si>
    <t xml:space="preserve">F-326</t>
  </si>
  <si>
    <t xml:space="preserve">Mecânica</t>
  </si>
  <si>
    <t xml:space="preserve">Aguardando terceiro</t>
  </si>
  <si>
    <t xml:space="preserve">Dom</t>
  </si>
  <si>
    <t xml:space="preserve">Terceirizada</t>
  </si>
  <si>
    <t xml:space="preserve">F-327</t>
  </si>
  <si>
    <t xml:space="preserve">Não classificado</t>
  </si>
  <si>
    <t xml:space="preserve">Box bloqueado</t>
  </si>
  <si>
    <t xml:space="preserve">Thawan</t>
  </si>
  <si>
    <t xml:space="preserve">F-328</t>
  </si>
  <si>
    <t xml:space="preserve">Frota não chegou na oficina</t>
  </si>
  <si>
    <t xml:space="preserve">ASX (externo)</t>
  </si>
  <si>
    <t xml:space="preserve">F-331</t>
  </si>
  <si>
    <t xml:space="preserve">Faltou ferramenta</t>
  </si>
  <si>
    <t xml:space="preserve">Cardan Nordeste (externo)</t>
  </si>
  <si>
    <t xml:space="preserve">F-424</t>
  </si>
  <si>
    <t xml:space="preserve">Serviço extra entrou na frente</t>
  </si>
  <si>
    <t xml:space="preserve">Eduardo da sticker (externo)</t>
  </si>
  <si>
    <t xml:space="preserve">F-425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</si>
  <si>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</si>
  <si>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</si>
  <si>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</si>
  <si>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</si>
  <si>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</si>
  <si>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</si>
  <si>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F-580</t>
  </si>
  <si>
    <t xml:space="preserve">F-614</t>
  </si>
  <si>
    <t xml:space="preserve">F-616</t>
  </si>
  <si>
    <t xml:space="preserve">F-617</t>
  </si>
  <si>
    <t xml:space="preserve">F-618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</si>
  <si>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</si>
  <si>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</si>
  <si>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</si>
  <si>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</si>
  <si>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</si>
  <si>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</si>
  <si>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</si>
  <si>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</si>
  <si>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</si>
  <si>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</si>
  <si>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</si>
  <si>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</si>
  <si>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F-848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</si>
  <si>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</si>
  <si>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</si>
  <si>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</si>
  <si>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</si>
  <si>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</si>
  <si>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</si>
  <si>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Não informada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</si>
  <si>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</si>
  <si>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</si>
  <si>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</si>
  <si>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</si>
  <si>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</si>
  <si>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</si>
  <si>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</si>
  <si>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</si>
  <si>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</si>
  <si>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</si>
  <si>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</si>
  <si>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</si>
  <si>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</si>
  <si>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</si>
  <si>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</si>
  <si>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</si>
  <si>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</si>
  <si>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</si>
  <si>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</si>
  <si>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</si>
  <si>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</si>
  <si>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</si>
  <si>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</si>
  <si>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</si>
  <si>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</si>
  <si>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</si>
  <si>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</si>
  <si>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</si>
  <si>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</si>
  <si>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</si>
  <si>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</si>
  <si>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</si>
  <si>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</si>
  <si>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</si>
  <si>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</si>
  <si>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</si>
  <si>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</si>
  <si>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</si>
  <si>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</si>
  <si>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</si>
  <si>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</si>
  <si>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</si>
  <si>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</si>
  <si>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</si>
  <si>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</si>
  <si>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</si>
  <si>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</si>
  <si>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</si>
  <si>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</si>
  <si>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</si>
  <si>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</si>
  <si>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</si>
  <si>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</si>
  <si>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</si>
  <si>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</si>
  <si>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</si>
  <si>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</si>
  <si>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</si>
  <si>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</si>
  <si>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</si>
  <si>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</si>
  <si>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</si>
  <si>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</si>
  <si>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</si>
  <si>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</si>
  <si>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</si>
  <si>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</si>
  <si>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</si>
  <si>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</si>
  <si>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</si>
  <si>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</si>
  <si>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</si>
  <si>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</si>
  <si>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</si>
  <si>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</si>
  <si>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</si>
  <si>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</si>
  <si>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</si>
  <si>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</si>
  <si>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</si>
  <si>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</si>
  <si>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</si>
  <si>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</si>
  <si>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</si>
  <si>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</si>
  <si>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</si>
  <si>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</si>
  <si>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</si>
  <si>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</si>
  <si>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</si>
  <si>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</si>
  <si>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</si>
  <si>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</si>
  <si>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</si>
  <si>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</si>
  <si>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</si>
  <si>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</si>
  <si>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</si>
  <si>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</si>
  <si>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</si>
  <si>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</si>
  <si>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</si>
  <si>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</si>
  <si>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</si>
  <si>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</si>
  <si>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</si>
  <si>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</si>
  <si>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</si>
  <si>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</si>
  <si>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</si>
  <si>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</si>
  <si>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</si>
  <si>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</si>
  <si>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</si>
  <si>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</si>
  <si>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</si>
  <si>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</si>
  <si>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</si>
  <si>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</si>
  <si>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</si>
  <si>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</si>
  <si>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</si>
  <si>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</si>
  <si>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</si>
  <si>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</si>
  <si>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</si>
  <si>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</si>
  <si>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</si>
  <si>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</si>
  <si>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</si>
  <si>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</si>
  <si>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</si>
  <si>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</si>
  <si>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</si>
  <si>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</si>
  <si>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</si>
  <si>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</si>
  <si>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</si>
  <si>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</si>
  <si>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</si>
  <si>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</si>
  <si>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</si>
  <si>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</si>
  <si>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</si>
  <si>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</si>
  <si>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</si>
  <si>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</si>
  <si>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</si>
  <si>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</si>
  <si>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</si>
  <si>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</si>
  <si>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</si>
  <si>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</si>
  <si>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</si>
  <si>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</si>
  <si>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</si>
  <si>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</si>
  <si>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</si>
  <si>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</si>
  <si>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</si>
  <si>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</si>
  <si>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</si>
  <si>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</si>
  <si>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</si>
  <si>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</si>
  <si>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</si>
  <si>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</si>
  <si>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</si>
  <si>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</si>
  <si>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</si>
  <si>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</si>
  <si>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</si>
  <si>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</si>
  <si>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</si>
  <si>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</si>
  <si>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</si>
  <si>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</si>
  <si>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</si>
  <si>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</si>
  <si>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</si>
  <si>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</si>
  <si>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</si>
  <si>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</si>
  <si>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</si>
  <si>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</si>
  <si>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</si>
  <si>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</si>
  <si>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</si>
  <si>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</si>
  <si>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</si>
  <si>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</si>
  <si>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</si>
  <si>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</si>
  <si>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</si>
  <si>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</si>
  <si>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</si>
  <si>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</si>
  <si>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</si>
  <si>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07302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</si>
  <si>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</si>
  <si>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</si>
  <si>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07343</t>
  </si>
  <si>
    <t xml:space="preserve">Completar nível do líquido de arrefecimento (OS ABRIR OS · serviço interno Matriz)</t>
  </si>
  <si>
    <t xml:space="preserve">07344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</si>
  <si>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</si>
  <si>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</si>
  <si>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</si>
  <si>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</si>
  <si>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</si>
  <si>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007348</t>
  </si>
  <si>
    <t xml:space="preserve">Corrigir iluminação da luz de freio traseira LE e revisar demais luzes (OS ABRIR OS · serviço interno Matriz)</t>
  </si>
  <si>
    <t xml:space="preserve">007349</t>
  </si>
  <si>
    <t xml:space="preserve">Fixar módulo do motor, evitando excesso de vibração no mesmo (OS ABRIR OS · serviço interno Matriz)</t>
  </si>
  <si>
    <t xml:space="preserve">007350</t>
  </si>
  <si>
    <t xml:space="preserve">Fixar grade frontal LD (OS ABRIR OS · serviço interno Matriz)</t>
  </si>
  <si>
    <t xml:space="preserve">007351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</si>
  <si>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</si>
  <si>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</si>
  <si>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</si>
  <si>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007352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</si>
  <si>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</si>
  <si>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</si>
  <si>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</si>
  <si>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007353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</si>
  <si>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</si>
  <si>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</si>
  <si>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</si>
  <si>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007354</t>
  </si>
  <si>
    <t xml:space="preserve">Programar substituição das lonas de freio segundo eixo LD (OS ABRIR OS · serviço empresa especializada, programar próxima parada)</t>
  </si>
  <si>
    <t xml:space="preserve">007355</t>
  </si>
  <si>
    <t xml:space="preserve">Substituir farol LE avariado (OS ABRIR OS · 21035645 (realizar acompanhamento))</t>
  </si>
  <si>
    <t xml:space="preserve">007356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</si>
  <si>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</si>
  <si>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</si>
  <si>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</si>
  <si>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007357</t>
  </si>
  <si>
    <t xml:space="preserve">Fixar farol LD (OS ABRIR OS · serviço interno Matriz)</t>
  </si>
  <si>
    <t xml:space="preserve">007358</t>
  </si>
  <si>
    <t xml:space="preserve">Substituir farol de neblina LE avariado (OS ABRIR OS · 21297918 (acompanhamento))</t>
  </si>
  <si>
    <t xml:space="preserve">007359</t>
  </si>
  <si>
    <t xml:space="preserve">Substituir paralama traseiro LE avariado (OS ABRIR OS · 812975614 (acompanhamento))</t>
  </si>
  <si>
    <t xml:space="preserve">007360</t>
  </si>
  <si>
    <t xml:space="preserve">Retirar mangueiras não utilizadas do rodoar (OS ABRIR OS · serviço interno Matriz)</t>
  </si>
  <si>
    <t xml:space="preserve">007361</t>
  </si>
  <si>
    <t xml:space="preserve">Corrigir fixação do friso do para-sol LE (OS ABRIR OS · serviço interno Matriz)</t>
  </si>
  <si>
    <t xml:space="preserve">007362</t>
  </si>
  <si>
    <t xml:space="preserve">Corrigir e isolar fiação de iluminação do reboque exposta (OS ABRIR OS · serviço interno Matriz)</t>
  </si>
  <si>
    <t xml:space="preserve">007363</t>
  </si>
  <si>
    <t xml:space="preserve">Corrigir iluminação interna das portas LE e LD (OS ABRIR OS · serviço interno Matriz)</t>
  </si>
  <si>
    <t xml:space="preserve">007364</t>
  </si>
  <si>
    <t xml:space="preserve">Repor acabamento do alto-falante da porta LD (OS ABRIR OS · 20732048)</t>
  </si>
  <si>
    <t xml:space="preserve">Trocar parabrisa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</si>
  <si>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</si>
  <si>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</si>
  <si>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</si>
  <si>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</si>
  <si>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</si>
  <si>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</si>
  <si>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021390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</si>
  <si>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</si>
  <si>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</si>
  <si>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</si>
  <si>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</si>
  <si>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</si>
  <si>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</si>
  <si>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</si>
  <si>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</si>
  <si>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</si>
  <si>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</si>
  <si>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</si>
  <si>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</si>
  <si>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</si>
  <si>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</si>
  <si>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</si>
  <si>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</si>
  <si>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</si>
  <si>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</si>
  <si>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</si>
  <si>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</si>
  <si>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</si>
  <si>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</si>
  <si>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</si>
  <si>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</si>
  <si>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</si>
  <si>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</si>
  <si>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</si>
  <si>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</si>
  <si>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</si>
  <si>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</si>
  <si>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</si>
  <si>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</si>
  <si>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</si>
  <si>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</si>
  <si>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</si>
  <si>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</si>
  <si>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</si>
  <si>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</si>
  <si>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</si>
  <si>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</si>
  <si>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</si>
  <si>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</si>
  <si>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</si>
  <si>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</si>
  <si>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</si>
  <si>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</si>
  <si>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</si>
  <si>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</si>
  <si>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</si>
  <si>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</si>
  <si>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</si>
  <si>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</si>
  <si>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</si>
  <si>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</si>
  <si>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</si>
  <si>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</si>
  <si>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</si>
  <si>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</si>
  <si>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</si>
  <si>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</si>
  <si>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</si>
  <si>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</si>
  <si>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</si>
  <si>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</si>
  <si>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</si>
  <si>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</si>
  <si>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</si>
  <si>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</si>
  <si>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</si>
  <si>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7290</t>
  </si>
  <si>
    <t xml:space="preserve">Instalar parabrisa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</si>
  <si>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</si>
  <si>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</si>
  <si>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</si>
  <si>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</si>
  <si>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</si>
  <si>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</si>
  <si>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</si>
  <si>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Pendências de inspeção</t>
  </si>
  <si>
    <t xml:space="preserve">Substituir pneu 1º eixo LE devido desgaste</t>
  </si>
  <si>
    <t xml:space="preserve">Apenas HH</t>
  </si>
  <si>
    <t xml:space="preserve">007306</t>
  </si>
  <si>
    <t xml:space="preserve">Lubrificar graxeiros da quinta roda entre os bitrens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</si>
  <si>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</si>
  <si>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</si>
  <si>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</si>
  <si>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</si>
  <si>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</si>
  <si>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</si>
  <si>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</si>
  <si>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</si>
  <si>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</si>
  <si>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</si>
  <si>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</si>
  <si>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</si>
  <si>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</si>
  <si>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</si>
  <si>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</si>
  <si>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</si>
  <si>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</si>
  <si>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</si>
  <si>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</si>
  <si>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</si>
  <si>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</si>
  <si>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</si>
  <si>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</si>
  <si>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</si>
  <si>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</si>
  <si>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</si>
  <si>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</si>
  <si>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</si>
  <si>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</si>
  <si>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</si>
  <si>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</si>
  <si>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</si>
  <si>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</si>
  <si>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</si>
  <si>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</si>
  <si>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Substituir vareta de nível de óleo avariada</t>
  </si>
  <si>
    <t xml:space="preserve">021402</t>
  </si>
  <si>
    <t xml:space="preserve">Substituir junta da tampa de válvulas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</si>
  <si>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</si>
  <si>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</si>
  <si>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</si>
  <si>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</si>
  <si>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</si>
  <si>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 (horizontais traseiros e verticais dianteiros)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</si>
  <si>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</si>
  <si>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</si>
  <si>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</si>
  <si>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</si>
  <si>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</si>
  <si>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</si>
  <si>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</si>
  <si>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</si>
  <si>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</si>
  <si>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</si>
  <si>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</si>
  <si>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</si>
  <si>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</si>
  <si>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Fixar módulo do motor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</si>
  <si>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</si>
  <si>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</si>
  <si>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</si>
  <si>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</si>
  <si>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</si>
  <si>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</si>
  <si>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</si>
  <si>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</si>
  <si>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</si>
  <si>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</si>
  <si>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</si>
  <si>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</si>
  <si>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</si>
  <si>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</si>
  <si>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</si>
  <si>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Corrigir iluminação interna da cabine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</si>
  <si>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</si>
  <si>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</si>
  <si>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</si>
  <si>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</si>
  <si>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</si>
  <si>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</si>
  <si>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</si>
  <si>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</si>
  <si>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</si>
  <si>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</si>
  <si>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</si>
  <si>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</si>
  <si>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</si>
  <si>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</si>
  <si>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</si>
  <si>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</si>
  <si>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</si>
  <si>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</si>
  <si>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</si>
  <si>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</si>
  <si>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</si>
  <si>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</si>
  <si>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</si>
  <si>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</si>
  <si>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</si>
  <si>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</si>
  <si>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</si>
  <si>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</si>
  <si>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</si>
  <si>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Programação 02/09</t>
  </si>
  <si>
    <t xml:space="preserve">Verificar fechamento das portas LD e LE</t>
  </si>
  <si>
    <t xml:space="preserve">Origem: WhatsApp 02/09</t>
  </si>
  <si>
    <t xml:space="preserve">Borracharia 02/09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</si>
  <si>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</si>
  <si>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</si>
  <si>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</si>
  <si>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</si>
  <si>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</si>
  <si>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</si>
  <si>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Rentaf</t>
  </si>
  <si>
    <t xml:space="preserve">Atuação / manutenção na frota F-580</t>
  </si>
  <si>
    <t xml:space="preserve">Local: Externo / Rentaf · Origem: WhatsApp 02/09</t>
  </si>
  <si>
    <t xml:space="preserve">Extra 02/09</t>
  </si>
  <si>
    <t xml:space="preserve">Verificar painel queimado</t>
  </si>
  <si>
    <t xml:space="preserve">EXTRA PROGRAMADO · ⚠️ VERIFICAR a frota: a mensagem diz 424 e a lista tem F-425 · Origem: WhatsApp 02/09</t>
  </si>
  <si>
    <t xml:space="preserve">Verificar falha na embreagem ativa</t>
  </si>
  <si>
    <t xml:space="preserve">EXTRA PROGRAMADO · Origem: WhatsApp 02/09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</si>
  <si>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</si>
  <si>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</si>
  <si>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troca dos pneus</t>
  </si>
  <si>
    <t xml:space="preserve">Trocar pneus dianteiros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</si>
  <si>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</si>
  <si>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</si>
  <si>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</si>
  <si>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</si>
  <si>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</si>
  <si>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</si>
  <si>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</si>
  <si>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</si>
  <si>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</si>
  <si>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</si>
  <si>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</si>
  <si>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</si>
  <si>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</si>
  <si>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</si>
  <si>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</si>
  <si>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</si>
  <si>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</si>
  <si>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</si>
  <si>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</si>
  <si>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</si>
  <si>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</si>
  <si>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</si>
  <si>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</si>
  <si>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</si>
  <si>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</si>
  <si>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</si>
  <si>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</si>
  <si>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</si>
  <si>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</si>
  <si>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</si>
  <si>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</si>
  <si>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</si>
  <si>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</si>
  <si>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</si>
  <si>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</si>
  <si>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</si>
  <si>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</si>
  <si>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</si>
  <si>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</si>
  <si>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</si>
  <si>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</si>
  <si>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</si>
  <si>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</si>
  <si>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</si>
  <si>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</si>
  <si>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</si>
  <si>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</si>
  <si>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</si>
  <si>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</si>
  <si>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</si>
  <si>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</si>
  <si>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</si>
  <si>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</si>
  <si>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</si>
  <si>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</si>
  <si>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</si>
  <si>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</si>
  <si>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</si>
  <si>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</si>
  <si>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</si>
  <si>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</si>
  <si>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</si>
  <si>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</si>
  <si>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</si>
  <si>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</si>
  <si>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</si>
  <si>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</si>
  <si>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</si>
  <si>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</si>
  <si>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</si>
  <si>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</si>
  <si>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</si>
  <si>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</si>
  <si>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</si>
  <si>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</si>
  <si>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</si>
  <si>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</si>
  <si>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</si>
  <si>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</si>
  <si>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</si>
  <si>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</si>
  <si>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</si>
  <si>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</si>
  <si>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</si>
  <si>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</si>
  <si>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</si>
  <si>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</si>
  <si>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</si>
  <si>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</si>
  <si>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</si>
  <si>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</si>
  <si>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</si>
  <si>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</si>
  <si>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</si>
  <si>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</si>
  <si>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</si>
  <si>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</si>
  <si>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</si>
  <si>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</si>
  <si>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</si>
  <si>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</si>
  <si>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</si>
  <si>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</si>
  <si>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</si>
  <si>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</si>
  <si>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</si>
  <si>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⚠️ informar o fornecedor</t>
  </si>
  <si>
    <t xml:space="preserve">⚠️ informar para que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</si>
</sst>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sz val="11"/>
      <color rgb="FF14181F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1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A6AEBC"/>
      <rgbColor rgb="FFF4F9FF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F2F4F8"/>
      <rgbColor rgb="FFE7EEFB"/>
      <rgbColor rgb="FFE6E9EF"/>
      <rgbColor rgb="FFFDF0D8"/>
      <rgbColor rgb="FFFDE4E7"/>
      <rgbColor rgb="FFEEF1F7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91</c:v>
                </c:pt>
                <c:pt idx="1">
                  <c:v>13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25</c:v>
                </c:pt>
                <c:pt idx="1">
                  <c:v>1</c:v>
                </c:pt>
              </c:numCache>
            </c:numRef>
          </c:val>
        </c:ser>
        <c:gapWidth val="60"/>
        <c:overlap val="-15"/>
        <c:axId val="63776435"/>
        <c:axId val="64214185"/>
      </c:barChart>
      <c:catAx>
        <c:axId val="637764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4214185"/>
        <c:crosses val="autoZero"/>
        <c:auto val="1"/>
        <c:lblAlgn val="ctr"/>
        <c:lblOffset val="100"/>
        <c:noMultiLvlLbl val="0"/>
      </c:catAx>
      <c:valAx>
        <c:axId val="6421418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37764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26</c:v>
                </c:pt>
                <c:pt idx="1">
                  <c:v>67</c:v>
                </c:pt>
                <c:pt idx="2">
                  <c:v>11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88023803"/>
        <c:axId val="50282054"/>
      </c:barChart>
      <c:catAx>
        <c:axId val="880238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0282054"/>
        <c:crosses val="autoZero"/>
        <c:auto val="1"/>
        <c:lblAlgn val="ctr"/>
        <c:lblOffset val="100"/>
        <c:noMultiLvlLbl val="0"/>
      </c:catAx>
      <c:valAx>
        <c:axId val="5028205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80238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46267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0.833829153947581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46267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40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35</v>
      </c>
      <c r="B6" s="13"/>
      <c r="C6" s="14" t="n">
        <f aca="false">SUMIFS(Programação!$AB$5:$AB$1004,Programação!$P$5:$P$1004,$C$3,Programação!$V$5:$V$1004,"Interna",Programação!$R$5:$R$1004,"&lt;&gt;Cancelada")</f>
        <v>3</v>
      </c>
      <c r="D6" s="15" t="n">
        <f aca="false">IF($A$6=0,"",$C$6/$A$6)</f>
        <v>0.0857142857142857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38</v>
      </c>
      <c r="G6" s="16"/>
      <c r="H6" s="17" t="n">
        <f aca="false">COUNTIFS(Programação!$P$5:$P$1004,"&lt;"&amp;$C$3,Programação!$AB$5:$AB$1004,0,Programação!$R$5:$R$1004,"&lt;&gt;Cancelada",Programação!$V$5:$V$1004,"Interna")</f>
        <v>40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1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Motor esguicho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46267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34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Mola gás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46267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35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Lamina d'agua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46267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Mola do pedal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46267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Interruptor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46267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38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Trocar tanque de combustivel com vazamento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Alinhar pneus</v>
      </c>
      <c r="C16" s="22" t="str">
        <f aca="false">IF($L$3&lt;7,"",INDEX(Programação!$F$5:$F$1004,MATCH(7,Programação!$AE$5:$AE$1004,0)))</f>
        <v>Realizar alinhamento</v>
      </c>
      <c r="D16" s="21" t="str">
        <f aca="false">IF($L$3&lt;7,"",INDEX(Programação!$AG$5:$AG$1004,MATCH(7,Programação!$AE$5:$AE$1004,0)))</f>
        <v>Airton · Luiz Paulo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Concluída</v>
      </c>
      <c r="H16" s="23" t="n">
        <f aca="false">IF($L$3&lt;7,"",IF(INDEX(Programação!$Q$5:$Q$1004,MATCH(7,Programação!$AE$5:$AE$1004,0))="","",INDEX(Programação!$Q$5:$Q$1004,MATCH(7,Programação!$AE$5:$AE$1004,0))))</f>
        <v>46265</v>
      </c>
      <c r="I16" s="20" t="n">
        <f aca="false">IF($L$3&lt;7,"",MATCH(7,Programação!$AE$5:$AE$1004,0)+4)</f>
        <v>40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F-815</v>
      </c>
      <c r="B17" s="21" t="str">
        <f aca="false">IF($L$3&lt;8,"",INDEX(Programação!$E$5:$E$1004,MATCH(8,Programação!$AE$5:$AE$1004,0)))</f>
        <v>Baixa de pendências backlog</v>
      </c>
      <c r="C17" s="22" t="str">
        <f aca="false">IF($L$3&lt;8,"",INDEX(Programação!$F$5:$F$1004,MATCH(8,Programação!$AE$5:$AE$1004,0)))</f>
        <v>Substituir vedação dos pescadores do tanque LD e LE devido vazamento (20732301 (2 unidades) (acompanhamento))</v>
      </c>
      <c r="D17" s="21" t="str">
        <f aca="false">IF($L$3&lt;8,"",INDEX(Programação!$AG$5:$AG$1004,MATCH(8,Programação!$AE$5:$AE$1004,0)))</f>
        <v>Heliton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121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F-815</v>
      </c>
      <c r="B18" s="21" t="str">
        <f aca="false">IF($L$3&lt;9,"",INDEX(Programação!$E$5:$E$1004,MATCH(9,Programação!$AE$5:$AE$1004,0)))</f>
        <v>Baixa de pendências backlog</v>
      </c>
      <c r="C18" s="22" t="str">
        <f aca="false">IF($L$3&lt;9,"",INDEX(Programação!$F$5:$F$1004,MATCH(9,Programação!$AE$5:$AE$1004,0)))</f>
        <v>Repor tampa do reservatório do limpador de parabrisas (OS 7164 · 24425399)</v>
      </c>
      <c r="D18" s="21" t="str">
        <f aca="false">IF($L$3&lt;9,"",INDEX(Programação!$AG$5:$AG$1004,MATCH(9,Programação!$AE$5:$AE$1004,0)))</f>
        <v>Heliton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Fecha neste dia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122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F-815</v>
      </c>
      <c r="B19" s="21" t="str">
        <f aca="false">IF($L$3&lt;10,"",INDEX(Programação!$E$5:$E$1004,MATCH(10,Programação!$AE$5:$AE$1004,0)))</f>
        <v>Baixa de pendências backlog</v>
      </c>
      <c r="C19" s="22" t="str">
        <f aca="false">IF($L$3&lt;10,"",INDEX(Programação!$F$5:$F$1004,MATCH(10,Programação!$AE$5:$AE$1004,0)))</f>
        <v>Fixar farol LD (OS ABRIR OS · serviço interno Matriz)</v>
      </c>
      <c r="D19" s="21" t="str">
        <f aca="false">IF($L$3&lt;10,"",INDEX(Programação!$AG$5:$AG$1004,MATCH(10,Programação!$AE$5:$AE$1004,0)))</f>
        <v>Alexandre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Fecha neste dia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123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F-815</v>
      </c>
      <c r="B20" s="21" t="str">
        <f aca="false">IF($L$3&lt;11,"",INDEX(Programação!$E$5:$E$1004,MATCH(11,Programação!$AE$5:$AE$1004,0)))</f>
        <v>Baixa de pendências backlog</v>
      </c>
      <c r="C20" s="22" t="str">
        <f aca="false">IF($L$3&lt;11,"",INDEX(Programação!$F$5:$F$1004,MATCH(11,Programação!$AE$5:$AE$1004,0)))</f>
        <v>Substituir farol de neblina LE avariado (OS ABRIR OS · 21297918 (acompanhamento))</v>
      </c>
      <c r="D20" s="21" t="str">
        <f aca="false">IF($L$3&lt;11,"",INDEX(Programação!$AG$5:$AG$1004,MATCH(11,Programação!$AE$5:$AE$1004,0)))</f>
        <v>Alexandre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Fecha neste dia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124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F-815</v>
      </c>
      <c r="B21" s="21" t="str">
        <f aca="false">IF($L$3&lt;12,"",INDEX(Programação!$E$5:$E$1004,MATCH(12,Programação!$AE$5:$AE$1004,0)))</f>
        <v>Baixa de pendências backlog</v>
      </c>
      <c r="C21" s="22" t="str">
        <f aca="false">IF($L$3&lt;12,"",INDEX(Programação!$F$5:$F$1004,MATCH(12,Programação!$AE$5:$AE$1004,0)))</f>
        <v>Substituir paralama traseiro LE avariado (OS ABRIR OS · 812975614 (acompanhamento))</v>
      </c>
      <c r="D21" s="21" t="str">
        <f aca="false">IF($L$3&lt;12,"",INDEX(Programação!$AG$5:$AG$1004,MATCH(12,Programação!$AE$5:$AE$1004,0)))</f>
        <v>Heliton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125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F-815</v>
      </c>
      <c r="B22" s="21" t="str">
        <f aca="false">IF($L$3&lt;13,"",INDEX(Programação!$E$5:$E$1004,MATCH(13,Programação!$AE$5:$AE$1004,0)))</f>
        <v>Baixa de pendências backlog</v>
      </c>
      <c r="C22" s="22" t="str">
        <f aca="false">IF($L$3&lt;13,"",INDEX(Programação!$F$5:$F$1004,MATCH(13,Programação!$AE$5:$AE$1004,0)))</f>
        <v>Retirar mangueiras não utilizadas do rodoar (OS ABRIR OS · serviço interno Matriz)</v>
      </c>
      <c r="D22" s="21" t="str">
        <f aca="false">IF($L$3&lt;13,"",INDEX(Programação!$AG$5:$AG$1004,MATCH(13,Programação!$AE$5:$AE$1004,0)))</f>
        <v>Heliton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126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F-815</v>
      </c>
      <c r="B23" s="21" t="str">
        <f aca="false">IF($L$3&lt;14,"",INDEX(Programação!$E$5:$E$1004,MATCH(14,Programação!$AE$5:$AE$1004,0)))</f>
        <v>Baixa de pendências backlog</v>
      </c>
      <c r="C23" s="22" t="str">
        <f aca="false">IF($L$3&lt;14,"",INDEX(Programação!$F$5:$F$1004,MATCH(14,Programação!$AE$5:$AE$1004,0)))</f>
        <v>Corrigir fixação do friso do para-sol LE (OS ABRIR OS · serviço interno Matriz)</v>
      </c>
      <c r="D23" s="21" t="str">
        <f aca="false">IF($L$3&lt;14,"",INDEX(Programação!$AG$5:$AG$1004,MATCH(14,Programação!$AE$5:$AE$1004,0)))</f>
        <v>Heliton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127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F-815</v>
      </c>
      <c r="B24" s="21" t="str">
        <f aca="false">IF($L$3&lt;15,"",INDEX(Programação!$E$5:$E$1004,MATCH(15,Programação!$AE$5:$AE$1004,0)))</f>
        <v>Baixa de pendências backlog</v>
      </c>
      <c r="C24" s="22" t="str">
        <f aca="false">IF($L$3&lt;15,"",INDEX(Programação!$F$5:$F$1004,MATCH(15,Programação!$AE$5:$AE$1004,0)))</f>
        <v>Corrigir e isolar fiação de iluminação do reboque exposta (OS ABRIR OS · serviço interno Matriz)</v>
      </c>
      <c r="D24" s="21" t="str">
        <f aca="false">IF($L$3&lt;15,"",INDEX(Programação!$AG$5:$AG$1004,MATCH(15,Programação!$AE$5:$AE$1004,0)))</f>
        <v>Alexandre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128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F-815</v>
      </c>
      <c r="B25" s="21" t="str">
        <f aca="false">IF($L$3&lt;16,"",INDEX(Programação!$E$5:$E$1004,MATCH(16,Programação!$AE$5:$AE$1004,0)))</f>
        <v>Baixa de pendências backlog</v>
      </c>
      <c r="C25" s="22" t="str">
        <f aca="false">IF($L$3&lt;16,"",INDEX(Programação!$F$5:$F$1004,MATCH(16,Programação!$AE$5:$AE$1004,0)))</f>
        <v>Corrigir iluminação interna das portas LE e LD (OS ABRIR OS · serviço interno Matriz)</v>
      </c>
      <c r="D25" s="21" t="str">
        <f aca="false">IF($L$3&lt;16,"",INDEX(Programação!$AG$5:$AG$1004,MATCH(16,Programação!$AE$5:$AE$1004,0)))</f>
        <v>Alexandre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46267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129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F-815</v>
      </c>
      <c r="B26" s="21" t="str">
        <f aca="false">IF($L$3&lt;17,"",INDEX(Programação!$E$5:$E$1004,MATCH(17,Programação!$AE$5:$AE$1004,0)))</f>
        <v>Baixa de pendências backlog</v>
      </c>
      <c r="C26" s="22" t="str">
        <f aca="false">IF($L$3&lt;17,"",INDEX(Programação!$F$5:$F$1004,MATCH(17,Programação!$AE$5:$AE$1004,0)))</f>
        <v>Repor acabamento do alto-falante da porta LD (OS ABRIR OS · 20732048)</v>
      </c>
      <c r="D26" s="21" t="str">
        <f aca="false">IF($L$3&lt;17,"",INDEX(Programação!$AG$5:$AG$1004,MATCH(17,Programação!$AE$5:$AE$1004,0)))</f>
        <v>Heliton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46267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130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F-815</v>
      </c>
      <c r="B27" s="21" t="str">
        <f aca="false">IF($L$3&lt;18,"",INDEX(Programação!$E$5:$E$1004,MATCH(18,Programação!$AE$5:$AE$1004,0)))</f>
        <v>Baixa de pendências backlog</v>
      </c>
      <c r="C27" s="22" t="str">
        <f aca="false">IF($L$3&lt;18,"",INDEX(Programação!$F$5:$F$1004,MATCH(18,Programação!$AE$5:$AE$1004,0)))</f>
        <v>Trocar parabrisa</v>
      </c>
      <c r="D27" s="21" t="str">
        <f aca="false">IF($L$3&lt;18,"",INDEX(Programação!$AG$5:$AG$1004,MATCH(18,Programação!$AE$5:$AE$1004,0)))</f>
        <v/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131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F-815</v>
      </c>
      <c r="B28" s="21" t="str">
        <f aca="false">IF($L$3&lt;19,"",INDEX(Programação!$E$5:$E$1004,MATCH(19,Programação!$AE$5:$AE$1004,0)))</f>
        <v>Baixa de pendências backlog</v>
      </c>
      <c r="C28" s="22" t="str">
        <f aca="false">IF($L$3&lt;19,"",INDEX(Programação!$F$5:$F$1004,MATCH(19,Programação!$AE$5:$AE$1004,0)))</f>
        <v>Calibração e troca de pneus</v>
      </c>
      <c r="D28" s="21" t="str">
        <f aca="false">IF($L$3&lt;19,"",INDEX(Programação!$AG$5:$AG$1004,MATCH(19,Programação!$AE$5:$AE$1004,0)))</f>
        <v>Luiz Paulo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132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F-814</v>
      </c>
      <c r="B29" s="21" t="str">
        <f aca="false">IF($L$3&lt;20,"",INDEX(Programação!$E$5:$E$1004,MATCH(20,Programação!$AE$5:$AE$1004,0)))</f>
        <v>BAIXA DE PENDENCIAS</v>
      </c>
      <c r="C29" s="22" t="str">
        <f aca="false">IF($L$3&lt;20,"",INDEX(Programação!$F$5:$F$1004,MATCH(20,Programação!$AE$5:$AE$1004,0)))</f>
        <v>Realizar limpeza dos bornes das baterias e do positivo da chave geral</v>
      </c>
      <c r="D29" s="21" t="str">
        <f aca="false">IF($L$3&lt;20,"",INDEX(Programação!$AG$5:$AG$1004,MATCH(20,Programação!$AE$5:$AE$1004,0)))</f>
        <v/>
      </c>
      <c r="E29" s="23" t="n">
        <f aca="false">IF($L$3&lt;20,"",INDEX(Programação!$O$5:$O$1004,MATCH(20,Programação!$AE$5:$AE$1004,0)))</f>
        <v>46267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184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F-814</v>
      </c>
      <c r="B30" s="21" t="str">
        <f aca="false">IF($L$3&lt;21,"",INDEX(Programação!$E$5:$E$1004,MATCH(21,Programação!$AE$5:$AE$1004,0)))</f>
        <v>BAIXA DE PENDENCIAS</v>
      </c>
      <c r="C30" s="22" t="str">
        <f aca="false">IF($L$3&lt;21,"",INDEX(Programação!$F$5:$F$1004,MATCH(21,Programação!$AE$5:$AE$1004,0)))</f>
        <v>Reapertar base dos para-lamas traseiros LD</v>
      </c>
      <c r="D30" s="21" t="str">
        <f aca="false">IF($L$3&lt;21,"",INDEX(Programação!$AG$5:$AG$1004,MATCH(21,Programação!$AE$5:$AE$1004,0)))</f>
        <v/>
      </c>
      <c r="E30" s="23" t="n">
        <f aca="false">IF($L$3&lt;21,"",INDEX(Programação!$O$5:$O$1004,MATCH(21,Programação!$AE$5:$AE$1004,0)))</f>
        <v>46267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185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F-814</v>
      </c>
      <c r="B31" s="21" t="str">
        <f aca="false">IF($L$3&lt;22,"",INDEX(Programação!$E$5:$E$1004,MATCH(22,Programação!$AE$5:$AE$1004,0)))</f>
        <v>BAIXA DE PENDENCIAS</v>
      </c>
      <c r="C31" s="22" t="str">
        <f aca="false">IF($L$3&lt;22,"",INDEX(Programação!$F$5:$F$1004,MATCH(22,Programação!$AE$5:$AE$1004,0)))</f>
        <v>Corrigir iluminação lanterna traseira LD e meia luz do farol LD;</v>
      </c>
      <c r="D31" s="21" t="str">
        <f aca="false">IF($L$3&lt;22,"",INDEX(Programação!$AG$5:$AG$1004,MATCH(22,Programação!$AE$5:$AE$1004,0)))</f>
        <v/>
      </c>
      <c r="E31" s="23" t="n">
        <f aca="false">IF($L$3&lt;22,"",INDEX(Programação!$O$5:$O$1004,MATCH(22,Programação!$AE$5:$AE$1004,0)))</f>
        <v>46267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186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F-814</v>
      </c>
      <c r="B32" s="21" t="str">
        <f aca="false">IF($L$3&lt;23,"",INDEX(Programação!$E$5:$E$1004,MATCH(23,Programação!$AE$5:$AE$1004,0)))</f>
        <v>BAIXA DE PENDENCIAS</v>
      </c>
      <c r="C32" s="22" t="str">
        <f aca="false">IF($L$3&lt;23,"",INDEX(Programação!$F$5:$F$1004,MATCH(23,Programação!$AE$5:$AE$1004,0)))</f>
        <v>Realizar lavagem do motor (cárter em especial) e do reservatório de óleo hidráulico da direção para</v>
      </c>
      <c r="D32" s="21" t="str">
        <f aca="false">IF($L$3&lt;23,"",INDEX(Programação!$AG$5:$AG$1004,MATCH(23,Programação!$AE$5:$AE$1004,0)))</f>
        <v/>
      </c>
      <c r="E32" s="23" t="n">
        <f aca="false">IF($L$3&lt;23,"",INDEX(Programação!$O$5:$O$1004,MATCH(23,Programação!$AE$5:$AE$1004,0)))</f>
        <v>46267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187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F-814</v>
      </c>
      <c r="B33" s="21" t="str">
        <f aca="false">IF($L$3&lt;24,"",INDEX(Programação!$E$5:$E$1004,MATCH(24,Programação!$AE$5:$AE$1004,0)))</f>
        <v>BAIXA DE PENDENCIAS</v>
      </c>
      <c r="C33" s="22" t="str">
        <f aca="false">IF($L$3&lt;24,"",INDEX(Programação!$F$5:$F$1004,MATCH(24,Programação!$AE$5:$AE$1004,0)))</f>
        <v>inspecionar e corrigir vazamentos (deixei basculado na lavagem);</v>
      </c>
      <c r="D33" s="21" t="str">
        <f aca="false">IF($L$3&lt;24,"",INDEX(Programação!$AG$5:$AG$1004,MATCH(24,Programação!$AE$5:$AE$1004,0)))</f>
        <v/>
      </c>
      <c r="E33" s="23" t="n">
        <f aca="false">IF($L$3&lt;24,"",INDEX(Programação!$O$5:$O$1004,MATCH(24,Programação!$AE$5:$AE$1004,0)))</f>
        <v>46267</v>
      </c>
      <c r="F33" s="23" t="n">
        <f aca="false">IF($L$3&lt;24,"",INDEX(Programação!$P$5:$P$1004,MATCH(24,Programação!$AE$5:$AE$1004,0)))</f>
        <v>46267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188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F-814</v>
      </c>
      <c r="B34" s="21" t="str">
        <f aca="false">IF($L$3&lt;25,"",INDEX(Programação!$E$5:$E$1004,MATCH(25,Programação!$AE$5:$AE$1004,0)))</f>
        <v>BAIXA DE PENDENCIAS</v>
      </c>
      <c r="C34" s="22" t="str">
        <f aca="false">IF($L$3&lt;25,"",INDEX(Programação!$F$5:$F$1004,MATCH(25,Programação!$AE$5:$AE$1004,0)))</f>
        <v>Reapertar amortecedor segundo eixo LE;</v>
      </c>
      <c r="D34" s="21" t="str">
        <f aca="false">IF($L$3&lt;25,"",INDEX(Programação!$AG$5:$AG$1004,MATCH(25,Programação!$AE$5:$AE$1004,0)))</f>
        <v/>
      </c>
      <c r="E34" s="23" t="n">
        <f aca="false">IF($L$3&lt;25,"",INDEX(Programação!$O$5:$O$1004,MATCH(25,Programação!$AE$5:$AE$1004,0)))</f>
        <v>46267</v>
      </c>
      <c r="F34" s="23" t="n">
        <f aca="false">IF($L$3&lt;25,"",INDEX(Programação!$P$5:$P$1004,MATCH(25,Programação!$AE$5:$AE$1004,0)))</f>
        <v>46268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189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F-814</v>
      </c>
      <c r="B35" s="21" t="str">
        <f aca="false">IF($L$3&lt;26,"",INDEX(Programação!$E$5:$E$1004,MATCH(26,Programação!$AE$5:$AE$1004,0)))</f>
        <v>BAIXA DE PENDENCIAS</v>
      </c>
      <c r="C35" s="22" t="str">
        <f aca="false">IF($L$3&lt;26,"",INDEX(Programação!$F$5:$F$1004,MATCH(26,Programação!$AE$5:$AE$1004,0)))</f>
        <v>Regular freio terceiro eixo LE;</v>
      </c>
      <c r="D35" s="21" t="str">
        <f aca="false">IF($L$3&lt;26,"",INDEX(Programação!$AG$5:$AG$1004,MATCH(26,Programação!$AE$5:$AE$1004,0)))</f>
        <v/>
      </c>
      <c r="E35" s="23" t="n">
        <f aca="false">IF($L$3&lt;26,"",INDEX(Programação!$O$5:$O$1004,MATCH(26,Programação!$AE$5:$AE$1004,0)))</f>
        <v>46267</v>
      </c>
      <c r="F35" s="23" t="n">
        <f aca="false">IF($L$3&lt;26,"",INDEX(Programação!$P$5:$P$1004,MATCH(26,Programação!$AE$5:$AE$1004,0)))</f>
        <v>46268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190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F-814</v>
      </c>
      <c r="B36" s="21" t="str">
        <f aca="false">IF($L$3&lt;27,"",INDEX(Programação!$E$5:$E$1004,MATCH(27,Programação!$AE$5:$AE$1004,0)))</f>
        <v>BAIXA DE PENDENCIAS</v>
      </c>
      <c r="C36" s="22" t="str">
        <f aca="false">IF($L$3&lt;27,"",INDEX(Programação!$F$5:$F$1004,MATCH(27,Programação!$AE$5:$AE$1004,0)))</f>
        <v>porta do passageiro não está abrindo por dentro</v>
      </c>
      <c r="D36" s="21" t="str">
        <f aca="false">IF($L$3&lt;27,"",INDEX(Programação!$AG$5:$AG$1004,MATCH(27,Programação!$AE$5:$AE$1004,0)))</f>
        <v/>
      </c>
      <c r="E36" s="23" t="n">
        <f aca="false">IF($L$3&lt;27,"",INDEX(Programação!$O$5:$O$1004,MATCH(27,Programação!$AE$5:$AE$1004,0)))</f>
        <v>46267</v>
      </c>
      <c r="F36" s="23" t="n">
        <f aca="false">IF($L$3&lt;27,"",INDEX(Programação!$P$5:$P$1004,MATCH(27,Programação!$AE$5:$AE$1004,0)))</f>
        <v>46268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191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F-814</v>
      </c>
      <c r="B37" s="21" t="str">
        <f aca="false">IF($L$3&lt;28,"",INDEX(Programação!$E$5:$E$1004,MATCH(28,Programação!$AE$5:$AE$1004,0)))</f>
        <v>BAIXA DE PENDENCIAS</v>
      </c>
      <c r="C37" s="22" t="str">
        <f aca="false">IF($L$3&lt;28,"",INDEX(Programação!$F$5:$F$1004,MATCH(28,Programação!$AE$5:$AE$1004,0)))</f>
        <v>meia luz traseira com problema ( LD 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46267</v>
      </c>
      <c r="F37" s="23" t="n">
        <f aca="false">IF($L$3&lt;28,"",INDEX(Programação!$P$5:$P$1004,MATCH(28,Programação!$AE$5:$AE$1004,0)))</f>
        <v>46268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192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F-814</v>
      </c>
      <c r="B38" s="21" t="str">
        <f aca="false">IF($L$3&lt;29,"",INDEX(Programação!$E$5:$E$1004,MATCH(29,Programação!$AE$5:$AE$1004,0)))</f>
        <v>BAIXA DE PENDENCIAS</v>
      </c>
      <c r="C38" s="22" t="str">
        <f aca="false">IF($L$3&lt;29,"",INDEX(Programação!$F$5:$F$1004,MATCH(29,Programação!$AE$5:$AE$1004,0)))</f>
        <v>revisar pneus dianteiros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46267</v>
      </c>
      <c r="F38" s="23" t="n">
        <f aca="false">IF($L$3&lt;29,"",INDEX(Programação!$P$5:$P$1004,MATCH(29,Programação!$AE$5:$AE$1004,0)))</f>
        <v>46268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193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F-814</v>
      </c>
      <c r="B39" s="21" t="str">
        <f aca="false">IF($L$3&lt;30,"",INDEX(Programação!$E$5:$E$1004,MATCH(30,Programação!$AE$5:$AE$1004,0)))</f>
        <v>BAIXA DE PENDENCIAS</v>
      </c>
      <c r="C39" s="22" t="str">
        <f aca="false">IF($L$3&lt;30,"",INDEX(Programação!$F$5:$F$1004,MATCH(30,Programação!$AE$5:$AE$1004,0)))</f>
        <v>Lubrificar travas da cabine com dificuldade de liberar a mesma para bascular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46267</v>
      </c>
      <c r="F39" s="23" t="n">
        <f aca="false">IF($L$3&lt;30,"",INDEX(Programação!$P$5:$P$1004,MATCH(30,Programação!$AE$5:$AE$1004,0)))</f>
        <v>46268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194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PENDENCIAS</v>
      </c>
      <c r="C40" s="22" t="str">
        <f aca="false">IF($L$3&lt;31,"",INDEX(Programação!$F$5:$F$1004,MATCH(31,Programação!$AE$5:$AE$1004,0)))</f>
        <v>Instalar parabrisa</v>
      </c>
      <c r="D40" s="21" t="str">
        <f aca="false">IF($L$3&lt;31,"",INDEX(Programação!$AG$5:$AG$1004,MATCH(31,Programação!$AE$5:$AE$1004,0)))</f>
        <v>Terceirizada</v>
      </c>
      <c r="E40" s="23" t="n">
        <f aca="false">IF($L$3&lt;31,"",INDEX(Programação!$O$5:$O$1004,MATCH(31,Programação!$AE$5:$AE$1004,0)))</f>
        <v>46266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Concluída</v>
      </c>
      <c r="H40" s="23" t="n">
        <f aca="false">IF($L$3&lt;31,"",IF(INDEX(Programação!$Q$5:$Q$1004,MATCH(31,Programação!$AE$5:$AE$1004,0))="","",INDEX(Programação!$Q$5:$Q$1004,MATCH(31,Programação!$AE$5:$AE$1004,0))))</f>
        <v>46265</v>
      </c>
      <c r="I40" s="20" t="n">
        <f aca="false">IF($L$3&lt;31,"",MATCH(31,Programação!$AE$5:$AE$1004,0)+4)</f>
        <v>195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F-331</v>
      </c>
      <c r="B41" s="21" t="str">
        <f aca="false">IF($L$3&lt;32,"",INDEX(Programação!$E$5:$E$1004,MATCH(32,Programação!$AE$5:$AE$1004,0)))</f>
        <v>Programação 02/09</v>
      </c>
      <c r="C41" s="22" t="str">
        <f aca="false">IF($L$3&lt;32,"",INDEX(Programação!$F$5:$F$1004,MATCH(32,Programação!$AE$5:$AE$1004,0)))</f>
        <v>Verificar fechamento das portas LD e LE</v>
      </c>
      <c r="D41" s="21" t="str">
        <f aca="false">IF($L$3&lt;32,"",INDEX(Programação!$AG$5:$AG$1004,MATCH(32,Programação!$AE$5:$AE$1004,0)))</f>
        <v>Adilton · Júnior · Gabriel</v>
      </c>
      <c r="E41" s="23" t="n">
        <f aca="false">IF($L$3&lt;32,"",INDEX(Programação!$O$5:$O$1004,MATCH(32,Programação!$AE$5:$AE$1004,0)))</f>
        <v>46267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256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F-814</v>
      </c>
      <c r="B42" s="21" t="str">
        <f aca="false">IF($L$3&lt;33,"",INDEX(Programação!$E$5:$E$1004,MATCH(33,Programação!$AE$5:$AE$1004,0)))</f>
        <v>Borracharia 02/09</v>
      </c>
      <c r="C42" s="22" t="str">
        <f aca="false">IF($L$3&lt;33,"",INDEX(Programação!$F$5:$F$1004,MATCH(33,Programação!$AE$5:$AE$1004,0)))</f>
        <v>Realizar troca de pneus da inspeção</v>
      </c>
      <c r="D42" s="21" t="str">
        <f aca="false">IF($L$3&lt;33,"",INDEX(Programação!$AG$5:$AG$1004,MATCH(33,Programação!$AE$5:$AE$1004,0)))</f>
        <v>Luiz Paulo · Airton</v>
      </c>
      <c r="E42" s="23" t="n">
        <f aca="false">IF($L$3&lt;33,"",INDEX(Programação!$O$5:$O$1004,MATCH(33,Programação!$AE$5:$AE$1004,0)))</f>
        <v>46267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257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Programação 02/09</v>
      </c>
      <c r="C43" s="22" t="str">
        <f aca="false">IF($L$3&lt;34,"",INDEX(Programação!$F$5:$F$1004,MATCH(34,Programação!$AE$5:$AE$1004,0)))</f>
        <v>Montagem de diferencial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46267</v>
      </c>
      <c r="F43" s="23" t="n">
        <f aca="false">IF($L$3&lt;34,"",INDEX(Programação!$P$5:$P$1004,MATCH(34,Programação!$AE$5:$AE$1004,0)))</f>
        <v>46267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258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Programação 02/09</v>
      </c>
      <c r="C44" s="22" t="str">
        <f aca="false">IF($L$3&lt;35,"",INDEX(Programação!$F$5:$F$1004,MATCH(35,Programação!$AE$5:$AE$1004,0)))</f>
        <v>Realizar troca dos amortecedores da cabine</v>
      </c>
      <c r="D44" s="21" t="str">
        <f aca="false">IF($L$3&lt;35,"",INDEX(Programação!$AG$5:$AG$1004,MATCH(35,Programação!$AE$5:$AE$1004,0)))</f>
        <v>Adilton · Gabriel</v>
      </c>
      <c r="E44" s="23" t="n">
        <f aca="false">IF($L$3&lt;35,"",INDEX(Programação!$O$5:$O$1004,MATCH(35,Programação!$AE$5:$AE$1004,0)))</f>
        <v>46267</v>
      </c>
      <c r="F44" s="23" t="n">
        <f aca="false">IF($L$3&lt;35,"",INDEX(Programação!$P$5:$P$1004,MATCH(35,Programação!$AE$5:$AE$1004,0)))</f>
        <v>46267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259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F-580</v>
      </c>
      <c r="B45" s="21" t="str">
        <f aca="false">IF($L$3&lt;36,"",INDEX(Programação!$E$5:$E$1004,MATCH(36,Programação!$AE$5:$AE$1004,0)))</f>
        <v>Rentaf</v>
      </c>
      <c r="C45" s="22" t="str">
        <f aca="false">IF($L$3&lt;36,"",INDEX(Programação!$F$5:$F$1004,MATCH(36,Programação!$AE$5:$AE$1004,0)))</f>
        <v>Atuação / manutenção na frota F-580</v>
      </c>
      <c r="D45" s="21" t="str">
        <f aca="false">IF($L$3&lt;36,"",INDEX(Programação!$AG$5:$AG$1004,MATCH(36,Programação!$AE$5:$AE$1004,0)))</f>
        <v>Alexandre</v>
      </c>
      <c r="E45" s="23" t="n">
        <f aca="false">IF($L$3&lt;36,"",INDEX(Programação!$O$5:$O$1004,MATCH(36,Programação!$AE$5:$AE$1004,0)))</f>
        <v>46267</v>
      </c>
      <c r="F45" s="23" t="n">
        <f aca="false">IF($L$3&lt;36,"",INDEX(Programação!$P$5:$P$1004,MATCH(36,Programação!$AE$5:$AE$1004,0)))</f>
        <v>46267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260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F-424</v>
      </c>
      <c r="B46" s="21" t="str">
        <f aca="false">IF($L$3&lt;37,"",INDEX(Programação!$E$5:$E$1004,MATCH(37,Programação!$AE$5:$AE$1004,0)))</f>
        <v>Extra 02/09</v>
      </c>
      <c r="C46" s="22" t="str">
        <f aca="false">IF($L$3&lt;37,"",INDEX(Programação!$F$5:$F$1004,MATCH(37,Programação!$AE$5:$AE$1004,0)))</f>
        <v>Verificar painel queimado</v>
      </c>
      <c r="D46" s="21" t="str">
        <f aca="false">IF($L$3&lt;37,"",INDEX(Programação!$AG$5:$AG$1004,MATCH(37,Programação!$AE$5:$AE$1004,0)))</f>
        <v>Júnior</v>
      </c>
      <c r="E46" s="23" t="n">
        <f aca="false">IF($L$3&lt;37,"",INDEX(Programação!$O$5:$O$1004,MATCH(37,Programação!$AE$5:$AE$1004,0)))</f>
        <v>46267</v>
      </c>
      <c r="F46" s="23" t="n">
        <f aca="false">IF($L$3&lt;37,"",INDEX(Programação!$P$5:$P$1004,MATCH(37,Programação!$AE$5:$AE$1004,0)))</f>
        <v>46267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261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F-617</v>
      </c>
      <c r="B47" s="21" t="str">
        <f aca="false">IF($L$3&lt;38,"",INDEX(Programação!$E$5:$E$1004,MATCH(38,Programação!$AE$5:$AE$1004,0)))</f>
        <v>Extra 02/09</v>
      </c>
      <c r="C47" s="22" t="str">
        <f aca="false">IF($L$3&lt;38,"",INDEX(Programação!$F$5:$F$1004,MATCH(38,Programação!$AE$5:$AE$1004,0)))</f>
        <v>Verificar falha na embreagem ativa</v>
      </c>
      <c r="D47" s="21" t="str">
        <f aca="false">IF($L$3&lt;38,"",INDEX(Programação!$AG$5:$AG$1004,MATCH(38,Programação!$AE$5:$AE$1004,0)))</f>
        <v>Thawan</v>
      </c>
      <c r="E47" s="23" t="n">
        <f aca="false">IF($L$3&lt;38,"",INDEX(Programação!$O$5:$O$1004,MATCH(38,Programação!$AE$5:$AE$1004,0)))</f>
        <v>46267</v>
      </c>
      <c r="F47" s="23" t="n">
        <f aca="false">IF($L$3&lt;38,"",INDEX(Programação!$P$5:$P$1004,MATCH(38,Programação!$AE$5:$AE$1004,0)))</f>
        <v>46267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262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F-1065</v>
      </c>
      <c r="B48" s="21" t="str">
        <f aca="false">IF($L$3&lt;39,"",INDEX(Programação!$E$5:$E$1004,MATCH(39,Programação!$AE$5:$AE$1004,0)))</f>
        <v>Borracharia 02/09</v>
      </c>
      <c r="C48" s="22" t="str">
        <f aca="false">IF($L$3&lt;39,"",INDEX(Programação!$F$5:$F$1004,MATCH(39,Programação!$AE$5:$AE$1004,0)))</f>
        <v>Ferragem de pneus do bitrem</v>
      </c>
      <c r="D48" s="21" t="str">
        <f aca="false">IF($L$3&lt;39,"",INDEX(Programação!$AG$5:$AG$1004,MATCH(39,Programação!$AE$5:$AE$1004,0)))</f>
        <v>Luiz Paulo · Airton</v>
      </c>
      <c r="E48" s="23" t="n">
        <f aca="false">IF($L$3&lt;39,"",INDEX(Programação!$O$5:$O$1004,MATCH(39,Programação!$AE$5:$AE$1004,0)))</f>
        <v>46267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Concluída</v>
      </c>
      <c r="H48" s="23" t="n">
        <f aca="false">IF($L$3&lt;39,"",IF(INDEX(Programação!$Q$5:$Q$1004,MATCH(39,Programação!$AE$5:$AE$1004,0))="","",INDEX(Programação!$Q$5:$Q$1004,MATCH(39,Programação!$AE$5:$AE$1004,0))))</f>
        <v>46267</v>
      </c>
      <c r="I48" s="20" t="n">
        <f aca="false">IF($L$3&lt;39,"",MATCH(39,Programação!$AE$5:$AE$1004,0)+4)</f>
        <v>263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F-848</v>
      </c>
      <c r="B49" s="21" t="str">
        <f aca="false">IF($L$3&lt;40,"",INDEX(Programação!$E$5:$E$1004,MATCH(40,Programação!$AE$5:$AE$1004,0)))</f>
        <v>Borracharia 02/09</v>
      </c>
      <c r="C49" s="22" t="str">
        <f aca="false">IF($L$3&lt;40,"",INDEX(Programação!$F$5:$F$1004,MATCH(40,Programação!$AE$5:$AE$1004,0)))</f>
        <v>Realizar troca dos pneus</v>
      </c>
      <c r="D49" s="21" t="str">
        <f aca="false">IF($L$3&lt;40,"",INDEX(Programação!$AG$5:$AG$1004,MATCH(40,Programação!$AE$5:$AE$1004,0)))</f>
        <v>Airton · Luiz Paulo</v>
      </c>
      <c r="E49" s="23" t="n">
        <f aca="false">IF($L$3&lt;40,"",INDEX(Programação!$O$5:$O$1004,MATCH(40,Programação!$AE$5:$AE$1004,0)))</f>
        <v>46267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Fecha neste dia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264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F-618</v>
      </c>
      <c r="B50" s="21" t="str">
        <f aca="false">IF($L$3&lt;41,"",INDEX(Programação!$E$5:$E$1004,MATCH(41,Programação!$AE$5:$AE$1004,0)))</f>
        <v>Borracharia 02/09</v>
      </c>
      <c r="C50" s="22" t="str">
        <f aca="false">IF($L$3&lt;41,"",INDEX(Programação!$F$5:$F$1004,MATCH(41,Programação!$AE$5:$AE$1004,0)))</f>
        <v>Trocar pneus dianteiros</v>
      </c>
      <c r="D50" s="21" t="str">
        <f aca="false">IF($L$3&lt;41,"",INDEX(Programação!$AG$5:$AG$1004,MATCH(41,Programação!$AE$5:$AE$1004,0)))</f>
        <v>Luiz Paulo · Airton</v>
      </c>
      <c r="E50" s="23" t="n">
        <f aca="false">IF($L$3&lt;41,"",INDEX(Programação!$O$5:$O$1004,MATCH(41,Programação!$AE$5:$AE$1004,0)))</f>
        <v>46267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Fecha neste dia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265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F-327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Fixar banco do passageiro LD (serviço interno Matriz)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46266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16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F-327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Corrigir empeno do aro segundo eixo LD (serviço interno Matriz)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17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F-327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Programar substituição das juntas do escapamento gastas (serviço interno Matriz/20855371, realizar acompanhamento (6 unidades))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18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F-327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Substituir estribo da cabine LD (3175928/realizar acompanhamento)</v>
      </c>
      <c r="D65" s="21" t="str">
        <f aca="false">IF($L$4&lt;7,"",INDEX(Programação!$AG$5:$AG$1004,MATCH(7,Programação!$AF$5:$AF$1004,0)))</f>
        <v>Adilton · Gabriel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19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F-331</v>
      </c>
      <c r="B66" s="21" t="str">
        <f aca="false">IF($L$4&lt;8,"",INDEX(Programação!$E$5:$E$1004,MATCH(8,Programação!$AF$5:$AF$1004,0)))</f>
        <v>Preventiva</v>
      </c>
      <c r="C66" s="22" t="str">
        <f aca="false">IF($L$4&lt;8,"",INDEX(Programação!$F$5:$F$1004,MATCH(8,Programação!$AF$5:$AF$1004,0)))</f>
        <v>Diagnosticar e corrigir falha no sistema do motor: temperatura dos gases de escape (serviço interno base Mossoró)</v>
      </c>
      <c r="D66" s="21" t="str">
        <f aca="false">IF($L$4&lt;8,"",INDEX(Programação!$AG$5:$AG$1004,MATCH(8,Programação!$AF$5:$AF$1004,0)))</f>
        <v>Adilton · Gabriel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24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F-331</v>
      </c>
      <c r="B67" s="21" t="str">
        <f aca="false">IF($L$4&lt;9,"",INDEX(Programação!$E$5:$E$1004,MATCH(9,Programação!$AF$5:$AF$1004,0)))</f>
        <v>Preventiva</v>
      </c>
      <c r="C67" s="22" t="str">
        <f aca="false">IF($L$4&lt;9,"",INDEX(Programação!$F$5:$F$1004,MATCH(9,Programação!$AF$5:$AF$1004,0)))</f>
        <v>Realizar lavagem e sanar vazamento na bomba de direção hidráulica (serviço interno base Mossoró)</v>
      </c>
      <c r="D67" s="21" t="str">
        <f aca="false">IF($L$4&lt;9,"",INDEX(Programação!$AG$5:$AG$1004,MATCH(9,Programação!$AF$5:$AF$1004,0)))</f>
        <v>Adilton · Gabriel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F-331</v>
      </c>
      <c r="B68" s="21" t="str">
        <f aca="false">IF($L$4&lt;10,"",INDEX(Programação!$E$5:$E$1004,MATCH(10,Programação!$AF$5:$AF$1004,0)))</f>
        <v>Preventiva</v>
      </c>
      <c r="C68" s="22" t="str">
        <f aca="false">IF($L$4&lt;10,"",INDEX(Programação!$F$5:$F$1004,MATCH(10,Programação!$AF$5:$AF$1004,0)))</f>
        <v>Sanar vazamento na mangueira da bomba de direção (serviço interno base Mossoró solicitar codigo do tubo original)</v>
      </c>
      <c r="D68" s="21" t="str">
        <f aca="false">IF($L$4&lt;10,"",INDEX(Programação!$AG$5:$AG$1004,MATCH(10,Programação!$AF$5:$AF$1004,0)))</f>
        <v>Adilton · Gabriel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27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F-331</v>
      </c>
      <c r="B69" s="21" t="str">
        <f aca="false">IF($L$4&lt;11,"",INDEX(Programação!$E$5:$E$1004,MATCH(11,Programação!$AF$5:$AF$1004,0)))</f>
        <v>Preventiva</v>
      </c>
      <c r="C69" s="22" t="str">
        <f aca="false">IF($L$4&lt;11,"",INDEX(Programação!$F$5:$F$1004,MATCH(11,Programação!$AF$5:$AF$1004,0)))</f>
        <v>Repor acabamento inferior frontal do parachoque (20711859)</v>
      </c>
      <c r="D69" s="21" t="str">
        <f aca="false">IF($L$4&lt;11,"",INDEX(Programação!$AG$5:$AG$1004,MATCH(11,Programação!$AF$5:$AF$1004,0)))</f>
        <v>Adilton · Gabriel</v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46266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Preventiva</v>
      </c>
      <c r="C70" s="22" t="str">
        <f aca="false">IF($L$4&lt;12,"",INDEX(Programação!$F$5:$F$1004,MATCH(12,Programação!$AF$5:$AF$1004,0)))</f>
        <v>Repor vidrala sanefa/carga e corrigir empeno no varão (1628953 peça adaptada)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46266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31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F-331</v>
      </c>
      <c r="B71" s="21" t="str">
        <f aca="false">IF($L$4&lt;13,"",INDEX(Programação!$E$5:$E$1004,MATCH(13,Programação!$AF$5:$AF$1004,0)))</f>
        <v>Preventiva</v>
      </c>
      <c r="C71" s="22" t="str">
        <f aca="false">IF($L$4&lt;13,"",INDEX(Programação!$F$5:$F$1004,MATCH(13,Programação!$AF$5:$AF$1004,0)))</f>
        <v>Corrigir iluminação interna da cabine (serviço interno base Mossoró)</v>
      </c>
      <c r="D71" s="21" t="str">
        <f aca="false">IF($L$4&lt;13,"",INDEX(Programação!$AG$5:$AG$1004,MATCH(13,Programação!$AF$5:$AF$1004,0)))</f>
        <v>Adilton · Gabriel</v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46266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32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F-617</v>
      </c>
      <c r="B72" s="21" t="str">
        <f aca="false">IF($L$4&lt;14,"",INDEX(Programação!$E$5:$E$1004,MATCH(14,Programação!$AF$5:$AF$1004,0)))</f>
        <v>Baixa de carteira</v>
      </c>
      <c r="C72" s="22" t="str">
        <f aca="false">IF($L$4&lt;14,"",INDEX(Programação!$F$5:$F$1004,MATCH(14,Programação!$AF$5:$AF$1004,0)))</f>
        <v>Corrigir vazamento na mangueira de arrefecimento do compressor;</v>
      </c>
      <c r="D72" s="21" t="str">
        <f aca="false">IF($L$4&lt;14,"",INDEX(Programação!$AG$5:$AG$1004,MATCH(14,Programação!$AF$5:$AF$1004,0)))</f>
        <v>Júnior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46266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56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F-617</v>
      </c>
      <c r="B73" s="21" t="str">
        <f aca="false">IF($L$4&lt;15,"",INDEX(Programação!$E$5:$E$1004,MATCH(15,Programação!$AF$5:$AF$1004,0)))</f>
        <v>Baixa de carteira</v>
      </c>
      <c r="C73" s="22" t="str">
        <f aca="false">IF($L$4&lt;15,"",INDEX(Programação!$F$5:$F$1004,MATCH(15,Programação!$AF$5:$AF$1004,0)))</f>
        <v>Substituir batentes das cabines</v>
      </c>
      <c r="D73" s="21" t="str">
        <f aca="false">IF($L$4&lt;15,"",INDEX(Programação!$AG$5:$AG$1004,MATCH(15,Programação!$AF$5:$AF$1004,0)))</f>
        <v>Júnior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46266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62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F-617</v>
      </c>
      <c r="B74" s="21" t="str">
        <f aca="false">IF($L$4&lt;16,"",INDEX(Programação!$E$5:$E$1004,MATCH(16,Programação!$AF$5:$AF$1004,0)))</f>
        <v>Baixa de carteira</v>
      </c>
      <c r="C74" s="22" t="str">
        <f aca="false">IF($L$4&lt;16,"",INDEX(Programação!$F$5:$F$1004,MATCH(16,Programação!$AF$5:$AF$1004,0)))</f>
        <v>Substituir mangueira do do tubo de ar quente com vazamento</v>
      </c>
      <c r="D74" s="21" t="str">
        <f aca="false">IF($L$4&lt;16,"",INDEX(Programação!$AG$5:$AG$1004,MATCH(16,Programação!$AF$5:$AF$1004,0)))</f>
        <v>Júnior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46266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63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>F-617</v>
      </c>
      <c r="B75" s="21" t="str">
        <f aca="false">IF($L$4&lt;17,"",INDEX(Programação!$E$5:$E$1004,MATCH(17,Programação!$AF$5:$AF$1004,0)))</f>
        <v>Baixa de carteira</v>
      </c>
      <c r="C75" s="22" t="str">
        <f aca="false">IF($L$4&lt;17,"",INDEX(Programação!$F$5:$F$1004,MATCH(17,Programação!$AF$5:$AF$1004,0)))</f>
        <v>Chave de luz</v>
      </c>
      <c r="D75" s="21" t="str">
        <f aca="false">IF($L$4&lt;17,"",INDEX(Programação!$AG$5:$AG$1004,MATCH(17,Programação!$AF$5:$AF$1004,0)))</f>
        <v>Alexandre</v>
      </c>
      <c r="E75" s="23" t="n">
        <f aca="false">IF($L$4&lt;17,"",INDEX(Programação!$O$5:$O$1004,MATCH(17,Programação!$AF$5:$AF$1004,0)))</f>
        <v>46265</v>
      </c>
      <c r="F75" s="23" t="n">
        <f aca="false">IF($L$4&lt;17,"",INDEX(Programação!$P$5:$P$1004,MATCH(17,Programação!$AF$5:$AF$1004,0)))</f>
        <v>46266</v>
      </c>
      <c r="G75" s="20" t="str">
        <f aca="false">IF($A75="","",IF($H75&lt;&gt;"","Concluída",IF($F75&lt;$C$3,"Atrasada",IF($F75=$C$3,"Fecha neste dia","Em execução"))))</f>
        <v>Atrasada</v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n">
        <f aca="false">IF($L$4&lt;17,"",MATCH(17,Programação!$AF$5:$AF$1004,0)+4)</f>
        <v>65</v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>F-617</v>
      </c>
      <c r="B76" s="21" t="str">
        <f aca="false">IF($L$4&lt;18,"",INDEX(Programação!$E$5:$E$1004,MATCH(18,Programação!$AF$5:$AF$1004,0)))</f>
        <v>Baixa de carteira</v>
      </c>
      <c r="C76" s="22" t="str">
        <f aca="false">IF($L$4&lt;18,"",INDEX(Programação!$F$5:$F$1004,MATCH(18,Programação!$AF$5:$AF$1004,0)))</f>
        <v>Grade inferior azul frontal</v>
      </c>
      <c r="D76" s="21" t="str">
        <f aca="false">IF($L$4&lt;18,"",INDEX(Programação!$AG$5:$AG$1004,MATCH(18,Programação!$AF$5:$AF$1004,0)))</f>
        <v>Alexandre</v>
      </c>
      <c r="E76" s="23" t="n">
        <f aca="false">IF($L$4&lt;18,"",INDEX(Programação!$O$5:$O$1004,MATCH(18,Programação!$AF$5:$AF$1004,0)))</f>
        <v>46265</v>
      </c>
      <c r="F76" s="23" t="n">
        <f aca="false">IF($L$4&lt;18,"",INDEX(Programação!$P$5:$P$1004,MATCH(18,Programação!$AF$5:$AF$1004,0)))</f>
        <v>46266</v>
      </c>
      <c r="G76" s="20" t="str">
        <f aca="false">IF($A76="","",IF($H76&lt;&gt;"","Concluída",IF($F76&lt;$C$3,"Atrasada",IF($F76=$C$3,"Fecha neste dia","Em execução"))))</f>
        <v>Atrasada</v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n">
        <f aca="false">IF($L$4&lt;18,"",MATCH(18,Programação!$AF$5:$AF$1004,0)+4)</f>
        <v>66</v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>F-815</v>
      </c>
      <c r="B77" s="21" t="str">
        <f aca="false">IF($L$4&lt;19,"",INDEX(Programação!$E$5:$E$1004,MATCH(19,Programação!$AF$5:$AF$1004,0)))</f>
        <v>Baixa de pendências backlog</v>
      </c>
      <c r="C77" s="22" t="str">
        <f aca="false">IF($L$4&lt;19,"",INDEX(Programação!$F$5:$F$1004,MATCH(19,Programação!$AF$5:$AF$1004,0)))</f>
        <v>Completar nível de óleo do motor e corrigir vazamentos no mesmo (OS ABRIR OS · serviço interno Matriz)</v>
      </c>
      <c r="D77" s="21" t="str">
        <f aca="false">IF($L$4&lt;19,"",INDEX(Programação!$AG$5:$AG$1004,MATCH(19,Programação!$AF$5:$AF$1004,0)))</f>
        <v>Heliton</v>
      </c>
      <c r="E77" s="23" t="n">
        <f aca="false">IF($L$4&lt;19,"",INDEX(Programação!$O$5:$O$1004,MATCH(19,Programação!$AF$5:$AF$1004,0)))</f>
        <v>46265</v>
      </c>
      <c r="F77" s="23" t="n">
        <f aca="false">IF($L$4&lt;19,"",INDEX(Programação!$P$5:$P$1004,MATCH(19,Programação!$AF$5:$AF$1004,0)))</f>
        <v>46265</v>
      </c>
      <c r="G77" s="20" t="str">
        <f aca="false">IF($A77="","",IF($H77&lt;&gt;"","Concluída",IF($F77&lt;$C$3,"Atrasada",IF($F77=$C$3,"Fecha neste dia","Em execução"))))</f>
        <v>Atrasada</v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n">
        <f aca="false">IF($L$4&lt;19,"",MATCH(19,Programação!$AF$5:$AF$1004,0)+4)</f>
        <v>99</v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>F-815</v>
      </c>
      <c r="B78" s="21" t="str">
        <f aca="false">IF($L$4&lt;20,"",INDEX(Programação!$E$5:$E$1004,MATCH(20,Programação!$AF$5:$AF$1004,0)))</f>
        <v>Baixa de pendências backlog</v>
      </c>
      <c r="C78" s="22" t="str">
        <f aca="false">IF($L$4&lt;20,"",INDEX(Programação!$F$5:$F$1004,MATCH(20,Programação!$AF$5:$AF$1004,0)))</f>
        <v>Substituir junta da tampa de válvulas com vazamento (OS 7157 · 20804638 (junta motor D11))</v>
      </c>
      <c r="D78" s="21" t="str">
        <f aca="false">IF($L$4&lt;20,"",INDEX(Programação!$AG$5:$AG$1004,MATCH(20,Programação!$AF$5:$AF$1004,0)))</f>
        <v>Heliton</v>
      </c>
      <c r="E78" s="23" t="n">
        <f aca="false">IF($L$4&lt;20,"",INDEX(Programação!$O$5:$O$1004,MATCH(20,Programação!$AF$5:$AF$1004,0)))</f>
        <v>46265</v>
      </c>
      <c r="F78" s="23" t="n">
        <f aca="false">IF($L$4&lt;20,"",INDEX(Programação!$P$5:$P$1004,MATCH(20,Programação!$AF$5:$AF$1004,0)))</f>
        <v>46265</v>
      </c>
      <c r="G78" s="20" t="str">
        <f aca="false">IF($A78="","",IF($H78&lt;&gt;"","Concluída",IF($F78&lt;$C$3,"Atrasada",IF($F78=$C$3,"Fecha neste dia","Em execução"))))</f>
        <v>Atrasada</v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n">
        <f aca="false">IF($L$4&lt;20,"",MATCH(20,Programação!$AF$5:$AF$1004,0)+4)</f>
        <v>100</v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>F-815</v>
      </c>
      <c r="B79" s="21" t="str">
        <f aca="false">IF($L$4&lt;21,"",INDEX(Programação!$E$5:$E$1004,MATCH(21,Programação!$AF$5:$AF$1004,0)))</f>
        <v>Baixa de pendências backlog</v>
      </c>
      <c r="C79" s="22" t="str">
        <f aca="false">IF($L$4&lt;21,"",INDEX(Programação!$F$5:$F$1004,MATCH(21,Programação!$AF$5:$AF$1004,0)))</f>
        <v>Recuperar mangueira de lubrificação do compressor com vazamento (OS ABRIR OS · serviço interno Matriz)</v>
      </c>
      <c r="D79" s="21" t="str">
        <f aca="false">IF($L$4&lt;21,"",INDEX(Programação!$AG$5:$AG$1004,MATCH(21,Programação!$AF$5:$AF$1004,0)))</f>
        <v>Heliton</v>
      </c>
      <c r="E79" s="23" t="n">
        <f aca="false">IF($L$4&lt;21,"",INDEX(Programação!$O$5:$O$1004,MATCH(21,Programação!$AF$5:$AF$1004,0)))</f>
        <v>46265</v>
      </c>
      <c r="F79" s="23" t="n">
        <f aca="false">IF($L$4&lt;21,"",INDEX(Programação!$P$5:$P$1004,MATCH(21,Programação!$AF$5:$AF$1004,0)))</f>
        <v>46265</v>
      </c>
      <c r="G79" s="20" t="str">
        <f aca="false">IF($A79="","",IF($H79&lt;&gt;"","Concluída",IF($F79&lt;$C$3,"Atrasada",IF($F79=$C$3,"Fecha neste dia","Em execução"))))</f>
        <v>Atrasada</v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n">
        <f aca="false">IF($L$4&lt;21,"",MATCH(21,Programação!$AF$5:$AF$1004,0)+4)</f>
        <v>101</v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>F-815</v>
      </c>
      <c r="B80" s="21" t="str">
        <f aca="false">IF($L$4&lt;22,"",INDEX(Programação!$E$5:$E$1004,MATCH(22,Programação!$AF$5:$AF$1004,0)))</f>
        <v>Baixa de pendências backlog</v>
      </c>
      <c r="C80" s="22" t="str">
        <f aca="false">IF($L$4&lt;22,"",INDEX(Programação!$F$5:$F$1004,MATCH(22,Programação!$AF$5:$AF$1004,0)))</f>
        <v>Substituir vedação do tubo de respiro da tampa de válvulas (OS ABRIR OS · verificar item em estoque)</v>
      </c>
      <c r="D80" s="21" t="str">
        <f aca="false">IF($L$4&lt;22,"",INDEX(Programação!$AG$5:$AG$1004,MATCH(22,Programação!$AF$5:$AF$1004,0)))</f>
        <v>Heliton</v>
      </c>
      <c r="E80" s="23" t="n">
        <f aca="false">IF($L$4&lt;22,"",INDEX(Programação!$O$5:$O$1004,MATCH(22,Programação!$AF$5:$AF$1004,0)))</f>
        <v>46265</v>
      </c>
      <c r="F80" s="23" t="n">
        <f aca="false">IF($L$4&lt;22,"",INDEX(Programação!$P$5:$P$1004,MATCH(22,Programação!$AF$5:$AF$1004,0)))</f>
        <v>46265</v>
      </c>
      <c r="G80" s="20" t="str">
        <f aca="false">IF($A80="","",IF($H80&lt;&gt;"","Concluída",IF($F80&lt;$C$3,"Atrasada",IF($F80=$C$3,"Fecha neste dia","Em execução"))))</f>
        <v>Atrasada</v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n">
        <f aca="false">IF($L$4&lt;22,"",MATCH(22,Programação!$AF$5:$AF$1004,0)+4)</f>
        <v>102</v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>F-815</v>
      </c>
      <c r="B81" s="21" t="str">
        <f aca="false">IF($L$4&lt;23,"",INDEX(Programação!$E$5:$E$1004,MATCH(23,Programação!$AF$5:$AF$1004,0)))</f>
        <v>Baixa de pendências backlog</v>
      </c>
      <c r="C81" s="22" t="str">
        <f aca="false">IF($L$4&lt;23,"",INDEX(Programação!$F$5:$F$1004,MATCH(23,Programação!$AF$5:$AF$1004,0)))</f>
        <v>Corrigir vazamento nas mangueiras do reservatório de óleo hidráulico: recuperar as mesmas, substituir abraçadeiras e etc (OS ABRIR OS ·</v>
      </c>
      <c r="D81" s="21" t="str">
        <f aca="false">IF($L$4&lt;23,"",INDEX(Programação!$AG$5:$AG$1004,MATCH(23,Programação!$AF$5:$AF$1004,0)))</f>
        <v>Heliton</v>
      </c>
      <c r="E81" s="23" t="n">
        <f aca="false">IF($L$4&lt;23,"",INDEX(Programação!$O$5:$O$1004,MATCH(23,Programação!$AF$5:$AF$1004,0)))</f>
        <v>46265</v>
      </c>
      <c r="F81" s="23" t="n">
        <f aca="false">IF($L$4&lt;23,"",INDEX(Programação!$P$5:$P$1004,MATCH(23,Programação!$AF$5:$AF$1004,0)))</f>
        <v>46265</v>
      </c>
      <c r="G81" s="20" t="str">
        <f aca="false">IF($A81="","",IF($H81&lt;&gt;"","Concluída",IF($F81&lt;$C$3,"Atrasada",IF($F81=$C$3,"Fecha neste dia","Em execução"))))</f>
        <v>Atrasada</v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n">
        <f aca="false">IF($L$4&lt;23,"",MATCH(23,Programação!$AF$5:$AF$1004,0)+4)</f>
        <v>104</v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>F-815</v>
      </c>
      <c r="B82" s="21" t="str">
        <f aca="false">IF($L$4&lt;24,"",INDEX(Programação!$E$5:$E$1004,MATCH(24,Programação!$AF$5:$AF$1004,0)))</f>
        <v>Baixa de pendências backlog</v>
      </c>
      <c r="C82" s="22" t="str">
        <f aca="false">IF($L$4&lt;24,"",INDEX(Programação!$F$5:$F$1004,MATCH(24,Programação!$AF$5:$AF$1004,0)))</f>
        <v>Completar nível do líquido de arrefecimento (OS ABRIR OS · serviço interno Matriz)</v>
      </c>
      <c r="D82" s="21" t="str">
        <f aca="false">IF($L$4&lt;24,"",INDEX(Programação!$AG$5:$AG$1004,MATCH(24,Programação!$AF$5:$AF$1004,0)))</f>
        <v>Heliton</v>
      </c>
      <c r="E82" s="23" t="n">
        <f aca="false">IF($L$4&lt;24,"",INDEX(Programação!$O$5:$O$1004,MATCH(24,Programação!$AF$5:$AF$1004,0)))</f>
        <v>46265</v>
      </c>
      <c r="F82" s="23" t="n">
        <f aca="false">IF($L$4&lt;24,"",INDEX(Programação!$P$5:$P$1004,MATCH(24,Programação!$AF$5:$AF$1004,0)))</f>
        <v>46265</v>
      </c>
      <c r="G82" s="20" t="str">
        <f aca="false">IF($A82="","",IF($H82&lt;&gt;"","Concluída",IF($F82&lt;$C$3,"Atrasada",IF($F82=$C$3,"Fecha neste dia","Em execução"))))</f>
        <v>Atrasada</v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n">
        <f aca="false">IF($L$4&lt;24,"",MATCH(24,Programação!$AF$5:$AF$1004,0)+4)</f>
        <v>106</v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>F-815</v>
      </c>
      <c r="B83" s="21" t="str">
        <f aca="false">IF($L$4&lt;25,"",INDEX(Programação!$E$5:$E$1004,MATCH(25,Programação!$AF$5:$AF$1004,0)))</f>
        <v>Baixa de pendências backlog</v>
      </c>
      <c r="C83" s="22" t="str">
        <f aca="false">IF($L$4&lt;25,"",INDEX(Programação!$F$5:$F$1004,MATCH(25,Programação!$AF$5:$AF$1004,0)))</f>
        <v>Corrigir vazamento no diferencial do segundo eixo (OS ABRIR OS · serviço interno Matriz)</v>
      </c>
      <c r="D83" s="21" t="str">
        <f aca="false">IF($L$4&lt;25,"",INDEX(Programação!$AG$5:$AG$1004,MATCH(25,Programação!$AF$5:$AF$1004,0)))</f>
        <v>Heliton</v>
      </c>
      <c r="E83" s="23" t="n">
        <f aca="false">IF($L$4&lt;25,"",INDEX(Programação!$O$5:$O$1004,MATCH(25,Programação!$AF$5:$AF$1004,0)))</f>
        <v>46265</v>
      </c>
      <c r="F83" s="23" t="n">
        <f aca="false">IF($L$4&lt;25,"",INDEX(Programação!$P$5:$P$1004,MATCH(25,Programação!$AF$5:$AF$1004,0)))</f>
        <v>46265</v>
      </c>
      <c r="G83" s="20" t="str">
        <f aca="false">IF($A83="","",IF($H83&lt;&gt;"","Concluída",IF($F83&lt;$C$3,"Atrasada",IF($F83=$C$3,"Fecha neste dia","Em execução"))))</f>
        <v>Atrasada</v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n">
        <f aca="false">IF($L$4&lt;25,"",MATCH(25,Programação!$AF$5:$AF$1004,0)+4)</f>
        <v>107</v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>F-815</v>
      </c>
      <c r="B84" s="21" t="str">
        <f aca="false">IF($L$4&lt;26,"",INDEX(Programação!$E$5:$E$1004,MATCH(26,Programação!$AF$5:$AF$1004,0)))</f>
        <v>Baixa de pendências backlog</v>
      </c>
      <c r="C84" s="22" t="str">
        <f aca="false">IF($L$4&lt;26,"",INDEX(Programação!$F$5:$F$1004,MATCH(26,Programação!$AF$5:$AF$1004,0)))</f>
        <v>Substituir chave geral avariada (OS 7158 · 21243844)</v>
      </c>
      <c r="D84" s="21" t="str">
        <f aca="false">IF($L$4&lt;26,"",INDEX(Programação!$AG$5:$AG$1004,MATCH(26,Programação!$AF$5:$AF$1004,0)))</f>
        <v>Alexandre</v>
      </c>
      <c r="E84" s="23" t="n">
        <f aca="false">IF($L$4&lt;26,"",INDEX(Programação!$O$5:$O$1004,MATCH(26,Programação!$AF$5:$AF$1004,0)))</f>
        <v>46265</v>
      </c>
      <c r="F84" s="23" t="n">
        <f aca="false">IF($L$4&lt;26,"",INDEX(Programação!$P$5:$P$1004,MATCH(26,Programação!$AF$5:$AF$1004,0)))</f>
        <v>46265</v>
      </c>
      <c r="G84" s="20" t="str">
        <f aca="false">IF($A84="","",IF($H84&lt;&gt;"","Concluída",IF($F84&lt;$C$3,"Atrasada",IF($F84=$C$3,"Fecha neste dia","Em execução"))))</f>
        <v>Atrasada</v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n">
        <f aca="false">IF($L$4&lt;26,"",MATCH(26,Programação!$AF$5:$AF$1004,0)+4)</f>
        <v>108</v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>F-815</v>
      </c>
      <c r="B85" s="21" t="str">
        <f aca="false">IF($L$4&lt;27,"",INDEX(Programação!$E$5:$E$1004,MATCH(27,Programação!$AF$5:$AF$1004,0)))</f>
        <v>Baixa de pendências backlog</v>
      </c>
      <c r="C85" s="22" t="str">
        <f aca="false">IF($L$4&lt;27,"",INDEX(Programação!$F$5:$F$1004,MATCH(27,Programação!$AF$5:$AF$1004,0)))</f>
        <v>Repor tampa de proteção das tomadas frontais (erraque) LD (OS 7159 · 20410141)</v>
      </c>
      <c r="D85" s="21" t="str">
        <f aca="false">IF($L$4&lt;27,"",INDEX(Programação!$AG$5:$AG$1004,MATCH(27,Programação!$AF$5:$AF$1004,0)))</f>
        <v>Heliton</v>
      </c>
      <c r="E85" s="23" t="n">
        <f aca="false">IF($L$4&lt;27,"",INDEX(Programação!$O$5:$O$1004,MATCH(27,Programação!$AF$5:$AF$1004,0)))</f>
        <v>46265</v>
      </c>
      <c r="F85" s="23" t="n">
        <f aca="false">IF($L$4&lt;27,"",INDEX(Programação!$P$5:$P$1004,MATCH(27,Programação!$AF$5:$AF$1004,0)))</f>
        <v>46265</v>
      </c>
      <c r="G85" s="20" t="str">
        <f aca="false">IF($A85="","",IF($H85&lt;&gt;"","Concluída",IF($F85&lt;$C$3,"Atrasada",IF($F85=$C$3,"Fecha neste dia","Em execução"))))</f>
        <v>Atrasada</v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n">
        <f aca="false">IF($L$4&lt;27,"",MATCH(27,Programação!$AF$5:$AF$1004,0)+4)</f>
        <v>109</v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>F-815</v>
      </c>
      <c r="B86" s="21" t="str">
        <f aca="false">IF($L$4&lt;28,"",INDEX(Programação!$E$5:$E$1004,MATCH(28,Programação!$AF$5:$AF$1004,0)))</f>
        <v>Baixa de pendências backlog</v>
      </c>
      <c r="C86" s="22" t="str">
        <f aca="false">IF($L$4&lt;28,"",INDEX(Programação!$F$5:$F$1004,MATCH(28,Programação!$AF$5:$AF$1004,0)))</f>
        <v>Corrigir iluminação da luz de freio traseira LE e revisar demais luzes (OS ABRIR OS · serviço interno Matriz)</v>
      </c>
      <c r="D86" s="21" t="str">
        <f aca="false">IF($L$4&lt;28,"",INDEX(Programação!$AG$5:$AG$1004,MATCH(28,Programação!$AF$5:$AF$1004,0)))</f>
        <v>Alexandre</v>
      </c>
      <c r="E86" s="23" t="n">
        <f aca="false">IF($L$4&lt;28,"",INDEX(Programação!$O$5:$O$1004,MATCH(28,Programação!$AF$5:$AF$1004,0)))</f>
        <v>46265</v>
      </c>
      <c r="F86" s="23" t="n">
        <f aca="false">IF($L$4&lt;28,"",INDEX(Programação!$P$5:$P$1004,MATCH(28,Programação!$AF$5:$AF$1004,0)))</f>
        <v>46266</v>
      </c>
      <c r="G86" s="20" t="str">
        <f aca="false">IF($A86="","",IF($H86&lt;&gt;"","Concluída",IF($F86&lt;$C$3,"Atrasada",IF($F86=$C$3,"Fecha neste dia","Em execução"))))</f>
        <v>Atrasada</v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n">
        <f aca="false">IF($L$4&lt;28,"",MATCH(28,Programação!$AF$5:$AF$1004,0)+4)</f>
        <v>110</v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>F-815</v>
      </c>
      <c r="B87" s="21" t="str">
        <f aca="false">IF($L$4&lt;29,"",INDEX(Programação!$E$5:$E$1004,MATCH(29,Programação!$AF$5:$AF$1004,0)))</f>
        <v>Baixa de pendências backlog</v>
      </c>
      <c r="C87" s="22" t="str">
        <f aca="false">IF($L$4&lt;29,"",INDEX(Programação!$F$5:$F$1004,MATCH(29,Programação!$AF$5:$AF$1004,0)))</f>
        <v>Fixar módulo do motor, evitando excesso de vibração no mesmo (OS ABRIR OS · serviço interno Matriz)</v>
      </c>
      <c r="D87" s="21" t="str">
        <f aca="false">IF($L$4&lt;29,"",INDEX(Programação!$AG$5:$AG$1004,MATCH(29,Programação!$AF$5:$AF$1004,0)))</f>
        <v>Alexandre</v>
      </c>
      <c r="E87" s="23" t="n">
        <f aca="false">IF($L$4&lt;29,"",INDEX(Programação!$O$5:$O$1004,MATCH(29,Programação!$AF$5:$AF$1004,0)))</f>
        <v>46265</v>
      </c>
      <c r="F87" s="23" t="n">
        <f aca="false">IF($L$4&lt;29,"",INDEX(Programação!$P$5:$P$1004,MATCH(29,Programação!$AF$5:$AF$1004,0)))</f>
        <v>46266</v>
      </c>
      <c r="G87" s="20" t="str">
        <f aca="false">IF($A87="","",IF($H87&lt;&gt;"","Concluída",IF($F87&lt;$C$3,"Atrasada",IF($F87=$C$3,"Fecha neste dia","Em execução"))))</f>
        <v>Atrasada</v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n">
        <f aca="false">IF($L$4&lt;29,"",MATCH(29,Programação!$AF$5:$AF$1004,0)+4)</f>
        <v>111</v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>F-815</v>
      </c>
      <c r="B88" s="21" t="str">
        <f aca="false">IF($L$4&lt;30,"",INDEX(Programação!$E$5:$E$1004,MATCH(30,Programação!$AF$5:$AF$1004,0)))</f>
        <v>Baixa de pendências backlog</v>
      </c>
      <c r="C88" s="22" t="str">
        <f aca="false">IF($L$4&lt;30,"",INDEX(Programação!$F$5:$F$1004,MATCH(30,Programação!$AF$5:$AF$1004,0)))</f>
        <v>Fixar grade frontal LD (OS ABRIR OS · serviço interno Matriz)</v>
      </c>
      <c r="D88" s="21" t="str">
        <f aca="false">IF($L$4&lt;30,"",INDEX(Programação!$AG$5:$AG$1004,MATCH(30,Programação!$AF$5:$AF$1004,0)))</f>
        <v>Heliton</v>
      </c>
      <c r="E88" s="23" t="n">
        <f aca="false">IF($L$4&lt;30,"",INDEX(Programação!$O$5:$O$1004,MATCH(30,Programação!$AF$5:$AF$1004,0)))</f>
        <v>46265</v>
      </c>
      <c r="F88" s="23" t="n">
        <f aca="false">IF($L$4&lt;30,"",INDEX(Programação!$P$5:$P$1004,MATCH(30,Programação!$AF$5:$AF$1004,0)))</f>
        <v>46266</v>
      </c>
      <c r="G88" s="20" t="str">
        <f aca="false">IF($A88="","",IF($H88&lt;&gt;"","Concluída",IF($F88&lt;$C$3,"Atrasada",IF($F88=$C$3,"Fecha neste dia","Em execução"))))</f>
        <v>Atrasada</v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n">
        <f aca="false">IF($L$4&lt;30,"",MATCH(30,Programação!$AF$5:$AF$1004,0)+4)</f>
        <v>112</v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>F-815</v>
      </c>
      <c r="B89" s="21" t="str">
        <f aca="false">IF($L$4&lt;31,"",INDEX(Programação!$E$5:$E$1004,MATCH(31,Programação!$AF$5:$AF$1004,0)))</f>
        <v>Baixa de pendências backlog</v>
      </c>
      <c r="C89" s="22" t="str">
        <f aca="false">IF($L$4&lt;31,"",INDEX(Programação!$F$5:$F$1004,MATCH(31,Programação!$AF$5:$AF$1004,0)))</f>
        <v>Substituir estepe furado (OS ABRIR OS · serviço interno Matriz)</v>
      </c>
      <c r="D89" s="21" t="str">
        <f aca="false">IF($L$4&lt;31,"",INDEX(Programação!$AG$5:$AG$1004,MATCH(31,Programação!$AF$5:$AF$1004,0)))</f>
        <v>Luiz Paulo</v>
      </c>
      <c r="E89" s="23" t="n">
        <f aca="false">IF($L$4&lt;31,"",INDEX(Programação!$O$5:$O$1004,MATCH(31,Programação!$AF$5:$AF$1004,0)))</f>
        <v>46265</v>
      </c>
      <c r="F89" s="23" t="n">
        <f aca="false">IF($L$4&lt;31,"",INDEX(Programação!$P$5:$P$1004,MATCH(31,Programação!$AF$5:$AF$1004,0)))</f>
        <v>46266</v>
      </c>
      <c r="G89" s="20" t="str">
        <f aca="false">IF($A89="","",IF($H89&lt;&gt;"","Concluída",IF($F89&lt;$C$3,"Atrasada",IF($F89=$C$3,"Fecha neste dia","Em execução"))))</f>
        <v>Atrasada</v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n">
        <f aca="false">IF($L$4&lt;31,"",MATCH(31,Programação!$AF$5:$AF$1004,0)+4)</f>
        <v>113</v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>F-815</v>
      </c>
      <c r="B90" s="21" t="str">
        <f aca="false">IF($L$4&lt;32,"",INDEX(Programação!$E$5:$E$1004,MATCH(32,Programação!$AF$5:$AF$1004,0)))</f>
        <v>Baixa de pendências backlog</v>
      </c>
      <c r="C90" s="22" t="str">
        <f aca="false">IF($L$4&lt;32,"",INDEX(Programação!$F$5:$F$1004,MATCH(32,Programação!$AF$5:$AF$1004,0)))</f>
        <v>Substituir amortecedor dianteiro da cabine LD com desgaste nas buchas, apresentando ruído "ferro com ferro" ao movimentar a mesma (OS</v>
      </c>
      <c r="D90" s="21" t="str">
        <f aca="false">IF($L$4&lt;32,"",INDEX(Programação!$AG$5:$AG$1004,MATCH(32,Programação!$AF$5:$AF$1004,0)))</f>
        <v>Heliton</v>
      </c>
      <c r="E90" s="23" t="n">
        <f aca="false">IF($L$4&lt;32,"",INDEX(Programação!$O$5:$O$1004,MATCH(32,Programação!$AF$5:$AF$1004,0)))</f>
        <v>46265</v>
      </c>
      <c r="F90" s="23" t="n">
        <f aca="false">IF($L$4&lt;32,"",INDEX(Programação!$P$5:$P$1004,MATCH(32,Programação!$AF$5:$AF$1004,0)))</f>
        <v>46266</v>
      </c>
      <c r="G90" s="20" t="str">
        <f aca="false">IF($A90="","",IF($H90&lt;&gt;"","Concluída",IF($F90&lt;$C$3,"Atrasada",IF($F90=$C$3,"Fecha neste dia","Em execução"))))</f>
        <v>Atrasada</v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n">
        <f aca="false">IF($L$4&lt;32,"",MATCH(32,Programação!$AF$5:$AF$1004,0)+4)</f>
        <v>114</v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>F-815</v>
      </c>
      <c r="B91" s="21" t="str">
        <f aca="false">IF($L$4&lt;33,"",INDEX(Programação!$E$5:$E$1004,MATCH(33,Programação!$AF$5:$AF$1004,0)))</f>
        <v>Baixa de pendências backlog</v>
      </c>
      <c r="C91" s="22" t="str">
        <f aca="false">IF($L$4&lt;33,"",INDEX(Programação!$F$5:$F$1004,MATCH(33,Programação!$AF$5:$AF$1004,0)))</f>
        <v>Substituir reservatório do limpador de parabrisas avariado (OS ABRIR OS · verificar possível correção ou realizar pedido 20360593)</v>
      </c>
      <c r="D91" s="21" t="str">
        <f aca="false">IF($L$4&lt;33,"",INDEX(Programação!$AG$5:$AG$1004,MATCH(33,Programação!$AF$5:$AF$1004,0)))</f>
        <v>Heliton</v>
      </c>
      <c r="E91" s="23" t="n">
        <f aca="false">IF($L$4&lt;33,"",INDEX(Programação!$O$5:$O$1004,MATCH(33,Programação!$AF$5:$AF$1004,0)))</f>
        <v>46265</v>
      </c>
      <c r="F91" s="23" t="n">
        <f aca="false">IF($L$4&lt;33,"",INDEX(Programação!$P$5:$P$1004,MATCH(33,Programação!$AF$5:$AF$1004,0)))</f>
        <v>46266</v>
      </c>
      <c r="G91" s="20" t="str">
        <f aca="false">IF($A91="","",IF($H91&lt;&gt;"","Concluída",IF($F91&lt;$C$3,"Atrasada",IF($F91=$C$3,"Fecha neste dia","Em execução"))))</f>
        <v>Atrasada</v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n">
        <f aca="false">IF($L$4&lt;33,"",MATCH(33,Programação!$AF$5:$AF$1004,0)+4)</f>
        <v>115</v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>F-815</v>
      </c>
      <c r="B92" s="21" t="str">
        <f aca="false">IF($L$4&lt;34,"",INDEX(Programação!$E$5:$E$1004,MATCH(34,Programação!$AF$5:$AF$1004,0)))</f>
        <v>Baixa de pendências backlog</v>
      </c>
      <c r="C92" s="22" t="str">
        <f aca="false">IF($L$4&lt;34,"",INDEX(Programação!$F$5:$F$1004,MATCH(34,Programação!$AF$5:$AF$1004,0)))</f>
        <v>Substituir vedação da tampa do cubo de roda dianteiro LD (OS 7161 · 3986189)</v>
      </c>
      <c r="D92" s="21" t="str">
        <f aca="false">IF($L$4&lt;34,"",INDEX(Programação!$AG$5:$AG$1004,MATCH(34,Programação!$AF$5:$AF$1004,0)))</f>
        <v>Heliton</v>
      </c>
      <c r="E92" s="23" t="n">
        <f aca="false">IF($L$4&lt;34,"",INDEX(Programação!$O$5:$O$1004,MATCH(34,Programação!$AF$5:$AF$1004,0)))</f>
        <v>46265</v>
      </c>
      <c r="F92" s="23" t="n">
        <f aca="false">IF($L$4&lt;34,"",INDEX(Programação!$P$5:$P$1004,MATCH(34,Programação!$AF$5:$AF$1004,0)))</f>
        <v>46266</v>
      </c>
      <c r="G92" s="20" t="str">
        <f aca="false">IF($A92="","",IF($H92&lt;&gt;"","Concluída",IF($F92&lt;$C$3,"Atrasada",IF($F92=$C$3,"Fecha neste dia","Em execução"))))</f>
        <v>Atrasada</v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n">
        <f aca="false">IF($L$4&lt;34,"",MATCH(34,Programação!$AF$5:$AF$1004,0)+4)</f>
        <v>116</v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>F-815</v>
      </c>
      <c r="B93" s="21" t="str">
        <f aca="false">IF($L$4&lt;35,"",INDEX(Programação!$E$5:$E$1004,MATCH(35,Programação!$AF$5:$AF$1004,0)))</f>
        <v>Baixa de pendências backlog</v>
      </c>
      <c r="C93" s="22" t="str">
        <f aca="false">IF($L$4&lt;35,"",INDEX(Programação!$F$5:$F$1004,MATCH(35,Programação!$AF$5:$AF$1004,0)))</f>
        <v>Substituir vareta de verificação do nível de óleo hidráulico avariada (OS ABRIR OS · 1696362)</v>
      </c>
      <c r="D93" s="21" t="str">
        <f aca="false">IF($L$4&lt;35,"",INDEX(Programação!$AG$5:$AG$1004,MATCH(35,Programação!$AF$5:$AF$1004,0)))</f>
        <v>Heliton</v>
      </c>
      <c r="E93" s="23" t="n">
        <f aca="false">IF($L$4&lt;35,"",INDEX(Programação!$O$5:$O$1004,MATCH(35,Programação!$AF$5:$AF$1004,0)))</f>
        <v>46265</v>
      </c>
      <c r="F93" s="23" t="n">
        <f aca="false">IF($L$4&lt;35,"",INDEX(Programação!$P$5:$P$1004,MATCH(35,Programação!$AF$5:$AF$1004,0)))</f>
        <v>46266</v>
      </c>
      <c r="G93" s="20" t="str">
        <f aca="false">IF($A93="","",IF($H93&lt;&gt;"","Concluída",IF($F93&lt;$C$3,"Atrasada",IF($F93=$C$3,"Fecha neste dia","Em execução"))))</f>
        <v>Atrasada</v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n">
        <f aca="false">IF($L$4&lt;35,"",MATCH(35,Programação!$AF$5:$AF$1004,0)+4)</f>
        <v>117</v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>F-815</v>
      </c>
      <c r="B94" s="21" t="str">
        <f aca="false">IF($L$4&lt;36,"",INDEX(Programação!$E$5:$E$1004,MATCH(36,Programação!$AF$5:$AF$1004,0)))</f>
        <v>Baixa de pendências backlog</v>
      </c>
      <c r="C94" s="22" t="str">
        <f aca="false">IF($L$4&lt;36,"",INDEX(Programação!$F$5:$F$1004,MATCH(36,Programação!$AF$5:$AF$1004,0)))</f>
        <v>Substituir flexível do escapamento avariado, evitando danificar mangueiras e chicotes (OS 7162 · 20442244)</v>
      </c>
      <c r="D94" s="21" t="str">
        <f aca="false">IF($L$4&lt;36,"",INDEX(Programação!$AG$5:$AG$1004,MATCH(36,Programação!$AF$5:$AF$1004,0)))</f>
        <v>Heliton</v>
      </c>
      <c r="E94" s="23" t="n">
        <f aca="false">IF($L$4&lt;36,"",INDEX(Programação!$O$5:$O$1004,MATCH(36,Programação!$AF$5:$AF$1004,0)))</f>
        <v>46265</v>
      </c>
      <c r="F94" s="23" t="n">
        <f aca="false">IF($L$4&lt;36,"",INDEX(Programação!$P$5:$P$1004,MATCH(36,Programação!$AF$5:$AF$1004,0)))</f>
        <v>46266</v>
      </c>
      <c r="G94" s="20" t="str">
        <f aca="false">IF($A94="","",IF($H94&lt;&gt;"","Concluída",IF($F94&lt;$C$3,"Atrasada",IF($F94=$C$3,"Fecha neste dia","Em execução"))))</f>
        <v>Atrasada</v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n">
        <f aca="false">IF($L$4&lt;36,"",MATCH(36,Programação!$AF$5:$AF$1004,0)+4)</f>
        <v>118</v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>F-815</v>
      </c>
      <c r="B95" s="21" t="str">
        <f aca="false">IF($L$4&lt;37,"",INDEX(Programação!$E$5:$E$1004,MATCH(37,Programação!$AF$5:$AF$1004,0)))</f>
        <v>Baixa de pendências backlog</v>
      </c>
      <c r="C95" s="22" t="str">
        <f aca="false">IF($L$4&lt;37,"",INDEX(Programação!$F$5:$F$1004,MATCH(37,Programação!$AF$5:$AF$1004,0)))</f>
        <v>Programar substituição das lonas de freio segundo eixo LD (OS ABRIR OS · serviço empresa especializada, programar próxima parada)</v>
      </c>
      <c r="D95" s="21" t="str">
        <f aca="false">IF($L$4&lt;37,"",INDEX(Programação!$AG$5:$AG$1004,MATCH(37,Programação!$AF$5:$AF$1004,0)))</f>
        <v>Heliton</v>
      </c>
      <c r="E95" s="23" t="n">
        <f aca="false">IF($L$4&lt;37,"",INDEX(Programação!$O$5:$O$1004,MATCH(37,Programação!$AF$5:$AF$1004,0)))</f>
        <v>46265</v>
      </c>
      <c r="F95" s="23" t="n">
        <f aca="false">IF($L$4&lt;37,"",INDEX(Programação!$P$5:$P$1004,MATCH(37,Programação!$AF$5:$AF$1004,0)))</f>
        <v>46266</v>
      </c>
      <c r="G95" s="20" t="str">
        <f aca="false">IF($A95="","",IF($H95&lt;&gt;"","Concluída",IF($F95&lt;$C$3,"Atrasada",IF($F95=$C$3,"Fecha neste dia","Em execução"))))</f>
        <v>Atrasada</v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n">
        <f aca="false">IF($L$4&lt;37,"",MATCH(37,Programação!$AF$5:$AF$1004,0)+4)</f>
        <v>119</v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>F-815</v>
      </c>
      <c r="B96" s="21" t="str">
        <f aca="false">IF($L$4&lt;38,"",INDEX(Programação!$E$5:$E$1004,MATCH(38,Programação!$AF$5:$AF$1004,0)))</f>
        <v>Baixa de pendências backlog</v>
      </c>
      <c r="C96" s="22" t="str">
        <f aca="false">IF($L$4&lt;38,"",INDEX(Programação!$F$5:$F$1004,MATCH(38,Programação!$AF$5:$AF$1004,0)))</f>
        <v>Substituir farol LE avariado (OS ABRIR OS · 21035645 (realizar acompanhamento))</v>
      </c>
      <c r="D96" s="21" t="str">
        <f aca="false">IF($L$4&lt;38,"",INDEX(Programação!$AG$5:$AG$1004,MATCH(38,Programação!$AF$5:$AF$1004,0)))</f>
        <v>Alexandre</v>
      </c>
      <c r="E96" s="23" t="n">
        <f aca="false">IF($L$4&lt;38,"",INDEX(Programação!$O$5:$O$1004,MATCH(38,Programação!$AF$5:$AF$1004,0)))</f>
        <v>46265</v>
      </c>
      <c r="F96" s="23" t="n">
        <f aca="false">IF($L$4&lt;38,"",INDEX(Programação!$P$5:$P$1004,MATCH(38,Programação!$AF$5:$AF$1004,0)))</f>
        <v>46266</v>
      </c>
      <c r="G96" s="20" t="str">
        <f aca="false">IF($A96="","",IF($H96&lt;&gt;"","Concluída",IF($F96&lt;$C$3,"Atrasada",IF($F96=$C$3,"Fecha neste dia","Em execução"))))</f>
        <v>Atrasada</v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n">
        <f aca="false">IF($L$4&lt;38,"",MATCH(38,Programação!$AF$5:$AF$1004,0)+4)</f>
        <v>120</v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>F-938</v>
      </c>
      <c r="B97" s="21" t="str">
        <f aca="false">IF($L$4&lt;39,"",INDEX(Programação!$E$5:$E$1004,MATCH(39,Programação!$AF$5:$AF$1004,0)))</f>
        <v>Realizar troca de baterias</v>
      </c>
      <c r="C97" s="22" t="str">
        <f aca="false">IF($L$4&lt;39,"",INDEX(Programação!$F$5:$F$1004,MATCH(39,Programação!$AF$5:$AF$1004,0)))</f>
        <v>Trocar bateria</v>
      </c>
      <c r="D97" s="21" t="str">
        <f aca="false">IF($L$4&lt;39,"",INDEX(Programação!$AG$5:$AG$1004,MATCH(39,Programação!$AF$5:$AF$1004,0)))</f>
        <v/>
      </c>
      <c r="E97" s="23" t="n">
        <f aca="false">IF($L$4&lt;39,"",INDEX(Programação!$O$5:$O$1004,MATCH(39,Programação!$AF$5:$AF$1004,0)))</f>
        <v>46266</v>
      </c>
      <c r="F97" s="23" t="n">
        <f aca="false">IF($L$4&lt;39,"",INDEX(Programação!$P$5:$P$1004,MATCH(39,Programação!$AF$5:$AF$1004,0)))</f>
        <v>46266</v>
      </c>
      <c r="G97" s="20" t="str">
        <f aca="false">IF($A97="","",IF($H97&lt;&gt;"","Concluída",IF($F97&lt;$C$3,"Atrasada",IF($F97=$C$3,"Fecha neste dia","Em execução"))))</f>
        <v>Atrasada</v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n">
        <f aca="false">IF($L$4&lt;39,"",MATCH(39,Programação!$AF$5:$AF$1004,0)+4)</f>
        <v>254</v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>F-624</v>
      </c>
      <c r="B98" s="21" t="str">
        <f aca="false">IF($L$4&lt;40,"",INDEX(Programação!$E$5:$E$1004,MATCH(40,Programação!$AF$5:$AF$1004,0)))</f>
        <v>Completar liquido de arrefecimento</v>
      </c>
      <c r="C98" s="22" t="str">
        <f aca="false">IF($L$4&lt;40,"",INDEX(Programação!$F$5:$F$1004,MATCH(40,Programação!$AF$5:$AF$1004,0)))</f>
        <v>Completar liquido de arrefecimento</v>
      </c>
      <c r="D98" s="21" t="str">
        <f aca="false">IF($L$4&lt;40,"",INDEX(Programação!$AG$5:$AG$1004,MATCH(40,Programação!$AF$5:$AF$1004,0)))</f>
        <v>Júnior</v>
      </c>
      <c r="E98" s="23" t="n">
        <f aca="false">IF($L$4&lt;40,"",INDEX(Programação!$O$5:$O$1004,MATCH(40,Programação!$AF$5:$AF$1004,0)))</f>
        <v>46266</v>
      </c>
      <c r="F98" s="23" t="n">
        <f aca="false">IF($L$4&lt;40,"",INDEX(Programação!$P$5:$P$1004,MATCH(40,Programação!$AF$5:$AF$1004,0)))</f>
        <v>46266</v>
      </c>
      <c r="G98" s="20" t="str">
        <f aca="false">IF($A98="","",IF($H98&lt;&gt;"","Concluída",IF($F98&lt;$C$3,"Atrasada",IF($F98=$C$3,"Fecha neste dia","Em execução"))))</f>
        <v>Atrasada</v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n">
        <f aca="false">IF($L$4&lt;40,"",MATCH(40,Programação!$AF$5:$AF$1004,0)+4)</f>
        <v>255</v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 t="s">
        <v>135</v>
      </c>
      <c r="D10" s="21"/>
      <c r="E10" s="21" t="s">
        <v>136</v>
      </c>
      <c r="F10" s="21" t="s">
        <v>137</v>
      </c>
    </row>
    <row r="11" customFormat="false" ht="15" hidden="false" customHeight="false" outlineLevel="0" collapsed="false">
      <c r="A11" s="21" t="s">
        <v>138</v>
      </c>
      <c r="B11" s="21" t="s">
        <v>139</v>
      </c>
      <c r="C11" s="21" t="s">
        <v>140</v>
      </c>
      <c r="D11" s="21"/>
      <c r="E11" s="21" t="s">
        <v>141</v>
      </c>
      <c r="F11" s="21" t="s">
        <v>142</v>
      </c>
    </row>
    <row r="12" customFormat="false" ht="15" hidden="false" customHeight="false" outlineLevel="0" collapsed="false">
      <c r="A12" s="21" t="s">
        <v>143</v>
      </c>
      <c r="B12" s="21" t="s">
        <v>144</v>
      </c>
      <c r="C12" s="21" t="s">
        <v>145</v>
      </c>
      <c r="D12" s="21"/>
      <c r="E12" s="21" t="s">
        <v>146</v>
      </c>
      <c r="F12" s="21"/>
    </row>
    <row r="13" customFormat="false" ht="15" hidden="false" customHeight="false" outlineLevel="0" collapsed="false">
      <c r="A13" s="21" t="s">
        <v>147</v>
      </c>
      <c r="B13" s="21" t="s">
        <v>148</v>
      </c>
      <c r="C13" s="21"/>
      <c r="D13" s="21"/>
      <c r="E13" s="21" t="s">
        <v>149</v>
      </c>
      <c r="F13" s="21"/>
    </row>
    <row r="14" customFormat="false" ht="15" hidden="false" customHeight="false" outlineLevel="0" collapsed="false">
      <c r="A14" s="21" t="s">
        <v>150</v>
      </c>
      <c r="B14" s="21" t="s">
        <v>151</v>
      </c>
      <c r="C14" s="21"/>
      <c r="D14" s="21"/>
      <c r="E14" s="21" t="s">
        <v>152</v>
      </c>
      <c r="F14" s="21"/>
    </row>
    <row r="15" customFormat="false" ht="15" hidden="false" customHeight="false" outlineLevel="0" collapsed="false">
      <c r="A15" s="21" t="s">
        <v>153</v>
      </c>
      <c r="B15" s="21" t="s">
        <v>154</v>
      </c>
      <c r="C15" s="21"/>
      <c r="D15" s="21"/>
      <c r="E15" s="21" t="s">
        <v>155</v>
      </c>
      <c r="F15" s="21"/>
    </row>
    <row r="16" customFormat="false" ht="15" hidden="false" customHeight="false" outlineLevel="0" collapsed="false">
      <c r="A16" s="21" t="s">
        <v>156</v>
      </c>
      <c r="B16" s="21" t="s">
        <v>157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158</v>
      </c>
      <c r="B17" s="21" t="s">
        <v>159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160</v>
      </c>
      <c r="B18" s="21" t="s">
        <v>161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162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163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164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165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166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167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168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169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170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171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172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173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174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175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176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177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178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180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181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182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183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184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185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186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187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188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190</v>
      </c>
      <c r="B2" s="50"/>
      <c r="C2" s="51" t="s">
        <v>191</v>
      </c>
      <c r="D2" s="51"/>
      <c r="E2" s="51"/>
      <c r="F2" s="51"/>
      <c r="G2" s="51"/>
      <c r="H2" s="51"/>
      <c r="I2" s="52" t="s">
        <v>192</v>
      </c>
      <c r="J2" s="52"/>
      <c r="K2" s="52"/>
      <c r="L2" s="53" t="s">
        <v>193</v>
      </c>
      <c r="M2" s="53"/>
      <c r="N2" s="53"/>
      <c r="O2" s="50" t="s">
        <v>190</v>
      </c>
      <c r="P2" s="50"/>
      <c r="Q2" s="54" t="s">
        <v>194</v>
      </c>
      <c r="R2" s="54"/>
      <c r="S2" s="54"/>
      <c r="T2" s="54"/>
      <c r="U2" s="54"/>
      <c r="V2" s="50" t="s">
        <v>195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196</v>
      </c>
      <c r="B3" s="19" t="s">
        <v>20</v>
      </c>
      <c r="C3" s="55" t="s">
        <v>197</v>
      </c>
      <c r="D3" s="55" t="s">
        <v>14</v>
      </c>
      <c r="E3" s="55" t="s">
        <v>15</v>
      </c>
      <c r="F3" s="55" t="s">
        <v>16</v>
      </c>
      <c r="G3" s="55" t="s">
        <v>198</v>
      </c>
      <c r="H3" s="55" t="s">
        <v>199</v>
      </c>
      <c r="I3" s="55" t="s">
        <v>200</v>
      </c>
      <c r="J3" s="55" t="s">
        <v>201</v>
      </c>
      <c r="K3" s="55" t="s">
        <v>202</v>
      </c>
      <c r="L3" s="55" t="s">
        <v>203</v>
      </c>
      <c r="M3" s="55" t="s">
        <v>107</v>
      </c>
      <c r="N3" s="55" t="s">
        <v>204</v>
      </c>
      <c r="O3" s="19" t="s">
        <v>18</v>
      </c>
      <c r="P3" s="19" t="s">
        <v>205</v>
      </c>
      <c r="Q3" s="55" t="s">
        <v>21</v>
      </c>
      <c r="R3" s="55" t="s">
        <v>105</v>
      </c>
      <c r="S3" s="55" t="s">
        <v>206</v>
      </c>
      <c r="T3" s="55" t="s">
        <v>207</v>
      </c>
      <c r="U3" s="55" t="s">
        <v>208</v>
      </c>
      <c r="V3" s="19" t="s">
        <v>209</v>
      </c>
      <c r="W3" s="19" t="s">
        <v>210</v>
      </c>
      <c r="X3" s="19" t="s">
        <v>211</v>
      </c>
      <c r="Y3" s="19" t="s">
        <v>212</v>
      </c>
      <c r="Z3" s="19" t="s">
        <v>213</v>
      </c>
      <c r="AA3" s="19" t="s">
        <v>214</v>
      </c>
      <c r="AB3" s="19" t="s">
        <v>215</v>
      </c>
      <c r="AC3" s="19" t="s">
        <v>216</v>
      </c>
      <c r="AD3" s="19" t="s">
        <v>217</v>
      </c>
      <c r="AE3" s="19" t="s">
        <v>218</v>
      </c>
      <c r="AF3" s="19" t="s">
        <v>219</v>
      </c>
      <c r="AG3" s="19" t="s">
        <v>220</v>
      </c>
      <c r="AH3" s="19" t="s">
        <v>221</v>
      </c>
      <c r="AI3" s="19" t="s">
        <v>222</v>
      </c>
      <c r="AJ3" s="19" t="s">
        <v>223</v>
      </c>
      <c r="AK3" s="19" t="s">
        <v>224</v>
      </c>
      <c r="AL3" s="19" t="s">
        <v>225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58" t="s">
        <v>226</v>
      </c>
      <c r="D5" s="59" t="s">
        <v>139</v>
      </c>
      <c r="E5" s="59" t="s">
        <v>227</v>
      </c>
      <c r="F5" s="59" t="s">
        <v>228</v>
      </c>
      <c r="G5" s="60" t="s">
        <v>110</v>
      </c>
      <c r="H5" s="60" t="s">
        <v>229</v>
      </c>
      <c r="I5" s="61" t="s">
        <v>113</v>
      </c>
      <c r="J5" s="61" t="s">
        <v>138</v>
      </c>
      <c r="K5" s="61"/>
      <c r="L5" s="62" t="n">
        <v>35</v>
      </c>
      <c r="M5" s="63" t="s">
        <v>122</v>
      </c>
      <c r="N5" s="62" t="n">
        <v>4</v>
      </c>
      <c r="O5" s="64" t="n">
        <f aca="false">IF(OR($L5="",$M5=""),"",(DATE(Semana!$J$3,1,4)-WEEKDAY(DATE(Semana!$J$3,1,4),3))+($L5-1)*7+MATCH($M5,Listas!$F$5:$F$11,0)-1)</f>
        <v>46260</v>
      </c>
      <c r="P5" s="64" t="n">
        <f aca="false">IF($O5="","",$O5+MAX(0,ROUNDUP($AK5*MAX(1,IF($N5="",1,$N5))/MAX(1,$AL5),0)-1))</f>
        <v>46260</v>
      </c>
      <c r="Q5" s="65" t="n">
        <v>46260</v>
      </c>
      <c r="R5" s="60" t="s">
        <v>82</v>
      </c>
      <c r="S5" s="66"/>
      <c r="T5" s="59"/>
      <c r="U5" s="59" t="s">
        <v>230</v>
      </c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46260</v>
      </c>
      <c r="X5" s="57" t="n">
        <f aca="false">IF($F5="","",IF(OR($Q5="",$O5=""),0,IF($Q5&lt;=$O5,1,0)))</f>
        <v>1</v>
      </c>
      <c r="Y5" s="57" t="n">
        <f aca="false">IF($F5="","",IF(OR($Q5="",$W5=""),0,IF($Q5&lt;=$W5,1,0)))</f>
        <v>1</v>
      </c>
      <c r="Z5" s="57" t="n">
        <f aca="false">IF(OR($Q5="",$O5=""),"",MAX(0,$Q5-$O5))</f>
        <v>0</v>
      </c>
      <c r="AA5" s="57" t="n">
        <f aca="false">IF($F5="","",IF(AND($S5&lt;&gt;"",$L5&lt;&gt;"",$S5&lt;&gt;$L5),1,0))</f>
        <v>0</v>
      </c>
      <c r="AB5" s="57" t="n">
        <f aca="false">IF($F5="","",IF($R5="Cancelada",0,IF(OR($Q5&lt;&gt;"",$R5="Concluída"),1,0)))</f>
        <v>1</v>
      </c>
      <c r="AC5" s="57" t="n">
        <f aca="false">IF($P5="",0,IF($P5&lt;Hoje!$L$1,1,IF(AND($P5=Hoje!$L$1,Hoje!$L$2&gt;Semana!$M$3),1,0)))</f>
        <v>1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F-326|Calibração e troca de pneus|35</v>
      </c>
      <c r="AK5" s="57" t="n">
        <f aca="false">IF($AJ5="","",COUNTIF($AJ$4:$AJ5,$AJ5))</f>
        <v>1</v>
      </c>
      <c r="AL5" s="57" t="n">
        <f aca="false">IF($AJ5="","",COUNTIF($AJ$4:$AJ$1004,$AJ5))</f>
        <v>5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226</v>
      </c>
      <c r="D6" s="59" t="s">
        <v>139</v>
      </c>
      <c r="E6" s="59" t="s">
        <v>227</v>
      </c>
      <c r="F6" s="59" t="s">
        <v>231</v>
      </c>
      <c r="G6" s="60" t="s">
        <v>110</v>
      </c>
      <c r="H6" s="60" t="s">
        <v>229</v>
      </c>
      <c r="I6" s="61" t="s">
        <v>133</v>
      </c>
      <c r="J6" s="61"/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46261</v>
      </c>
      <c r="Q6" s="65" t="n">
        <v>46260</v>
      </c>
      <c r="R6" s="60" t="s">
        <v>82</v>
      </c>
      <c r="S6" s="66"/>
      <c r="T6" s="59"/>
      <c r="U6" s="59" t="s">
        <v>230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1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Júnior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2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226</v>
      </c>
      <c r="D7" s="59" t="s">
        <v>139</v>
      </c>
      <c r="E7" s="59" t="s">
        <v>227</v>
      </c>
      <c r="F7" s="59" t="s">
        <v>232</v>
      </c>
      <c r="G7" s="60" t="s">
        <v>110</v>
      </c>
      <c r="H7" s="60" t="s">
        <v>229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46262</v>
      </c>
      <c r="Q7" s="65" t="n">
        <v>46260</v>
      </c>
      <c r="R7" s="60" t="s">
        <v>82</v>
      </c>
      <c r="S7" s="66"/>
      <c r="T7" s="59"/>
      <c r="U7" s="59" t="s">
        <v>230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3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226</v>
      </c>
      <c r="D8" s="59" t="s">
        <v>139</v>
      </c>
      <c r="E8" s="59" t="s">
        <v>227</v>
      </c>
      <c r="F8" s="59" t="s">
        <v>233</v>
      </c>
      <c r="G8" s="60" t="s">
        <v>110</v>
      </c>
      <c r="H8" s="60" t="s">
        <v>229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46263</v>
      </c>
      <c r="Q8" s="65" t="n">
        <v>46260</v>
      </c>
      <c r="R8" s="60" t="s">
        <v>82</v>
      </c>
      <c r="S8" s="66"/>
      <c r="T8" s="59"/>
      <c r="U8" s="59" t="s">
        <v>230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4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226</v>
      </c>
      <c r="D9" s="59" t="s">
        <v>139</v>
      </c>
      <c r="E9" s="59" t="s">
        <v>227</v>
      </c>
      <c r="F9" s="59" t="s">
        <v>234</v>
      </c>
      <c r="G9" s="60" t="s">
        <v>110</v>
      </c>
      <c r="H9" s="60" t="s">
        <v>229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230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5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235</v>
      </c>
      <c r="D10" s="59" t="s">
        <v>144</v>
      </c>
      <c r="E10" s="59" t="s">
        <v>236</v>
      </c>
      <c r="F10" s="59" t="s">
        <v>237</v>
      </c>
      <c r="G10" s="60" t="s">
        <v>110</v>
      </c>
      <c r="H10" s="60" t="s">
        <v>88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3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46260</v>
      </c>
      <c r="Q10" s="65" t="n">
        <v>46260</v>
      </c>
      <c r="R10" s="60" t="s">
        <v>82</v>
      </c>
      <c r="S10" s="66"/>
      <c r="T10" s="59"/>
      <c r="U10" s="59"/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F-327|Montar adesivos e baixa de carteira|35</v>
      </c>
      <c r="AK10" s="57" t="n">
        <f aca="false">IF($AJ10="","",COUNTIF($AJ$4:$AJ10,$AJ10))</f>
        <v>1</v>
      </c>
      <c r="AL10" s="57" t="n">
        <f aca="false">IF($AJ10="","",COUNTIF($AJ$4:$AJ$1004,$AJ10))</f>
        <v>4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235</v>
      </c>
      <c r="D11" s="59" t="s">
        <v>144</v>
      </c>
      <c r="E11" s="59" t="s">
        <v>236</v>
      </c>
      <c r="F11" s="59" t="s">
        <v>238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46261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2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58" t="s">
        <v>239</v>
      </c>
      <c r="D12" s="59" t="s">
        <v>144</v>
      </c>
      <c r="E12" s="59" t="s">
        <v>240</v>
      </c>
      <c r="F12" s="59" t="s">
        <v>241</v>
      </c>
      <c r="G12" s="60" t="s">
        <v>110</v>
      </c>
      <c r="H12" s="60" t="s">
        <v>229</v>
      </c>
      <c r="I12" s="61" t="s">
        <v>108</v>
      </c>
      <c r="J12" s="61" t="s">
        <v>123</v>
      </c>
      <c r="K12" s="61"/>
      <c r="L12" s="62" t="n">
        <v>36</v>
      </c>
      <c r="M12" s="63" t="s">
        <v>112</v>
      </c>
      <c r="N12" s="62" t="n">
        <v>2</v>
      </c>
      <c r="O12" s="64" t="n">
        <f aca="false">IF(OR($L12="",$M12=""),"",(DATE(Semana!$J$3,1,4)-WEEKDAY(DATE(Semana!$J$3,1,4),3))+($L12-1)*7+MATCH($M12,Listas!$F$5:$F$11,0)-1)</f>
        <v>46265</v>
      </c>
      <c r="P12" s="64" t="n">
        <f aca="false">IF($O12="","",$O12+MAX(0,ROUNDUP($AK12*MAX(1,IF($N12="",1,$N12))/MAX(1,$AL12),0)-1))</f>
        <v>46265</v>
      </c>
      <c r="Q12" s="65"/>
      <c r="R12" s="60"/>
      <c r="S12" s="66" t="n">
        <v>35</v>
      </c>
      <c r="T12" s="59" t="s">
        <v>131</v>
      </c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46258</v>
      </c>
      <c r="X12" s="57" t="n">
        <f aca="false">IF($F12="","",IF(OR($Q12="",$O12=""),0,IF($Q12&lt;=$O12,1,0)))</f>
        <v>0</v>
      </c>
      <c r="Y12" s="57" t="n">
        <f aca="false">IF($F12="","",IF(OR($Q12="",$W12=""),0,IF($Q12&lt;=$W12,1,0)))</f>
        <v>0</v>
      </c>
      <c r="Z12" s="57" t="str">
        <f aca="false">IF(OR($Q12="",$O12=""),"",MAX(0,$Q12-$O12))</f>
        <v/>
      </c>
      <c r="AA12" s="57" t="n">
        <f aca="false">IF($F12="","",IF(AND($S12&lt;&gt;"",$L12&lt;&gt;"",$S12&lt;&gt;$L12),1,0))</f>
        <v>1</v>
      </c>
      <c r="AB12" s="57" t="n">
        <f aca="false">IF($F12="","",IF($R12="Cancelada",0,IF(OR($Q12&lt;&gt;"",$R12="Concluída"),1,0)))</f>
        <v>0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0.5</v>
      </c>
      <c r="AE12" s="57" t="str">
        <f aca="false">IF($AH12=0,"",SUM($AH$4:$AH12))</f>
        <v/>
      </c>
      <c r="AF12" s="57" t="n">
        <f aca="false">IF($AI12=0,"",SUM($AI$4:$AI12))</f>
        <v>1</v>
      </c>
      <c r="AG12" s="67" t="str">
        <f aca="false">IF($F12="","",$I12&amp;IF($J12="",""," · "&amp;$J12)&amp;IF($K12="",""," · "&amp;$K12))</f>
        <v>Adilton · Gabriel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1</v>
      </c>
      <c r="AJ12" s="67" t="str">
        <f aca="false">IF($F12="","",$D12&amp;"|"&amp;$E12&amp;"|"&amp;$L12)</f>
        <v>F-327|baixa de carteira|36</v>
      </c>
      <c r="AK12" s="57" t="n">
        <f aca="false">IF($AJ12="","",COUNTIF($AJ$4:$AJ12,$AJ12))</f>
        <v>1</v>
      </c>
      <c r="AL12" s="57" t="n">
        <f aca="false">IF($AJ12="","",COUNTIF($AJ$4:$AJ$1004,$AJ12))</f>
        <v>7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58" t="s">
        <v>242</v>
      </c>
      <c r="D13" s="59" t="s">
        <v>144</v>
      </c>
      <c r="E13" s="59" t="s">
        <v>240</v>
      </c>
      <c r="F13" s="59" t="s">
        <v>243</v>
      </c>
      <c r="G13" s="60" t="s">
        <v>110</v>
      </c>
      <c r="H13" s="60" t="s">
        <v>229</v>
      </c>
      <c r="I13" s="61" t="s">
        <v>108</v>
      </c>
      <c r="J13" s="61" t="s">
        <v>123</v>
      </c>
      <c r="K13" s="61"/>
      <c r="L13" s="62" t="n">
        <v>36</v>
      </c>
      <c r="M13" s="63" t="s">
        <v>112</v>
      </c>
      <c r="N13" s="62" t="n">
        <v>2</v>
      </c>
      <c r="O13" s="64" t="n">
        <f aca="false">IF(OR($L13="",$M13=""),"",(DATE(Semana!$J$3,1,4)-WEEKDAY(DATE(Semana!$J$3,1,4),3))+($L13-1)*7+MATCH($M13,Listas!$F$5:$F$11,0)-1)</f>
        <v>46265</v>
      </c>
      <c r="P13" s="64" t="n">
        <f aca="false">IF($O13="","",$O13+MAX(0,ROUNDUP($AK13*MAX(1,IF($N13="",1,$N13))/MAX(1,$AL13),0)-1))</f>
        <v>46265</v>
      </c>
      <c r="Q13" s="65"/>
      <c r="R13" s="60"/>
      <c r="S13" s="66" t="n">
        <v>35</v>
      </c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n">
        <f aca="false">IF($O13="","",IF($S13="",$O13,(DATE(Semana!$J$3,1,4)-WEEKDAY(DATE(Semana!$J$3,1,4),3))+($S13-1)*7+IF($M13="",0,MATCH($M13,Listas!$F$5:$F$11,0)-1)))</f>
        <v>46258</v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1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1</v>
      </c>
      <c r="AD13" s="57" t="n">
        <f aca="false">IF($F13="","",IF(COUNTA($I13:$K13)=0,0,1/COUNTA($I13:$K13)))</f>
        <v>0.5</v>
      </c>
      <c r="AE13" s="57" t="str">
        <f aca="false">IF($AH13=0,"",SUM($AH$4:$AH13))</f>
        <v/>
      </c>
      <c r="AF13" s="57" t="n">
        <f aca="false">IF($AI13=0,"",SUM($AI$4:$AI13))</f>
        <v>2</v>
      </c>
      <c r="AG13" s="67" t="str">
        <f aca="false">IF($F13="","",$I13&amp;IF($J13="",""," · "&amp;$J13)&amp;IF($K13="",""," · "&amp;$K13))</f>
        <v>Adilton · Gabriel</v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1</v>
      </c>
      <c r="AJ13" s="67" t="str">
        <f aca="false">IF($F13="","",$D13&amp;"|"&amp;$E13&amp;"|"&amp;$L13)</f>
        <v>F-327|baixa de carteira|36</v>
      </c>
      <c r="AK13" s="57" t="n">
        <f aca="false">IF($AJ13="","",COUNTIF($AJ$4:$AJ13,$AJ13))</f>
        <v>2</v>
      </c>
      <c r="AL13" s="57" t="n">
        <f aca="false">IF($AJ13="","",COUNTIF($AJ$4:$AJ$1004,$AJ13))</f>
        <v>7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58" t="s">
        <v>244</v>
      </c>
      <c r="D14" s="59" t="s">
        <v>144</v>
      </c>
      <c r="E14" s="59" t="s">
        <v>240</v>
      </c>
      <c r="F14" s="59" t="s">
        <v>245</v>
      </c>
      <c r="G14" s="60" t="s">
        <v>110</v>
      </c>
      <c r="H14" s="60" t="s">
        <v>229</v>
      </c>
      <c r="I14" s="61" t="s">
        <v>108</v>
      </c>
      <c r="J14" s="61" t="s">
        <v>123</v>
      </c>
      <c r="K14" s="61"/>
      <c r="L14" s="62" t="n">
        <v>36</v>
      </c>
      <c r="M14" s="63" t="s">
        <v>112</v>
      </c>
      <c r="N14" s="62" t="n">
        <v>2</v>
      </c>
      <c r="O14" s="64" t="n">
        <f aca="false">IF(OR($L14="",$M14=""),"",(DATE(Semana!$J$3,1,4)-WEEKDAY(DATE(Semana!$J$3,1,4),3))+($L14-1)*7+MATCH($M14,Listas!$F$5:$F$11,0)-1)</f>
        <v>46265</v>
      </c>
      <c r="P14" s="64" t="n">
        <f aca="false">IF($O14="","",$O14+MAX(0,ROUNDUP($AK14*MAX(1,IF($N14="",1,$N14))/MAX(1,$AL14),0)-1))</f>
        <v>46265</v>
      </c>
      <c r="Q14" s="65"/>
      <c r="R14" s="60"/>
      <c r="S14" s="66" t="n">
        <v>35</v>
      </c>
      <c r="T14" s="59" t="s">
        <v>111</v>
      </c>
      <c r="U14" s="59"/>
      <c r="V14" s="57" t="str">
        <f aca="false">IF($F14="","",IF(ISNUMBER(SEARCH("(externo)",$I14&amp;$J14&amp;$K14)),"Terceirizada","Interna"))</f>
        <v>Interna</v>
      </c>
      <c r="W14" s="64" t="n">
        <f aca="false">IF($O14="","",IF($S14="",$O14,(DATE(Semana!$J$3,1,4)-WEEKDAY(DATE(Semana!$J$3,1,4),3))+($S14-1)*7+IF($M14="",0,MATCH($M14,Listas!$F$5:$F$11,0)-1)))</f>
        <v>46258</v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1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1</v>
      </c>
      <c r="AD14" s="57" t="n">
        <f aca="false">IF($F14="","",IF(COUNTA($I14:$K14)=0,0,1/COUNTA($I14:$K14)))</f>
        <v>0.5</v>
      </c>
      <c r="AE14" s="57" t="str">
        <f aca="false">IF($AH14=0,"",SUM($AH$4:$AH14))</f>
        <v/>
      </c>
      <c r="AF14" s="57" t="n">
        <f aca="false">IF($AI14=0,"",SUM($AI$4:$AI14))</f>
        <v>3</v>
      </c>
      <c r="AG14" s="67" t="str">
        <f aca="false">IF($F14="","",$I14&amp;IF($J14="",""," · "&amp;$J14)&amp;IF($K14="",""," · "&amp;$K14))</f>
        <v>Adilton · Gabriel</v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1</v>
      </c>
      <c r="AJ14" s="67" t="str">
        <f aca="false">IF($F14="","",$D14&amp;"|"&amp;$E14&amp;"|"&amp;$L14)</f>
        <v>F-327|baixa de carteira|36</v>
      </c>
      <c r="AK14" s="57" t="n">
        <f aca="false">IF($AJ14="","",COUNTIF($AJ$4:$AJ14,$AJ14))</f>
        <v>3</v>
      </c>
      <c r="AL14" s="57" t="n">
        <f aca="false">IF($AJ14="","",COUNTIF($AJ$4:$AJ$1004,$AJ14))</f>
        <v>7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58" t="s">
        <v>235</v>
      </c>
      <c r="D15" s="59" t="s">
        <v>144</v>
      </c>
      <c r="E15" s="59" t="s">
        <v>236</v>
      </c>
      <c r="F15" s="59" t="s">
        <v>246</v>
      </c>
      <c r="G15" s="60" t="s">
        <v>110</v>
      </c>
      <c r="H15" s="60" t="s">
        <v>88</v>
      </c>
      <c r="I15" s="61" t="s">
        <v>133</v>
      </c>
      <c r="J15" s="61"/>
      <c r="K15" s="61"/>
      <c r="L15" s="62" t="n">
        <v>35</v>
      </c>
      <c r="M15" s="63" t="s">
        <v>122</v>
      </c>
      <c r="N15" s="62" t="n">
        <v>3</v>
      </c>
      <c r="O15" s="64" t="n">
        <f aca="false">IF(OR($L15="",$M15=""),"",(DATE(Semana!$J$3,1,4)-WEEKDAY(DATE(Semana!$J$3,1,4),3))+($L15-1)*7+MATCH($M15,Listas!$F$5:$F$11,0)-1)</f>
        <v>46260</v>
      </c>
      <c r="P15" s="64" t="n">
        <f aca="false">IF($O15="","",$O15+MAX(0,ROUNDUP($AK15*MAX(1,IF($N15="",1,$N15))/MAX(1,$AL15),0)-1))</f>
        <v>46262</v>
      </c>
      <c r="Q15" s="65" t="n">
        <v>46260</v>
      </c>
      <c r="R15" s="60" t="s">
        <v>82</v>
      </c>
      <c r="S15" s="66"/>
      <c r="T15" s="59"/>
      <c r="U15" s="59"/>
      <c r="V15" s="57" t="str">
        <f aca="false">IF($F15="","",IF(ISNUMBER(SEARCH("(externo)",$I15&amp;$J15&amp;$K15)),"Terceirizada","Interna"))</f>
        <v>Interna</v>
      </c>
      <c r="W15" s="64" t="n">
        <f aca="false">IF($O15="","",IF($S15="",$O15,(DATE(Semana!$J$3,1,4)-WEEKDAY(DATE(Semana!$J$3,1,4),3))+($S15-1)*7+IF($M15="",0,MATCH($M15,Listas!$F$5:$F$11,0)-1)))</f>
        <v>46260</v>
      </c>
      <c r="X15" s="57" t="n">
        <f aca="false">IF($F15="","",IF(OR($Q15="",$O15=""),0,IF($Q15&lt;=$O15,1,0)))</f>
        <v>1</v>
      </c>
      <c r="Y15" s="57" t="n">
        <f aca="false">IF($F15="","",IF(OR($Q15="",$W15=""),0,IF($Q15&lt;=$W15,1,0)))</f>
        <v>1</v>
      </c>
      <c r="Z15" s="57" t="n">
        <f aca="false">IF(OR($Q15="",$O15=""),"",MAX(0,$Q15-$O15))</f>
        <v>0</v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1</v>
      </c>
      <c r="AC15" s="57" t="n">
        <f aca="false">IF($P15="",0,IF($P15&lt;Hoje!$L$1,1,IF(AND($P15=Hoje!$L$1,Hoje!$L$2&gt;Semana!$M$3),1,0)))</f>
        <v>1</v>
      </c>
      <c r="AD15" s="57" t="n">
        <f aca="false">IF($F15="","",IF(COUNTA($I15:$K15)=0,0,1/COUNTA($I15:$K15)))</f>
        <v>1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>Júnior</v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carteira|35</v>
      </c>
      <c r="AK15" s="57" t="n">
        <f aca="false">IF($AJ15="","",COUNTIF($AJ$4:$AJ15,$AJ15))</f>
        <v>3</v>
      </c>
      <c r="AL15" s="57" t="n">
        <f aca="false">IF($AJ15="","",COUNTIF($AJ$4:$AJ$1004,$AJ15))</f>
        <v>4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VENCIDA</v>
      </c>
      <c r="C16" s="58" t="s">
        <v>247</v>
      </c>
      <c r="D16" s="59" t="s">
        <v>144</v>
      </c>
      <c r="E16" s="59" t="s">
        <v>240</v>
      </c>
      <c r="F16" s="59" t="s">
        <v>248</v>
      </c>
      <c r="G16" s="60" t="s">
        <v>110</v>
      </c>
      <c r="H16" s="60" t="s">
        <v>229</v>
      </c>
      <c r="I16" s="61" t="s">
        <v>108</v>
      </c>
      <c r="J16" s="61" t="s">
        <v>123</v>
      </c>
      <c r="K16" s="61"/>
      <c r="L16" s="62" t="n">
        <v>36</v>
      </c>
      <c r="M16" s="63" t="s">
        <v>112</v>
      </c>
      <c r="N16" s="62" t="n">
        <v>2</v>
      </c>
      <c r="O16" s="64" t="n">
        <f aca="false">IF(OR($L16="",$M16=""),"",(DATE(Semana!$J$3,1,4)-WEEKDAY(DATE(Semana!$J$3,1,4),3))+($L16-1)*7+MATCH($M16,Listas!$F$5:$F$11,0)-1)</f>
        <v>46265</v>
      </c>
      <c r="P16" s="64" t="n">
        <f aca="false">IF($O16="","",$O16+MAX(0,ROUNDUP($AK16*MAX(1,IF($N16="",1,$N16))/MAX(1,$AL16),0)-1))</f>
        <v>46266</v>
      </c>
      <c r="Q16" s="65"/>
      <c r="R16" s="60"/>
      <c r="S16" s="66" t="n">
        <v>35</v>
      </c>
      <c r="T16" s="59" t="s">
        <v>131</v>
      </c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46258</v>
      </c>
      <c r="X16" s="57" t="n">
        <f aca="false">IF($F16="","",IF(OR($Q16="",$O16=""),0,IF($Q16&lt;=$O16,1,0)))</f>
        <v>0</v>
      </c>
      <c r="Y16" s="57" t="n">
        <f aca="false">IF($F16="","",IF(OR($Q16="",$W16=""),0,IF($Q16&lt;=$W16,1,0)))</f>
        <v>0</v>
      </c>
      <c r="Z16" s="57" t="str">
        <f aca="false">IF(OR($Q16="",$O16=""),"",MAX(0,$Q16-$O16))</f>
        <v/>
      </c>
      <c r="AA16" s="57" t="n">
        <f aca="false">IF($F16="","",IF(AND($S16&lt;&gt;"",$L16&lt;&gt;"",$S16&lt;&gt;$L16),1,0))</f>
        <v>1</v>
      </c>
      <c r="AB16" s="57" t="n">
        <f aca="false">IF($F16="","",IF($R16="Cancelada",0,IF(OR($Q16&lt;&gt;"",$R16="Concluída"),1,0)))</f>
        <v>0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0.5</v>
      </c>
      <c r="AE16" s="57" t="str">
        <f aca="false">IF($AH16=0,"",SUM($AH$4:$AH16))</f>
        <v/>
      </c>
      <c r="AF16" s="57" t="n">
        <f aca="false">IF($AI16=0,"",SUM($AI$4:$AI16))</f>
        <v>4</v>
      </c>
      <c r="AG16" s="67" t="str">
        <f aca="false">IF($F16="","",$I16&amp;IF($J16="",""," · "&amp;$J16)&amp;IF($K16="",""," · "&amp;$K16))</f>
        <v>Adilton · Gabriel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1</v>
      </c>
      <c r="AJ16" s="67" t="str">
        <f aca="false">IF($F16="","",$D16&amp;"|"&amp;$E16&amp;"|"&amp;$L16)</f>
        <v>F-327|baixa de carteira|36</v>
      </c>
      <c r="AK16" s="57" t="n">
        <f aca="false">IF($AJ16="","",COUNTIF($AJ$4:$AJ16,$AJ16))</f>
        <v>4</v>
      </c>
      <c r="AL16" s="57" t="n">
        <f aca="false">IF($AJ16="","",COUNTIF($AJ$4:$AJ$1004,$AJ16))</f>
        <v>7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VENCIDA</v>
      </c>
      <c r="C17" s="58" t="s">
        <v>249</v>
      </c>
      <c r="D17" s="59" t="s">
        <v>144</v>
      </c>
      <c r="E17" s="59" t="s">
        <v>240</v>
      </c>
      <c r="F17" s="59" t="s">
        <v>250</v>
      </c>
      <c r="G17" s="60" t="s">
        <v>110</v>
      </c>
      <c r="H17" s="60" t="s">
        <v>229</v>
      </c>
      <c r="I17" s="61" t="s">
        <v>108</v>
      </c>
      <c r="J17" s="61" t="s">
        <v>123</v>
      </c>
      <c r="K17" s="61"/>
      <c r="L17" s="62" t="n">
        <v>36</v>
      </c>
      <c r="M17" s="63" t="s">
        <v>112</v>
      </c>
      <c r="N17" s="62" t="n">
        <v>2</v>
      </c>
      <c r="O17" s="64" t="n">
        <f aca="false">IF(OR($L17="",$M17=""),"",(DATE(Semana!$J$3,1,4)-WEEKDAY(DATE(Semana!$J$3,1,4),3))+($L17-1)*7+MATCH($M17,Listas!$F$5:$F$11,0)-1)</f>
        <v>46265</v>
      </c>
      <c r="P17" s="64" t="n">
        <f aca="false">IF($O17="","",$O17+MAX(0,ROUNDUP($AK17*MAX(1,IF($N17="",1,$N17))/MAX(1,$AL17),0)-1))</f>
        <v>46266</v>
      </c>
      <c r="Q17" s="65"/>
      <c r="R17" s="60"/>
      <c r="S17" s="66" t="n">
        <v>35</v>
      </c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n">
        <f aca="false">IF($O17="","",IF($S17="",$O17,(DATE(Semana!$J$3,1,4)-WEEKDAY(DATE(Semana!$J$3,1,4),3))+($S17-1)*7+IF($M17="",0,MATCH($M17,Listas!$F$5:$F$11,0)-1)))</f>
        <v>46258</v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1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1</v>
      </c>
      <c r="AD17" s="57" t="n">
        <f aca="false">IF($F17="","",IF(COUNTA($I17:$K17)=0,0,1/COUNTA($I17:$K17)))</f>
        <v>0.5</v>
      </c>
      <c r="AE17" s="57" t="str">
        <f aca="false">IF($AH17=0,"",SUM($AH$4:$AH17))</f>
        <v/>
      </c>
      <c r="AF17" s="57" t="n">
        <f aca="false">IF($AI17=0,"",SUM($AI$4:$AI17))</f>
        <v>5</v>
      </c>
      <c r="AG17" s="67" t="str">
        <f aca="false">IF($F17="","",$I17&amp;IF($J17="",""," · "&amp;$J17)&amp;IF($K17="",""," · "&amp;$K17))</f>
        <v>Adilton · Gabriel</v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1</v>
      </c>
      <c r="AJ17" s="67" t="str">
        <f aca="false">IF($F17="","",$D17&amp;"|"&amp;$E17&amp;"|"&amp;$L17)</f>
        <v>F-327|baixa de carteira|36</v>
      </c>
      <c r="AK17" s="57" t="n">
        <f aca="false">IF($AJ17="","",COUNTIF($AJ$4:$AJ17,$AJ17))</f>
        <v>5</v>
      </c>
      <c r="AL17" s="57" t="n">
        <f aca="false">IF($AJ17="","",COUNTIF($AJ$4:$AJ$1004,$AJ17))</f>
        <v>7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VENCIDA</v>
      </c>
      <c r="C18" s="58" t="s">
        <v>251</v>
      </c>
      <c r="D18" s="59" t="s">
        <v>144</v>
      </c>
      <c r="E18" s="59" t="s">
        <v>240</v>
      </c>
      <c r="F18" s="59" t="s">
        <v>252</v>
      </c>
      <c r="G18" s="60" t="s">
        <v>110</v>
      </c>
      <c r="H18" s="60" t="s">
        <v>229</v>
      </c>
      <c r="I18" s="61" t="s">
        <v>108</v>
      </c>
      <c r="J18" s="61" t="s">
        <v>123</v>
      </c>
      <c r="K18" s="61"/>
      <c r="L18" s="62" t="n">
        <v>36</v>
      </c>
      <c r="M18" s="63" t="s">
        <v>112</v>
      </c>
      <c r="N18" s="62" t="n">
        <v>2</v>
      </c>
      <c r="O18" s="64" t="n">
        <f aca="false">IF(OR($L18="",$M18=""),"",(DATE(Semana!$J$3,1,4)-WEEKDAY(DATE(Semana!$J$3,1,4),3))+($L18-1)*7+MATCH($M18,Listas!$F$5:$F$11,0)-1)</f>
        <v>46265</v>
      </c>
      <c r="P18" s="64" t="n">
        <f aca="false">IF($O18="","",$O18+MAX(0,ROUNDUP($AK18*MAX(1,IF($N18="",1,$N18))/MAX(1,$AL18),0)-1))</f>
        <v>46266</v>
      </c>
      <c r="Q18" s="65"/>
      <c r="R18" s="60"/>
      <c r="S18" s="66" t="n">
        <v>35</v>
      </c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n">
        <f aca="false">IF($O18="","",IF($S18="",$O18,(DATE(Semana!$J$3,1,4)-WEEKDAY(DATE(Semana!$J$3,1,4),3))+($S18-1)*7+IF($M18="",0,MATCH($M18,Listas!$F$5:$F$11,0)-1)))</f>
        <v>46258</v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1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1</v>
      </c>
      <c r="AD18" s="57" t="n">
        <f aca="false">IF($F18="","",IF(COUNTA($I18:$K18)=0,0,1/COUNTA($I18:$K18)))</f>
        <v>0.5</v>
      </c>
      <c r="AE18" s="57" t="str">
        <f aca="false">IF($AH18=0,"",SUM($AH$4:$AH18))</f>
        <v/>
      </c>
      <c r="AF18" s="57" t="n">
        <f aca="false">IF($AI18=0,"",SUM($AI$4:$AI18))</f>
        <v>6</v>
      </c>
      <c r="AG18" s="67" t="str">
        <f aca="false">IF($F18="","",$I18&amp;IF($J18="",""," · "&amp;$J18)&amp;IF($K18="",""," · "&amp;$K18))</f>
        <v>Adilton · Gabriel</v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1</v>
      </c>
      <c r="AJ18" s="67" t="str">
        <f aca="false">IF($F18="","",$D18&amp;"|"&amp;$E18&amp;"|"&amp;$L18)</f>
        <v>F-327|baixa de carteira|36</v>
      </c>
      <c r="AK18" s="57" t="n">
        <f aca="false">IF($AJ18="","",COUNTIF($AJ$4:$AJ18,$AJ18))</f>
        <v>6</v>
      </c>
      <c r="AL18" s="57" t="n">
        <f aca="false">IF($AJ18="","",COUNTIF($AJ$4:$AJ$1004,$AJ18))</f>
        <v>7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VENCIDA</v>
      </c>
      <c r="C19" s="58" t="s">
        <v>253</v>
      </c>
      <c r="D19" s="59" t="s">
        <v>144</v>
      </c>
      <c r="E19" s="59" t="s">
        <v>240</v>
      </c>
      <c r="F19" s="59" t="s">
        <v>254</v>
      </c>
      <c r="G19" s="60" t="s">
        <v>110</v>
      </c>
      <c r="H19" s="60" t="s">
        <v>229</v>
      </c>
      <c r="I19" s="61" t="s">
        <v>108</v>
      </c>
      <c r="J19" s="61" t="s">
        <v>123</v>
      </c>
      <c r="K19" s="61"/>
      <c r="L19" s="62" t="n">
        <v>36</v>
      </c>
      <c r="M19" s="63" t="s">
        <v>112</v>
      </c>
      <c r="N19" s="62" t="n">
        <v>2</v>
      </c>
      <c r="O19" s="64" t="n">
        <f aca="false">IF(OR($L19="",$M19=""),"",(DATE(Semana!$J$3,1,4)-WEEKDAY(DATE(Semana!$J$3,1,4),3))+($L19-1)*7+MATCH($M19,Listas!$F$5:$F$11,0)-1)</f>
        <v>46265</v>
      </c>
      <c r="P19" s="64" t="n">
        <f aca="false">IF($O19="","",$O19+MAX(0,ROUNDUP($AK19*MAX(1,IF($N19="",1,$N19))/MAX(1,$AL19),0)-1))</f>
        <v>46266</v>
      </c>
      <c r="Q19" s="65"/>
      <c r="R19" s="60"/>
      <c r="S19" s="66" t="n">
        <v>35</v>
      </c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n">
        <f aca="false">IF($O19="","",IF($S19="",$O19,(DATE(Semana!$J$3,1,4)-WEEKDAY(DATE(Semana!$J$3,1,4),3))+($S19-1)*7+IF($M19="",0,MATCH($M19,Listas!$F$5:$F$11,0)-1)))</f>
        <v>46258</v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1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1</v>
      </c>
      <c r="AD19" s="57" t="n">
        <f aca="false">IF($F19="","",IF(COUNTA($I19:$K19)=0,0,1/COUNTA($I19:$K19)))</f>
        <v>0.5</v>
      </c>
      <c r="AE19" s="57" t="str">
        <f aca="false">IF($AH19=0,"",SUM($AH$4:$AH19))</f>
        <v/>
      </c>
      <c r="AF19" s="57" t="n">
        <f aca="false">IF($AI19=0,"",SUM($AI$4:$AI19))</f>
        <v>7</v>
      </c>
      <c r="AG19" s="67" t="str">
        <f aca="false">IF($F19="","",$I19&amp;IF($J19="",""," · "&amp;$J19)&amp;IF($K19="",""," · "&amp;$K19))</f>
        <v>Adilton · Gabriel</v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1</v>
      </c>
      <c r="AJ19" s="67" t="str">
        <f aca="false">IF($F19="","",$D19&amp;"|"&amp;$E19&amp;"|"&amp;$L19)</f>
        <v>F-327|baixa de carteira|36</v>
      </c>
      <c r="AK19" s="57" t="n">
        <f aca="false">IF($AJ19="","",COUNTIF($AJ$4:$AJ19,$AJ19))</f>
        <v>7</v>
      </c>
      <c r="AL19" s="57" t="n">
        <f aca="false">IF($AJ19="","",COUNTIF($AJ$4:$AJ$1004,$AJ19))</f>
        <v>7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58" t="s">
        <v>255</v>
      </c>
      <c r="D20" s="59" t="s">
        <v>144</v>
      </c>
      <c r="E20" s="59" t="s">
        <v>236</v>
      </c>
      <c r="F20" s="59" t="s">
        <v>256</v>
      </c>
      <c r="G20" s="60" t="s">
        <v>110</v>
      </c>
      <c r="H20" s="60" t="s">
        <v>88</v>
      </c>
      <c r="I20" s="61" t="s">
        <v>133</v>
      </c>
      <c r="J20" s="61"/>
      <c r="K20" s="61"/>
      <c r="L20" s="62" t="n">
        <v>35</v>
      </c>
      <c r="M20" s="63" t="s">
        <v>122</v>
      </c>
      <c r="N20" s="62" t="n">
        <v>3</v>
      </c>
      <c r="O20" s="64" t="n">
        <f aca="false">IF(OR($L20="",$M20=""),"",(DATE(Semana!$J$3,1,4)-WEEKDAY(DATE(Semana!$J$3,1,4),3))+($L20-1)*7+MATCH($M20,Listas!$F$5:$F$11,0)-1)</f>
        <v>46260</v>
      </c>
      <c r="P20" s="64" t="n">
        <f aca="false">IF($O20="","",$O20+MAX(0,ROUNDUP($AK20*MAX(1,IF($N20="",1,$N20))/MAX(1,$AL20),0)-1))</f>
        <v>46262</v>
      </c>
      <c r="Q20" s="65" t="n">
        <v>46260</v>
      </c>
      <c r="R20" s="60" t="s">
        <v>82</v>
      </c>
      <c r="S20" s="66"/>
      <c r="T20" s="59"/>
      <c r="U20" s="59"/>
      <c r="V20" s="57" t="str">
        <f aca="false">IF($F20="","",IF(ISNUMBER(SEARCH("(externo)",$I20&amp;$J20&amp;$K20)),"Terceirizada","Interna"))</f>
        <v>Interna</v>
      </c>
      <c r="W20" s="64" t="n">
        <f aca="false">IF($O20="","",IF($S20="",$O20,(DATE(Semana!$J$3,1,4)-WEEKDAY(DATE(Semana!$J$3,1,4),3))+($S20-1)*7+IF($M20="",0,MATCH($M20,Listas!$F$5:$F$11,0)-1)))</f>
        <v>46260</v>
      </c>
      <c r="X20" s="57" t="n">
        <f aca="false">IF($F20="","",IF(OR($Q20="",$O20=""),0,IF($Q20&lt;=$O20,1,0)))</f>
        <v>1</v>
      </c>
      <c r="Y20" s="57" t="n">
        <f aca="false">IF($F20="","",IF(OR($Q20="",$W20=""),0,IF($Q20&lt;=$W20,1,0)))</f>
        <v>1</v>
      </c>
      <c r="Z20" s="57" t="n">
        <f aca="false">IF(OR($Q20="",$O20=""),"",MAX(0,$Q20-$O20))</f>
        <v>0</v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1</v>
      </c>
      <c r="AC20" s="57" t="n">
        <f aca="false">IF($P20="",0,IF($P20&lt;Hoje!$L$1,1,IF(AND($P20=Hoje!$L$1,Hoje!$L$2&gt;Semana!$M$3),1,0)))</f>
        <v>1</v>
      </c>
      <c r="AD20" s="57" t="n">
        <f aca="false">IF($F20="","",IF(COUNTA($I20:$K20)=0,0,1/COUNTA($I20:$K20)))</f>
        <v>1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>Júnior</v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carteira|35</v>
      </c>
      <c r="AK20" s="57" t="n">
        <f aca="false">IF($AJ20="","",COUNTIF($AJ$4:$AJ20,$AJ20))</f>
        <v>4</v>
      </c>
      <c r="AL20" s="57" t="n">
        <f aca="false">IF($AJ20="","",COUNTIF($AJ$4:$AJ$1004,$AJ20))</f>
        <v>4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58"/>
      <c r="D21" s="59" t="s">
        <v>144</v>
      </c>
      <c r="E21" s="59" t="s">
        <v>240</v>
      </c>
      <c r="F21" s="59" t="s">
        <v>257</v>
      </c>
      <c r="G21" s="60" t="s">
        <v>110</v>
      </c>
      <c r="H21" s="60" t="s">
        <v>88</v>
      </c>
      <c r="I21" s="61"/>
      <c r="J21" s="61"/>
      <c r="K21" s="61"/>
      <c r="L21" s="62"/>
      <c r="M21" s="63"/>
      <c r="N21" s="62" t="n">
        <v>2</v>
      </c>
      <c r="O21" s="64" t="str">
        <f aca="false">IF(OR($L21="",$M21=""),"",(DATE(Semana!$J$3,1,4)-WEEKDAY(DATE(Semana!$J$3,1,4),3))+($L21-1)*7+MATCH($M21,Listas!$F$5:$F$11,0)-1)</f>
        <v/>
      </c>
      <c r="P21" s="64" t="str">
        <f aca="false">IF($O21="","",$O21+MAX(0,ROUNDUP($AK21*MAX(1,IF($N21="",1,$N21))/MAX(1,$AL21),0)-1))</f>
        <v/>
      </c>
      <c r="Q21" s="65"/>
      <c r="R21" s="60"/>
      <c r="S21" s="66" t="n">
        <v>35</v>
      </c>
      <c r="T21" s="59" t="s">
        <v>111</v>
      </c>
      <c r="U21" s="59" t="s">
        <v>258</v>
      </c>
      <c r="V21" s="57" t="str">
        <f aca="false">IF($F21="","",IF(ISNUMBER(SEARCH("(externo)",$I21&amp;$J21&amp;$K21)),"Terceirizada","Interna"))</f>
        <v>Interna</v>
      </c>
      <c r="W21" s="64" t="str">
        <f aca="false">IF($O21="","",IF($S21="",$O21,(DATE(Semana!$J$3,1,4)-WEEKDAY(DATE(Semana!$J$3,1,4),3))+($S21-1)*7+IF($M21="",0,MATCH($M21,Listas!$F$5:$F$11,0)-1)))</f>
        <v/>
      </c>
      <c r="X21" s="57" t="n">
        <f aca="false">IF($F21="","",IF(OR($Q21="",$O21=""),0,IF($Q21&lt;=$O21,1,0)))</f>
        <v>0</v>
      </c>
      <c r="Y21" s="57" t="n">
        <f aca="false">IF($F21="","",IF(OR($Q21="",$W21=""),0,IF($Q21&lt;=$W21,1,0)))</f>
        <v>0</v>
      </c>
      <c r="Z21" s="57" t="str">
        <f aca="false">IF(OR($Q21="",$O21=""),"",MAX(0,$Q21-$O21))</f>
        <v/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0</v>
      </c>
      <c r="AC21" s="57" t="n">
        <f aca="false">IF($P21="",0,IF($P21&lt;Hoje!$L$1,1,IF(AND($P21=Hoje!$L$1,Hoje!$L$2&gt;Semana!$M$3),1,0)))</f>
        <v>0</v>
      </c>
      <c r="AD21" s="57" t="n">
        <f aca="false">IF($F21="","",IF(COUNTA($I21:$K21)=0,0,1/COUNTA($I21:$K21)))</f>
        <v>0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/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F-327|baixa de carteira|</v>
      </c>
      <c r="AK21" s="57" t="n">
        <f aca="false">IF($AJ21="","",COUNTIF($AJ$4:$AJ21,$AJ21))</f>
        <v>1</v>
      </c>
      <c r="AL21" s="57" t="n">
        <f aca="false">IF($AJ21="","",COUNTIF($AJ$4:$AJ$1004,$AJ21))</f>
        <v>2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144</v>
      </c>
      <c r="E22" s="59" t="s">
        <v>240</v>
      </c>
      <c r="F22" s="59" t="s">
        <v>259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2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 t="n">
        <v>35</v>
      </c>
      <c r="T22" s="59" t="s">
        <v>111</v>
      </c>
      <c r="U22" s="59" t="s">
        <v>258</v>
      </c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F-327|baixa de carteira|</v>
      </c>
      <c r="AK22" s="57" t="n">
        <f aca="false">IF($AJ22="","",COUNTIF($AJ$4:$AJ22,$AJ22))</f>
        <v>2</v>
      </c>
      <c r="AL22" s="57" t="n">
        <f aca="false">IF($AJ22="","",COUNTIF($AJ$4:$AJ$1004,$AJ22))</f>
        <v>2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260</v>
      </c>
      <c r="D23" s="59" t="s">
        <v>151</v>
      </c>
      <c r="E23" s="59" t="s">
        <v>115</v>
      </c>
      <c r="F23" s="59" t="s">
        <v>261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262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16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260</v>
      </c>
      <c r="D24" s="59" t="s">
        <v>151</v>
      </c>
      <c r="E24" s="59" t="s">
        <v>115</v>
      </c>
      <c r="F24" s="59" t="s">
        <v>263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262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8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16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260</v>
      </c>
      <c r="D25" s="59" t="s">
        <v>151</v>
      </c>
      <c r="E25" s="59" t="s">
        <v>115</v>
      </c>
      <c r="F25" s="59" t="s">
        <v>264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262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260</v>
      </c>
      <c r="D26" s="59" t="s">
        <v>151</v>
      </c>
      <c r="E26" s="59" t="s">
        <v>115</v>
      </c>
      <c r="F26" s="59" t="s">
        <v>265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262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9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16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260</v>
      </c>
      <c r="D27" s="59" t="s">
        <v>151</v>
      </c>
      <c r="E27" s="59" t="s">
        <v>115</v>
      </c>
      <c r="F27" s="59" t="s">
        <v>266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262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10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16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260</v>
      </c>
      <c r="D28" s="59" t="s">
        <v>151</v>
      </c>
      <c r="E28" s="59" t="s">
        <v>115</v>
      </c>
      <c r="F28" s="59" t="s">
        <v>267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262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16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260</v>
      </c>
      <c r="D29" s="59" t="s">
        <v>151</v>
      </c>
      <c r="E29" s="59" t="s">
        <v>115</v>
      </c>
      <c r="F29" s="59" t="s">
        <v>268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262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1</v>
      </c>
      <c r="AD29" s="57" t="n">
        <f aca="false">IF($F29="","",IF(COUNTA($I29:$K29)=0,0,1/COUNTA($I29:$K29)))</f>
        <v>0.5</v>
      </c>
      <c r="AE29" s="57" t="str">
        <f aca="false">IF($AH29=0,"",SUM($AH$4:$AH29))</f>
        <v/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0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16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VENCIDA</v>
      </c>
      <c r="C30" s="58" t="s">
        <v>269</v>
      </c>
      <c r="D30" s="59" t="s">
        <v>151</v>
      </c>
      <c r="E30" s="59" t="s">
        <v>115</v>
      </c>
      <c r="F30" s="59" t="s">
        <v>270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262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1</v>
      </c>
      <c r="AD30" s="57" t="n">
        <f aca="false">IF($F30="","",IF(COUNTA($I30:$K30)=0,0,1/COUNTA($I30:$K30)))</f>
        <v>0.5</v>
      </c>
      <c r="AE30" s="57" t="str">
        <f aca="false">IF($AH30=0,"",SUM($AH$4:$AH30))</f>
        <v/>
      </c>
      <c r="AF30" s="57" t="n">
        <f aca="false">IF($AI30=0,"",SUM($AI$4:$AI30))</f>
        <v>11</v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0</v>
      </c>
      <c r="AI30" s="57" t="n">
        <f aca="false">IF(AND($F30&lt;&gt;"",$P30&lt;&gt;"",$P30&lt;Hoje!$C$3,$AB30=0,$R30&lt;&gt;"Cancelada"),1,0)</f>
        <v>1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16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VENCIDA</v>
      </c>
      <c r="C31" s="58" t="s">
        <v>269</v>
      </c>
      <c r="D31" s="59" t="s">
        <v>151</v>
      </c>
      <c r="E31" s="59" t="s">
        <v>115</v>
      </c>
      <c r="F31" s="59" t="s">
        <v>271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262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1</v>
      </c>
      <c r="AD31" s="57" t="n">
        <f aca="false">IF($F31="","",IF(COUNTA($I31:$K31)=0,0,1/COUNTA($I31:$K31)))</f>
        <v>0.5</v>
      </c>
      <c r="AE31" s="57" t="str">
        <f aca="false">IF($AH31=0,"",SUM($AH$4:$AH31))</f>
        <v/>
      </c>
      <c r="AF31" s="57" t="n">
        <f aca="false">IF($AI31=0,"",SUM($AI$4:$AI31))</f>
        <v>12</v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0</v>
      </c>
      <c r="AI31" s="57" t="n">
        <f aca="false">IF(AND($F31&lt;&gt;"",$P31&lt;&gt;"",$P31&lt;Hoje!$C$3,$AB31=0,$R31&lt;&gt;"Cancelada"),1,0)</f>
        <v>1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16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VENCIDA</v>
      </c>
      <c r="C32" s="58" t="s">
        <v>269</v>
      </c>
      <c r="D32" s="59" t="s">
        <v>151</v>
      </c>
      <c r="E32" s="59" t="s">
        <v>115</v>
      </c>
      <c r="F32" s="59" t="s">
        <v>272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262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1</v>
      </c>
      <c r="AD32" s="57" t="n">
        <f aca="false">IF($F32="","",IF(COUNTA($I32:$K32)=0,0,1/COUNTA($I32:$K32)))</f>
        <v>0.5</v>
      </c>
      <c r="AE32" s="57" t="str">
        <f aca="false">IF($AH32=0,"",SUM($AH$4:$AH32))</f>
        <v/>
      </c>
      <c r="AF32" s="57" t="n">
        <f aca="false">IF($AI32=0,"",SUM($AI$4:$AI32))</f>
        <v>13</v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0</v>
      </c>
      <c r="AI32" s="57" t="n">
        <f aca="false">IF(AND($F32&lt;&gt;"",$P32&lt;&gt;"",$P32&lt;Hoje!$C$3,$AB32=0,$R32&lt;&gt;"Cancelada"),1,0)</f>
        <v>1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16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260</v>
      </c>
      <c r="D33" s="59" t="s">
        <v>151</v>
      </c>
      <c r="E33" s="59" t="s">
        <v>115</v>
      </c>
      <c r="F33" s="59" t="s">
        <v>273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262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1</v>
      </c>
      <c r="AD33" s="57" t="n">
        <f aca="false">IF($F33="","",IF(COUNTA($I33:$K33)=0,0,1/COUNTA($I33:$K33)))</f>
        <v>0.5</v>
      </c>
      <c r="AE33" s="57" t="str">
        <f aca="false">IF($AH33=0,"",SUM($AH$4:$AH33))</f>
        <v/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0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16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VENCIDA</v>
      </c>
      <c r="C34" s="58" t="s">
        <v>274</v>
      </c>
      <c r="D34" s="59" t="s">
        <v>151</v>
      </c>
      <c r="E34" s="59" t="s">
        <v>115</v>
      </c>
      <c r="F34" s="59" t="s">
        <v>275</v>
      </c>
      <c r="G34" s="60" t="s">
        <v>115</v>
      </c>
      <c r="H34" s="60" t="s">
        <v>88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 t="n">
        <v>35</v>
      </c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46258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1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1</v>
      </c>
      <c r="AD34" s="57" t="n">
        <f aca="false">IF($F34="","",IF(COUNTA($I34:$K34)=0,0,1/COUNTA($I34:$K34)))</f>
        <v>0.5</v>
      </c>
      <c r="AE34" s="57" t="n">
        <f aca="false">IF($AH34=0,"",SUM($AH$4:$AH34))</f>
        <v>1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16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VENCIDA</v>
      </c>
      <c r="C35" s="58" t="s">
        <v>276</v>
      </c>
      <c r="D35" s="59" t="s">
        <v>151</v>
      </c>
      <c r="E35" s="59" t="s">
        <v>115</v>
      </c>
      <c r="F35" s="59" t="s">
        <v>277</v>
      </c>
      <c r="G35" s="60" t="s">
        <v>115</v>
      </c>
      <c r="H35" s="60" t="s">
        <v>88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 t="n">
        <v>35</v>
      </c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46258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1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1</v>
      </c>
      <c r="AD35" s="57" t="n">
        <f aca="false">IF($F35="","",IF(COUNTA($I35:$K35)=0,0,1/COUNTA($I35:$K35)))</f>
        <v>0.5</v>
      </c>
      <c r="AE35" s="57" t="n">
        <f aca="false">IF($AH35=0,"",SUM($AH$4:$AH35))</f>
        <v>2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16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VENCIDA</v>
      </c>
      <c r="C36" s="58" t="s">
        <v>278</v>
      </c>
      <c r="D36" s="59" t="s">
        <v>151</v>
      </c>
      <c r="E36" s="59" t="s">
        <v>115</v>
      </c>
      <c r="F36" s="59" t="s">
        <v>279</v>
      </c>
      <c r="G36" s="60" t="s">
        <v>115</v>
      </c>
      <c r="H36" s="60" t="s">
        <v>88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 t="n">
        <v>35</v>
      </c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46258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1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1</v>
      </c>
      <c r="AD36" s="57" t="n">
        <f aca="false">IF($F36="","",IF(COUNTA($I36:$K36)=0,0,1/COUNTA($I36:$K36)))</f>
        <v>0.5</v>
      </c>
      <c r="AE36" s="57" t="n">
        <f aca="false">IF($AH36=0,"",SUM($AH$4:$AH36))</f>
        <v>3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16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VENCIDA</v>
      </c>
      <c r="C37" s="58" t="s">
        <v>280</v>
      </c>
      <c r="D37" s="59" t="s">
        <v>151</v>
      </c>
      <c r="E37" s="59" t="s">
        <v>115</v>
      </c>
      <c r="F37" s="59" t="s">
        <v>281</v>
      </c>
      <c r="G37" s="60" t="s">
        <v>115</v>
      </c>
      <c r="H37" s="60" t="s">
        <v>88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 t="n">
        <v>35</v>
      </c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46258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1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1</v>
      </c>
      <c r="AD37" s="57" t="n">
        <f aca="false">IF($F37="","",IF(COUNTA($I37:$K37)=0,0,1/COUNTA($I37:$K37)))</f>
        <v>0.5</v>
      </c>
      <c r="AE37" s="57" t="n">
        <f aca="false">IF($AH37=0,"",SUM($AH$4:$AH37))</f>
        <v>4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16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58" t="s">
        <v>282</v>
      </c>
      <c r="D38" s="59" t="s">
        <v>151</v>
      </c>
      <c r="E38" s="59" t="s">
        <v>115</v>
      </c>
      <c r="F38" s="59" t="s">
        <v>283</v>
      </c>
      <c r="G38" s="60" t="s">
        <v>115</v>
      </c>
      <c r="H38" s="60" t="s">
        <v>88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 t="n">
        <v>35</v>
      </c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46258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1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1</v>
      </c>
      <c r="AD38" s="57" t="n">
        <f aca="false">IF($F38="","",IF(COUNTA($I38:$K38)=0,0,1/COUNTA($I38:$K38)))</f>
        <v>0.5</v>
      </c>
      <c r="AE38" s="57" t="n">
        <f aca="false">IF($AH38=0,"",SUM($AH$4:$AH38))</f>
        <v>5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16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VENCIDA</v>
      </c>
      <c r="C39" s="58" t="s">
        <v>284</v>
      </c>
      <c r="D39" s="59" t="s">
        <v>151</v>
      </c>
      <c r="E39" s="59" t="s">
        <v>115</v>
      </c>
      <c r="F39" s="59" t="s">
        <v>285</v>
      </c>
      <c r="G39" s="60" t="s">
        <v>110</v>
      </c>
      <c r="H39" s="60" t="s">
        <v>229</v>
      </c>
      <c r="I39" s="61" t="s">
        <v>108</v>
      </c>
      <c r="J39" s="61" t="s">
        <v>123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 t="n">
        <v>35</v>
      </c>
      <c r="T39" s="59" t="s">
        <v>111</v>
      </c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46258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1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1</v>
      </c>
      <c r="AD39" s="57" t="n">
        <f aca="false">IF($F39="","",IF(COUNTA($I39:$K39)=0,0,1/COUNTA($I39:$K39)))</f>
        <v>0.5</v>
      </c>
      <c r="AE39" s="57" t="n">
        <f aca="false">IF($AH39=0,"",SUM($AH$4:$AH39))</f>
        <v>6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Adilton · Gabriel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F-331|Preventiva|36</v>
      </c>
      <c r="AK39" s="57" t="n">
        <f aca="false">IF($AJ39="","",COUNTIF($AJ$4:$AJ39,$AJ39))</f>
        <v>16</v>
      </c>
      <c r="AL39" s="57" t="n">
        <f aca="false">IF($AJ39="","",COUNTIF($AJ$4:$AJ$1004,$AJ39))</f>
        <v>16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 t="s">
        <v>286</v>
      </c>
      <c r="D40" s="59" t="s">
        <v>151</v>
      </c>
      <c r="E40" s="59" t="s">
        <v>287</v>
      </c>
      <c r="F40" s="59" t="s">
        <v>288</v>
      </c>
      <c r="G40" s="60" t="s">
        <v>110</v>
      </c>
      <c r="H40" s="60" t="s">
        <v>88</v>
      </c>
      <c r="I40" s="61" t="s">
        <v>113</v>
      </c>
      <c r="J40" s="61" t="s">
        <v>138</v>
      </c>
      <c r="K40" s="61"/>
      <c r="L40" s="62" t="n">
        <v>36</v>
      </c>
      <c r="M40" s="63" t="s">
        <v>112</v>
      </c>
      <c r="N40" s="62" t="n">
        <v>3</v>
      </c>
      <c r="O40" s="64" t="n">
        <f aca="false">IF(OR($L40="",$M40=""),"",(DATE(Semana!$J$3,1,4)-WEEKDAY(DATE(Semana!$J$3,1,4),3))+($L40-1)*7+MATCH($M40,Listas!$F$5:$F$11,0)-1)</f>
        <v>46265</v>
      </c>
      <c r="P40" s="64" t="n">
        <f aca="false">IF($O40="","",$O40+MAX(0,ROUNDUP($AK40*MAX(1,IF($N40="",1,$N40))/MAX(1,$AL40),0)-1))</f>
        <v>46267</v>
      </c>
      <c r="Q40" s="65" t="n">
        <v>46265</v>
      </c>
      <c r="R40" s="60" t="s">
        <v>82</v>
      </c>
      <c r="S40" s="66"/>
      <c r="T40" s="59"/>
      <c r="U40" s="59"/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46265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0.5</v>
      </c>
      <c r="AE40" s="57" t="n">
        <f aca="false">IF($AH40=0,"",SUM($AH$4:$AH40))</f>
        <v>7</v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Airton · Luiz Paulo</v>
      </c>
      <c r="AH40" s="57" t="n">
        <f aca="false">IF(AND($F40&lt;&gt;"",$O40&lt;&gt;"",$O40&lt;=Hoje!$C$3,$P40&gt;=Hoje!$C$3,$R40&lt;&gt;"Cancelada"),1,0)</f>
        <v>1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F-331|Alinhar pneus|36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161</v>
      </c>
      <c r="E41" s="59" t="s">
        <v>289</v>
      </c>
      <c r="F41" s="59" t="s">
        <v>289</v>
      </c>
      <c r="G41" s="60" t="s">
        <v>110</v>
      </c>
      <c r="H41" s="60" t="s">
        <v>229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290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F-457|Verificar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58"/>
      <c r="D42" s="59" t="s">
        <v>162</v>
      </c>
      <c r="E42" s="59" t="s">
        <v>289</v>
      </c>
      <c r="F42" s="59" t="s">
        <v>289</v>
      </c>
      <c r="G42" s="60" t="s">
        <v>110</v>
      </c>
      <c r="H42" s="60" t="s">
        <v>229</v>
      </c>
      <c r="I42" s="61" t="s">
        <v>108</v>
      </c>
      <c r="J42" s="61"/>
      <c r="K42" s="61"/>
      <c r="L42" s="62" t="n">
        <v>35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46261</v>
      </c>
      <c r="P42" s="64" t="n">
        <f aca="false">IF($O42="","",$O42+MAX(0,ROUNDUP($AK42*MAX(1,IF($N42="",1,$N42))/MAX(1,$AL42),0)-1))</f>
        <v>46262</v>
      </c>
      <c r="Q42" s="65" t="n">
        <v>46261</v>
      </c>
      <c r="R42" s="60"/>
      <c r="S42" s="66"/>
      <c r="T42" s="59"/>
      <c r="U42" s="59" t="s">
        <v>290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1</v>
      </c>
      <c r="Y42" s="57" t="n">
        <f aca="false">IF($F42="","",IF(OR($Q42="",$W42=""),0,IF($Q42&lt;=$W42,1,0)))</f>
        <v>1</v>
      </c>
      <c r="Z42" s="57" t="n">
        <f aca="false">IF(OR($Q42="",$O42=""),"",MAX(0,$Q42-$O42))</f>
        <v>0</v>
      </c>
      <c r="AA42" s="57" t="n">
        <f aca="false">IF($F42="","",IF(AND($S42&lt;&gt;"",$L42&lt;&gt;"",$S42&lt;&gt;$L42),1,0))</f>
        <v>0</v>
      </c>
      <c r="AB42" s="57" t="n">
        <f aca="false">IF($F42="","",IF($R42="Cancelada",0,IF(OR($Q42&lt;&gt;"",$R42="Concluída"),1,0)))</f>
        <v>1</v>
      </c>
      <c r="AC42" s="57" t="n">
        <f aca="false">IF($P42="",0,IF($P42&lt;Hoje!$L$1,1,IF(AND($P42=Hoje!$L$1,Hoje!$L$2&gt;Semana!$M$3),1,0)))</f>
        <v>1</v>
      </c>
      <c r="AD42" s="57" t="n">
        <f aca="false">IF($F42="","",IF(COUNTA($I42:$K42)=0,0,1/COUNTA($I42:$K42)))</f>
        <v>1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Adilton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F-458|Verificar válvula de freio|35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291</v>
      </c>
      <c r="D43" s="59" t="s">
        <v>167</v>
      </c>
      <c r="E43" s="59" t="s">
        <v>227</v>
      </c>
      <c r="F43" s="59" t="s">
        <v>292</v>
      </c>
      <c r="G43" s="60" t="s">
        <v>110</v>
      </c>
      <c r="H43" s="60" t="s">
        <v>229</v>
      </c>
      <c r="I43" s="61" t="s">
        <v>113</v>
      </c>
      <c r="J43" s="61" t="s">
        <v>138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IF($O43="","",$O43+MAX(0,ROUNDUP($AK43*MAX(1,IF($N43="",1,$N43))/MAX(1,$AL43),0)-1))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58" t="s">
        <v>293</v>
      </c>
      <c r="D44" s="59" t="s">
        <v>167</v>
      </c>
      <c r="E44" s="59" t="s">
        <v>294</v>
      </c>
      <c r="F44" s="59" t="s">
        <v>295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2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 t="s">
        <v>82</v>
      </c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1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25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58" t="s">
        <v>296</v>
      </c>
      <c r="D45" s="59" t="s">
        <v>167</v>
      </c>
      <c r="E45" s="59" t="s">
        <v>294</v>
      </c>
      <c r="F45" s="59" t="s">
        <v>297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2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 t="s">
        <v>82</v>
      </c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1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25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58" t="s">
        <v>296</v>
      </c>
      <c r="D46" s="59" t="s">
        <v>167</v>
      </c>
      <c r="E46" s="59" t="s">
        <v>294</v>
      </c>
      <c r="F46" s="59" t="s">
        <v>298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2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/>
      <c r="R46" s="60" t="s">
        <v>82</v>
      </c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1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25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Concluída</v>
      </c>
      <c r="C47" s="58" t="s">
        <v>299</v>
      </c>
      <c r="D47" s="59" t="s">
        <v>167</v>
      </c>
      <c r="E47" s="59" t="s">
        <v>294</v>
      </c>
      <c r="F47" s="59" t="s">
        <v>300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2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 t="n">
        <v>46265</v>
      </c>
      <c r="R47" s="60" t="s">
        <v>82</v>
      </c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1</v>
      </c>
      <c r="Y47" s="57" t="n">
        <f aca="false">IF($F47="","",IF(OR($Q47="",$W47=""),0,IF($Q47&lt;=$W47,1,0)))</f>
        <v>0</v>
      </c>
      <c r="Z47" s="57" t="n">
        <f aca="false">IF(OR($Q47="",$O47=""),"",MAX(0,$Q47-$O47))</f>
        <v>0</v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1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25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Cancelada</v>
      </c>
      <c r="C48" s="58" t="s">
        <v>301</v>
      </c>
      <c r="D48" s="59" t="s">
        <v>167</v>
      </c>
      <c r="E48" s="59" t="s">
        <v>294</v>
      </c>
      <c r="F48" s="59" t="s">
        <v>302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2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 t="s">
        <v>57</v>
      </c>
      <c r="S48" s="66" t="n">
        <v>35</v>
      </c>
      <c r="T48" s="59"/>
      <c r="U48" s="59" t="s">
        <v>303</v>
      </c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25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58" t="s">
        <v>304</v>
      </c>
      <c r="D49" s="59" t="s">
        <v>167</v>
      </c>
      <c r="E49" s="59" t="s">
        <v>294</v>
      </c>
      <c r="F49" s="59" t="s">
        <v>305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2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46265</v>
      </c>
      <c r="Q49" s="65"/>
      <c r="R49" s="60" t="s">
        <v>82</v>
      </c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1</v>
      </c>
      <c r="AC49" s="57" t="n">
        <f aca="false">IF($P49="",0,IF($P49&lt;Hoje!$L$1,1,IF(AND($P49=Hoje!$L$1,Hoje!$L$2&gt;Semana!$M$3),1,0)))</f>
        <v>1</v>
      </c>
      <c r="AD49" s="57" t="n">
        <f aca="false">IF($F49="","",IF(COUNTA($I49:$K49)=0,0,1/COUNTA($I49:$K49)))</f>
        <v>1</v>
      </c>
      <c r="AE49" s="57" t="str">
        <f aca="false">IF($AH49=0,"",SUM($AH$4:$AH49))</f>
        <v/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0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25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58" t="s">
        <v>306</v>
      </c>
      <c r="D50" s="59" t="s">
        <v>167</v>
      </c>
      <c r="E50" s="59" t="s">
        <v>294</v>
      </c>
      <c r="F50" s="59" t="s">
        <v>307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2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46265</v>
      </c>
      <c r="Q50" s="65"/>
      <c r="R50" s="60" t="s">
        <v>82</v>
      </c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1</v>
      </c>
      <c r="AC50" s="57" t="n">
        <f aca="false">IF($P50="",0,IF($P50&lt;Hoje!$L$1,1,IF(AND($P50=Hoje!$L$1,Hoje!$L$2&gt;Semana!$M$3),1,0)))</f>
        <v>1</v>
      </c>
      <c r="AD50" s="57" t="n">
        <f aca="false">IF($F50="","",IF(COUNTA($I50:$K50)=0,0,1/COUNTA($I50:$K50)))</f>
        <v>1</v>
      </c>
      <c r="AE50" s="57" t="str">
        <f aca="false">IF($AH50=0,"",SUM($AH$4:$AH50))</f>
        <v/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0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25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58" t="s">
        <v>308</v>
      </c>
      <c r="D51" s="59" t="s">
        <v>167</v>
      </c>
      <c r="E51" s="59" t="s">
        <v>294</v>
      </c>
      <c r="F51" s="59" t="s">
        <v>309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2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46265</v>
      </c>
      <c r="Q51" s="65"/>
      <c r="R51" s="60" t="s">
        <v>82</v>
      </c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1</v>
      </c>
      <c r="AC51" s="57" t="n">
        <f aca="false">IF($P51="",0,IF($P51&lt;Hoje!$L$1,1,IF(AND($P51=Hoje!$L$1,Hoje!$L$2&gt;Semana!$M$3),1,0)))</f>
        <v>1</v>
      </c>
      <c r="AD51" s="57" t="n">
        <f aca="false">IF($F51="","",IF(COUNTA($I51:$K51)=0,0,1/COUNTA($I51:$K51)))</f>
        <v>1</v>
      </c>
      <c r="AE51" s="57" t="str">
        <f aca="false">IF($AH51=0,"",SUM($AH$4:$AH51))</f>
        <v/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0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25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58" t="s">
        <v>310</v>
      </c>
      <c r="D52" s="59" t="s">
        <v>167</v>
      </c>
      <c r="E52" s="59" t="s">
        <v>294</v>
      </c>
      <c r="F52" s="59" t="s">
        <v>311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2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46265</v>
      </c>
      <c r="Q52" s="65"/>
      <c r="R52" s="60" t="s">
        <v>82</v>
      </c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1</v>
      </c>
      <c r="AC52" s="57" t="n">
        <f aca="false">IF($P52="",0,IF($P52&lt;Hoje!$L$1,1,IF(AND($P52=Hoje!$L$1,Hoje!$L$2&gt;Semana!$M$3),1,0)))</f>
        <v>1</v>
      </c>
      <c r="AD52" s="57" t="n">
        <f aca="false">IF($F52="","",IF(COUNTA($I52:$K52)=0,0,1/COUNTA($I52:$K52)))</f>
        <v>1</v>
      </c>
      <c r="AE52" s="57" t="str">
        <f aca="false">IF($AH52=0,"",SUM($AH$4:$AH52))</f>
        <v/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0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25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58" t="s">
        <v>312</v>
      </c>
      <c r="D53" s="59" t="s">
        <v>167</v>
      </c>
      <c r="E53" s="59" t="s">
        <v>294</v>
      </c>
      <c r="F53" s="59" t="s">
        <v>313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2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46265</v>
      </c>
      <c r="Q53" s="65"/>
      <c r="R53" s="60" t="s">
        <v>82</v>
      </c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1</v>
      </c>
      <c r="AC53" s="57" t="n">
        <f aca="false">IF($P53="",0,IF($P53&lt;Hoje!$L$1,1,IF(AND($P53=Hoje!$L$1,Hoje!$L$2&gt;Semana!$M$3),1,0)))</f>
        <v>1</v>
      </c>
      <c r="AD53" s="57" t="n">
        <f aca="false">IF($F53="","",IF(COUNTA($I53:$K53)=0,0,1/COUNTA($I53:$K53)))</f>
        <v>1</v>
      </c>
      <c r="AE53" s="57" t="str">
        <f aca="false">IF($AH53=0,"",SUM($AH$4:$AH53))</f>
        <v/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0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25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58" t="s">
        <v>314</v>
      </c>
      <c r="D54" s="59" t="s">
        <v>167</v>
      </c>
      <c r="E54" s="59" t="s">
        <v>294</v>
      </c>
      <c r="F54" s="59" t="s">
        <v>315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2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46265</v>
      </c>
      <c r="Q54" s="65"/>
      <c r="R54" s="60" t="s">
        <v>82</v>
      </c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1</v>
      </c>
      <c r="AC54" s="57" t="n">
        <f aca="false">IF($P54="",0,IF($P54&lt;Hoje!$L$1,1,IF(AND($P54=Hoje!$L$1,Hoje!$L$2&gt;Semana!$M$3),1,0)))</f>
        <v>1</v>
      </c>
      <c r="AD54" s="57" t="n">
        <f aca="false">IF($F54="","",IF(COUNTA($I54:$K54)=0,0,1/COUNTA($I54:$K54)))</f>
        <v>1</v>
      </c>
      <c r="AE54" s="57" t="str">
        <f aca="false">IF($AH54=0,"",SUM($AH$4:$AH54))</f>
        <v/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0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25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58" t="s">
        <v>316</v>
      </c>
      <c r="D55" s="59" t="s">
        <v>167</v>
      </c>
      <c r="E55" s="59" t="s">
        <v>294</v>
      </c>
      <c r="F55" s="59" t="s">
        <v>317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2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46265</v>
      </c>
      <c r="Q55" s="65"/>
      <c r="R55" s="60" t="s">
        <v>82</v>
      </c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1</v>
      </c>
      <c r="AC55" s="57" t="n">
        <f aca="false">IF($P55="",0,IF($P55&lt;Hoje!$L$1,1,IF(AND($P55=Hoje!$L$1,Hoje!$L$2&gt;Semana!$M$3),1,0)))</f>
        <v>1</v>
      </c>
      <c r="AD55" s="57" t="n">
        <f aca="false">IF($F55="","",IF(COUNTA($I55:$K55)=0,0,1/COUNTA($I55:$K55)))</f>
        <v>1</v>
      </c>
      <c r="AE55" s="57" t="str">
        <f aca="false">IF($AH55=0,"",SUM($AH$4:$AH55))</f>
        <v/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0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25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VENCIDA</v>
      </c>
      <c r="C56" s="58" t="s">
        <v>316</v>
      </c>
      <c r="D56" s="59" t="s">
        <v>167</v>
      </c>
      <c r="E56" s="59" t="s">
        <v>294</v>
      </c>
      <c r="F56" s="59" t="s">
        <v>318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2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46266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1</v>
      </c>
      <c r="AD56" s="57" t="n">
        <f aca="false">IF($F56="","",IF(COUNTA($I56:$K56)=0,0,1/COUNTA($I56:$K56)))</f>
        <v>1</v>
      </c>
      <c r="AE56" s="57" t="str">
        <f aca="false">IF($AH56=0,"",SUM($AH$4:$AH56))</f>
        <v/>
      </c>
      <c r="AF56" s="57" t="n">
        <f aca="false">IF($AI56=0,"",SUM($AI$4:$AI56))</f>
        <v>14</v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0</v>
      </c>
      <c r="AI56" s="57" t="n">
        <f aca="false">IF(AND($F56&lt;&gt;"",$P56&lt;&gt;"",$P56&lt;Hoje!$C$3,$AB56=0,$R56&lt;&gt;"Cancelada"),1,0)</f>
        <v>1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25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58" t="s">
        <v>319</v>
      </c>
      <c r="D57" s="59" t="s">
        <v>167</v>
      </c>
      <c r="E57" s="59" t="s">
        <v>294</v>
      </c>
      <c r="F57" s="59" t="s">
        <v>320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2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46266</v>
      </c>
      <c r="Q57" s="65"/>
      <c r="R57" s="60" t="s">
        <v>82</v>
      </c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1</v>
      </c>
      <c r="AC57" s="57" t="n">
        <f aca="false">IF($P57="",0,IF($P57&lt;Hoje!$L$1,1,IF(AND($P57=Hoje!$L$1,Hoje!$L$2&gt;Semana!$M$3),1,0)))</f>
        <v>1</v>
      </c>
      <c r="AD57" s="57" t="n">
        <f aca="false">IF($F57="","",IF(COUNTA($I57:$K57)=0,0,1/COUNTA($I57:$K57)))</f>
        <v>1</v>
      </c>
      <c r="AE57" s="57" t="str">
        <f aca="false">IF($AH57=0,"",SUM($AH$4:$AH57))</f>
        <v/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0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25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58" t="s">
        <v>321</v>
      </c>
      <c r="D58" s="59" t="s">
        <v>167</v>
      </c>
      <c r="E58" s="59" t="s">
        <v>294</v>
      </c>
      <c r="F58" s="59" t="s">
        <v>322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2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46266</v>
      </c>
      <c r="Q58" s="65"/>
      <c r="R58" s="60" t="s">
        <v>82</v>
      </c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1</v>
      </c>
      <c r="AC58" s="57" t="n">
        <f aca="false">IF($P58="",0,IF($P58&lt;Hoje!$L$1,1,IF(AND($P58=Hoje!$L$1,Hoje!$L$2&gt;Semana!$M$3),1,0)))</f>
        <v>1</v>
      </c>
      <c r="AD58" s="57" t="n">
        <f aca="false">IF($F58="","",IF(COUNTA($I58:$K58)=0,0,1/COUNTA($I58:$K58)))</f>
        <v>1</v>
      </c>
      <c r="AE58" s="57" t="str">
        <f aca="false">IF($AH58=0,"",SUM($AH$4:$AH58))</f>
        <v/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0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25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Concluída</v>
      </c>
      <c r="C59" s="58" t="s">
        <v>323</v>
      </c>
      <c r="D59" s="59" t="s">
        <v>167</v>
      </c>
      <c r="E59" s="59" t="s">
        <v>294</v>
      </c>
      <c r="F59" s="59" t="s">
        <v>324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2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46266</v>
      </c>
      <c r="Q59" s="65"/>
      <c r="R59" s="60" t="s">
        <v>82</v>
      </c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1</v>
      </c>
      <c r="AC59" s="57" t="n">
        <f aca="false">IF($P59="",0,IF($P59&lt;Hoje!$L$1,1,IF(AND($P59=Hoje!$L$1,Hoje!$L$2&gt;Semana!$M$3),1,0)))</f>
        <v>1</v>
      </c>
      <c r="AD59" s="57" t="n">
        <f aca="false">IF($F59="","",IF(COUNTA($I59:$K59)=0,0,1/COUNTA($I59:$K59)))</f>
        <v>1</v>
      </c>
      <c r="AE59" s="57" t="str">
        <f aca="false">IF($AH59=0,"",SUM($AH$4:$AH59))</f>
        <v/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0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25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Cancelada</v>
      </c>
      <c r="C60" s="58" t="s">
        <v>299</v>
      </c>
      <c r="D60" s="59" t="s">
        <v>167</v>
      </c>
      <c r="E60" s="59" t="s">
        <v>294</v>
      </c>
      <c r="F60" s="59" t="s">
        <v>325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2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46266</v>
      </c>
      <c r="Q60" s="65"/>
      <c r="R60" s="60" t="s">
        <v>57</v>
      </c>
      <c r="S60" s="66" t="n">
        <v>35</v>
      </c>
      <c r="T60" s="59" t="s">
        <v>131</v>
      </c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1</v>
      </c>
      <c r="AD60" s="57" t="n">
        <f aca="false">IF($F60="","",IF(COUNTA($I60:$K60)=0,0,1/COUNTA($I60:$K60)))</f>
        <v>1</v>
      </c>
      <c r="AE60" s="57" t="str">
        <f aca="false">IF($AH60=0,"",SUM($AH$4:$AH60))</f>
        <v/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0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25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58" t="s">
        <v>326</v>
      </c>
      <c r="D61" s="59" t="s">
        <v>167</v>
      </c>
      <c r="E61" s="59" t="s">
        <v>294</v>
      </c>
      <c r="F61" s="59" t="s">
        <v>327</v>
      </c>
      <c r="G61" s="60" t="s">
        <v>110</v>
      </c>
      <c r="H61" s="60" t="s">
        <v>88</v>
      </c>
      <c r="I61" s="61" t="s">
        <v>118</v>
      </c>
      <c r="J61" s="61"/>
      <c r="K61" s="61"/>
      <c r="L61" s="62" t="n">
        <v>36</v>
      </c>
      <c r="M61" s="63" t="s">
        <v>112</v>
      </c>
      <c r="N61" s="62" t="n">
        <v>2</v>
      </c>
      <c r="O61" s="64" t="n">
        <f aca="false">IF(OR($L61="",$M61=""),"",(DATE(Semana!$J$3,1,4)-WEEKDAY(DATE(Semana!$J$3,1,4),3))+($L61-1)*7+MATCH($M61,Listas!$F$5:$F$11,0)-1)</f>
        <v>46265</v>
      </c>
      <c r="P61" s="64" t="n">
        <f aca="false">IF($O61="","",$O61+MAX(0,ROUNDUP($AK61*MAX(1,IF($N61="",1,$N61))/MAX(1,$AL61),0)-1))</f>
        <v>46266</v>
      </c>
      <c r="Q61" s="65"/>
      <c r="R61" s="60" t="s">
        <v>82</v>
      </c>
      <c r="S61" s="66" t="n">
        <v>35</v>
      </c>
      <c r="T61" s="59"/>
      <c r="U61" s="59"/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46258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str">
        <f aca="false">IF(OR($Q61="",$O61=""),"",MAX(0,$Q61-$O61))</f>
        <v/>
      </c>
      <c r="AA61" s="57" t="n">
        <f aca="false">IF($F61="","",IF(AND($S61&lt;&gt;"",$L61&lt;&gt;"",$S61&lt;&gt;$L61),1,0))</f>
        <v>1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1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Alexandre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F-617|Baixa de carteira|36</v>
      </c>
      <c r="AK61" s="57" t="n">
        <f aca="false">IF($AJ61="","",COUNTIF($AJ$4:$AJ61,$AJ61))</f>
        <v>18</v>
      </c>
      <c r="AL61" s="57" t="n">
        <f aca="false">IF($AJ61="","",COUNTIF($AJ$4:$AJ$1004,$AJ61))</f>
        <v>25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VENCIDA</v>
      </c>
      <c r="C62" s="58" t="s">
        <v>328</v>
      </c>
      <c r="D62" s="59" t="s">
        <v>167</v>
      </c>
      <c r="E62" s="59" t="s">
        <v>294</v>
      </c>
      <c r="F62" s="59" t="s">
        <v>329</v>
      </c>
      <c r="G62" s="60" t="s">
        <v>110</v>
      </c>
      <c r="H62" s="60" t="s">
        <v>88</v>
      </c>
      <c r="I62" s="61" t="s">
        <v>133</v>
      </c>
      <c r="J62" s="61"/>
      <c r="K62" s="61"/>
      <c r="L62" s="62" t="n">
        <v>36</v>
      </c>
      <c r="M62" s="63" t="s">
        <v>112</v>
      </c>
      <c r="N62" s="62" t="n">
        <v>2</v>
      </c>
      <c r="O62" s="64" t="n">
        <f aca="false">IF(OR($L62="",$M62=""),"",(DATE(Semana!$J$3,1,4)-WEEKDAY(DATE(Semana!$J$3,1,4),3))+($L62-1)*7+MATCH($M62,Listas!$F$5:$F$11,0)-1)</f>
        <v>46265</v>
      </c>
      <c r="P62" s="64" t="n">
        <f aca="false">IF($O62="","",$O62+MAX(0,ROUNDUP($AK62*MAX(1,IF($N62="",1,$N62))/MAX(1,$AL62),0)-1))</f>
        <v>46266</v>
      </c>
      <c r="Q62" s="65"/>
      <c r="R62" s="60"/>
      <c r="S62" s="66" t="n">
        <v>35</v>
      </c>
      <c r="T62" s="59"/>
      <c r="U62" s="59"/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46258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str">
        <f aca="false">IF(OR($Q62="",$O62=""),"",MAX(0,$Q62-$O62))</f>
        <v/>
      </c>
      <c r="AA62" s="57" t="n">
        <f aca="false">IF($F62="","",IF(AND($S62&lt;&gt;"",$L62&lt;&gt;"",$S62&lt;&gt;$L62),1,0))</f>
        <v>1</v>
      </c>
      <c r="AB62" s="57" t="n">
        <f aca="false">IF($F62="","",IF($R62="Cancelada",0,IF(OR($Q62&lt;&gt;"",$R62="Concluída"),1,0)))</f>
        <v>0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1</v>
      </c>
      <c r="AE62" s="57" t="str">
        <f aca="false">IF($AH62=0,"",SUM($AH$4:$AH62))</f>
        <v/>
      </c>
      <c r="AF62" s="57" t="n">
        <f aca="false">IF($AI62=0,"",SUM($AI$4:$AI62))</f>
        <v>15</v>
      </c>
      <c r="AG62" s="67" t="str">
        <f aca="false">IF($F62="","",$I62&amp;IF($J62="",""," · "&amp;$J62)&amp;IF($K62="",""," · "&amp;$K62))</f>
        <v>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1</v>
      </c>
      <c r="AJ62" s="67" t="str">
        <f aca="false">IF($F62="","",$D62&amp;"|"&amp;$E62&amp;"|"&amp;$L62)</f>
        <v>F-617|Baixa de carteira|36</v>
      </c>
      <c r="AK62" s="57" t="n">
        <f aca="false">IF($AJ62="","",COUNTIF($AJ$4:$AJ62,$AJ62))</f>
        <v>19</v>
      </c>
      <c r="AL62" s="57" t="n">
        <f aca="false">IF($AJ62="","",COUNTIF($AJ$4:$AJ$1004,$AJ62))</f>
        <v>25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VENCIDA</v>
      </c>
      <c r="C63" s="58" t="s">
        <v>328</v>
      </c>
      <c r="D63" s="59" t="s">
        <v>167</v>
      </c>
      <c r="E63" s="59" t="s">
        <v>294</v>
      </c>
      <c r="F63" s="59" t="s">
        <v>330</v>
      </c>
      <c r="G63" s="60" t="s">
        <v>110</v>
      </c>
      <c r="H63" s="60" t="s">
        <v>88</v>
      </c>
      <c r="I63" s="61" t="s">
        <v>133</v>
      </c>
      <c r="J63" s="61"/>
      <c r="K63" s="61"/>
      <c r="L63" s="62" t="n">
        <v>36</v>
      </c>
      <c r="M63" s="63" t="s">
        <v>112</v>
      </c>
      <c r="N63" s="62" t="n">
        <v>2</v>
      </c>
      <c r="O63" s="64" t="n">
        <f aca="false">IF(OR($L63="",$M63=""),"",(DATE(Semana!$J$3,1,4)-WEEKDAY(DATE(Semana!$J$3,1,4),3))+($L63-1)*7+MATCH($M63,Listas!$F$5:$F$11,0)-1)</f>
        <v>46265</v>
      </c>
      <c r="P63" s="64" t="n">
        <f aca="false">IF($O63="","",$O63+MAX(0,ROUNDUP($AK63*MAX(1,IF($N63="",1,$N63))/MAX(1,$AL63),0)-1))</f>
        <v>46266</v>
      </c>
      <c r="Q63" s="65"/>
      <c r="R63" s="60"/>
      <c r="S63" s="66" t="n">
        <v>35</v>
      </c>
      <c r="T63" s="59"/>
      <c r="U63" s="59"/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46258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str">
        <f aca="false">IF(OR($Q63="",$O63=""),"",MAX(0,$Q63-$O63))</f>
        <v/>
      </c>
      <c r="AA63" s="57" t="n">
        <f aca="false">IF($F63="","",IF(AND($S63&lt;&gt;"",$L63&lt;&gt;"",$S63&lt;&gt;$L63),1,0))</f>
        <v>1</v>
      </c>
      <c r="AB63" s="57" t="n">
        <f aca="false">IF($F63="","",IF($R63="Cancelada",0,IF(OR($Q63&lt;&gt;"",$R63="Concluída"),1,0)))</f>
        <v>0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1</v>
      </c>
      <c r="AE63" s="57" t="str">
        <f aca="false">IF($AH63=0,"",SUM($AH$4:$AH63))</f>
        <v/>
      </c>
      <c r="AF63" s="57" t="n">
        <f aca="false">IF($AI63=0,"",SUM($AI$4:$AI63))</f>
        <v>16</v>
      </c>
      <c r="AG63" s="67" t="str">
        <f aca="false">IF($F63="","",$I63&amp;IF($J63="",""," · "&amp;$J63)&amp;IF($K63="",""," · "&amp;$K63))</f>
        <v>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1</v>
      </c>
      <c r="AJ63" s="67" t="str">
        <f aca="false">IF($F63="","",$D63&amp;"|"&amp;$E63&amp;"|"&amp;$L63)</f>
        <v>F-617|Baixa de carteira|36</v>
      </c>
      <c r="AK63" s="57" t="n">
        <f aca="false">IF($AJ63="","",COUNTIF($AJ$4:$AJ63,$AJ63))</f>
        <v>20</v>
      </c>
      <c r="AL63" s="57" t="n">
        <f aca="false">IF($AJ63="","",COUNTIF($AJ$4:$AJ$1004,$AJ63))</f>
        <v>25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58" t="s">
        <v>331</v>
      </c>
      <c r="D64" s="59" t="s">
        <v>167</v>
      </c>
      <c r="E64" s="59" t="s">
        <v>294</v>
      </c>
      <c r="F64" s="59" t="s">
        <v>332</v>
      </c>
      <c r="G64" s="60" t="s">
        <v>110</v>
      </c>
      <c r="H64" s="60" t="s">
        <v>88</v>
      </c>
      <c r="I64" s="61" t="s">
        <v>118</v>
      </c>
      <c r="J64" s="61"/>
      <c r="K64" s="61"/>
      <c r="L64" s="62" t="n">
        <v>36</v>
      </c>
      <c r="M64" s="63" t="s">
        <v>112</v>
      </c>
      <c r="N64" s="62" t="n">
        <v>2</v>
      </c>
      <c r="O64" s="64" t="n">
        <f aca="false">IF(OR($L64="",$M64=""),"",(DATE(Semana!$J$3,1,4)-WEEKDAY(DATE(Semana!$J$3,1,4),3))+($L64-1)*7+MATCH($M64,Listas!$F$5:$F$11,0)-1)</f>
        <v>46265</v>
      </c>
      <c r="P64" s="64" t="n">
        <f aca="false">IF($O64="","",$O64+MAX(0,ROUNDUP($AK64*MAX(1,IF($N64="",1,$N64))/MAX(1,$AL64),0)-1))</f>
        <v>46266</v>
      </c>
      <c r="Q64" s="65"/>
      <c r="R64" s="60" t="s">
        <v>82</v>
      </c>
      <c r="S64" s="66" t="n">
        <v>35</v>
      </c>
      <c r="T64" s="59"/>
      <c r="U64" s="59"/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46258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str">
        <f aca="false">IF(OR($Q64="",$O64=""),"",MAX(0,$Q64-$O64))</f>
        <v/>
      </c>
      <c r="AA64" s="57" t="n">
        <f aca="false">IF($F64="","",IF(AND($S64&lt;&gt;"",$L64&lt;&gt;"",$S64&lt;&gt;$L64),1,0))</f>
        <v>1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1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Alexandre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F-617|Baixa de carteira|36</v>
      </c>
      <c r="AK64" s="57" t="n">
        <f aca="false">IF($AJ64="","",COUNTIF($AJ$4:$AJ64,$AJ64))</f>
        <v>21</v>
      </c>
      <c r="AL64" s="57" t="n">
        <f aca="false">IF($AJ64="","",COUNTIF($AJ$4:$AJ$1004,$AJ64))</f>
        <v>25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58" t="s">
        <v>331</v>
      </c>
      <c r="D65" s="59" t="s">
        <v>167</v>
      </c>
      <c r="E65" s="59" t="s">
        <v>294</v>
      </c>
      <c r="F65" s="59" t="s">
        <v>333</v>
      </c>
      <c r="G65" s="60" t="s">
        <v>110</v>
      </c>
      <c r="H65" s="60" t="s">
        <v>88</v>
      </c>
      <c r="I65" s="61" t="s">
        <v>118</v>
      </c>
      <c r="J65" s="61"/>
      <c r="K65" s="61"/>
      <c r="L65" s="62" t="n">
        <v>36</v>
      </c>
      <c r="M65" s="63" t="s">
        <v>112</v>
      </c>
      <c r="N65" s="62" t="n">
        <v>2</v>
      </c>
      <c r="O65" s="64" t="n">
        <f aca="false">IF(OR($L65="",$M65=""),"",(DATE(Semana!$J$3,1,4)-WEEKDAY(DATE(Semana!$J$3,1,4),3))+($L65-1)*7+MATCH($M65,Listas!$F$5:$F$11,0)-1)</f>
        <v>46265</v>
      </c>
      <c r="P65" s="64" t="n">
        <f aca="false">IF($O65="","",$O65+MAX(0,ROUNDUP($AK65*MAX(1,IF($N65="",1,$N65))/MAX(1,$AL65),0)-1))</f>
        <v>46266</v>
      </c>
      <c r="Q65" s="65"/>
      <c r="R65" s="60"/>
      <c r="S65" s="66" t="n">
        <v>35</v>
      </c>
      <c r="T65" s="59"/>
      <c r="U65" s="59"/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46258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str">
        <f aca="false">IF(OR($Q65="",$O65=""),"",MAX(0,$Q65-$O65))</f>
        <v/>
      </c>
      <c r="AA65" s="57" t="n">
        <f aca="false">IF($F65="","",IF(AND($S65&lt;&gt;"",$L65&lt;&gt;"",$S65&lt;&gt;$L65),1,0))</f>
        <v>1</v>
      </c>
      <c r="AB65" s="57" t="n">
        <f aca="false">IF($F65="","",IF($R65="Cancelada",0,IF(OR($Q65&lt;&gt;"",$R65="Concluída"),1,0)))</f>
        <v>0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1</v>
      </c>
      <c r="AE65" s="57" t="str">
        <f aca="false">IF($AH65=0,"",SUM($AH$4:$AH65))</f>
        <v/>
      </c>
      <c r="AF65" s="57" t="n">
        <f aca="false">IF($AI65=0,"",SUM($AI$4:$AI65))</f>
        <v>17</v>
      </c>
      <c r="AG65" s="67" t="str">
        <f aca="false">IF($F65="","",$I65&amp;IF($J65="",""," · "&amp;$J65)&amp;IF($K65="",""," · "&amp;$K65))</f>
        <v>Alexandre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1</v>
      </c>
      <c r="AJ65" s="67" t="str">
        <f aca="false">IF($F65="","",$D65&amp;"|"&amp;$E65&amp;"|"&amp;$L65)</f>
        <v>F-617|Baixa de carteira|36</v>
      </c>
      <c r="AK65" s="57" t="n">
        <f aca="false">IF($AJ65="","",COUNTIF($AJ$4:$AJ65,$AJ65))</f>
        <v>22</v>
      </c>
      <c r="AL65" s="57" t="n">
        <f aca="false">IF($AJ65="","",COUNTIF($AJ$4:$AJ$1004,$AJ65))</f>
        <v>25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VENCIDA</v>
      </c>
      <c r="C66" s="58" t="s">
        <v>331</v>
      </c>
      <c r="D66" s="59" t="s">
        <v>167</v>
      </c>
      <c r="E66" s="59" t="s">
        <v>294</v>
      </c>
      <c r="F66" s="59" t="s">
        <v>334</v>
      </c>
      <c r="G66" s="60" t="s">
        <v>110</v>
      </c>
      <c r="H66" s="60" t="s">
        <v>88</v>
      </c>
      <c r="I66" s="61" t="s">
        <v>118</v>
      </c>
      <c r="J66" s="61"/>
      <c r="K66" s="61"/>
      <c r="L66" s="62" t="n">
        <v>36</v>
      </c>
      <c r="M66" s="63" t="s">
        <v>112</v>
      </c>
      <c r="N66" s="62" t="n">
        <v>2</v>
      </c>
      <c r="O66" s="64" t="n">
        <f aca="false">IF(OR($L66="",$M66=""),"",(DATE(Semana!$J$3,1,4)-WEEKDAY(DATE(Semana!$J$3,1,4),3))+($L66-1)*7+MATCH($M66,Listas!$F$5:$F$11,0)-1)</f>
        <v>46265</v>
      </c>
      <c r="P66" s="64" t="n">
        <f aca="false">IF($O66="","",$O66+MAX(0,ROUNDUP($AK66*MAX(1,IF($N66="",1,$N66))/MAX(1,$AL66),0)-1))</f>
        <v>46266</v>
      </c>
      <c r="Q66" s="65"/>
      <c r="R66" s="60"/>
      <c r="S66" s="66" t="n">
        <v>35</v>
      </c>
      <c r="T66" s="59"/>
      <c r="U66" s="59"/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46258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str">
        <f aca="false">IF(OR($Q66="",$O66=""),"",MAX(0,$Q66-$O66))</f>
        <v/>
      </c>
      <c r="AA66" s="57" t="n">
        <f aca="false">IF($F66="","",IF(AND($S66&lt;&gt;"",$L66&lt;&gt;"",$S66&lt;&gt;$L66),1,0))</f>
        <v>1</v>
      </c>
      <c r="AB66" s="57" t="n">
        <f aca="false">IF($F66="","",IF($R66="Cancelada",0,IF(OR($Q66&lt;&gt;"",$R66="Concluída"),1,0)))</f>
        <v>0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1</v>
      </c>
      <c r="AE66" s="57" t="str">
        <f aca="false">IF($AH66=0,"",SUM($AH$4:$AH66))</f>
        <v/>
      </c>
      <c r="AF66" s="57" t="n">
        <f aca="false">IF($AI66=0,"",SUM($AI$4:$AI66))</f>
        <v>18</v>
      </c>
      <c r="AG66" s="67" t="str">
        <f aca="false">IF($F66="","",$I66&amp;IF($J66="",""," · "&amp;$J66)&amp;IF($K66="",""," · "&amp;$K66))</f>
        <v>Alexandre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1</v>
      </c>
      <c r="AJ66" s="67" t="str">
        <f aca="false">IF($F66="","",$D66&amp;"|"&amp;$E66&amp;"|"&amp;$L66)</f>
        <v>F-617|Baixa de carteira|36</v>
      </c>
      <c r="AK66" s="57" t="n">
        <f aca="false">IF($AJ66="","",COUNTIF($AJ$4:$AJ66,$AJ66))</f>
        <v>23</v>
      </c>
      <c r="AL66" s="57" t="n">
        <f aca="false">IF($AJ66="","",COUNTIF($AJ$4:$AJ$1004,$AJ66))</f>
        <v>25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58" t="s">
        <v>331</v>
      </c>
      <c r="D67" s="59" t="s">
        <v>167</v>
      </c>
      <c r="E67" s="59" t="s">
        <v>294</v>
      </c>
      <c r="F67" s="59" t="s">
        <v>335</v>
      </c>
      <c r="G67" s="60" t="s">
        <v>110</v>
      </c>
      <c r="H67" s="60" t="s">
        <v>88</v>
      </c>
      <c r="I67" s="61" t="s">
        <v>118</v>
      </c>
      <c r="J67" s="61"/>
      <c r="K67" s="61"/>
      <c r="L67" s="62" t="n">
        <v>36</v>
      </c>
      <c r="M67" s="63" t="s">
        <v>112</v>
      </c>
      <c r="N67" s="62" t="n">
        <v>2</v>
      </c>
      <c r="O67" s="64" t="n">
        <f aca="false">IF(OR($L67="",$M67=""),"",(DATE(Semana!$J$3,1,4)-WEEKDAY(DATE(Semana!$J$3,1,4),3))+($L67-1)*7+MATCH($M67,Listas!$F$5:$F$11,0)-1)</f>
        <v>46265</v>
      </c>
      <c r="P67" s="64" t="n">
        <f aca="false">IF($O67="","",$O67+MAX(0,ROUNDUP($AK67*MAX(1,IF($N67="",1,$N67))/MAX(1,$AL67),0)-1))</f>
        <v>46266</v>
      </c>
      <c r="Q67" s="65"/>
      <c r="R67" s="60" t="s">
        <v>82</v>
      </c>
      <c r="S67" s="66" t="n">
        <v>35</v>
      </c>
      <c r="T67" s="59"/>
      <c r="U67" s="59"/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46258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str">
        <f aca="false">IF(OR($Q67="",$O67=""),"",MAX(0,$Q67-$O67))</f>
        <v/>
      </c>
      <c r="AA67" s="57" t="n">
        <f aca="false">IF($F67="","",IF(AND($S67&lt;&gt;"",$L67&lt;&gt;"",$S67&lt;&gt;$L67),1,0))</f>
        <v>1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1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Alexandre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F-617|Baixa de carteira|36</v>
      </c>
      <c r="AK67" s="57" t="n">
        <f aca="false">IF($AJ67="","",COUNTIF($AJ$4:$AJ67,$AJ67))</f>
        <v>24</v>
      </c>
      <c r="AL67" s="57" t="n">
        <f aca="false">IF($AJ67="","",COUNTIF($AJ$4:$AJ$1004,$AJ67))</f>
        <v>25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</v>
      </c>
      <c r="C68" s="58" t="s">
        <v>291</v>
      </c>
      <c r="D68" s="59" t="s">
        <v>167</v>
      </c>
      <c r="E68" s="59" t="s">
        <v>294</v>
      </c>
      <c r="F68" s="59" t="s">
        <v>336</v>
      </c>
      <c r="G68" s="60" t="s">
        <v>110</v>
      </c>
      <c r="H68" s="60" t="s">
        <v>88</v>
      </c>
      <c r="I68" s="61" t="s">
        <v>113</v>
      </c>
      <c r="J68" s="61" t="s">
        <v>138</v>
      </c>
      <c r="K68" s="61"/>
      <c r="L68" s="62" t="n">
        <v>36</v>
      </c>
      <c r="M68" s="63" t="s">
        <v>112</v>
      </c>
      <c r="N68" s="62" t="n">
        <v>2</v>
      </c>
      <c r="O68" s="64" t="n">
        <f aca="false">IF(OR($L68="",$M68=""),"",(DATE(Semana!$J$3,1,4)-WEEKDAY(DATE(Semana!$J$3,1,4),3))+($L68-1)*7+MATCH($M68,Listas!$F$5:$F$11,0)-1)</f>
        <v>46265</v>
      </c>
      <c r="P68" s="64" t="n">
        <f aca="false">IF($O68="","",$O68+MAX(0,ROUNDUP($AK68*MAX(1,IF($N68="",1,$N68))/MAX(1,$AL68),0)-1))</f>
        <v>46266</v>
      </c>
      <c r="Q68" s="65"/>
      <c r="R68" s="60" t="s">
        <v>82</v>
      </c>
      <c r="S68" s="66" t="n">
        <v>35</v>
      </c>
      <c r="T68" s="59"/>
      <c r="U68" s="59"/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46258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str">
        <f aca="false">IF(OR($Q68="",$O68=""),"",MAX(0,$Q68-$O68))</f>
        <v/>
      </c>
      <c r="AA68" s="57" t="n">
        <f aca="false">IF($F68="","",IF(AND($S68&lt;&gt;"",$L68&lt;&gt;"",$S68&lt;&gt;$L68),1,0))</f>
        <v>1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0.5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Airton · Luiz Paulo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F-617|Baixa de carteira|36</v>
      </c>
      <c r="AK68" s="57" t="n">
        <f aca="false">IF($AJ68="","",COUNTIF($AJ$4:$AJ68,$AJ68))</f>
        <v>25</v>
      </c>
      <c r="AL68" s="57" t="n">
        <f aca="false">IF($AJ68="","",COUNTIF($AJ$4:$AJ$1004,$AJ68))</f>
        <v>25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 t="s">
        <v>337</v>
      </c>
      <c r="D69" s="59" t="s">
        <v>170</v>
      </c>
      <c r="E69" s="59" t="s">
        <v>338</v>
      </c>
      <c r="F69" s="59" t="s">
        <v>339</v>
      </c>
      <c r="G69" s="60" t="s">
        <v>110</v>
      </c>
      <c r="H69" s="60" t="s">
        <v>88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46259</v>
      </c>
      <c r="Q69" s="65" t="n">
        <v>46260</v>
      </c>
      <c r="R69" s="60" t="s">
        <v>82</v>
      </c>
      <c r="S69" s="66"/>
      <c r="T69" s="59"/>
      <c r="U69" s="59" t="s">
        <v>340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1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 t="s">
        <v>341</v>
      </c>
      <c r="D70" s="59" t="s">
        <v>170</v>
      </c>
      <c r="E70" s="59" t="s">
        <v>338</v>
      </c>
      <c r="F70" s="59" t="s">
        <v>342</v>
      </c>
      <c r="G70" s="60" t="s">
        <v>110</v>
      </c>
      <c r="H70" s="60" t="s">
        <v>88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46259</v>
      </c>
      <c r="Q70" s="65" t="n">
        <v>46260</v>
      </c>
      <c r="R70" s="60" t="s">
        <v>82</v>
      </c>
      <c r="S70" s="66"/>
      <c r="T70" s="59"/>
      <c r="U70" s="59" t="s">
        <v>340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2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58"/>
      <c r="D71" s="59" t="s">
        <v>170</v>
      </c>
      <c r="E71" s="59" t="s">
        <v>338</v>
      </c>
      <c r="F71" s="59" t="s">
        <v>343</v>
      </c>
      <c r="G71" s="60" t="s">
        <v>110</v>
      </c>
      <c r="H71" s="60" t="s">
        <v>229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117</v>
      </c>
      <c r="N71" s="62" t="n">
        <v>4</v>
      </c>
      <c r="O71" s="64" t="n">
        <f aca="false">IF(OR($L71="",$M71=""),"",(DATE(Semana!$J$3,1,4)-WEEKDAY(DATE(Semana!$J$3,1,4),3))+($L71-1)*7+MATCH($M71,Listas!$F$5:$F$11,0)-1)</f>
        <v>46259</v>
      </c>
      <c r="P71" s="64" t="n">
        <f aca="false">IF($O71="","",$O71+MAX(0,ROUNDUP($AK71*MAX(1,IF($N71="",1,$N71))/MAX(1,$AL71),0)-1))</f>
        <v>46259</v>
      </c>
      <c r="Q71" s="65" t="n">
        <v>46260</v>
      </c>
      <c r="R71" s="60" t="s">
        <v>82</v>
      </c>
      <c r="S71" s="66"/>
      <c r="T71" s="59"/>
      <c r="U71" s="59" t="s">
        <v>340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46259</v>
      </c>
      <c r="X71" s="57" t="n">
        <f aca="false">IF($F71="","",IF(OR($Q71="",$O71=""),0,IF($Q71&lt;=$O71,1,0)))</f>
        <v>0</v>
      </c>
      <c r="Y71" s="57" t="n">
        <f aca="false">IF($F71="","",IF(OR($Q71="",$W71=""),0,IF($Q71&lt;=$W71,1,0)))</f>
        <v>0</v>
      </c>
      <c r="Z71" s="57" t="n">
        <f aca="false">IF(OR($Q71="",$O71=""),"",MAX(0,$Q71-$O71))</f>
        <v>1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3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58"/>
      <c r="D72" s="59" t="s">
        <v>170</v>
      </c>
      <c r="E72" s="59" t="s">
        <v>338</v>
      </c>
      <c r="F72" s="59" t="s">
        <v>344</v>
      </c>
      <c r="G72" s="60" t="s">
        <v>110</v>
      </c>
      <c r="H72" s="60" t="s">
        <v>229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117</v>
      </c>
      <c r="N72" s="62" t="n">
        <v>4</v>
      </c>
      <c r="O72" s="64" t="n">
        <f aca="false">IF(OR($L72="",$M72=""),"",(DATE(Semana!$J$3,1,4)-WEEKDAY(DATE(Semana!$J$3,1,4),3))+($L72-1)*7+MATCH($M72,Listas!$F$5:$F$11,0)-1)</f>
        <v>46259</v>
      </c>
      <c r="P72" s="64" t="n">
        <f aca="false">IF($O72="","",$O72+MAX(0,ROUNDUP($AK72*MAX(1,IF($N72="",1,$N72))/MAX(1,$AL72),0)-1))</f>
        <v>46259</v>
      </c>
      <c r="Q72" s="65" t="n">
        <v>46260</v>
      </c>
      <c r="R72" s="60" t="s">
        <v>82</v>
      </c>
      <c r="S72" s="66"/>
      <c r="T72" s="59"/>
      <c r="U72" s="59" t="s">
        <v>340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46259</v>
      </c>
      <c r="X72" s="57" t="n">
        <f aca="false">IF($F72="","",IF(OR($Q72="",$O72=""),0,IF($Q72&lt;=$O72,1,0)))</f>
        <v>0</v>
      </c>
      <c r="Y72" s="57" t="n">
        <f aca="false">IF($F72="","",IF(OR($Q72="",$W72=""),0,IF($Q72&lt;=$W72,1,0)))</f>
        <v>0</v>
      </c>
      <c r="Z72" s="57" t="n">
        <f aca="false">IF(OR($Q72="",$O72=""),"",MAX(0,$Q72-$O72))</f>
        <v>1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4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58"/>
      <c r="D73" s="59" t="s">
        <v>170</v>
      </c>
      <c r="E73" s="59" t="s">
        <v>338</v>
      </c>
      <c r="F73" s="59" t="s">
        <v>345</v>
      </c>
      <c r="G73" s="60" t="s">
        <v>110</v>
      </c>
      <c r="H73" s="60" t="s">
        <v>229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117</v>
      </c>
      <c r="N73" s="62" t="n">
        <v>4</v>
      </c>
      <c r="O73" s="64" t="n">
        <f aca="false">IF(OR($L73="",$M73=""),"",(DATE(Semana!$J$3,1,4)-WEEKDAY(DATE(Semana!$J$3,1,4),3))+($L73-1)*7+MATCH($M73,Listas!$F$5:$F$11,0)-1)</f>
        <v>46259</v>
      </c>
      <c r="P73" s="64" t="n">
        <f aca="false">IF($O73="","",$O73+MAX(0,ROUNDUP($AK73*MAX(1,IF($N73="",1,$N73))/MAX(1,$AL73),0)-1))</f>
        <v>46259</v>
      </c>
      <c r="Q73" s="65" t="n">
        <v>46260</v>
      </c>
      <c r="R73" s="60" t="s">
        <v>82</v>
      </c>
      <c r="S73" s="66"/>
      <c r="T73" s="59"/>
      <c r="U73" s="59" t="s">
        <v>340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46259</v>
      </c>
      <c r="X73" s="57" t="n">
        <f aca="false">IF($F73="","",IF(OR($Q73="",$O73=""),0,IF($Q73&lt;=$O73,1,0)))</f>
        <v>0</v>
      </c>
      <c r="Y73" s="57" t="n">
        <f aca="false">IF($F73="","",IF(OR($Q73="",$W73=""),0,IF($Q73&lt;=$W73,1,0)))</f>
        <v>0</v>
      </c>
      <c r="Z73" s="57" t="n">
        <f aca="false">IF(OR($Q73="",$O73=""),"",MAX(0,$Q73-$O73))</f>
        <v>1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5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58"/>
      <c r="D74" s="59" t="s">
        <v>170</v>
      </c>
      <c r="E74" s="59" t="s">
        <v>338</v>
      </c>
      <c r="F74" s="59" t="s">
        <v>346</v>
      </c>
      <c r="G74" s="60" t="s">
        <v>110</v>
      </c>
      <c r="H74" s="60" t="s">
        <v>229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117</v>
      </c>
      <c r="N74" s="62" t="n">
        <v>4</v>
      </c>
      <c r="O74" s="64" t="n">
        <f aca="false">IF(OR($L74="",$M74=""),"",(DATE(Semana!$J$3,1,4)-WEEKDAY(DATE(Semana!$J$3,1,4),3))+($L74-1)*7+MATCH($M74,Listas!$F$5:$F$11,0)-1)</f>
        <v>46259</v>
      </c>
      <c r="P74" s="64" t="n">
        <f aca="false">IF($O74="","",$O74+MAX(0,ROUNDUP($AK74*MAX(1,IF($N74="",1,$N74))/MAX(1,$AL74),0)-1))</f>
        <v>46260</v>
      </c>
      <c r="Q74" s="65" t="n">
        <v>46260</v>
      </c>
      <c r="R74" s="60" t="s">
        <v>82</v>
      </c>
      <c r="S74" s="66"/>
      <c r="T74" s="59"/>
      <c r="U74" s="59" t="s">
        <v>340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46259</v>
      </c>
      <c r="X74" s="57" t="n">
        <f aca="false">IF($F74="","",IF(OR($Q74="",$O74=""),0,IF($Q74&lt;=$O74,1,0)))</f>
        <v>0</v>
      </c>
      <c r="Y74" s="57" t="n">
        <f aca="false">IF($F74="","",IF(OR($Q74="",$W74=""),0,IF($Q74&lt;=$W74,1,0)))</f>
        <v>0</v>
      </c>
      <c r="Z74" s="57" t="n">
        <f aca="false">IF(OR($Q74="",$O74=""),"",MAX(0,$Q74-$O74))</f>
        <v>1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6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58"/>
      <c r="D75" s="59" t="s">
        <v>170</v>
      </c>
      <c r="E75" s="59" t="s">
        <v>338</v>
      </c>
      <c r="F75" s="59" t="s">
        <v>347</v>
      </c>
      <c r="G75" s="60" t="s">
        <v>110</v>
      </c>
      <c r="H75" s="60" t="s">
        <v>229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117</v>
      </c>
      <c r="N75" s="62" t="n">
        <v>4</v>
      </c>
      <c r="O75" s="64" t="n">
        <f aca="false">IF(OR($L75="",$M75=""),"",(DATE(Semana!$J$3,1,4)-WEEKDAY(DATE(Semana!$J$3,1,4),3))+($L75-1)*7+MATCH($M75,Listas!$F$5:$F$11,0)-1)</f>
        <v>46259</v>
      </c>
      <c r="P75" s="64" t="n">
        <f aca="false">IF($O75="","",$O75+MAX(0,ROUNDUP($AK75*MAX(1,IF($N75="",1,$N75))/MAX(1,$AL75),0)-1))</f>
        <v>46260</v>
      </c>
      <c r="Q75" s="65" t="n">
        <v>46260</v>
      </c>
      <c r="R75" s="60" t="s">
        <v>82</v>
      </c>
      <c r="S75" s="66"/>
      <c r="T75" s="59"/>
      <c r="U75" s="59" t="s">
        <v>340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46259</v>
      </c>
      <c r="X75" s="57" t="n">
        <f aca="false">IF($F75="","",IF(OR($Q75="",$O75=""),0,IF($Q75&lt;=$O75,1,0)))</f>
        <v>0</v>
      </c>
      <c r="Y75" s="57" t="n">
        <f aca="false">IF($F75="","",IF(OR($Q75="",$W75=""),0,IF($Q75&lt;=$W75,1,0)))</f>
        <v>0</v>
      </c>
      <c r="Z75" s="57" t="n">
        <f aca="false">IF(OR($Q75="",$O75=""),"",MAX(0,$Q75-$O75))</f>
        <v>1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7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58"/>
      <c r="D76" s="59" t="s">
        <v>170</v>
      </c>
      <c r="E76" s="59" t="s">
        <v>338</v>
      </c>
      <c r="F76" s="59" t="s">
        <v>348</v>
      </c>
      <c r="G76" s="60" t="s">
        <v>110</v>
      </c>
      <c r="H76" s="60" t="s">
        <v>229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117</v>
      </c>
      <c r="N76" s="62" t="n">
        <v>4</v>
      </c>
      <c r="O76" s="64" t="n">
        <f aca="false">IF(OR($L76="",$M76=""),"",(DATE(Semana!$J$3,1,4)-WEEKDAY(DATE(Semana!$J$3,1,4),3))+($L76-1)*7+MATCH($M76,Listas!$F$5:$F$11,0)-1)</f>
        <v>46259</v>
      </c>
      <c r="P76" s="64" t="n">
        <f aca="false">IF($O76="","",$O76+MAX(0,ROUNDUP($AK76*MAX(1,IF($N76="",1,$N76))/MAX(1,$AL76),0)-1))</f>
        <v>46260</v>
      </c>
      <c r="Q76" s="65" t="n">
        <v>46260</v>
      </c>
      <c r="R76" s="60" t="s">
        <v>82</v>
      </c>
      <c r="S76" s="66"/>
      <c r="T76" s="59"/>
      <c r="U76" s="59" t="s">
        <v>340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46259</v>
      </c>
      <c r="X76" s="57" t="n">
        <f aca="false">IF($F76="","",IF(OR($Q76="",$O76=""),0,IF($Q76&lt;=$O76,1,0)))</f>
        <v>0</v>
      </c>
      <c r="Y76" s="57" t="n">
        <f aca="false">IF($F76="","",IF(OR($Q76="",$W76=""),0,IF($Q76&lt;=$W76,1,0)))</f>
        <v>0</v>
      </c>
      <c r="Z76" s="57" t="n">
        <f aca="false">IF(OR($Q76="",$O76=""),"",MAX(0,$Q76-$O76))</f>
        <v>1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8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58"/>
      <c r="D77" s="59" t="s">
        <v>170</v>
      </c>
      <c r="E77" s="59" t="s">
        <v>338</v>
      </c>
      <c r="F77" s="59" t="s">
        <v>349</v>
      </c>
      <c r="G77" s="60" t="s">
        <v>110</v>
      </c>
      <c r="H77" s="60" t="s">
        <v>229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117</v>
      </c>
      <c r="N77" s="62" t="n">
        <v>4</v>
      </c>
      <c r="O77" s="64" t="n">
        <f aca="false">IF(OR($L77="",$M77=""),"",(DATE(Semana!$J$3,1,4)-WEEKDAY(DATE(Semana!$J$3,1,4),3))+($L77-1)*7+MATCH($M77,Listas!$F$5:$F$11,0)-1)</f>
        <v>46259</v>
      </c>
      <c r="P77" s="64" t="n">
        <f aca="false">IF($O77="","",$O77+MAX(0,ROUNDUP($AK77*MAX(1,IF($N77="",1,$N77))/MAX(1,$AL77),0)-1))</f>
        <v>46260</v>
      </c>
      <c r="Q77" s="65" t="n">
        <v>46260</v>
      </c>
      <c r="R77" s="60" t="s">
        <v>82</v>
      </c>
      <c r="S77" s="66"/>
      <c r="T77" s="59"/>
      <c r="U77" s="59" t="s">
        <v>340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46259</v>
      </c>
      <c r="X77" s="57" t="n">
        <f aca="false">IF($F77="","",IF(OR($Q77="",$O77=""),0,IF($Q77&lt;=$O77,1,0)))</f>
        <v>0</v>
      </c>
      <c r="Y77" s="57" t="n">
        <f aca="false">IF($F77="","",IF(OR($Q77="",$W77=""),0,IF($Q77&lt;=$W77,1,0)))</f>
        <v>0</v>
      </c>
      <c r="Z77" s="57" t="n">
        <f aca="false">IF(OR($Q77="",$O77=""),"",MAX(0,$Q77-$O77))</f>
        <v>1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9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 com atraso</v>
      </c>
      <c r="C78" s="58"/>
      <c r="D78" s="59" t="s">
        <v>170</v>
      </c>
      <c r="E78" s="59" t="s">
        <v>338</v>
      </c>
      <c r="F78" s="59" t="s">
        <v>350</v>
      </c>
      <c r="G78" s="60" t="s">
        <v>110</v>
      </c>
      <c r="H78" s="60" t="s">
        <v>229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117</v>
      </c>
      <c r="N78" s="62" t="n">
        <v>4</v>
      </c>
      <c r="O78" s="64" t="n">
        <f aca="false">IF(OR($L78="",$M78=""),"",(DATE(Semana!$J$3,1,4)-WEEKDAY(DATE(Semana!$J$3,1,4),3))+($L78-1)*7+MATCH($M78,Listas!$F$5:$F$11,0)-1)</f>
        <v>46259</v>
      </c>
      <c r="P78" s="64" t="n">
        <f aca="false">IF($O78="","",$O78+MAX(0,ROUNDUP($AK78*MAX(1,IF($N78="",1,$N78))/MAX(1,$AL78),0)-1))</f>
        <v>46260</v>
      </c>
      <c r="Q78" s="65" t="n">
        <v>46260</v>
      </c>
      <c r="R78" s="60" t="s">
        <v>82</v>
      </c>
      <c r="S78" s="66"/>
      <c r="T78" s="59"/>
      <c r="U78" s="59" t="s">
        <v>340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46259</v>
      </c>
      <c r="X78" s="57" t="n">
        <f aca="false">IF($F78="","",IF(OR($Q78="",$O78=""),0,IF($Q78&lt;=$O78,1,0)))</f>
        <v>0</v>
      </c>
      <c r="Y78" s="57" t="n">
        <f aca="false">IF($F78="","",IF(OR($Q78="",$W78=""),0,IF($Q78&lt;=$W78,1,0)))</f>
        <v>0</v>
      </c>
      <c r="Z78" s="57" t="n">
        <f aca="false">IF(OR($Q78="",$O78=""),"",MAX(0,$Q78-$O78))</f>
        <v>1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10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170</v>
      </c>
      <c r="E79" s="59" t="s">
        <v>338</v>
      </c>
      <c r="F79" s="59" t="s">
        <v>351</v>
      </c>
      <c r="G79" s="60" t="s">
        <v>110</v>
      </c>
      <c r="H79" s="60" t="s">
        <v>229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46262</v>
      </c>
      <c r="Q79" s="65" t="n">
        <v>46260</v>
      </c>
      <c r="R79" s="60" t="s">
        <v>82</v>
      </c>
      <c r="S79" s="66"/>
      <c r="T79" s="59"/>
      <c r="U79" s="59" t="s">
        <v>340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11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170</v>
      </c>
      <c r="E80" s="59" t="s">
        <v>338</v>
      </c>
      <c r="F80" s="59" t="s">
        <v>352</v>
      </c>
      <c r="G80" s="60" t="s">
        <v>110</v>
      </c>
      <c r="H80" s="60" t="s">
        <v>229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46262</v>
      </c>
      <c r="Q80" s="65" t="n">
        <v>46260</v>
      </c>
      <c r="R80" s="60" t="s">
        <v>82</v>
      </c>
      <c r="S80" s="66"/>
      <c r="T80" s="59"/>
      <c r="U80" s="59" t="s">
        <v>340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12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58"/>
      <c r="D81" s="59" t="s">
        <v>170</v>
      </c>
      <c r="E81" s="59" t="s">
        <v>338</v>
      </c>
      <c r="F81" s="59" t="s">
        <v>353</v>
      </c>
      <c r="G81" s="60" t="s">
        <v>110</v>
      </c>
      <c r="H81" s="60" t="s">
        <v>229</v>
      </c>
      <c r="I81" s="61" t="s">
        <v>108</v>
      </c>
      <c r="J81" s="61" t="s">
        <v>123</v>
      </c>
      <c r="K81" s="61" t="s">
        <v>133</v>
      </c>
      <c r="L81" s="62" t="n">
        <v>35</v>
      </c>
      <c r="M81" s="63" t="s">
        <v>122</v>
      </c>
      <c r="N81" s="62" t="n">
        <v>4</v>
      </c>
      <c r="O81" s="64" t="n">
        <f aca="false">IF(OR($L81="",$M81=""),"",(DATE(Semana!$J$3,1,4)-WEEKDAY(DATE(Semana!$J$3,1,4),3))+($L81-1)*7+MATCH($M81,Listas!$F$5:$F$11,0)-1)</f>
        <v>46260</v>
      </c>
      <c r="P81" s="64" t="n">
        <f aca="false">IF($O81="","",$O81+MAX(0,ROUNDUP($AK81*MAX(1,IF($N81="",1,$N81))/MAX(1,$AL81),0)-1))</f>
        <v>46262</v>
      </c>
      <c r="Q81" s="65" t="n">
        <v>46260</v>
      </c>
      <c r="R81" s="60" t="s">
        <v>82</v>
      </c>
      <c r="S81" s="66"/>
      <c r="T81" s="59"/>
      <c r="U81" s="59" t="s">
        <v>340</v>
      </c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46260</v>
      </c>
      <c r="X81" s="57" t="n">
        <f aca="false">IF($F81="","",IF(OR($Q81="",$O81=""),0,IF($Q81&lt;=$O81,1,0)))</f>
        <v>1</v>
      </c>
      <c r="Y81" s="57" t="n">
        <f aca="false">IF($F81="","",IF(OR($Q81="",$W81=""),0,IF($Q81&lt;=$W81,1,0)))</f>
        <v>1</v>
      </c>
      <c r="Z81" s="57" t="n">
        <f aca="false">IF(OR($Q81="",$O81=""),"",MAX(0,$Q81-$O81))</f>
        <v>0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0.333333333333333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Gabriel · Júnior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F-624|Baixa de pendências backlog|35</v>
      </c>
      <c r="AK81" s="57" t="n">
        <f aca="false">IF($AJ81="","",COUNTIF($AJ$4:$AJ81,$AJ81))</f>
        <v>13</v>
      </c>
      <c r="AL81" s="57" t="n">
        <f aca="false">IF($AJ81="","",COUNTIF($AJ$4:$AJ$1004,$AJ81))</f>
        <v>20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58"/>
      <c r="D82" s="59" t="s">
        <v>170</v>
      </c>
      <c r="E82" s="59" t="s">
        <v>338</v>
      </c>
      <c r="F82" s="59" t="s">
        <v>354</v>
      </c>
      <c r="G82" s="60" t="s">
        <v>110</v>
      </c>
      <c r="H82" s="60" t="s">
        <v>229</v>
      </c>
      <c r="I82" s="61" t="s">
        <v>108</v>
      </c>
      <c r="J82" s="61" t="s">
        <v>123</v>
      </c>
      <c r="K82" s="61" t="s">
        <v>133</v>
      </c>
      <c r="L82" s="62" t="n">
        <v>35</v>
      </c>
      <c r="M82" s="63" t="s">
        <v>122</v>
      </c>
      <c r="N82" s="62" t="n">
        <v>4</v>
      </c>
      <c r="O82" s="64" t="n">
        <f aca="false">IF(OR($L82="",$M82=""),"",(DATE(Semana!$J$3,1,4)-WEEKDAY(DATE(Semana!$J$3,1,4),3))+($L82-1)*7+MATCH($M82,Listas!$F$5:$F$11,0)-1)</f>
        <v>46260</v>
      </c>
      <c r="P82" s="64" t="n">
        <f aca="false">IF($O82="","",$O82+MAX(0,ROUNDUP($AK82*MAX(1,IF($N82="",1,$N82))/MAX(1,$AL82),0)-1))</f>
        <v>46262</v>
      </c>
      <c r="Q82" s="65" t="n">
        <v>46260</v>
      </c>
      <c r="R82" s="60" t="s">
        <v>82</v>
      </c>
      <c r="S82" s="66"/>
      <c r="T82" s="59"/>
      <c r="U82" s="59" t="s">
        <v>340</v>
      </c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46260</v>
      </c>
      <c r="X82" s="57" t="n">
        <f aca="false">IF($F82="","",IF(OR($Q82="",$O82=""),0,IF($Q82&lt;=$O82,1,0)))</f>
        <v>1</v>
      </c>
      <c r="Y82" s="57" t="n">
        <f aca="false">IF($F82="","",IF(OR($Q82="",$W82=""),0,IF($Q82&lt;=$W82,1,0)))</f>
        <v>1</v>
      </c>
      <c r="Z82" s="57" t="n">
        <f aca="false">IF(OR($Q82="",$O82=""),"",MAX(0,$Q82-$O82))</f>
        <v>0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0.333333333333333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Gabriel · Júnior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F-624|Baixa de pendências backlog|35</v>
      </c>
      <c r="AK82" s="57" t="n">
        <f aca="false">IF($AJ82="","",COUNTIF($AJ$4:$AJ82,$AJ82))</f>
        <v>14</v>
      </c>
      <c r="AL82" s="57" t="n">
        <f aca="false">IF($AJ82="","",COUNTIF($AJ$4:$AJ$1004,$AJ82))</f>
        <v>20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58"/>
      <c r="D83" s="59" t="s">
        <v>170</v>
      </c>
      <c r="E83" s="59" t="s">
        <v>338</v>
      </c>
      <c r="F83" s="59" t="s">
        <v>355</v>
      </c>
      <c r="G83" s="60" t="s">
        <v>110</v>
      </c>
      <c r="H83" s="60" t="s">
        <v>229</v>
      </c>
      <c r="I83" s="61" t="s">
        <v>108</v>
      </c>
      <c r="J83" s="61" t="s">
        <v>123</v>
      </c>
      <c r="K83" s="61" t="s">
        <v>133</v>
      </c>
      <c r="L83" s="62" t="n">
        <v>35</v>
      </c>
      <c r="M83" s="63" t="s">
        <v>122</v>
      </c>
      <c r="N83" s="62" t="n">
        <v>4</v>
      </c>
      <c r="O83" s="64" t="n">
        <f aca="false">IF(OR($L83="",$M83=""),"",(DATE(Semana!$J$3,1,4)-WEEKDAY(DATE(Semana!$J$3,1,4),3))+($L83-1)*7+MATCH($M83,Listas!$F$5:$F$11,0)-1)</f>
        <v>46260</v>
      </c>
      <c r="P83" s="64" t="n">
        <f aca="false">IF($O83="","",$O83+MAX(0,ROUNDUP($AK83*MAX(1,IF($N83="",1,$N83))/MAX(1,$AL83),0)-1))</f>
        <v>46262</v>
      </c>
      <c r="Q83" s="65" t="n">
        <v>46260</v>
      </c>
      <c r="R83" s="60" t="s">
        <v>82</v>
      </c>
      <c r="S83" s="66"/>
      <c r="T83" s="59"/>
      <c r="U83" s="59" t="s">
        <v>340</v>
      </c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46260</v>
      </c>
      <c r="X83" s="57" t="n">
        <f aca="false">IF($F83="","",IF(OR($Q83="",$O83=""),0,IF($Q83&lt;=$O83,1,0)))</f>
        <v>1</v>
      </c>
      <c r="Y83" s="57" t="n">
        <f aca="false">IF($F83="","",IF(OR($Q83="",$W83=""),0,IF($Q83&lt;=$W83,1,0)))</f>
        <v>1</v>
      </c>
      <c r="Z83" s="57" t="n">
        <f aca="false">IF(OR($Q83="",$O83=""),"",MAX(0,$Q83-$O83))</f>
        <v>0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0.333333333333333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Gabriel · Júnior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F-624|Baixa de pendências backlog|35</v>
      </c>
      <c r="AK83" s="57" t="n">
        <f aca="false">IF($AJ83="","",COUNTIF($AJ$4:$AJ83,$AJ83))</f>
        <v>15</v>
      </c>
      <c r="AL83" s="57" t="n">
        <f aca="false">IF($AJ83="","",COUNTIF($AJ$4:$AJ$1004,$AJ83))</f>
        <v>20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58"/>
      <c r="D84" s="59" t="s">
        <v>170</v>
      </c>
      <c r="E84" s="59" t="s">
        <v>338</v>
      </c>
      <c r="F84" s="59" t="s">
        <v>356</v>
      </c>
      <c r="G84" s="60" t="s">
        <v>110</v>
      </c>
      <c r="H84" s="60" t="s">
        <v>229</v>
      </c>
      <c r="I84" s="61" t="s">
        <v>108</v>
      </c>
      <c r="J84" s="61" t="s">
        <v>123</v>
      </c>
      <c r="K84" s="61" t="s">
        <v>133</v>
      </c>
      <c r="L84" s="62" t="n">
        <v>35</v>
      </c>
      <c r="M84" s="63" t="s">
        <v>122</v>
      </c>
      <c r="N84" s="62" t="n">
        <v>4</v>
      </c>
      <c r="O84" s="64" t="n">
        <f aca="false">IF(OR($L84="",$M84=""),"",(DATE(Semana!$J$3,1,4)-WEEKDAY(DATE(Semana!$J$3,1,4),3))+($L84-1)*7+MATCH($M84,Listas!$F$5:$F$11,0)-1)</f>
        <v>46260</v>
      </c>
      <c r="P84" s="64" t="n">
        <f aca="false">IF($O84="","",$O84+MAX(0,ROUNDUP($AK84*MAX(1,IF($N84="",1,$N84))/MAX(1,$AL84),0)-1))</f>
        <v>46263</v>
      </c>
      <c r="Q84" s="65" t="n">
        <v>46260</v>
      </c>
      <c r="R84" s="60" t="s">
        <v>82</v>
      </c>
      <c r="S84" s="66"/>
      <c r="T84" s="59"/>
      <c r="U84" s="59" t="s">
        <v>340</v>
      </c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46260</v>
      </c>
      <c r="X84" s="57" t="n">
        <f aca="false">IF($F84="","",IF(OR($Q84="",$O84=""),0,IF($Q84&lt;=$O84,1,0)))</f>
        <v>1</v>
      </c>
      <c r="Y84" s="57" t="n">
        <f aca="false">IF($F84="","",IF(OR($Q84="",$W84=""),0,IF($Q84&lt;=$W84,1,0)))</f>
        <v>1</v>
      </c>
      <c r="Z84" s="57" t="n">
        <f aca="false">IF(OR($Q84="",$O84=""),"",MAX(0,$Q84-$O84))</f>
        <v>0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0.333333333333333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Gabriel · Júnior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F-624|Baixa de pendências backlog|35</v>
      </c>
      <c r="AK84" s="57" t="n">
        <f aca="false">IF($AJ84="","",COUNTIF($AJ$4:$AJ84,$AJ84))</f>
        <v>16</v>
      </c>
      <c r="AL84" s="57" t="n">
        <f aca="false">IF($AJ84="","",COUNTIF($AJ$4:$AJ$1004,$AJ84))</f>
        <v>20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58"/>
      <c r="D85" s="59" t="s">
        <v>170</v>
      </c>
      <c r="E85" s="59" t="s">
        <v>338</v>
      </c>
      <c r="F85" s="59" t="s">
        <v>357</v>
      </c>
      <c r="G85" s="60" t="s">
        <v>110</v>
      </c>
      <c r="H85" s="60" t="s">
        <v>229</v>
      </c>
      <c r="I85" s="61" t="s">
        <v>108</v>
      </c>
      <c r="J85" s="61" t="s">
        <v>123</v>
      </c>
      <c r="K85" s="61" t="s">
        <v>133</v>
      </c>
      <c r="L85" s="62" t="n">
        <v>35</v>
      </c>
      <c r="M85" s="63" t="s">
        <v>122</v>
      </c>
      <c r="N85" s="62" t="n">
        <v>4</v>
      </c>
      <c r="O85" s="64" t="n">
        <f aca="false">IF(OR($L85="",$M85=""),"",(DATE(Semana!$J$3,1,4)-WEEKDAY(DATE(Semana!$J$3,1,4),3))+($L85-1)*7+MATCH($M85,Listas!$F$5:$F$11,0)-1)</f>
        <v>46260</v>
      </c>
      <c r="P85" s="64" t="n">
        <f aca="false">IF($O85="","",$O85+MAX(0,ROUNDUP($AK85*MAX(1,IF($N85="",1,$N85))/MAX(1,$AL85),0)-1))</f>
        <v>46263</v>
      </c>
      <c r="Q85" s="65" t="n">
        <v>46260</v>
      </c>
      <c r="R85" s="60" t="s">
        <v>82</v>
      </c>
      <c r="S85" s="66"/>
      <c r="T85" s="59"/>
      <c r="U85" s="59" t="s">
        <v>340</v>
      </c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46260</v>
      </c>
      <c r="X85" s="57" t="n">
        <f aca="false">IF($F85="","",IF(OR($Q85="",$O85=""),0,IF($Q85&lt;=$O85,1,0)))</f>
        <v>1</v>
      </c>
      <c r="Y85" s="57" t="n">
        <f aca="false">IF($F85="","",IF(OR($Q85="",$W85=""),0,IF($Q85&lt;=$W85,1,0)))</f>
        <v>1</v>
      </c>
      <c r="Z85" s="57" t="n">
        <f aca="false">IF(OR($Q85="",$O85=""),"",MAX(0,$Q85-$O85))</f>
        <v>0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0.333333333333333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Gabriel · Júnior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F-624|Baixa de pendências backlog|35</v>
      </c>
      <c r="AK85" s="57" t="n">
        <f aca="false">IF($AJ85="","",COUNTIF($AJ$4:$AJ85,$AJ85))</f>
        <v>17</v>
      </c>
      <c r="AL85" s="57" t="n">
        <f aca="false">IF($AJ85="","",COUNTIF($AJ$4:$AJ$1004,$AJ85))</f>
        <v>20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58"/>
      <c r="D86" s="59" t="s">
        <v>170</v>
      </c>
      <c r="E86" s="59" t="s">
        <v>338</v>
      </c>
      <c r="F86" s="59" t="s">
        <v>358</v>
      </c>
      <c r="G86" s="60" t="s">
        <v>110</v>
      </c>
      <c r="H86" s="60" t="s">
        <v>229</v>
      </c>
      <c r="I86" s="61" t="s">
        <v>108</v>
      </c>
      <c r="J86" s="61" t="s">
        <v>123</v>
      </c>
      <c r="K86" s="61" t="s">
        <v>133</v>
      </c>
      <c r="L86" s="62" t="n">
        <v>35</v>
      </c>
      <c r="M86" s="63" t="s">
        <v>122</v>
      </c>
      <c r="N86" s="62" t="n">
        <v>4</v>
      </c>
      <c r="O86" s="64" t="n">
        <f aca="false">IF(OR($L86="",$M86=""),"",(DATE(Semana!$J$3,1,4)-WEEKDAY(DATE(Semana!$J$3,1,4),3))+($L86-1)*7+MATCH($M86,Listas!$F$5:$F$11,0)-1)</f>
        <v>46260</v>
      </c>
      <c r="P86" s="64" t="n">
        <f aca="false">IF($O86="","",$O86+MAX(0,ROUNDUP($AK86*MAX(1,IF($N86="",1,$N86))/MAX(1,$AL86),0)-1))</f>
        <v>46263</v>
      </c>
      <c r="Q86" s="65" t="n">
        <v>46260</v>
      </c>
      <c r="R86" s="60" t="s">
        <v>82</v>
      </c>
      <c r="S86" s="66"/>
      <c r="T86" s="59"/>
      <c r="U86" s="59" t="s">
        <v>340</v>
      </c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46260</v>
      </c>
      <c r="X86" s="57" t="n">
        <f aca="false">IF($F86="","",IF(OR($Q86="",$O86=""),0,IF($Q86&lt;=$O86,1,0)))</f>
        <v>1</v>
      </c>
      <c r="Y86" s="57" t="n">
        <f aca="false">IF($F86="","",IF(OR($Q86="",$W86=""),0,IF($Q86&lt;=$W86,1,0)))</f>
        <v>1</v>
      </c>
      <c r="Z86" s="57" t="n">
        <f aca="false">IF(OR($Q86="",$O86=""),"",MAX(0,$Q86-$O86))</f>
        <v>0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0.333333333333333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Gabriel · Júnior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F-624|Baixa de pendências backlog|35</v>
      </c>
      <c r="AK86" s="57" t="n">
        <f aca="false">IF($AJ86="","",COUNTIF($AJ$4:$AJ86,$AJ86))</f>
        <v>18</v>
      </c>
      <c r="AL86" s="57" t="n">
        <f aca="false">IF($AJ86="","",COUNTIF($AJ$4:$AJ$1004,$AJ86))</f>
        <v>20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/>
      <c r="D87" s="59" t="s">
        <v>170</v>
      </c>
      <c r="E87" s="59" t="s">
        <v>338</v>
      </c>
      <c r="F87" s="59" t="s">
        <v>359</v>
      </c>
      <c r="G87" s="60" t="s">
        <v>110</v>
      </c>
      <c r="H87" s="60" t="s">
        <v>229</v>
      </c>
      <c r="I87" s="61" t="s">
        <v>108</v>
      </c>
      <c r="J87" s="61" t="s">
        <v>123</v>
      </c>
      <c r="K87" s="61" t="s">
        <v>133</v>
      </c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 t="s">
        <v>340</v>
      </c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0.333333333333333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Gabriel · Júnior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F-624|Baixa de pendências backlog|35</v>
      </c>
      <c r="AK87" s="57" t="n">
        <f aca="false">IF($AJ87="","",COUNTIF($AJ$4:$AJ87,$AJ87))</f>
        <v>19</v>
      </c>
      <c r="AL87" s="57" t="n">
        <f aca="false">IF($AJ87="","",COUNTIF($AJ$4:$AJ$1004,$AJ87))</f>
        <v>20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/>
      <c r="D88" s="59" t="s">
        <v>170</v>
      </c>
      <c r="E88" s="59" t="s">
        <v>338</v>
      </c>
      <c r="F88" s="59" t="s">
        <v>360</v>
      </c>
      <c r="G88" s="60" t="s">
        <v>110</v>
      </c>
      <c r="H88" s="60" t="s">
        <v>229</v>
      </c>
      <c r="I88" s="61" t="s">
        <v>108</v>
      </c>
      <c r="J88" s="61" t="s">
        <v>123</v>
      </c>
      <c r="K88" s="61" t="s">
        <v>133</v>
      </c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IF($O88="","",$O88+MAX(0,ROUNDUP($AK88*MAX(1,IF($N88="",1,$N88))/MAX(1,$AL88),0)-1))</f>
        <v>46263</v>
      </c>
      <c r="Q88" s="65" t="n">
        <v>46260</v>
      </c>
      <c r="R88" s="60" t="s">
        <v>82</v>
      </c>
      <c r="S88" s="66"/>
      <c r="T88" s="59"/>
      <c r="U88" s="59" t="s">
        <v>340</v>
      </c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0.333333333333333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Gabriel · Júnior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F-624|Baixa de pendências backlog|35</v>
      </c>
      <c r="AK88" s="57" t="n">
        <f aca="false">IF($AJ88="","",COUNTIF($AJ$4:$AJ88,$AJ88))</f>
        <v>20</v>
      </c>
      <c r="AL88" s="57" t="n">
        <f aca="false">IF($AJ88="","",COUNTIF($AJ$4:$AJ$1004,$AJ88))</f>
        <v>20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58" t="s">
        <v>361</v>
      </c>
      <c r="D89" s="59" t="s">
        <v>171</v>
      </c>
      <c r="E89" s="59" t="s">
        <v>362</v>
      </c>
      <c r="F89" s="59" t="s">
        <v>363</v>
      </c>
      <c r="G89" s="60" t="s">
        <v>110</v>
      </c>
      <c r="H89" s="60" t="s">
        <v>229</v>
      </c>
      <c r="I89" s="61" t="s">
        <v>108</v>
      </c>
      <c r="J89" s="61" t="s">
        <v>118</v>
      </c>
      <c r="K89" s="61"/>
      <c r="L89" s="62" t="n">
        <v>35</v>
      </c>
      <c r="M89" s="63" t="s">
        <v>112</v>
      </c>
      <c r="N89" s="62" t="n">
        <v>4</v>
      </c>
      <c r="O89" s="64" t="n">
        <f aca="false">IF(OR($L89="",$M89=""),"",(DATE(Semana!$J$3,1,4)-WEEKDAY(DATE(Semana!$J$3,1,4),3))+($L89-1)*7+MATCH($M89,Listas!$F$5:$F$11,0)-1)</f>
        <v>46258</v>
      </c>
      <c r="P89" s="64" t="n">
        <f aca="false">IF($O89="","",$O89+MAX(0,ROUNDUP($AK89*MAX(1,IF($N89="",1,$N89))/MAX(1,$AL89),0)-1))</f>
        <v>46258</v>
      </c>
      <c r="Q89" s="65" t="n">
        <v>46260</v>
      </c>
      <c r="R89" s="60" t="s">
        <v>82</v>
      </c>
      <c r="S89" s="66"/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46258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n">
        <f aca="false">IF(OR($Q89="",$O89=""),"",MAX(0,$Q89-$O89))</f>
        <v>2</v>
      </c>
      <c r="AA89" s="57" t="n">
        <f aca="false">IF($F89="","",IF(AND($S89&lt;&gt;"",$L89&lt;&gt;"",$S89&lt;&gt;$L89),1,0))</f>
        <v>0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1</v>
      </c>
      <c r="AD89" s="57" t="n">
        <f aca="false">IF($F89="","",IF(COUNTA($I89:$K89)=0,0,1/COUNTA($I89:$K89)))</f>
        <v>0.5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Adilton · Alexandre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F-626|Trocar o cabeçote|35</v>
      </c>
      <c r="AK89" s="57" t="n">
        <f aca="false">IF($AJ89="","",COUNTIF($AJ$4:$AJ89,$AJ89))</f>
        <v>1</v>
      </c>
      <c r="AL89" s="57" t="n">
        <f aca="false">IF($AJ89="","",COUNTIF($AJ$4:$AJ$1004,$AJ89))</f>
        <v>8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58" t="s">
        <v>364</v>
      </c>
      <c r="D90" s="59" t="s">
        <v>171</v>
      </c>
      <c r="E90" s="59" t="s">
        <v>362</v>
      </c>
      <c r="F90" s="59" t="s">
        <v>365</v>
      </c>
      <c r="G90" s="60" t="s">
        <v>110</v>
      </c>
      <c r="H90" s="60" t="s">
        <v>229</v>
      </c>
      <c r="I90" s="61" t="s">
        <v>108</v>
      </c>
      <c r="J90" s="61" t="s">
        <v>118</v>
      </c>
      <c r="K90" s="61"/>
      <c r="L90" s="62" t="n">
        <v>35</v>
      </c>
      <c r="M90" s="63" t="s">
        <v>112</v>
      </c>
      <c r="N90" s="62" t="n">
        <v>4</v>
      </c>
      <c r="O90" s="64" t="n">
        <f aca="false">IF(OR($L90="",$M90=""),"",(DATE(Semana!$J$3,1,4)-WEEKDAY(DATE(Semana!$J$3,1,4),3))+($L90-1)*7+MATCH($M90,Listas!$F$5:$F$11,0)-1)</f>
        <v>46258</v>
      </c>
      <c r="P90" s="64" t="n">
        <f aca="false">IF($O90="","",$O90+MAX(0,ROUNDUP($AK90*MAX(1,IF($N90="",1,$N90))/MAX(1,$AL90),0)-1))</f>
        <v>46258</v>
      </c>
      <c r="Q90" s="65" t="n">
        <v>46260</v>
      </c>
      <c r="R90" s="60" t="s">
        <v>82</v>
      </c>
      <c r="S90" s="66"/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46258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n">
        <f aca="false">IF(OR($Q90="",$O90=""),"",MAX(0,$Q90-$O90))</f>
        <v>2</v>
      </c>
      <c r="AA90" s="57" t="n">
        <f aca="false">IF($F90="","",IF(AND($S90&lt;&gt;"",$L90&lt;&gt;"",$S90&lt;&gt;$L90),1,0))</f>
        <v>0</v>
      </c>
      <c r="AB90" s="57" t="n">
        <f aca="false">IF($F90="","",IF($R90="Cancelada",0,IF(OR($Q90&lt;&gt;"",$R90="Concluída"),1,0)))</f>
        <v>1</v>
      </c>
      <c r="AC90" s="57" t="n">
        <f aca="false">IF($P90="",0,IF($P90&lt;Hoje!$L$1,1,IF(AND($P90=Hoje!$L$1,Hoje!$L$2&gt;Semana!$M$3),1,0)))</f>
        <v>1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Adilton · Alexandre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F-626|Trocar o cabeçote|35</v>
      </c>
      <c r="AK90" s="57" t="n">
        <f aca="false">IF($AJ90="","",COUNTIF($AJ$4:$AJ90,$AJ90))</f>
        <v>2</v>
      </c>
      <c r="AL90" s="57" t="n">
        <f aca="false">IF($AJ90="","",COUNTIF($AJ$4:$AJ$1004,$AJ90))</f>
        <v>8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58" t="s">
        <v>366</v>
      </c>
      <c r="D91" s="59" t="s">
        <v>171</v>
      </c>
      <c r="E91" s="59" t="s">
        <v>362</v>
      </c>
      <c r="F91" s="59" t="s">
        <v>367</v>
      </c>
      <c r="G91" s="60" t="s">
        <v>110</v>
      </c>
      <c r="H91" s="60" t="s">
        <v>229</v>
      </c>
      <c r="I91" s="61" t="s">
        <v>108</v>
      </c>
      <c r="J91" s="61" t="s">
        <v>118</v>
      </c>
      <c r="K91" s="61"/>
      <c r="L91" s="62" t="n">
        <v>35</v>
      </c>
      <c r="M91" s="63" t="s">
        <v>112</v>
      </c>
      <c r="N91" s="62" t="n">
        <v>4</v>
      </c>
      <c r="O91" s="64" t="n">
        <f aca="false">IF(OR($L91="",$M91=""),"",(DATE(Semana!$J$3,1,4)-WEEKDAY(DATE(Semana!$J$3,1,4),3))+($L91-1)*7+MATCH($M91,Listas!$F$5:$F$11,0)-1)</f>
        <v>46258</v>
      </c>
      <c r="P91" s="64" t="n">
        <f aca="false">IF($O91="","",$O91+MAX(0,ROUNDUP($AK91*MAX(1,IF($N91="",1,$N91))/MAX(1,$AL91),0)-1))</f>
        <v>46259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46258</v>
      </c>
      <c r="X91" s="57" t="n">
        <f aca="false">IF($F91="","",IF(OR($Q91="",$O91=""),0,IF($Q91&lt;=$O91,1,0)))</f>
        <v>0</v>
      </c>
      <c r="Y91" s="57" t="n">
        <f aca="false">IF($F91="","",IF(OR($Q91="",$W91=""),0,IF($Q91&lt;=$W91,1,0)))</f>
        <v>0</v>
      </c>
      <c r="Z91" s="57" t="n">
        <f aca="false">IF(OR($Q91="",$O91=""),"",MAX(0,$Q91-$O91))</f>
        <v>2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Adilton · Alexandre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F-626|Trocar o cabeçote|35</v>
      </c>
      <c r="AK91" s="57" t="n">
        <f aca="false">IF($AJ91="","",COUNTIF($AJ$4:$AJ91,$AJ91))</f>
        <v>3</v>
      </c>
      <c r="AL91" s="57" t="n">
        <f aca="false">IF($AJ91="","",COUNTIF($AJ$4:$AJ$1004,$AJ91))</f>
        <v>8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58" t="s">
        <v>368</v>
      </c>
      <c r="D92" s="59" t="s">
        <v>171</v>
      </c>
      <c r="E92" s="59" t="s">
        <v>362</v>
      </c>
      <c r="F92" s="59" t="s">
        <v>369</v>
      </c>
      <c r="G92" s="60" t="s">
        <v>110</v>
      </c>
      <c r="H92" s="60" t="s">
        <v>88</v>
      </c>
      <c r="I92" s="61" t="s">
        <v>108</v>
      </c>
      <c r="J92" s="61" t="s">
        <v>118</v>
      </c>
      <c r="K92" s="61"/>
      <c r="L92" s="62" t="n">
        <v>35</v>
      </c>
      <c r="M92" s="63" t="s">
        <v>117</v>
      </c>
      <c r="N92" s="62" t="n">
        <v>4</v>
      </c>
      <c r="O92" s="64" t="n">
        <f aca="false">IF(OR($L92="",$M92=""),"",(DATE(Semana!$J$3,1,4)-WEEKDAY(DATE(Semana!$J$3,1,4),3))+($L92-1)*7+MATCH($M92,Listas!$F$5:$F$11,0)-1)</f>
        <v>46259</v>
      </c>
      <c r="P92" s="64" t="n">
        <f aca="false">IF($O92="","",$O92+MAX(0,ROUNDUP($AK92*MAX(1,IF($N92="",1,$N92))/MAX(1,$AL92),0)-1))</f>
        <v>46260</v>
      </c>
      <c r="Q92" s="65" t="n">
        <v>46260</v>
      </c>
      <c r="R92" s="60" t="s">
        <v>82</v>
      </c>
      <c r="S92" s="66"/>
      <c r="T92" s="59"/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46259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n">
        <f aca="false">IF(OR($Q92="",$O92=""),"",MAX(0,$Q92-$O92))</f>
        <v>1</v>
      </c>
      <c r="AA92" s="57" t="n">
        <f aca="false">IF($F92="","",IF(AND($S92&lt;&gt;"",$L92&lt;&gt;"",$S92&lt;&gt;$L92),1,0))</f>
        <v>0</v>
      </c>
      <c r="AB92" s="57" t="n">
        <f aca="false">IF($F92="","",IF($R92="Cancelada",0,IF(OR($Q92&lt;&gt;"",$R92="Concluída"),1,0)))</f>
        <v>1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0.5</v>
      </c>
      <c r="AE92" s="57" t="str">
        <f aca="false">IF($AH92=0,"",SUM($AH$4:$AH92))</f>
        <v/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Adilton · Alexandre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F-626|Trocar o cabeçote|35</v>
      </c>
      <c r="AK92" s="57" t="n">
        <f aca="false">IF($AJ92="","",COUNTIF($AJ$4:$AJ92,$AJ92))</f>
        <v>4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58" t="s">
        <v>370</v>
      </c>
      <c r="D93" s="59" t="s">
        <v>171</v>
      </c>
      <c r="E93" s="59" t="s">
        <v>362</v>
      </c>
      <c r="F93" s="59" t="s">
        <v>371</v>
      </c>
      <c r="G93" s="60" t="s">
        <v>110</v>
      </c>
      <c r="H93" s="60" t="s">
        <v>88</v>
      </c>
      <c r="I93" s="61" t="s">
        <v>108</v>
      </c>
      <c r="J93" s="61" t="s">
        <v>118</v>
      </c>
      <c r="K93" s="61"/>
      <c r="L93" s="62" t="n">
        <v>35</v>
      </c>
      <c r="M93" s="63" t="s">
        <v>117</v>
      </c>
      <c r="N93" s="62" t="n">
        <v>4</v>
      </c>
      <c r="O93" s="64" t="n">
        <f aca="false">IF(OR($L93="",$M93=""),"",(DATE(Semana!$J$3,1,4)-WEEKDAY(DATE(Semana!$J$3,1,4),3))+($L93-1)*7+MATCH($M93,Listas!$F$5:$F$11,0)-1)</f>
        <v>46259</v>
      </c>
      <c r="P93" s="64" t="n">
        <f aca="false">IF($O93="","",$O93+MAX(0,ROUNDUP($AK93*MAX(1,IF($N93="",1,$N93))/MAX(1,$AL93),0)-1))</f>
        <v>46261</v>
      </c>
      <c r="Q93" s="65" t="n">
        <v>46260</v>
      </c>
      <c r="R93" s="60" t="s">
        <v>82</v>
      </c>
      <c r="S93" s="66"/>
      <c r="T93" s="59"/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46259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n">
        <f aca="false">IF(OR($Q93="",$O93=""),"",MAX(0,$Q93-$O93))</f>
        <v>1</v>
      </c>
      <c r="AA93" s="57" t="n">
        <f aca="false">IF($F93="","",IF(AND($S93&lt;&gt;"",$L93&lt;&gt;"",$S93&lt;&gt;$L93),1,0))</f>
        <v>0</v>
      </c>
      <c r="AB93" s="57" t="n">
        <f aca="false">IF($F93="","",IF($R93="Cancelada",0,IF(OR($Q93&lt;&gt;"",$R93="Concluída"),1,0)))</f>
        <v>1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0.5</v>
      </c>
      <c r="AE93" s="57" t="str">
        <f aca="false">IF($AH93=0,"",SUM($AH$4:$AH93))</f>
        <v/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Adilton · Alexandre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F-626|Trocar o cabeçote|35</v>
      </c>
      <c r="AK93" s="57" t="n">
        <f aca="false">IF($AJ93="","",COUNTIF($AJ$4:$AJ93,$AJ93))</f>
        <v>5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 com atraso</v>
      </c>
      <c r="C94" s="58" t="s">
        <v>372</v>
      </c>
      <c r="D94" s="59" t="s">
        <v>171</v>
      </c>
      <c r="E94" s="59" t="s">
        <v>362</v>
      </c>
      <c r="F94" s="59" t="s">
        <v>373</v>
      </c>
      <c r="G94" s="60" t="s">
        <v>110</v>
      </c>
      <c r="H94" s="60" t="s">
        <v>88</v>
      </c>
      <c r="I94" s="61" t="s">
        <v>108</v>
      </c>
      <c r="J94" s="61" t="s">
        <v>118</v>
      </c>
      <c r="K94" s="61"/>
      <c r="L94" s="62" t="n">
        <v>35</v>
      </c>
      <c r="M94" s="63" t="s">
        <v>117</v>
      </c>
      <c r="N94" s="62" t="n">
        <v>4</v>
      </c>
      <c r="O94" s="64" t="n">
        <f aca="false">IF(OR($L94="",$M94=""),"",(DATE(Semana!$J$3,1,4)-WEEKDAY(DATE(Semana!$J$3,1,4),3))+($L94-1)*7+MATCH($M94,Listas!$F$5:$F$11,0)-1)</f>
        <v>46259</v>
      </c>
      <c r="P94" s="64" t="n">
        <f aca="false">IF($O94="","",$O94+MAX(0,ROUNDUP($AK94*MAX(1,IF($N94="",1,$N94))/MAX(1,$AL94),0)-1))</f>
        <v>46261</v>
      </c>
      <c r="Q94" s="65" t="n">
        <v>46260</v>
      </c>
      <c r="R94" s="60" t="s">
        <v>82</v>
      </c>
      <c r="S94" s="66"/>
      <c r="T94" s="59"/>
      <c r="U94" s="59"/>
      <c r="V94" s="57" t="str">
        <f aca="false">IF($F94="","",IF(ISNUMBER(SEARCH("(externo)",$I94&amp;$J94&amp;$K94)),"Terceirizada","Interna"))</f>
        <v>Interna</v>
      </c>
      <c r="W94" s="64" t="n">
        <f aca="false">IF($O94="","",IF($S94="",$O94,(DATE(Semana!$J$3,1,4)-WEEKDAY(DATE(Semana!$J$3,1,4),3))+($S94-1)*7+IF($M94="",0,MATCH($M94,Listas!$F$5:$F$11,0)-1)))</f>
        <v>46259</v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n">
        <f aca="false">IF(OR($Q94="",$O94=""),"",MAX(0,$Q94-$O94))</f>
        <v>1</v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1</v>
      </c>
      <c r="AC94" s="57" t="n">
        <f aca="false">IF($P94="",0,IF($P94&lt;Hoje!$L$1,1,IF(AND($P94=Hoje!$L$1,Hoje!$L$2&gt;Semana!$M$3),1,0)))</f>
        <v>1</v>
      </c>
      <c r="AD94" s="57" t="n">
        <f aca="false">IF($F94="","",IF(COUNTA($I94:$K94)=0,0,1/COUNTA($I94:$K94)))</f>
        <v>0.5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>Adilton · Alexandre</v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F-626|Trocar o cabeçote|35</v>
      </c>
      <c r="AK94" s="57" t="n">
        <f aca="false">IF($AJ94="","",COUNTIF($AJ$4:$AJ94,$AJ94))</f>
        <v>6</v>
      </c>
      <c r="AL94" s="57" t="n">
        <f aca="false">IF($AJ94="","",COUNTIF($AJ$4:$AJ$1004,$AJ94))</f>
        <v>8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58" t="s">
        <v>372</v>
      </c>
      <c r="D95" s="59" t="s">
        <v>171</v>
      </c>
      <c r="E95" s="59" t="s">
        <v>362</v>
      </c>
      <c r="F95" s="59" t="s">
        <v>374</v>
      </c>
      <c r="G95" s="60" t="s">
        <v>110</v>
      </c>
      <c r="H95" s="60" t="s">
        <v>88</v>
      </c>
      <c r="I95" s="61" t="s">
        <v>108</v>
      </c>
      <c r="J95" s="61" t="s">
        <v>118</v>
      </c>
      <c r="K95" s="61"/>
      <c r="L95" s="62" t="n">
        <v>35</v>
      </c>
      <c r="M95" s="63" t="s">
        <v>122</v>
      </c>
      <c r="N95" s="62" t="n">
        <v>4</v>
      </c>
      <c r="O95" s="64" t="n">
        <f aca="false">IF(OR($L95="",$M95=""),"",(DATE(Semana!$J$3,1,4)-WEEKDAY(DATE(Semana!$J$3,1,4),3))+($L95-1)*7+MATCH($M95,Listas!$F$5:$F$11,0)-1)</f>
        <v>46260</v>
      </c>
      <c r="P95" s="64" t="n">
        <f aca="false">IF($O95="","",$O95+MAX(0,ROUNDUP($AK95*MAX(1,IF($N95="",1,$N95))/MAX(1,$AL95),0)-1))</f>
        <v>46263</v>
      </c>
      <c r="Q95" s="65" t="n">
        <v>46260</v>
      </c>
      <c r="R95" s="60" t="s">
        <v>82</v>
      </c>
      <c r="S95" s="66"/>
      <c r="T95" s="59"/>
      <c r="U95" s="59"/>
      <c r="V95" s="57" t="str">
        <f aca="false">IF($F95="","",IF(ISNUMBER(SEARCH("(externo)",$I95&amp;$J95&amp;$K95)),"Terceirizada","Interna"))</f>
        <v>Interna</v>
      </c>
      <c r="W95" s="64" t="n">
        <f aca="false">IF($O95="","",IF($S95="",$O95,(DATE(Semana!$J$3,1,4)-WEEKDAY(DATE(Semana!$J$3,1,4),3))+($S95-1)*7+IF($M95="",0,MATCH($M95,Listas!$F$5:$F$11,0)-1)))</f>
        <v>46260</v>
      </c>
      <c r="X95" s="57" t="n">
        <f aca="false">IF($F95="","",IF(OR($Q95="",$O95=""),0,IF($Q95&lt;=$O95,1,0)))</f>
        <v>1</v>
      </c>
      <c r="Y95" s="57" t="n">
        <f aca="false">IF($F95="","",IF(OR($Q95="",$W95=""),0,IF($Q95&lt;=$W95,1,0)))</f>
        <v>1</v>
      </c>
      <c r="Z95" s="57" t="n">
        <f aca="false">IF(OR($Q95="",$O95=""),"",MAX(0,$Q95-$O95))</f>
        <v>0</v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1</v>
      </c>
      <c r="AC95" s="57" t="n">
        <f aca="false">IF($P95="",0,IF($P95&lt;Hoje!$L$1,1,IF(AND($P95=Hoje!$L$1,Hoje!$L$2&gt;Semana!$M$3),1,0)))</f>
        <v>1</v>
      </c>
      <c r="AD95" s="57" t="n">
        <f aca="false">IF($F95="","",IF(COUNTA($I95:$K95)=0,0,1/COUNTA($I95:$K95)))</f>
        <v>0.5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>Adilton · Alexandre</v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F-626|Trocar o cabeçote|35</v>
      </c>
      <c r="AK95" s="57" t="n">
        <f aca="false">IF($AJ95="","",COUNTIF($AJ$4:$AJ95,$AJ95))</f>
        <v>7</v>
      </c>
      <c r="AL95" s="57" t="n">
        <f aca="false">IF($AJ95="","",COUNTIF($AJ$4:$AJ$1004,$AJ95))</f>
        <v>8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58" t="s">
        <v>372</v>
      </c>
      <c r="D96" s="59" t="s">
        <v>171</v>
      </c>
      <c r="E96" s="59" t="s">
        <v>362</v>
      </c>
      <c r="F96" s="59" t="s">
        <v>375</v>
      </c>
      <c r="G96" s="60" t="s">
        <v>110</v>
      </c>
      <c r="H96" s="60" t="s">
        <v>88</v>
      </c>
      <c r="I96" s="61" t="s">
        <v>108</v>
      </c>
      <c r="J96" s="61" t="s">
        <v>118</v>
      </c>
      <c r="K96" s="61"/>
      <c r="L96" s="62" t="n">
        <v>35</v>
      </c>
      <c r="M96" s="63" t="s">
        <v>122</v>
      </c>
      <c r="N96" s="62" t="n">
        <v>4</v>
      </c>
      <c r="O96" s="64" t="n">
        <f aca="false">IF(OR($L96="",$M96=""),"",(DATE(Semana!$J$3,1,4)-WEEKDAY(DATE(Semana!$J$3,1,4),3))+($L96-1)*7+MATCH($M96,Listas!$F$5:$F$11,0)-1)</f>
        <v>46260</v>
      </c>
      <c r="P96" s="64" t="n">
        <f aca="false">IF($O96="","",$O96+MAX(0,ROUNDUP($AK96*MAX(1,IF($N96="",1,$N96))/MAX(1,$AL96),0)-1))</f>
        <v>46263</v>
      </c>
      <c r="Q96" s="65" t="n">
        <v>46260</v>
      </c>
      <c r="R96" s="60" t="s">
        <v>82</v>
      </c>
      <c r="S96" s="66"/>
      <c r="T96" s="59"/>
      <c r="U96" s="59"/>
      <c r="V96" s="57" t="str">
        <f aca="false">IF($F96="","",IF(ISNUMBER(SEARCH("(externo)",$I96&amp;$J96&amp;$K96)),"Terceirizada","Interna"))</f>
        <v>Interna</v>
      </c>
      <c r="W96" s="64" t="n">
        <f aca="false">IF($O96="","",IF($S96="",$O96,(DATE(Semana!$J$3,1,4)-WEEKDAY(DATE(Semana!$J$3,1,4),3))+($S96-1)*7+IF($M96="",0,MATCH($M96,Listas!$F$5:$F$11,0)-1)))</f>
        <v>46260</v>
      </c>
      <c r="X96" s="57" t="n">
        <f aca="false">IF($F96="","",IF(OR($Q96="",$O96=""),0,IF($Q96&lt;=$O96,1,0)))</f>
        <v>1</v>
      </c>
      <c r="Y96" s="57" t="n">
        <f aca="false">IF($F96="","",IF(OR($Q96="",$W96=""),0,IF($Q96&lt;=$W96,1,0)))</f>
        <v>1</v>
      </c>
      <c r="Z96" s="57" t="n">
        <f aca="false">IF(OR($Q96="",$O96=""),"",MAX(0,$Q96-$O96))</f>
        <v>0</v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1</v>
      </c>
      <c r="AC96" s="57" t="n">
        <f aca="false">IF($P96="",0,IF($P96&lt;Hoje!$L$1,1,IF(AND($P96=Hoje!$L$1,Hoje!$L$2&gt;Semana!$M$3),1,0)))</f>
        <v>1</v>
      </c>
      <c r="AD96" s="57" t="n">
        <f aca="false">IF($F96="","",IF(COUNTA($I96:$K96)=0,0,1/COUNTA($I96:$K96)))</f>
        <v>0.5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>Adilton · Alexandre</v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F-626|Trocar o cabeçote|35</v>
      </c>
      <c r="AK96" s="57" t="n">
        <f aca="false">IF($AJ96="","",COUNTIF($AJ$4:$AJ96,$AJ96))</f>
        <v>8</v>
      </c>
      <c r="AL96" s="57" t="n">
        <f aca="false">IF($AJ96="","",COUNTIF($AJ$4:$AJ$1004,$AJ96))</f>
        <v>8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58"/>
      <c r="D97" s="59" t="s">
        <v>172</v>
      </c>
      <c r="E97" s="59" t="s">
        <v>376</v>
      </c>
      <c r="F97" s="59" t="s">
        <v>377</v>
      </c>
      <c r="G97" s="60" t="s">
        <v>110</v>
      </c>
      <c r="H97" s="60" t="s">
        <v>88</v>
      </c>
      <c r="I97" s="61" t="s">
        <v>133</v>
      </c>
      <c r="J97" s="61"/>
      <c r="K97" s="61"/>
      <c r="L97" s="62" t="n">
        <v>35</v>
      </c>
      <c r="M97" s="63" t="s">
        <v>127</v>
      </c>
      <c r="N97" s="62" t="n">
        <v>2</v>
      </c>
      <c r="O97" s="64" t="n">
        <f aca="false">IF(OR($L97="",$M97=""),"",(DATE(Semana!$J$3,1,4)-WEEKDAY(DATE(Semana!$J$3,1,4),3))+($L97-1)*7+MATCH($M97,Listas!$F$5:$F$11,0)-1)</f>
        <v>46261</v>
      </c>
      <c r="P97" s="64" t="n">
        <f aca="false">IF($O97="","",$O97+MAX(0,ROUNDUP($AK97*MAX(1,IF($N97="",1,$N97))/MAX(1,$AL97),0)-1))</f>
        <v>46262</v>
      </c>
      <c r="Q97" s="65"/>
      <c r="R97" s="60" t="s">
        <v>82</v>
      </c>
      <c r="S97" s="66"/>
      <c r="T97" s="59"/>
      <c r="U97" s="59"/>
      <c r="V97" s="57" t="str">
        <f aca="false">IF($F97="","",IF(ISNUMBER(SEARCH("(externo)",$I97&amp;$J97&amp;$K97)),"Terceirizada","Interna"))</f>
        <v>Interna</v>
      </c>
      <c r="W97" s="64" t="n">
        <f aca="false">IF($O97="","",IF($S97="",$O97,(DATE(Semana!$J$3,1,4)-WEEKDAY(DATE(Semana!$J$3,1,4),3))+($S97-1)*7+IF($M97="",0,MATCH($M97,Listas!$F$5:$F$11,0)-1)))</f>
        <v>46261</v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1</v>
      </c>
      <c r="AC97" s="57" t="n">
        <f aca="false">IF($P97="",0,IF($P97&lt;Hoje!$L$1,1,IF(AND($P97=Hoje!$L$1,Hoje!$L$2&gt;Semana!$M$3),1,0)))</f>
        <v>1</v>
      </c>
      <c r="AD97" s="57" t="n">
        <f aca="false">IF($F97="","",IF(COUNTA($I97:$K97)=0,0,1/COUNTA($I97:$K97)))</f>
        <v>1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>Júnior</v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F-696|Aplicar faixas refletivas|35</v>
      </c>
      <c r="AK97" s="57" t="n">
        <f aca="false">IF($AJ97="","",COUNTIF($AJ$4:$AJ97,$AJ97))</f>
        <v>1</v>
      </c>
      <c r="AL97" s="57" t="n">
        <f aca="false">IF($AJ97="","",COUNTIF($AJ$4:$AJ$1004,$AJ97))</f>
        <v>1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</v>
      </c>
      <c r="C98" s="58"/>
      <c r="D98" s="59" t="s">
        <v>176</v>
      </c>
      <c r="E98" s="59" t="s">
        <v>227</v>
      </c>
      <c r="F98" s="59" t="s">
        <v>378</v>
      </c>
      <c r="G98" s="60" t="s">
        <v>110</v>
      </c>
      <c r="H98" s="60" t="s">
        <v>229</v>
      </c>
      <c r="I98" s="61" t="s">
        <v>113</v>
      </c>
      <c r="J98" s="61" t="s">
        <v>138</v>
      </c>
      <c r="K98" s="61"/>
      <c r="L98" s="62" t="n">
        <v>35</v>
      </c>
      <c r="M98" s="63" t="s">
        <v>122</v>
      </c>
      <c r="N98" s="62" t="n">
        <v>2</v>
      </c>
      <c r="O98" s="64" t="n">
        <f aca="false">IF(OR($L98="",$M98=""),"",(DATE(Semana!$J$3,1,4)-WEEKDAY(DATE(Semana!$J$3,1,4),3))+($L98-1)*7+MATCH($M98,Listas!$F$5:$F$11,0)-1)</f>
        <v>46260</v>
      </c>
      <c r="P98" s="64" t="n">
        <f aca="false">IF($O98="","",$O98+MAX(0,ROUNDUP($AK98*MAX(1,IF($N98="",1,$N98))/MAX(1,$AL98),0)-1))</f>
        <v>46261</v>
      </c>
      <c r="Q98" s="65" t="n">
        <v>46260</v>
      </c>
      <c r="R98" s="60" t="s">
        <v>82</v>
      </c>
      <c r="S98" s="66"/>
      <c r="T98" s="59"/>
      <c r="U98" s="59"/>
      <c r="V98" s="57" t="str">
        <f aca="false">IF($F98="","",IF(ISNUMBER(SEARCH("(externo)",$I98&amp;$J98&amp;$K98)),"Terceirizada","Interna"))</f>
        <v>Interna</v>
      </c>
      <c r="W98" s="64" t="n">
        <f aca="false">IF($O98="","",IF($S98="",$O98,(DATE(Semana!$J$3,1,4)-WEEKDAY(DATE(Semana!$J$3,1,4),3))+($S98-1)*7+IF($M98="",0,MATCH($M98,Listas!$F$5:$F$11,0)-1)))</f>
        <v>46260</v>
      </c>
      <c r="X98" s="57" t="n">
        <f aca="false">IF($F98="","",IF(OR($Q98="",$O98=""),0,IF($Q98&lt;=$O98,1,0)))</f>
        <v>1</v>
      </c>
      <c r="Y98" s="57" t="n">
        <f aca="false">IF($F98="","",IF(OR($Q98="",$W98=""),0,IF($Q98&lt;=$W98,1,0)))</f>
        <v>1</v>
      </c>
      <c r="Z98" s="57" t="n">
        <f aca="false">IF(OR($Q98="",$O98=""),"",MAX(0,$Q98-$O98))</f>
        <v>0</v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1</v>
      </c>
      <c r="AC98" s="57" t="n">
        <f aca="false">IF($P98="",0,IF($P98&lt;Hoje!$L$1,1,IF(AND($P98=Hoje!$L$1,Hoje!$L$2&gt;Semana!$M$3),1,0)))</f>
        <v>1</v>
      </c>
      <c r="AD98" s="57" t="n">
        <f aca="false">IF($F98="","",IF(COUNTA($I98:$K98)=0,0,1/COUNTA($I98:$K98)))</f>
        <v>0.5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>Airton · Luiz Paulo</v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F-789|Calibração e troca de pneus|35</v>
      </c>
      <c r="AK98" s="57" t="n">
        <f aca="false">IF($AJ98="","",COUNTIF($AJ$4:$AJ98,$AJ98))</f>
        <v>1</v>
      </c>
      <c r="AL98" s="57" t="n">
        <f aca="false">IF($AJ98="","",COUNTIF($AJ$4:$AJ$1004,$AJ98))</f>
        <v>1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58" t="s">
        <v>379</v>
      </c>
      <c r="D99" s="59" t="s">
        <v>178</v>
      </c>
      <c r="E99" s="59" t="s">
        <v>338</v>
      </c>
      <c r="F99" s="59" t="s">
        <v>380</v>
      </c>
      <c r="G99" s="60" t="s">
        <v>110</v>
      </c>
      <c r="H99" s="60" t="s">
        <v>88</v>
      </c>
      <c r="I99" s="61" t="s">
        <v>128</v>
      </c>
      <c r="J99" s="61"/>
      <c r="K99" s="61"/>
      <c r="L99" s="62" t="n">
        <v>36</v>
      </c>
      <c r="M99" s="63" t="s">
        <v>112</v>
      </c>
      <c r="N99" s="62" t="n">
        <v>3</v>
      </c>
      <c r="O99" s="64" t="n">
        <f aca="false">IF(OR($L99="",$M99=""),"",(DATE(Semana!$J$3,1,4)-WEEKDAY(DATE(Semana!$J$3,1,4),3))+($L99-1)*7+MATCH($M99,Listas!$F$5:$F$11,0)-1)</f>
        <v>46265</v>
      </c>
      <c r="P99" s="64" t="n">
        <f aca="false">IF($O99="","",$O99+MAX(0,ROUNDUP($AK99*MAX(1,IF($N99="",1,$N99))/MAX(1,$AL99),0)-1))</f>
        <v>46265</v>
      </c>
      <c r="Q99" s="65"/>
      <c r="R99" s="60"/>
      <c r="S99" s="66" t="n">
        <v>35</v>
      </c>
      <c r="T99" s="59" t="s">
        <v>149</v>
      </c>
      <c r="U99" s="59"/>
      <c r="V99" s="57" t="str">
        <f aca="false">IF($F99="","",IF(ISNUMBER(SEARCH("(externo)",$I99&amp;$J99&amp;$K99)),"Terceirizada","Interna"))</f>
        <v>Interna</v>
      </c>
      <c r="W99" s="64" t="n">
        <f aca="false">IF($O99="","",IF($S99="",$O99,(DATE(Semana!$J$3,1,4)-WEEKDAY(DATE(Semana!$J$3,1,4),3))+($S99-1)*7+IF($M99="",0,MATCH($M99,Listas!$F$5:$F$11,0)-1)))</f>
        <v>46258</v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1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1</v>
      </c>
      <c r="AD99" s="57" t="n">
        <f aca="false">IF($F99="","",IF(COUNTA($I99:$K99)=0,0,1/COUNTA($I99:$K99)))</f>
        <v>1</v>
      </c>
      <c r="AE99" s="57" t="str">
        <f aca="false">IF($AH99=0,"",SUM($AH$4:$AH99))</f>
        <v/>
      </c>
      <c r="AF99" s="57" t="n">
        <f aca="false">IF($AI99=0,"",SUM($AI$4:$AI99))</f>
        <v>19</v>
      </c>
      <c r="AG99" s="67" t="str">
        <f aca="false">IF($F99="","",$I99&amp;IF($J99="",""," · "&amp;$J99)&amp;IF($K99="",""," · "&amp;$K99))</f>
        <v>Heliton</v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1</v>
      </c>
      <c r="AJ99" s="67" t="str">
        <f aca="false">IF($F99="","",$D99&amp;"|"&amp;$E99&amp;"|"&amp;$L99)</f>
        <v>F-815|Baixa de pendências backlog|36</v>
      </c>
      <c r="AK99" s="57" t="n">
        <f aca="false">IF($AJ99="","",COUNTIF($AJ$4:$AJ99,$AJ99))</f>
        <v>1</v>
      </c>
      <c r="AL99" s="57" t="n">
        <f aca="false">IF($AJ99="","",COUNTIF($AJ$4:$AJ$1004,$AJ99))</f>
        <v>34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58" t="s">
        <v>379</v>
      </c>
      <c r="D100" s="59" t="s">
        <v>178</v>
      </c>
      <c r="E100" s="59" t="s">
        <v>338</v>
      </c>
      <c r="F100" s="59" t="s">
        <v>381</v>
      </c>
      <c r="G100" s="60" t="s">
        <v>110</v>
      </c>
      <c r="H100" s="60" t="s">
        <v>88</v>
      </c>
      <c r="I100" s="61" t="s">
        <v>128</v>
      </c>
      <c r="J100" s="61"/>
      <c r="K100" s="61"/>
      <c r="L100" s="62" t="n">
        <v>36</v>
      </c>
      <c r="M100" s="63" t="s">
        <v>112</v>
      </c>
      <c r="N100" s="62" t="n">
        <v>3</v>
      </c>
      <c r="O100" s="64" t="n">
        <f aca="false">IF(OR($L100="",$M100=""),"",(DATE(Semana!$J$3,1,4)-WEEKDAY(DATE(Semana!$J$3,1,4),3))+($L100-1)*7+MATCH($M100,Listas!$F$5:$F$11,0)-1)</f>
        <v>46265</v>
      </c>
      <c r="P100" s="64" t="n">
        <f aca="false">IF($O100="","",$O100+MAX(0,ROUNDUP($AK100*MAX(1,IF($N100="",1,$N100))/MAX(1,$AL100),0)-1))</f>
        <v>46265</v>
      </c>
      <c r="Q100" s="65"/>
      <c r="R100" s="60"/>
      <c r="S100" s="66" t="n">
        <v>35</v>
      </c>
      <c r="T100" s="59" t="s">
        <v>149</v>
      </c>
      <c r="U100" s="59"/>
      <c r="V100" s="57" t="str">
        <f aca="false">IF($F100="","",IF(ISNUMBER(SEARCH("(externo)",$I100&amp;$J100&amp;$K100)),"Terceirizada","Interna"))</f>
        <v>Interna</v>
      </c>
      <c r="W100" s="64" t="n">
        <f aca="false">IF($O100="","",IF($S100="",$O100,(DATE(Semana!$J$3,1,4)-WEEKDAY(DATE(Semana!$J$3,1,4),3))+($S100-1)*7+IF($M100="",0,MATCH($M100,Listas!$F$5:$F$11,0)-1)))</f>
        <v>46258</v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1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1</v>
      </c>
      <c r="AD100" s="57" t="n">
        <f aca="false">IF($F100="","",IF(COUNTA($I100:$K100)=0,0,1/COUNTA($I100:$K100)))</f>
        <v>1</v>
      </c>
      <c r="AE100" s="57" t="str">
        <f aca="false">IF($AH100=0,"",SUM($AH$4:$AH100))</f>
        <v/>
      </c>
      <c r="AF100" s="57" t="n">
        <f aca="false">IF($AI100=0,"",SUM($AI$4:$AI100))</f>
        <v>20</v>
      </c>
      <c r="AG100" s="67" t="str">
        <f aca="false">IF($F100="","",$I100&amp;IF($J100="",""," · "&amp;$J100)&amp;IF($K100="",""," · "&amp;$K100))</f>
        <v>Heliton</v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1</v>
      </c>
      <c r="AJ100" s="67" t="str">
        <f aca="false">IF($F100="","",$D100&amp;"|"&amp;$E100&amp;"|"&amp;$L100)</f>
        <v>F-815|Baixa de pendências backlog|36</v>
      </c>
      <c r="AK100" s="57" t="n">
        <f aca="false">IF($AJ100="","",COUNTIF($AJ$4:$AJ100,$AJ100))</f>
        <v>2</v>
      </c>
      <c r="AL100" s="57" t="n">
        <f aca="false">IF($AJ100="","",COUNTIF($AJ$4:$AJ$1004,$AJ100))</f>
        <v>34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58" t="s">
        <v>382</v>
      </c>
      <c r="D101" s="59" t="s">
        <v>178</v>
      </c>
      <c r="E101" s="59" t="s">
        <v>338</v>
      </c>
      <c r="F101" s="59" t="s">
        <v>383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46265</v>
      </c>
      <c r="Q101" s="65"/>
      <c r="R101" s="60"/>
      <c r="S101" s="66" t="n">
        <v>35</v>
      </c>
      <c r="T101" s="59"/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1</v>
      </c>
      <c r="AD101" s="57" t="n">
        <f aca="false">IF($F101="","",IF(COUNTA($I101:$K101)=0,0,1/COUNTA($I101:$K101)))</f>
        <v>1</v>
      </c>
      <c r="AE101" s="57" t="str">
        <f aca="false">IF($AH101=0,"",SUM($AH$4:$AH101))</f>
        <v/>
      </c>
      <c r="AF101" s="57" t="n">
        <f aca="false">IF($AI101=0,"",SUM($AI$4:$AI101))</f>
        <v>21</v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0</v>
      </c>
      <c r="AI101" s="57" t="n">
        <f aca="false">IF(AND($F101&lt;&gt;"",$P101&lt;&gt;"",$P101&lt;Hoje!$C$3,$AB101=0,$R101&lt;&gt;"Cancelada"),1,0)</f>
        <v>1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34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VENCIDA</v>
      </c>
      <c r="C102" s="58" t="s">
        <v>384</v>
      </c>
      <c r="D102" s="59" t="s">
        <v>178</v>
      </c>
      <c r="E102" s="59" t="s">
        <v>338</v>
      </c>
      <c r="F102" s="59" t="s">
        <v>385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46265</v>
      </c>
      <c r="Q102" s="65"/>
      <c r="R102" s="60"/>
      <c r="S102" s="66" t="n">
        <v>35</v>
      </c>
      <c r="T102" s="59"/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1</v>
      </c>
      <c r="AD102" s="57" t="n">
        <f aca="false">IF($F102="","",IF(COUNTA($I102:$K102)=0,0,1/COUNTA($I102:$K102)))</f>
        <v>1</v>
      </c>
      <c r="AE102" s="57" t="str">
        <f aca="false">IF($AH102=0,"",SUM($AH$4:$AH102))</f>
        <v/>
      </c>
      <c r="AF102" s="57" t="n">
        <f aca="false">IF($AI102=0,"",SUM($AI$4:$AI102))</f>
        <v>22</v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0</v>
      </c>
      <c r="AI102" s="57" t="n">
        <f aca="false">IF(AND($F102&lt;&gt;"",$P102&lt;&gt;"",$P102&lt;Hoje!$C$3,$AB102=0,$R102&lt;&gt;"Cancelada"),1,0)</f>
        <v>1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34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Cancelada</v>
      </c>
      <c r="C103" s="58"/>
      <c r="D103" s="59" t="s">
        <v>178</v>
      </c>
      <c r="E103" s="59" t="s">
        <v>338</v>
      </c>
      <c r="F103" s="59" t="s">
        <v>386</v>
      </c>
      <c r="G103" s="60" t="s">
        <v>110</v>
      </c>
      <c r="H103" s="60" t="s">
        <v>88</v>
      </c>
      <c r="I103" s="61"/>
      <c r="J103" s="61"/>
      <c r="K103" s="61"/>
      <c r="L103" s="62" t="n">
        <v>36</v>
      </c>
      <c r="M103" s="63" t="s">
        <v>112</v>
      </c>
      <c r="N103" s="62" t="n">
        <v>3</v>
      </c>
      <c r="O103" s="64" t="n">
        <f aca="false">IF(OR($L103="",$M103=""),"",(DATE(Semana!$J$3,1,4)-WEEKDAY(DATE(Semana!$J$3,1,4),3))+($L103-1)*7+MATCH($M103,Listas!$F$5:$F$11,0)-1)</f>
        <v>46265</v>
      </c>
      <c r="P103" s="64" t="n">
        <f aca="false">IF($O103="","",$O103+MAX(0,ROUNDUP($AK103*MAX(1,IF($N103="",1,$N103))/MAX(1,$AL103),0)-1))</f>
        <v>46265</v>
      </c>
      <c r="Q103" s="65"/>
      <c r="R103" s="60" t="s">
        <v>57</v>
      </c>
      <c r="S103" s="66" t="n">
        <v>35</v>
      </c>
      <c r="T103" s="59" t="s">
        <v>141</v>
      </c>
      <c r="U103" s="59"/>
      <c r="V103" s="57" t="str">
        <f aca="false">IF($F103="","",IF(ISNUMBER(SEARCH("(externo)",$I103&amp;$J103&amp;$K103)),"Terceirizada","Interna"))</f>
        <v>Interna</v>
      </c>
      <c r="W103" s="64" t="n">
        <f aca="false">IF($O103="","",IF($S103="",$O103,(DATE(Semana!$J$3,1,4)-WEEKDAY(DATE(Semana!$J$3,1,4),3))+($S103-1)*7+IF($M103="",0,MATCH($M103,Listas!$F$5:$F$11,0)-1)))</f>
        <v>46258</v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1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1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backlog|36</v>
      </c>
      <c r="AK103" s="57" t="n">
        <f aca="false">IF($AJ103="","",COUNTIF($AJ$4:$AJ103,$AJ103))</f>
        <v>5</v>
      </c>
      <c r="AL103" s="57" t="n">
        <f aca="false">IF($AJ103="","",COUNTIF($AJ$4:$AJ$1004,$AJ103))</f>
        <v>34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VENCIDA</v>
      </c>
      <c r="C104" s="58" t="s">
        <v>387</v>
      </c>
      <c r="D104" s="59" t="s">
        <v>178</v>
      </c>
      <c r="E104" s="59" t="s">
        <v>338</v>
      </c>
      <c r="F104" s="59" t="s">
        <v>388</v>
      </c>
      <c r="G104" s="60" t="s">
        <v>110</v>
      </c>
      <c r="H104" s="60" t="s">
        <v>88</v>
      </c>
      <c r="I104" s="61" t="s">
        <v>128</v>
      </c>
      <c r="J104" s="61"/>
      <c r="K104" s="61"/>
      <c r="L104" s="62" t="n">
        <v>36</v>
      </c>
      <c r="M104" s="63" t="s">
        <v>112</v>
      </c>
      <c r="N104" s="62" t="n">
        <v>3</v>
      </c>
      <c r="O104" s="64" t="n">
        <f aca="false">IF(OR($L104="",$M104=""),"",(DATE(Semana!$J$3,1,4)-WEEKDAY(DATE(Semana!$J$3,1,4),3))+($L104-1)*7+MATCH($M104,Listas!$F$5:$F$11,0)-1)</f>
        <v>46265</v>
      </c>
      <c r="P104" s="64" t="n">
        <f aca="false">IF($O104="","",$O104+MAX(0,ROUNDUP($AK104*MAX(1,IF($N104="",1,$N104))/MAX(1,$AL104),0)-1))</f>
        <v>46265</v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n">
        <f aca="false">IF($O104="","",IF($S104="",$O104,(DATE(Semana!$J$3,1,4)-WEEKDAY(DATE(Semana!$J$3,1,4),3))+($S104-1)*7+IF($M104="",0,MATCH($M104,Listas!$F$5:$F$11,0)-1)))</f>
        <v>46258</v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1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1</v>
      </c>
      <c r="AD104" s="57" t="n">
        <f aca="false">IF($F104="","",IF(COUNTA($I104:$K104)=0,0,1/COUNTA($I104:$K104)))</f>
        <v>1</v>
      </c>
      <c r="AE104" s="57" t="str">
        <f aca="false">IF($AH104=0,"",SUM($AH$4:$AH104))</f>
        <v/>
      </c>
      <c r="AF104" s="57" t="n">
        <f aca="false">IF($AI104=0,"",SUM($AI$4:$AI104))</f>
        <v>23</v>
      </c>
      <c r="AG104" s="67" t="str">
        <f aca="false">IF($F104="","",$I104&amp;IF($J104="",""," · "&amp;$J104)&amp;IF($K104="",""," · "&amp;$K104))</f>
        <v>Heliton</v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1</v>
      </c>
      <c r="AJ104" s="67" t="str">
        <f aca="false">IF($F104="","",$D104&amp;"|"&amp;$E104&amp;"|"&amp;$L104)</f>
        <v>F-815|Baixa de pendências backlog|36</v>
      </c>
      <c r="AK104" s="57" t="n">
        <f aca="false">IF($AJ104="","",COUNTIF($AJ$4:$AJ104,$AJ104))</f>
        <v>6</v>
      </c>
      <c r="AL104" s="57" t="n">
        <f aca="false">IF($AJ104="","",COUNTIF($AJ$4:$AJ$1004,$AJ104))</f>
        <v>34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Cancelada</v>
      </c>
      <c r="C105" s="58"/>
      <c r="D105" s="59" t="s">
        <v>178</v>
      </c>
      <c r="E105" s="59" t="s">
        <v>338</v>
      </c>
      <c r="F105" s="59" t="s">
        <v>389</v>
      </c>
      <c r="G105" s="60" t="s">
        <v>110</v>
      </c>
      <c r="H105" s="60" t="s">
        <v>88</v>
      </c>
      <c r="I105" s="61"/>
      <c r="J105" s="61"/>
      <c r="K105" s="61"/>
      <c r="L105" s="62" t="n">
        <v>36</v>
      </c>
      <c r="M105" s="63" t="s">
        <v>112</v>
      </c>
      <c r="N105" s="62" t="n">
        <v>3</v>
      </c>
      <c r="O105" s="64" t="n">
        <f aca="false">IF(OR($L105="",$M105=""),"",(DATE(Semana!$J$3,1,4)-WEEKDAY(DATE(Semana!$J$3,1,4),3))+($L105-1)*7+MATCH($M105,Listas!$F$5:$F$11,0)-1)</f>
        <v>46265</v>
      </c>
      <c r="P105" s="64" t="n">
        <f aca="false">IF($O105="","",$O105+MAX(0,ROUNDUP($AK105*MAX(1,IF($N105="",1,$N105))/MAX(1,$AL105),0)-1))</f>
        <v>46265</v>
      </c>
      <c r="Q105" s="65"/>
      <c r="R105" s="60" t="s">
        <v>57</v>
      </c>
      <c r="S105" s="66" t="n">
        <v>35</v>
      </c>
      <c r="T105" s="59" t="s">
        <v>141</v>
      </c>
      <c r="U105" s="59"/>
      <c r="V105" s="57" t="str">
        <f aca="false">IF($F105="","",IF(ISNUMBER(SEARCH("(externo)",$I105&amp;$J105&amp;$K105)),"Terceirizada","Interna"))</f>
        <v>Interna</v>
      </c>
      <c r="W105" s="64" t="n">
        <f aca="false">IF($O105="","",IF($S105="",$O105,(DATE(Semana!$J$3,1,4)-WEEKDAY(DATE(Semana!$J$3,1,4),3))+($S105-1)*7+IF($M105="",0,MATCH($M105,Listas!$F$5:$F$11,0)-1)))</f>
        <v>46258</v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1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1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backlog|36</v>
      </c>
      <c r="AK105" s="57" t="n">
        <f aca="false">IF($AJ105="","",COUNTIF($AJ$4:$AJ105,$AJ105))</f>
        <v>7</v>
      </c>
      <c r="AL105" s="57" t="n">
        <f aca="false">IF($AJ105="","",COUNTIF($AJ$4:$AJ$1004,$AJ105))</f>
        <v>34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58" t="s">
        <v>390</v>
      </c>
      <c r="D106" s="59" t="s">
        <v>178</v>
      </c>
      <c r="E106" s="59" t="s">
        <v>338</v>
      </c>
      <c r="F106" s="59" t="s">
        <v>391</v>
      </c>
      <c r="G106" s="60" t="s">
        <v>110</v>
      </c>
      <c r="H106" s="60" t="s">
        <v>88</v>
      </c>
      <c r="I106" s="61" t="s">
        <v>128</v>
      </c>
      <c r="J106" s="61"/>
      <c r="K106" s="61"/>
      <c r="L106" s="62" t="n">
        <v>36</v>
      </c>
      <c r="M106" s="63" t="s">
        <v>112</v>
      </c>
      <c r="N106" s="62" t="n">
        <v>3</v>
      </c>
      <c r="O106" s="64" t="n">
        <f aca="false">IF(OR($L106="",$M106=""),"",(DATE(Semana!$J$3,1,4)-WEEKDAY(DATE(Semana!$J$3,1,4),3))+($L106-1)*7+MATCH($M106,Listas!$F$5:$F$11,0)-1)</f>
        <v>46265</v>
      </c>
      <c r="P106" s="64" t="n">
        <f aca="false">IF($O106="","",$O106+MAX(0,ROUNDUP($AK106*MAX(1,IF($N106="",1,$N106))/MAX(1,$AL106),0)-1))</f>
        <v>46265</v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n">
        <f aca="false">IF($O106="","",IF($S106="",$O106,(DATE(Semana!$J$3,1,4)-WEEKDAY(DATE(Semana!$J$3,1,4),3))+($S106-1)*7+IF($M106="",0,MATCH($M106,Listas!$F$5:$F$11,0)-1)))</f>
        <v>46258</v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1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1</v>
      </c>
      <c r="AD106" s="57" t="n">
        <f aca="false">IF($F106="","",IF(COUNTA($I106:$K106)=0,0,1/COUNTA($I106:$K106)))</f>
        <v>1</v>
      </c>
      <c r="AE106" s="57" t="str">
        <f aca="false">IF($AH106=0,"",SUM($AH$4:$AH106))</f>
        <v/>
      </c>
      <c r="AF106" s="57" t="n">
        <f aca="false">IF($AI106=0,"",SUM($AI$4:$AI106))</f>
        <v>24</v>
      </c>
      <c r="AG106" s="67" t="str">
        <f aca="false">IF($F106="","",$I106&amp;IF($J106="",""," · "&amp;$J106)&amp;IF($K106="",""," · "&amp;$K106))</f>
        <v>Heliton</v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1</v>
      </c>
      <c r="AJ106" s="67" t="str">
        <f aca="false">IF($F106="","",$D106&amp;"|"&amp;$E106&amp;"|"&amp;$L106)</f>
        <v>F-815|Baixa de pendências backlog|36</v>
      </c>
      <c r="AK106" s="57" t="n">
        <f aca="false">IF($AJ106="","",COUNTIF($AJ$4:$AJ106,$AJ106))</f>
        <v>8</v>
      </c>
      <c r="AL106" s="57" t="n">
        <f aca="false">IF($AJ106="","",COUNTIF($AJ$4:$AJ$1004,$AJ106))</f>
        <v>34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58" t="s">
        <v>392</v>
      </c>
      <c r="D107" s="59" t="s">
        <v>178</v>
      </c>
      <c r="E107" s="59" t="s">
        <v>338</v>
      </c>
      <c r="F107" s="59" t="s">
        <v>393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46265</v>
      </c>
      <c r="Q107" s="65"/>
      <c r="R107" s="60"/>
      <c r="S107" s="66" t="n">
        <v>35</v>
      </c>
      <c r="T107" s="59"/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1</v>
      </c>
      <c r="AD107" s="57" t="n">
        <f aca="false">IF($F107="","",IF(COUNTA($I107:$K107)=0,0,1/COUNTA($I107:$K107)))</f>
        <v>1</v>
      </c>
      <c r="AE107" s="57" t="str">
        <f aca="false">IF($AH107=0,"",SUM($AH$4:$AH107))</f>
        <v/>
      </c>
      <c r="AF107" s="57" t="n">
        <f aca="false">IF($AI107=0,"",SUM($AI$4:$AI107))</f>
        <v>25</v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0</v>
      </c>
      <c r="AI107" s="57" t="n">
        <f aca="false">IF(AND($F107&lt;&gt;"",$P107&lt;&gt;"",$P107&lt;Hoje!$C$3,$AB107=0,$R107&lt;&gt;"Cancelada"),1,0)</f>
        <v>1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9</v>
      </c>
      <c r="AL107" s="57" t="n">
        <f aca="false">IF($AJ107="","",COUNTIF($AJ$4:$AJ$1004,$AJ107))</f>
        <v>34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58" t="s">
        <v>394</v>
      </c>
      <c r="D108" s="59" t="s">
        <v>178</v>
      </c>
      <c r="E108" s="59" t="s">
        <v>338</v>
      </c>
      <c r="F108" s="59" t="s">
        <v>395</v>
      </c>
      <c r="G108" s="60" t="s">
        <v>110</v>
      </c>
      <c r="H108" s="60" t="s">
        <v>88</v>
      </c>
      <c r="I108" s="61" t="s">
        <v>118</v>
      </c>
      <c r="J108" s="61"/>
      <c r="K108" s="61"/>
      <c r="L108" s="62" t="n">
        <v>36</v>
      </c>
      <c r="M108" s="63" t="s">
        <v>112</v>
      </c>
      <c r="N108" s="62" t="n">
        <v>3</v>
      </c>
      <c r="O108" s="64" t="n">
        <f aca="false">IF(OR($L108="",$M108=""),"",(DATE(Semana!$J$3,1,4)-WEEKDAY(DATE(Semana!$J$3,1,4),3))+($L108-1)*7+MATCH($M108,Listas!$F$5:$F$11,0)-1)</f>
        <v>46265</v>
      </c>
      <c r="P108" s="64" t="n">
        <f aca="false">IF($O108="","",$O108+MAX(0,ROUNDUP($AK108*MAX(1,IF($N108="",1,$N108))/MAX(1,$AL108),0)-1))</f>
        <v>46265</v>
      </c>
      <c r="Q108" s="65"/>
      <c r="R108" s="60"/>
      <c r="S108" s="66" t="n">
        <v>35</v>
      </c>
      <c r="T108" s="59" t="s">
        <v>149</v>
      </c>
      <c r="U108" s="59"/>
      <c r="V108" s="57" t="str">
        <f aca="false">IF($F108="","",IF(ISNUMBER(SEARCH("(externo)",$I108&amp;$J108&amp;$K108)),"Terceirizada","Interna"))</f>
        <v>Interna</v>
      </c>
      <c r="W108" s="64" t="n">
        <f aca="false">IF($O108="","",IF($S108="",$O108,(DATE(Semana!$J$3,1,4)-WEEKDAY(DATE(Semana!$J$3,1,4),3))+($S108-1)*7+IF($M108="",0,MATCH($M108,Listas!$F$5:$F$11,0)-1)))</f>
        <v>46258</v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1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1</v>
      </c>
      <c r="AD108" s="57" t="n">
        <f aca="false">IF($F108="","",IF(COUNTA($I108:$K108)=0,0,1/COUNTA($I108:$K108)))</f>
        <v>1</v>
      </c>
      <c r="AE108" s="57" t="str">
        <f aca="false">IF($AH108=0,"",SUM($AH$4:$AH108))</f>
        <v/>
      </c>
      <c r="AF108" s="57" t="n">
        <f aca="false">IF($AI108=0,"",SUM($AI$4:$AI108))</f>
        <v>26</v>
      </c>
      <c r="AG108" s="67" t="str">
        <f aca="false">IF($F108="","",$I108&amp;IF($J108="",""," · "&amp;$J108)&amp;IF($K108="",""," · "&amp;$K108))</f>
        <v>Alexandre</v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1</v>
      </c>
      <c r="AJ108" s="67" t="str">
        <f aca="false">IF($F108="","",$D108&amp;"|"&amp;$E108&amp;"|"&amp;$L108)</f>
        <v>F-815|Baixa de pendências backlog|36</v>
      </c>
      <c r="AK108" s="57" t="n">
        <f aca="false">IF($AJ108="","",COUNTIF($AJ$4:$AJ108,$AJ108))</f>
        <v>10</v>
      </c>
      <c r="AL108" s="57" t="n">
        <f aca="false">IF($AJ108="","",COUNTIF($AJ$4:$AJ$1004,$AJ108))</f>
        <v>34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VENCIDA</v>
      </c>
      <c r="C109" s="58" t="s">
        <v>396</v>
      </c>
      <c r="D109" s="59" t="s">
        <v>178</v>
      </c>
      <c r="E109" s="59" t="s">
        <v>338</v>
      </c>
      <c r="F109" s="59" t="s">
        <v>397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46265</v>
      </c>
      <c r="Q109" s="65"/>
      <c r="R109" s="60"/>
      <c r="S109" s="66" t="n">
        <v>35</v>
      </c>
      <c r="T109" s="59" t="s">
        <v>149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1</v>
      </c>
      <c r="AD109" s="57" t="n">
        <f aca="false">IF($F109="","",IF(COUNTA($I109:$K109)=0,0,1/COUNTA($I109:$K109)))</f>
        <v>1</v>
      </c>
      <c r="AE109" s="57" t="str">
        <f aca="false">IF($AH109=0,"",SUM($AH$4:$AH109))</f>
        <v/>
      </c>
      <c r="AF109" s="57" t="n">
        <f aca="false">IF($AI109=0,"",SUM($AI$4:$AI109))</f>
        <v>27</v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0</v>
      </c>
      <c r="AI109" s="57" t="n">
        <f aca="false">IF(AND($F109&lt;&gt;"",$P109&lt;&gt;"",$P109&lt;Hoje!$C$3,$AB109=0,$R109&lt;&gt;"Cancelada"),1,0)</f>
        <v>1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11</v>
      </c>
      <c r="AL109" s="57" t="n">
        <f aca="false">IF($AJ109="","",COUNTIF($AJ$4:$AJ$1004,$AJ109))</f>
        <v>34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VENCIDA</v>
      </c>
      <c r="C110" s="58" t="s">
        <v>398</v>
      </c>
      <c r="D110" s="59" t="s">
        <v>178</v>
      </c>
      <c r="E110" s="59" t="s">
        <v>338</v>
      </c>
      <c r="F110" s="59" t="s">
        <v>399</v>
      </c>
      <c r="G110" s="60" t="s">
        <v>110</v>
      </c>
      <c r="H110" s="60" t="s">
        <v>88</v>
      </c>
      <c r="I110" s="61" t="s">
        <v>118</v>
      </c>
      <c r="J110" s="61"/>
      <c r="K110" s="61"/>
      <c r="L110" s="62" t="n">
        <v>36</v>
      </c>
      <c r="M110" s="63" t="s">
        <v>112</v>
      </c>
      <c r="N110" s="62" t="n">
        <v>3</v>
      </c>
      <c r="O110" s="64" t="n">
        <f aca="false">IF(OR($L110="",$M110=""),"",(DATE(Semana!$J$3,1,4)-WEEKDAY(DATE(Semana!$J$3,1,4),3))+($L110-1)*7+MATCH($M110,Listas!$F$5:$F$11,0)-1)</f>
        <v>46265</v>
      </c>
      <c r="P110" s="64" t="n">
        <f aca="false">IF($O110="","",$O110+MAX(0,ROUNDUP($AK110*MAX(1,IF($N110="",1,$N110))/MAX(1,$AL110),0)-1))</f>
        <v>46266</v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n">
        <f aca="false">IF($O110="","",IF($S110="",$O110,(DATE(Semana!$J$3,1,4)-WEEKDAY(DATE(Semana!$J$3,1,4),3))+($S110-1)*7+IF($M110="",0,MATCH($M110,Listas!$F$5:$F$11,0)-1)))</f>
        <v>46258</v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1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1</v>
      </c>
      <c r="AD110" s="57" t="n">
        <f aca="false">IF($F110="","",IF(COUNTA($I110:$K110)=0,0,1/COUNTA($I110:$K110)))</f>
        <v>1</v>
      </c>
      <c r="AE110" s="57" t="str">
        <f aca="false">IF($AH110=0,"",SUM($AH$4:$AH110))</f>
        <v/>
      </c>
      <c r="AF110" s="57" t="n">
        <f aca="false">IF($AI110=0,"",SUM($AI$4:$AI110))</f>
        <v>28</v>
      </c>
      <c r="AG110" s="67" t="str">
        <f aca="false">IF($F110="","",$I110&amp;IF($J110="",""," · "&amp;$J110)&amp;IF($K110="",""," · "&amp;$K110))</f>
        <v>Alexandre</v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1</v>
      </c>
      <c r="AJ110" s="67" t="str">
        <f aca="false">IF($F110="","",$D110&amp;"|"&amp;$E110&amp;"|"&amp;$L110)</f>
        <v>F-815|Baixa de pendências backlog|36</v>
      </c>
      <c r="AK110" s="57" t="n">
        <f aca="false">IF($AJ110="","",COUNTIF($AJ$4:$AJ110,$AJ110))</f>
        <v>12</v>
      </c>
      <c r="AL110" s="57" t="n">
        <f aca="false">IF($AJ110="","",COUNTIF($AJ$4:$AJ$1004,$AJ110))</f>
        <v>34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58" t="s">
        <v>400</v>
      </c>
      <c r="D111" s="59" t="s">
        <v>178</v>
      </c>
      <c r="E111" s="59" t="s">
        <v>338</v>
      </c>
      <c r="F111" s="59" t="s">
        <v>401</v>
      </c>
      <c r="G111" s="60" t="s">
        <v>110</v>
      </c>
      <c r="H111" s="60" t="s">
        <v>88</v>
      </c>
      <c r="I111" s="61" t="s">
        <v>118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46266</v>
      </c>
      <c r="Q111" s="65"/>
      <c r="R111" s="60"/>
      <c r="S111" s="66" t="n">
        <v>35</v>
      </c>
      <c r="T111" s="59"/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1</v>
      </c>
      <c r="AD111" s="57" t="n">
        <f aca="false">IF($F111="","",IF(COUNTA($I111:$K111)=0,0,1/COUNTA($I111:$K111)))</f>
        <v>1</v>
      </c>
      <c r="AE111" s="57" t="str">
        <f aca="false">IF($AH111=0,"",SUM($AH$4:$AH111))</f>
        <v/>
      </c>
      <c r="AF111" s="57" t="n">
        <f aca="false">IF($AI111=0,"",SUM($AI$4:$AI111))</f>
        <v>29</v>
      </c>
      <c r="AG111" s="67" t="str">
        <f aca="false">IF($F111="","",$I111&amp;IF($J111="",""," · "&amp;$J111)&amp;IF($K111="",""," · "&amp;$K111))</f>
        <v>Alexandre</v>
      </c>
      <c r="AH111" s="57" t="n">
        <f aca="false">IF(AND($F111&lt;&gt;"",$O111&lt;&gt;"",$O111&lt;=Hoje!$C$3,$P111&gt;=Hoje!$C$3,$R111&lt;&gt;"Cancelada"),1,0)</f>
        <v>0</v>
      </c>
      <c r="AI111" s="57" t="n">
        <f aca="false">IF(AND($F111&lt;&gt;"",$P111&lt;&gt;"",$P111&lt;Hoje!$C$3,$AB111=0,$R111&lt;&gt;"Cancelada"),1,0)</f>
        <v>1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13</v>
      </c>
      <c r="AL111" s="57" t="n">
        <f aca="false">IF($AJ111="","",COUNTIF($AJ$4:$AJ$1004,$AJ111))</f>
        <v>34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VENCIDA</v>
      </c>
      <c r="C112" s="58" t="s">
        <v>402</v>
      </c>
      <c r="D112" s="59" t="s">
        <v>178</v>
      </c>
      <c r="E112" s="59" t="s">
        <v>338</v>
      </c>
      <c r="F112" s="59" t="s">
        <v>403</v>
      </c>
      <c r="G112" s="60" t="s">
        <v>110</v>
      </c>
      <c r="H112" s="60" t="s">
        <v>88</v>
      </c>
      <c r="I112" s="61" t="s">
        <v>128</v>
      </c>
      <c r="J112" s="61"/>
      <c r="K112" s="61"/>
      <c r="L112" s="62" t="n">
        <v>36</v>
      </c>
      <c r="M112" s="63" t="s">
        <v>112</v>
      </c>
      <c r="N112" s="62" t="n">
        <v>3</v>
      </c>
      <c r="O112" s="64" t="n">
        <f aca="false">IF(OR($L112="",$M112=""),"",(DATE(Semana!$J$3,1,4)-WEEKDAY(DATE(Semana!$J$3,1,4),3))+($L112-1)*7+MATCH($M112,Listas!$F$5:$F$11,0)-1)</f>
        <v>46265</v>
      </c>
      <c r="P112" s="64" t="n">
        <f aca="false">IF($O112="","",$O112+MAX(0,ROUNDUP($AK112*MAX(1,IF($N112="",1,$N112))/MAX(1,$AL112),0)-1))</f>
        <v>46266</v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n">
        <f aca="false">IF($O112="","",IF($S112="",$O112,(DATE(Semana!$J$3,1,4)-WEEKDAY(DATE(Semana!$J$3,1,4),3))+($S112-1)*7+IF($M112="",0,MATCH($M112,Listas!$F$5:$F$11,0)-1)))</f>
        <v>46258</v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1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1</v>
      </c>
      <c r="AD112" s="57" t="n">
        <f aca="false">IF($F112="","",IF(COUNTA($I112:$K112)=0,0,1/COUNTA($I112:$K112)))</f>
        <v>1</v>
      </c>
      <c r="AE112" s="57" t="str">
        <f aca="false">IF($AH112=0,"",SUM($AH$4:$AH112))</f>
        <v/>
      </c>
      <c r="AF112" s="57" t="n">
        <f aca="false">IF($AI112=0,"",SUM($AI$4:$AI112))</f>
        <v>30</v>
      </c>
      <c r="AG112" s="67" t="str">
        <f aca="false">IF($F112="","",$I112&amp;IF($J112="",""," · "&amp;$J112)&amp;IF($K112="",""," · "&amp;$K112))</f>
        <v>Heliton</v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1</v>
      </c>
      <c r="AJ112" s="67" t="str">
        <f aca="false">IF($F112="","",$D112&amp;"|"&amp;$E112&amp;"|"&amp;$L112)</f>
        <v>F-815|Baixa de pendências backlog|36</v>
      </c>
      <c r="AK112" s="57" t="n">
        <f aca="false">IF($AJ112="","",COUNTIF($AJ$4:$AJ112,$AJ112))</f>
        <v>14</v>
      </c>
      <c r="AL112" s="57" t="n">
        <f aca="false">IF($AJ112="","",COUNTIF($AJ$4:$AJ$1004,$AJ112))</f>
        <v>34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VENCIDA</v>
      </c>
      <c r="C113" s="58" t="s">
        <v>404</v>
      </c>
      <c r="D113" s="59" t="s">
        <v>178</v>
      </c>
      <c r="E113" s="59" t="s">
        <v>338</v>
      </c>
      <c r="F113" s="59" t="s">
        <v>405</v>
      </c>
      <c r="G113" s="60" t="s">
        <v>110</v>
      </c>
      <c r="H113" s="60" t="s">
        <v>88</v>
      </c>
      <c r="I113" s="61" t="s">
        <v>138</v>
      </c>
      <c r="J113" s="61"/>
      <c r="K113" s="61"/>
      <c r="L113" s="62" t="n">
        <v>36</v>
      </c>
      <c r="M113" s="63" t="s">
        <v>112</v>
      </c>
      <c r="N113" s="62" t="n">
        <v>3</v>
      </c>
      <c r="O113" s="64" t="n">
        <f aca="false">IF(OR($L113="",$M113=""),"",(DATE(Semana!$J$3,1,4)-WEEKDAY(DATE(Semana!$J$3,1,4),3))+($L113-1)*7+MATCH($M113,Listas!$F$5:$F$11,0)-1)</f>
        <v>46265</v>
      </c>
      <c r="P113" s="64" t="n">
        <f aca="false">IF($O113="","",$O113+MAX(0,ROUNDUP($AK113*MAX(1,IF($N113="",1,$N113))/MAX(1,$AL113),0)-1))</f>
        <v>46266</v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n">
        <f aca="false">IF($O113="","",IF($S113="",$O113,(DATE(Semana!$J$3,1,4)-WEEKDAY(DATE(Semana!$J$3,1,4),3))+($S113-1)*7+IF($M113="",0,MATCH($M113,Listas!$F$5:$F$11,0)-1)))</f>
        <v>46258</v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1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1</v>
      </c>
      <c r="AD113" s="57" t="n">
        <f aca="false">IF($F113="","",IF(COUNTA($I113:$K113)=0,0,1/COUNTA($I113:$K113)))</f>
        <v>1</v>
      </c>
      <c r="AE113" s="57" t="str">
        <f aca="false">IF($AH113=0,"",SUM($AH$4:$AH113))</f>
        <v/>
      </c>
      <c r="AF113" s="57" t="n">
        <f aca="false">IF($AI113=0,"",SUM($AI$4:$AI113))</f>
        <v>31</v>
      </c>
      <c r="AG113" s="67" t="str">
        <f aca="false">IF($F113="","",$I113&amp;IF($J113="",""," · "&amp;$J113)&amp;IF($K113="",""," · "&amp;$K113))</f>
        <v>Luiz Paulo</v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1</v>
      </c>
      <c r="AJ113" s="67" t="str">
        <f aca="false">IF($F113="","",$D113&amp;"|"&amp;$E113&amp;"|"&amp;$L113)</f>
        <v>F-815|Baixa de pendências backlog|36</v>
      </c>
      <c r="AK113" s="57" t="n">
        <f aca="false">IF($AJ113="","",COUNTIF($AJ$4:$AJ113,$AJ113))</f>
        <v>15</v>
      </c>
      <c r="AL113" s="57" t="n">
        <f aca="false">IF($AJ113="","",COUNTIF($AJ$4:$AJ$1004,$AJ113))</f>
        <v>34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VENCIDA</v>
      </c>
      <c r="C114" s="58" t="s">
        <v>406</v>
      </c>
      <c r="D114" s="59" t="s">
        <v>178</v>
      </c>
      <c r="E114" s="59" t="s">
        <v>338</v>
      </c>
      <c r="F114" s="59" t="s">
        <v>407</v>
      </c>
      <c r="G114" s="60" t="s">
        <v>110</v>
      </c>
      <c r="H114" s="60" t="s">
        <v>88</v>
      </c>
      <c r="I114" s="61" t="s">
        <v>128</v>
      </c>
      <c r="J114" s="61"/>
      <c r="K114" s="61"/>
      <c r="L114" s="62" t="n">
        <v>36</v>
      </c>
      <c r="M114" s="63" t="s">
        <v>112</v>
      </c>
      <c r="N114" s="62" t="n">
        <v>3</v>
      </c>
      <c r="O114" s="64" t="n">
        <f aca="false">IF(OR($L114="",$M114=""),"",(DATE(Semana!$J$3,1,4)-WEEKDAY(DATE(Semana!$J$3,1,4),3))+($L114-1)*7+MATCH($M114,Listas!$F$5:$F$11,0)-1)</f>
        <v>46265</v>
      </c>
      <c r="P114" s="64" t="n">
        <f aca="false">IF($O114="","",$O114+MAX(0,ROUNDUP($AK114*MAX(1,IF($N114="",1,$N114))/MAX(1,$AL114),0)-1))</f>
        <v>46266</v>
      </c>
      <c r="Q114" s="65"/>
      <c r="R114" s="60"/>
      <c r="S114" s="66" t="n">
        <v>35</v>
      </c>
      <c r="T114" s="59" t="s">
        <v>149</v>
      </c>
      <c r="U114" s="59"/>
      <c r="V114" s="57" t="str">
        <f aca="false">IF($F114="","",IF(ISNUMBER(SEARCH("(externo)",$I114&amp;$J114&amp;$K114)),"Terceirizada","Interna"))</f>
        <v>Interna</v>
      </c>
      <c r="W114" s="64" t="n">
        <f aca="false">IF($O114="","",IF($S114="",$O114,(DATE(Semana!$J$3,1,4)-WEEKDAY(DATE(Semana!$J$3,1,4),3))+($S114-1)*7+IF($M114="",0,MATCH($M114,Listas!$F$5:$F$11,0)-1)))</f>
        <v>46258</v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1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1</v>
      </c>
      <c r="AD114" s="57" t="n">
        <f aca="false">IF($F114="","",IF(COUNTA($I114:$K114)=0,0,1/COUNTA($I114:$K114)))</f>
        <v>1</v>
      </c>
      <c r="AE114" s="57" t="str">
        <f aca="false">IF($AH114=0,"",SUM($AH$4:$AH114))</f>
        <v/>
      </c>
      <c r="AF114" s="57" t="n">
        <f aca="false">IF($AI114=0,"",SUM($AI$4:$AI114))</f>
        <v>32</v>
      </c>
      <c r="AG114" s="67" t="str">
        <f aca="false">IF($F114="","",$I114&amp;IF($J114="",""," · "&amp;$J114)&amp;IF($K114="",""," · "&amp;$K114))</f>
        <v>Heliton</v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1</v>
      </c>
      <c r="AJ114" s="67" t="str">
        <f aca="false">IF($F114="","",$D114&amp;"|"&amp;$E114&amp;"|"&amp;$L114)</f>
        <v>F-815|Baixa de pendências backlog|36</v>
      </c>
      <c r="AK114" s="57" t="n">
        <f aca="false">IF($AJ114="","",COUNTIF($AJ$4:$AJ114,$AJ114))</f>
        <v>16</v>
      </c>
      <c r="AL114" s="57" t="n">
        <f aca="false">IF($AJ114="","",COUNTIF($AJ$4:$AJ$1004,$AJ114))</f>
        <v>34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58" t="s">
        <v>408</v>
      </c>
      <c r="D115" s="59" t="s">
        <v>178</v>
      </c>
      <c r="E115" s="59" t="s">
        <v>338</v>
      </c>
      <c r="F115" s="59" t="s">
        <v>409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46266</v>
      </c>
      <c r="Q115" s="65"/>
      <c r="R115" s="60"/>
      <c r="S115" s="66" t="n">
        <v>35</v>
      </c>
      <c r="T115" s="59"/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1</v>
      </c>
      <c r="AD115" s="57" t="n">
        <f aca="false">IF($F115="","",IF(COUNTA($I115:$K115)=0,0,1/COUNTA($I115:$K115)))</f>
        <v>1</v>
      </c>
      <c r="AE115" s="57" t="str">
        <f aca="false">IF($AH115=0,"",SUM($AH$4:$AH115))</f>
        <v/>
      </c>
      <c r="AF115" s="57" t="n">
        <f aca="false">IF($AI115=0,"",SUM($AI$4:$AI115))</f>
        <v>33</v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0</v>
      </c>
      <c r="AI115" s="57" t="n">
        <f aca="false">IF(AND($F115&lt;&gt;"",$P115&lt;&gt;"",$P115&lt;Hoje!$C$3,$AB115=0,$R115&lt;&gt;"Cancelada"),1,0)</f>
        <v>1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17</v>
      </c>
      <c r="AL115" s="57" t="n">
        <f aca="false">IF($AJ115="","",COUNTIF($AJ$4:$AJ$1004,$AJ115))</f>
        <v>34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58" t="s">
        <v>410</v>
      </c>
      <c r="D116" s="59" t="s">
        <v>178</v>
      </c>
      <c r="E116" s="59" t="s">
        <v>338</v>
      </c>
      <c r="F116" s="59" t="s">
        <v>411</v>
      </c>
      <c r="G116" s="60" t="s">
        <v>110</v>
      </c>
      <c r="H116" s="60" t="s">
        <v>88</v>
      </c>
      <c r="I116" s="61" t="s">
        <v>128</v>
      </c>
      <c r="J116" s="61"/>
      <c r="K116" s="61"/>
      <c r="L116" s="62" t="n">
        <v>36</v>
      </c>
      <c r="M116" s="63" t="s">
        <v>112</v>
      </c>
      <c r="N116" s="62" t="n">
        <v>3</v>
      </c>
      <c r="O116" s="64" t="n">
        <f aca="false">IF(OR($L116="",$M116=""),"",(DATE(Semana!$J$3,1,4)-WEEKDAY(DATE(Semana!$J$3,1,4),3))+($L116-1)*7+MATCH($M116,Listas!$F$5:$F$11,0)-1)</f>
        <v>46265</v>
      </c>
      <c r="P116" s="64" t="n">
        <f aca="false">IF($O116="","",$O116+MAX(0,ROUNDUP($AK116*MAX(1,IF($N116="",1,$N116))/MAX(1,$AL116),0)-1))</f>
        <v>46266</v>
      </c>
      <c r="Q116" s="65"/>
      <c r="R116" s="60"/>
      <c r="S116" s="66" t="n">
        <v>35</v>
      </c>
      <c r="T116" s="59" t="s">
        <v>149</v>
      </c>
      <c r="U116" s="59"/>
      <c r="V116" s="57" t="str">
        <f aca="false">IF($F116="","",IF(ISNUMBER(SEARCH("(externo)",$I116&amp;$J116&amp;$K116)),"Terceirizada","Interna"))</f>
        <v>Interna</v>
      </c>
      <c r="W116" s="64" t="n">
        <f aca="false">IF($O116="","",IF($S116="",$O116,(DATE(Semana!$J$3,1,4)-WEEKDAY(DATE(Semana!$J$3,1,4),3))+($S116-1)*7+IF($M116="",0,MATCH($M116,Listas!$F$5:$F$11,0)-1)))</f>
        <v>46258</v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1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1</v>
      </c>
      <c r="AD116" s="57" t="n">
        <f aca="false">IF($F116="","",IF(COUNTA($I116:$K116)=0,0,1/COUNTA($I116:$K116)))</f>
        <v>1</v>
      </c>
      <c r="AE116" s="57" t="str">
        <f aca="false">IF($AH116=0,"",SUM($AH$4:$AH116))</f>
        <v/>
      </c>
      <c r="AF116" s="57" t="n">
        <f aca="false">IF($AI116=0,"",SUM($AI$4:$AI116))</f>
        <v>34</v>
      </c>
      <c r="AG116" s="67" t="str">
        <f aca="false">IF($F116="","",$I116&amp;IF($J116="",""," · "&amp;$J116)&amp;IF($K116="",""," · "&amp;$K116))</f>
        <v>Heliton</v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1</v>
      </c>
      <c r="AJ116" s="67" t="str">
        <f aca="false">IF($F116="","",$D116&amp;"|"&amp;$E116&amp;"|"&amp;$L116)</f>
        <v>F-815|Baixa de pendências backlog|36</v>
      </c>
      <c r="AK116" s="57" t="n">
        <f aca="false">IF($AJ116="","",COUNTIF($AJ$4:$AJ116,$AJ116))</f>
        <v>18</v>
      </c>
      <c r="AL116" s="57" t="n">
        <f aca="false">IF($AJ116="","",COUNTIF($AJ$4:$AJ$1004,$AJ116))</f>
        <v>34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VENCIDA</v>
      </c>
      <c r="C117" s="58" t="s">
        <v>412</v>
      </c>
      <c r="D117" s="59" t="s">
        <v>178</v>
      </c>
      <c r="E117" s="59" t="s">
        <v>338</v>
      </c>
      <c r="F117" s="59" t="s">
        <v>413</v>
      </c>
      <c r="G117" s="60" t="s">
        <v>110</v>
      </c>
      <c r="H117" s="60" t="s">
        <v>88</v>
      </c>
      <c r="I117" s="61" t="s">
        <v>128</v>
      </c>
      <c r="J117" s="61"/>
      <c r="K117" s="61"/>
      <c r="L117" s="62" t="n">
        <v>36</v>
      </c>
      <c r="M117" s="63" t="s">
        <v>112</v>
      </c>
      <c r="N117" s="62" t="n">
        <v>3</v>
      </c>
      <c r="O117" s="64" t="n">
        <f aca="false">IF(OR($L117="",$M117=""),"",(DATE(Semana!$J$3,1,4)-WEEKDAY(DATE(Semana!$J$3,1,4),3))+($L117-1)*7+MATCH($M117,Listas!$F$5:$F$11,0)-1)</f>
        <v>46265</v>
      </c>
      <c r="P117" s="64" t="n">
        <f aca="false">IF($O117="","",$O117+MAX(0,ROUNDUP($AK117*MAX(1,IF($N117="",1,$N117))/MAX(1,$AL117),0)-1))</f>
        <v>46266</v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n">
        <f aca="false">IF($O117="","",IF($S117="",$O117,(DATE(Semana!$J$3,1,4)-WEEKDAY(DATE(Semana!$J$3,1,4),3))+($S117-1)*7+IF($M117="",0,MATCH($M117,Listas!$F$5:$F$11,0)-1)))</f>
        <v>46258</v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1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1</v>
      </c>
      <c r="AD117" s="57" t="n">
        <f aca="false">IF($F117="","",IF(COUNTA($I117:$K117)=0,0,1/COUNTA($I117:$K117)))</f>
        <v>1</v>
      </c>
      <c r="AE117" s="57" t="str">
        <f aca="false">IF($AH117=0,"",SUM($AH$4:$AH117))</f>
        <v/>
      </c>
      <c r="AF117" s="57" t="n">
        <f aca="false">IF($AI117=0,"",SUM($AI$4:$AI117))</f>
        <v>35</v>
      </c>
      <c r="AG117" s="67" t="str">
        <f aca="false">IF($F117="","",$I117&amp;IF($J117="",""," · "&amp;$J117)&amp;IF($K117="",""," · "&amp;$K117))</f>
        <v>Heliton</v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1</v>
      </c>
      <c r="AJ117" s="67" t="str">
        <f aca="false">IF($F117="","",$D117&amp;"|"&amp;$E117&amp;"|"&amp;$L117)</f>
        <v>F-815|Baixa de pendências backlog|36</v>
      </c>
      <c r="AK117" s="57" t="n">
        <f aca="false">IF($AJ117="","",COUNTIF($AJ$4:$AJ117,$AJ117))</f>
        <v>19</v>
      </c>
      <c r="AL117" s="57" t="n">
        <f aca="false">IF($AJ117="","",COUNTIF($AJ$4:$AJ$1004,$AJ117))</f>
        <v>34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58" t="s">
        <v>414</v>
      </c>
      <c r="D118" s="59" t="s">
        <v>178</v>
      </c>
      <c r="E118" s="59" t="s">
        <v>338</v>
      </c>
      <c r="F118" s="59" t="s">
        <v>415</v>
      </c>
      <c r="G118" s="60" t="s">
        <v>110</v>
      </c>
      <c r="H118" s="60" t="s">
        <v>88</v>
      </c>
      <c r="I118" s="61" t="s">
        <v>128</v>
      </c>
      <c r="J118" s="61"/>
      <c r="K118" s="61"/>
      <c r="L118" s="62" t="n">
        <v>36</v>
      </c>
      <c r="M118" s="63" t="s">
        <v>112</v>
      </c>
      <c r="N118" s="62" t="n">
        <v>3</v>
      </c>
      <c r="O118" s="64" t="n">
        <f aca="false">IF(OR($L118="",$M118=""),"",(DATE(Semana!$J$3,1,4)-WEEKDAY(DATE(Semana!$J$3,1,4),3))+($L118-1)*7+MATCH($M118,Listas!$F$5:$F$11,0)-1)</f>
        <v>46265</v>
      </c>
      <c r="P118" s="64" t="n">
        <f aca="false">IF($O118="","",$O118+MAX(0,ROUNDUP($AK118*MAX(1,IF($N118="",1,$N118))/MAX(1,$AL118),0)-1))</f>
        <v>46266</v>
      </c>
      <c r="Q118" s="65"/>
      <c r="R118" s="60"/>
      <c r="S118" s="66" t="n">
        <v>35</v>
      </c>
      <c r="T118" s="59" t="s">
        <v>149</v>
      </c>
      <c r="U118" s="59"/>
      <c r="V118" s="57" t="str">
        <f aca="false">IF($F118="","",IF(ISNUMBER(SEARCH("(externo)",$I118&amp;$J118&amp;$K118)),"Terceirizada","Interna"))</f>
        <v>Interna</v>
      </c>
      <c r="W118" s="64" t="n">
        <f aca="false">IF($O118="","",IF($S118="",$O118,(DATE(Semana!$J$3,1,4)-WEEKDAY(DATE(Semana!$J$3,1,4),3))+($S118-1)*7+IF($M118="",0,MATCH($M118,Listas!$F$5:$F$11,0)-1)))</f>
        <v>46258</v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1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1</v>
      </c>
      <c r="AD118" s="57" t="n">
        <f aca="false">IF($F118="","",IF(COUNTA($I118:$K118)=0,0,1/COUNTA($I118:$K118)))</f>
        <v>1</v>
      </c>
      <c r="AE118" s="57" t="str">
        <f aca="false">IF($AH118=0,"",SUM($AH$4:$AH118))</f>
        <v/>
      </c>
      <c r="AF118" s="57" t="n">
        <f aca="false">IF($AI118=0,"",SUM($AI$4:$AI118))</f>
        <v>36</v>
      </c>
      <c r="AG118" s="67" t="str">
        <f aca="false">IF($F118="","",$I118&amp;IF($J118="",""," · "&amp;$J118)&amp;IF($K118="",""," · "&amp;$K118))</f>
        <v>Heliton</v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1</v>
      </c>
      <c r="AJ118" s="67" t="str">
        <f aca="false">IF($F118="","",$D118&amp;"|"&amp;$E118&amp;"|"&amp;$L118)</f>
        <v>F-815|Baixa de pendências backlog|36</v>
      </c>
      <c r="AK118" s="57" t="n">
        <f aca="false">IF($AJ118="","",COUNTIF($AJ$4:$AJ118,$AJ118))</f>
        <v>20</v>
      </c>
      <c r="AL118" s="57" t="n">
        <f aca="false">IF($AJ118="","",COUNTIF($AJ$4:$AJ$1004,$AJ118))</f>
        <v>34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VENCIDA</v>
      </c>
      <c r="C119" s="58" t="s">
        <v>416</v>
      </c>
      <c r="D119" s="59" t="s">
        <v>178</v>
      </c>
      <c r="E119" s="59" t="s">
        <v>338</v>
      </c>
      <c r="F119" s="59" t="s">
        <v>417</v>
      </c>
      <c r="G119" s="60" t="s">
        <v>110</v>
      </c>
      <c r="H119" s="60" t="s">
        <v>88</v>
      </c>
      <c r="I119" s="61" t="s">
        <v>128</v>
      </c>
      <c r="J119" s="61"/>
      <c r="K119" s="61"/>
      <c r="L119" s="62" t="n">
        <v>36</v>
      </c>
      <c r="M119" s="63" t="s">
        <v>112</v>
      </c>
      <c r="N119" s="62" t="n">
        <v>3</v>
      </c>
      <c r="O119" s="64" t="n">
        <f aca="false">IF(OR($L119="",$M119=""),"",(DATE(Semana!$J$3,1,4)-WEEKDAY(DATE(Semana!$J$3,1,4),3))+($L119-1)*7+MATCH($M119,Listas!$F$5:$F$11,0)-1)</f>
        <v>46265</v>
      </c>
      <c r="P119" s="64" t="n">
        <f aca="false">IF($O119="","",$O119+MAX(0,ROUNDUP($AK119*MAX(1,IF($N119="",1,$N119))/MAX(1,$AL119),0)-1))</f>
        <v>46266</v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n">
        <f aca="false">IF($O119="","",IF($S119="",$O119,(DATE(Semana!$J$3,1,4)-WEEKDAY(DATE(Semana!$J$3,1,4),3))+($S119-1)*7+IF($M119="",0,MATCH($M119,Listas!$F$5:$F$11,0)-1)))</f>
        <v>46258</v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1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1</v>
      </c>
      <c r="AD119" s="57" t="n">
        <f aca="false">IF($F119="","",IF(COUNTA($I119:$K119)=0,0,1/COUNTA($I119:$K119)))</f>
        <v>1</v>
      </c>
      <c r="AE119" s="57" t="str">
        <f aca="false">IF($AH119=0,"",SUM($AH$4:$AH119))</f>
        <v/>
      </c>
      <c r="AF119" s="57" t="n">
        <f aca="false">IF($AI119=0,"",SUM($AI$4:$AI119))</f>
        <v>37</v>
      </c>
      <c r="AG119" s="67" t="str">
        <f aca="false">IF($F119="","",$I119&amp;IF($J119="",""," · "&amp;$J119)&amp;IF($K119="",""," · "&amp;$K119))</f>
        <v>Heliton</v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1</v>
      </c>
      <c r="AJ119" s="67" t="str">
        <f aca="false">IF($F119="","",$D119&amp;"|"&amp;$E119&amp;"|"&amp;$L119)</f>
        <v>F-815|Baixa de pendências backlog|36</v>
      </c>
      <c r="AK119" s="57" t="n">
        <f aca="false">IF($AJ119="","",COUNTIF($AJ$4:$AJ119,$AJ119))</f>
        <v>21</v>
      </c>
      <c r="AL119" s="57" t="n">
        <f aca="false">IF($AJ119="","",COUNTIF($AJ$4:$AJ$1004,$AJ119))</f>
        <v>34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VENCIDA</v>
      </c>
      <c r="C120" s="58" t="s">
        <v>418</v>
      </c>
      <c r="D120" s="59" t="s">
        <v>178</v>
      </c>
      <c r="E120" s="59" t="s">
        <v>338</v>
      </c>
      <c r="F120" s="59" t="s">
        <v>419</v>
      </c>
      <c r="G120" s="60" t="s">
        <v>110</v>
      </c>
      <c r="H120" s="60" t="s">
        <v>88</v>
      </c>
      <c r="I120" s="61" t="s">
        <v>118</v>
      </c>
      <c r="J120" s="61"/>
      <c r="K120" s="61"/>
      <c r="L120" s="62" t="n">
        <v>36</v>
      </c>
      <c r="M120" s="63" t="s">
        <v>112</v>
      </c>
      <c r="N120" s="62" t="n">
        <v>3</v>
      </c>
      <c r="O120" s="64" t="n">
        <f aca="false">IF(OR($L120="",$M120=""),"",(DATE(Semana!$J$3,1,4)-WEEKDAY(DATE(Semana!$J$3,1,4),3))+($L120-1)*7+MATCH($M120,Listas!$F$5:$F$11,0)-1)</f>
        <v>46265</v>
      </c>
      <c r="P120" s="64" t="n">
        <f aca="false">IF($O120="","",$O120+MAX(0,ROUNDUP($AK120*MAX(1,IF($N120="",1,$N120))/MAX(1,$AL120),0)-1))</f>
        <v>46266</v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n">
        <f aca="false">IF($O120="","",IF($S120="",$O120,(DATE(Semana!$J$3,1,4)-WEEKDAY(DATE(Semana!$J$3,1,4),3))+($S120-1)*7+IF($M120="",0,MATCH($M120,Listas!$F$5:$F$11,0)-1)))</f>
        <v>46258</v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1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1</v>
      </c>
      <c r="AD120" s="57" t="n">
        <f aca="false">IF($F120="","",IF(COUNTA($I120:$K120)=0,0,1/COUNTA($I120:$K120)))</f>
        <v>1</v>
      </c>
      <c r="AE120" s="57" t="str">
        <f aca="false">IF($AH120=0,"",SUM($AH$4:$AH120))</f>
        <v/>
      </c>
      <c r="AF120" s="57" t="n">
        <f aca="false">IF($AI120=0,"",SUM($AI$4:$AI120))</f>
        <v>38</v>
      </c>
      <c r="AG120" s="67" t="str">
        <f aca="false">IF($F120="","",$I120&amp;IF($J120="",""," · "&amp;$J120)&amp;IF($K120="",""," · "&amp;$K120))</f>
        <v>Alexandre</v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1</v>
      </c>
      <c r="AJ120" s="67" t="str">
        <f aca="false">IF($F120="","",$D120&amp;"|"&amp;$E120&amp;"|"&amp;$L120)</f>
        <v>F-815|Baixa de pendências backlog|36</v>
      </c>
      <c r="AK120" s="57" t="n">
        <f aca="false">IF($AJ120="","",COUNTIF($AJ$4:$AJ120,$AJ120))</f>
        <v>22</v>
      </c>
      <c r="AL120" s="57" t="n">
        <f aca="false">IF($AJ120="","",COUNTIF($AJ$4:$AJ$1004,$AJ120))</f>
        <v>34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VENCIDA</v>
      </c>
      <c r="C121" s="58" t="s">
        <v>420</v>
      </c>
      <c r="D121" s="59" t="s">
        <v>178</v>
      </c>
      <c r="E121" s="59" t="s">
        <v>338</v>
      </c>
      <c r="F121" s="59" t="s">
        <v>421</v>
      </c>
      <c r="G121" s="60" t="s">
        <v>110</v>
      </c>
      <c r="H121" s="60" t="s">
        <v>88</v>
      </c>
      <c r="I121" s="61" t="s">
        <v>128</v>
      </c>
      <c r="J121" s="61"/>
      <c r="K121" s="61"/>
      <c r="L121" s="62" t="n">
        <v>36</v>
      </c>
      <c r="M121" s="63" t="s">
        <v>112</v>
      </c>
      <c r="N121" s="62" t="n">
        <v>3</v>
      </c>
      <c r="O121" s="64" t="n">
        <f aca="false">IF(OR($L121="",$M121=""),"",(DATE(Semana!$J$3,1,4)-WEEKDAY(DATE(Semana!$J$3,1,4),3))+($L121-1)*7+MATCH($M121,Listas!$F$5:$F$11,0)-1)</f>
        <v>46265</v>
      </c>
      <c r="P121" s="64" t="n">
        <f aca="false">IF($O121="","",$O121+MAX(0,ROUNDUP($AK121*MAX(1,IF($N121="",1,$N121))/MAX(1,$AL121),0)-1))</f>
        <v>46267</v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n">
        <f aca="false">IF($O121="","",IF($S121="",$O121,(DATE(Semana!$J$3,1,4)-WEEKDAY(DATE(Semana!$J$3,1,4),3))+($S121-1)*7+IF($M121="",0,MATCH($M121,Listas!$F$5:$F$11,0)-1)))</f>
        <v>46258</v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1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1</v>
      </c>
      <c r="AD121" s="57" t="n">
        <f aca="false">IF($F121="","",IF(COUNTA($I121:$K121)=0,0,1/COUNTA($I121:$K121)))</f>
        <v>1</v>
      </c>
      <c r="AE121" s="57" t="n">
        <f aca="false">IF($AH121=0,"",SUM($AH$4:$AH121))</f>
        <v>8</v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>Heliton</v>
      </c>
      <c r="AH121" s="57" t="n">
        <f aca="false">IF(AND($F121&lt;&gt;"",$O121&lt;&gt;"",$O121&lt;=Hoje!$C$3,$P121&gt;=Hoje!$C$3,$R121&lt;&gt;"Cancelada"),1,0)</f>
        <v>1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backlog|36</v>
      </c>
      <c r="AK121" s="57" t="n">
        <f aca="false">IF($AJ121="","",COUNTIF($AJ$4:$AJ121,$AJ121))</f>
        <v>23</v>
      </c>
      <c r="AL121" s="57" t="n">
        <f aca="false">IF($AJ121="","",COUNTIF($AJ$4:$AJ$1004,$AJ121))</f>
        <v>34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VENCIDA</v>
      </c>
      <c r="C122" s="58" t="s">
        <v>422</v>
      </c>
      <c r="D122" s="59" t="s">
        <v>178</v>
      </c>
      <c r="E122" s="59" t="s">
        <v>338</v>
      </c>
      <c r="F122" s="59" t="s">
        <v>423</v>
      </c>
      <c r="G122" s="60" t="s">
        <v>110</v>
      </c>
      <c r="H122" s="60" t="s">
        <v>88</v>
      </c>
      <c r="I122" s="61" t="s">
        <v>128</v>
      </c>
      <c r="J122" s="61"/>
      <c r="K122" s="61"/>
      <c r="L122" s="62" t="n">
        <v>36</v>
      </c>
      <c r="M122" s="63" t="s">
        <v>112</v>
      </c>
      <c r="N122" s="62" t="n">
        <v>3</v>
      </c>
      <c r="O122" s="64" t="n">
        <f aca="false">IF(OR($L122="",$M122=""),"",(DATE(Semana!$J$3,1,4)-WEEKDAY(DATE(Semana!$J$3,1,4),3))+($L122-1)*7+MATCH($M122,Listas!$F$5:$F$11,0)-1)</f>
        <v>46265</v>
      </c>
      <c r="P122" s="64" t="n">
        <f aca="false">IF($O122="","",$O122+MAX(0,ROUNDUP($AK122*MAX(1,IF($N122="",1,$N122))/MAX(1,$AL122),0)-1))</f>
        <v>46267</v>
      </c>
      <c r="Q122" s="65"/>
      <c r="R122" s="60"/>
      <c r="S122" s="66" t="n">
        <v>35</v>
      </c>
      <c r="T122" s="59" t="s">
        <v>149</v>
      </c>
      <c r="U122" s="59"/>
      <c r="V122" s="57" t="str">
        <f aca="false">IF($F122="","",IF(ISNUMBER(SEARCH("(externo)",$I122&amp;$J122&amp;$K122)),"Terceirizada","Interna"))</f>
        <v>Interna</v>
      </c>
      <c r="W122" s="64" t="n">
        <f aca="false">IF($O122="","",IF($S122="",$O122,(DATE(Semana!$J$3,1,4)-WEEKDAY(DATE(Semana!$J$3,1,4),3))+($S122-1)*7+IF($M122="",0,MATCH($M122,Listas!$F$5:$F$11,0)-1)))</f>
        <v>46258</v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1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1</v>
      </c>
      <c r="AD122" s="57" t="n">
        <f aca="false">IF($F122="","",IF(COUNTA($I122:$K122)=0,0,1/COUNTA($I122:$K122)))</f>
        <v>1</v>
      </c>
      <c r="AE122" s="57" t="n">
        <f aca="false">IF($AH122=0,"",SUM($AH$4:$AH122))</f>
        <v>9</v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>Heliton</v>
      </c>
      <c r="AH122" s="57" t="n">
        <f aca="false">IF(AND($F122&lt;&gt;"",$O122&lt;&gt;"",$O122&lt;=Hoje!$C$3,$P122&gt;=Hoje!$C$3,$R122&lt;&gt;"Cancelada"),1,0)</f>
        <v>1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backlog|36</v>
      </c>
      <c r="AK122" s="57" t="n">
        <f aca="false">IF($AJ122="","",COUNTIF($AJ$4:$AJ122,$AJ122))</f>
        <v>24</v>
      </c>
      <c r="AL122" s="57" t="n">
        <f aca="false">IF($AJ122="","",COUNTIF($AJ$4:$AJ$1004,$AJ122))</f>
        <v>34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VENCIDA</v>
      </c>
      <c r="C123" s="58" t="s">
        <v>424</v>
      </c>
      <c r="D123" s="59" t="s">
        <v>178</v>
      </c>
      <c r="E123" s="59" t="s">
        <v>338</v>
      </c>
      <c r="F123" s="59" t="s">
        <v>425</v>
      </c>
      <c r="G123" s="60" t="s">
        <v>110</v>
      </c>
      <c r="H123" s="60" t="s">
        <v>88</v>
      </c>
      <c r="I123" s="61" t="s">
        <v>118</v>
      </c>
      <c r="J123" s="61"/>
      <c r="K123" s="61"/>
      <c r="L123" s="62" t="n">
        <v>36</v>
      </c>
      <c r="M123" s="63" t="s">
        <v>112</v>
      </c>
      <c r="N123" s="62" t="n">
        <v>3</v>
      </c>
      <c r="O123" s="64" t="n">
        <f aca="false">IF(OR($L123="",$M123=""),"",(DATE(Semana!$J$3,1,4)-WEEKDAY(DATE(Semana!$J$3,1,4),3))+($L123-1)*7+MATCH($M123,Listas!$F$5:$F$11,0)-1)</f>
        <v>46265</v>
      </c>
      <c r="P123" s="64" t="n">
        <f aca="false">IF($O123="","",$O123+MAX(0,ROUNDUP($AK123*MAX(1,IF($N123="",1,$N123))/MAX(1,$AL123),0)-1))</f>
        <v>46267</v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n">
        <f aca="false">IF($O123="","",IF($S123="",$O123,(DATE(Semana!$J$3,1,4)-WEEKDAY(DATE(Semana!$J$3,1,4),3))+($S123-1)*7+IF($M123="",0,MATCH($M123,Listas!$F$5:$F$11,0)-1)))</f>
        <v>46258</v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1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1</v>
      </c>
      <c r="AD123" s="57" t="n">
        <f aca="false">IF($F123="","",IF(COUNTA($I123:$K123)=0,0,1/COUNTA($I123:$K123)))</f>
        <v>1</v>
      </c>
      <c r="AE123" s="57" t="n">
        <f aca="false">IF($AH123=0,"",SUM($AH$4:$AH123))</f>
        <v>10</v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>Alexandre</v>
      </c>
      <c r="AH123" s="57" t="n">
        <f aca="false">IF(AND($F123&lt;&gt;"",$O123&lt;&gt;"",$O123&lt;=Hoje!$C$3,$P123&gt;=Hoje!$C$3,$R123&lt;&gt;"Cancelada"),1,0)</f>
        <v>1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backlog|36</v>
      </c>
      <c r="AK123" s="57" t="n">
        <f aca="false">IF($AJ123="","",COUNTIF($AJ$4:$AJ123,$AJ123))</f>
        <v>25</v>
      </c>
      <c r="AL123" s="57" t="n">
        <f aca="false">IF($AJ123="","",COUNTIF($AJ$4:$AJ$1004,$AJ123))</f>
        <v>34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VENCIDA</v>
      </c>
      <c r="C124" s="58" t="s">
        <v>426</v>
      </c>
      <c r="D124" s="59" t="s">
        <v>178</v>
      </c>
      <c r="E124" s="59" t="s">
        <v>338</v>
      </c>
      <c r="F124" s="59" t="s">
        <v>427</v>
      </c>
      <c r="G124" s="60" t="s">
        <v>110</v>
      </c>
      <c r="H124" s="60" t="s">
        <v>88</v>
      </c>
      <c r="I124" s="61" t="s">
        <v>118</v>
      </c>
      <c r="J124" s="61"/>
      <c r="K124" s="61"/>
      <c r="L124" s="62" t="n">
        <v>36</v>
      </c>
      <c r="M124" s="63" t="s">
        <v>112</v>
      </c>
      <c r="N124" s="62" t="n">
        <v>3</v>
      </c>
      <c r="O124" s="64" t="n">
        <f aca="false">IF(OR($L124="",$M124=""),"",(DATE(Semana!$J$3,1,4)-WEEKDAY(DATE(Semana!$J$3,1,4),3))+($L124-1)*7+MATCH($M124,Listas!$F$5:$F$11,0)-1)</f>
        <v>46265</v>
      </c>
      <c r="P124" s="64" t="n">
        <f aca="false">IF($O124="","",$O124+MAX(0,ROUNDUP($AK124*MAX(1,IF($N124="",1,$N124))/MAX(1,$AL124),0)-1))</f>
        <v>46267</v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n">
        <f aca="false">IF($O124="","",IF($S124="",$O124,(DATE(Semana!$J$3,1,4)-WEEKDAY(DATE(Semana!$J$3,1,4),3))+($S124-1)*7+IF($M124="",0,MATCH($M124,Listas!$F$5:$F$11,0)-1)))</f>
        <v>46258</v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1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1</v>
      </c>
      <c r="AD124" s="57" t="n">
        <f aca="false">IF($F124="","",IF(COUNTA($I124:$K124)=0,0,1/COUNTA($I124:$K124)))</f>
        <v>1</v>
      </c>
      <c r="AE124" s="57" t="n">
        <f aca="false">IF($AH124=0,"",SUM($AH$4:$AH124))</f>
        <v>11</v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>Alexandre</v>
      </c>
      <c r="AH124" s="57" t="n">
        <f aca="false">IF(AND($F124&lt;&gt;"",$O124&lt;&gt;"",$O124&lt;=Hoje!$C$3,$P124&gt;=Hoje!$C$3,$R124&lt;&gt;"Cancelada"),1,0)</f>
        <v>1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backlog|36</v>
      </c>
      <c r="AK124" s="57" t="n">
        <f aca="false">IF($AJ124="","",COUNTIF($AJ$4:$AJ124,$AJ124))</f>
        <v>26</v>
      </c>
      <c r="AL124" s="57" t="n">
        <f aca="false">IF($AJ124="","",COUNTIF($AJ$4:$AJ$1004,$AJ124))</f>
        <v>34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VENCIDA</v>
      </c>
      <c r="C125" s="58" t="s">
        <v>428</v>
      </c>
      <c r="D125" s="59" t="s">
        <v>178</v>
      </c>
      <c r="E125" s="59" t="s">
        <v>338</v>
      </c>
      <c r="F125" s="59" t="s">
        <v>429</v>
      </c>
      <c r="G125" s="60" t="s">
        <v>110</v>
      </c>
      <c r="H125" s="60" t="s">
        <v>88</v>
      </c>
      <c r="I125" s="61" t="s">
        <v>128</v>
      </c>
      <c r="J125" s="61"/>
      <c r="K125" s="61"/>
      <c r="L125" s="62" t="n">
        <v>36</v>
      </c>
      <c r="M125" s="63" t="s">
        <v>112</v>
      </c>
      <c r="N125" s="62" t="n">
        <v>3</v>
      </c>
      <c r="O125" s="64" t="n">
        <f aca="false">IF(OR($L125="",$M125=""),"",(DATE(Semana!$J$3,1,4)-WEEKDAY(DATE(Semana!$J$3,1,4),3))+($L125-1)*7+MATCH($M125,Listas!$F$5:$F$11,0)-1)</f>
        <v>46265</v>
      </c>
      <c r="P125" s="64" t="n">
        <f aca="false">IF($O125="","",$O125+MAX(0,ROUNDUP($AK125*MAX(1,IF($N125="",1,$N125))/MAX(1,$AL125),0)-1))</f>
        <v>46267</v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n">
        <f aca="false">IF($O125="","",IF($S125="",$O125,(DATE(Semana!$J$3,1,4)-WEEKDAY(DATE(Semana!$J$3,1,4),3))+($S125-1)*7+IF($M125="",0,MATCH($M125,Listas!$F$5:$F$11,0)-1)))</f>
        <v>46258</v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1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1</v>
      </c>
      <c r="AD125" s="57" t="n">
        <f aca="false">IF($F125="","",IF(COUNTA($I125:$K125)=0,0,1/COUNTA($I125:$K125)))</f>
        <v>1</v>
      </c>
      <c r="AE125" s="57" t="n">
        <f aca="false">IF($AH125=0,"",SUM($AH$4:$AH125))</f>
        <v>12</v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>Heliton</v>
      </c>
      <c r="AH125" s="57" t="n">
        <f aca="false">IF(AND($F125&lt;&gt;"",$O125&lt;&gt;"",$O125&lt;=Hoje!$C$3,$P125&gt;=Hoje!$C$3,$R125&lt;&gt;"Cancelada"),1,0)</f>
        <v>1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backlog|36</v>
      </c>
      <c r="AK125" s="57" t="n">
        <f aca="false">IF($AJ125="","",COUNTIF($AJ$4:$AJ125,$AJ125))</f>
        <v>27</v>
      </c>
      <c r="AL125" s="57" t="n">
        <f aca="false">IF($AJ125="","",COUNTIF($AJ$4:$AJ$1004,$AJ125))</f>
        <v>34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58" t="s">
        <v>430</v>
      </c>
      <c r="D126" s="59" t="s">
        <v>178</v>
      </c>
      <c r="E126" s="59" t="s">
        <v>338</v>
      </c>
      <c r="F126" s="59" t="s">
        <v>431</v>
      </c>
      <c r="G126" s="60" t="s">
        <v>110</v>
      </c>
      <c r="H126" s="60" t="s">
        <v>88</v>
      </c>
      <c r="I126" s="61" t="s">
        <v>128</v>
      </c>
      <c r="J126" s="61"/>
      <c r="K126" s="61"/>
      <c r="L126" s="62" t="n">
        <v>36</v>
      </c>
      <c r="M126" s="63" t="s">
        <v>112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46265</v>
      </c>
      <c r="P126" s="64" t="n">
        <f aca="false">IF($O126="","",$O126+MAX(0,ROUNDUP($AK126*MAX(1,IF($N126="",1,$N126))/MAX(1,$AL126),0)-1))</f>
        <v>46267</v>
      </c>
      <c r="Q126" s="65"/>
      <c r="R126" s="60"/>
      <c r="S126" s="66" t="n">
        <v>35</v>
      </c>
      <c r="T126" s="59"/>
      <c r="U126" s="59"/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46258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1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1</v>
      </c>
      <c r="AE126" s="57" t="n">
        <f aca="false">IF($AH126=0,"",SUM($AH$4:$AH126))</f>
        <v>13</v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Heliton</v>
      </c>
      <c r="AH126" s="57" t="n">
        <f aca="false">IF(AND($F126&lt;&gt;"",$O126&lt;&gt;"",$O126&lt;=Hoje!$C$3,$P126&gt;=Hoje!$C$3,$R126&lt;&gt;"Cancelada"),1,0)</f>
        <v>1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F-815|Baixa de pendências backlog|36</v>
      </c>
      <c r="AK126" s="57" t="n">
        <f aca="false">IF($AJ126="","",COUNTIF($AJ$4:$AJ126,$AJ126))</f>
        <v>28</v>
      </c>
      <c r="AL126" s="57" t="n">
        <f aca="false">IF($AJ126="","",COUNTIF($AJ$4:$AJ$1004,$AJ126))</f>
        <v>34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VENCIDA</v>
      </c>
      <c r="C127" s="58" t="s">
        <v>432</v>
      </c>
      <c r="D127" s="59" t="s">
        <v>178</v>
      </c>
      <c r="E127" s="59" t="s">
        <v>338</v>
      </c>
      <c r="F127" s="59" t="s">
        <v>433</v>
      </c>
      <c r="G127" s="60" t="s">
        <v>110</v>
      </c>
      <c r="H127" s="60" t="s">
        <v>88</v>
      </c>
      <c r="I127" s="61" t="s">
        <v>128</v>
      </c>
      <c r="J127" s="61"/>
      <c r="K127" s="61"/>
      <c r="L127" s="62" t="n">
        <v>36</v>
      </c>
      <c r="M127" s="63" t="s">
        <v>112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46265</v>
      </c>
      <c r="P127" s="64" t="n">
        <f aca="false">IF($O127="","",$O127+MAX(0,ROUNDUP($AK127*MAX(1,IF($N127="",1,$N127))/MAX(1,$AL127),0)-1))</f>
        <v>46267</v>
      </c>
      <c r="Q127" s="65"/>
      <c r="R127" s="60"/>
      <c r="S127" s="66" t="n">
        <v>35</v>
      </c>
      <c r="T127" s="59"/>
      <c r="U127" s="59"/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46258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1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1</v>
      </c>
      <c r="AE127" s="57" t="n">
        <f aca="false">IF($AH127=0,"",SUM($AH$4:$AH127))</f>
        <v>14</v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Heliton</v>
      </c>
      <c r="AH127" s="57" t="n">
        <f aca="false">IF(AND($F127&lt;&gt;"",$O127&lt;&gt;"",$O127&lt;=Hoje!$C$3,$P127&gt;=Hoje!$C$3,$R127&lt;&gt;"Cancelada"),1,0)</f>
        <v>1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F-815|Baixa de pendências backlog|36</v>
      </c>
      <c r="AK127" s="57" t="n">
        <f aca="false">IF($AJ127="","",COUNTIF($AJ$4:$AJ127,$AJ127))</f>
        <v>29</v>
      </c>
      <c r="AL127" s="57" t="n">
        <f aca="false">IF($AJ127="","",COUNTIF($AJ$4:$AJ$1004,$AJ127))</f>
        <v>34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VENCIDA</v>
      </c>
      <c r="C128" s="58" t="s">
        <v>434</v>
      </c>
      <c r="D128" s="59" t="s">
        <v>178</v>
      </c>
      <c r="E128" s="59" t="s">
        <v>338</v>
      </c>
      <c r="F128" s="59" t="s">
        <v>435</v>
      </c>
      <c r="G128" s="60" t="s">
        <v>110</v>
      </c>
      <c r="H128" s="60" t="s">
        <v>88</v>
      </c>
      <c r="I128" s="61" t="s">
        <v>118</v>
      </c>
      <c r="J128" s="61"/>
      <c r="K128" s="61"/>
      <c r="L128" s="62" t="n">
        <v>36</v>
      </c>
      <c r="M128" s="63" t="s">
        <v>112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46265</v>
      </c>
      <c r="P128" s="64" t="n">
        <f aca="false">IF($O128="","",$O128+MAX(0,ROUNDUP($AK128*MAX(1,IF($N128="",1,$N128))/MAX(1,$AL128),0)-1))</f>
        <v>46267</v>
      </c>
      <c r="Q128" s="65"/>
      <c r="R128" s="60"/>
      <c r="S128" s="66" t="n">
        <v>35</v>
      </c>
      <c r="T128" s="59"/>
      <c r="U128" s="59"/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46258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1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1</v>
      </c>
      <c r="AE128" s="57" t="n">
        <f aca="false">IF($AH128=0,"",SUM($AH$4:$AH128))</f>
        <v>15</v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Alexandre</v>
      </c>
      <c r="AH128" s="57" t="n">
        <f aca="false">IF(AND($F128&lt;&gt;"",$O128&lt;&gt;"",$O128&lt;=Hoje!$C$3,$P128&gt;=Hoje!$C$3,$R128&lt;&gt;"Cancelada"),1,0)</f>
        <v>1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F-815|Baixa de pendências backlog|36</v>
      </c>
      <c r="AK128" s="57" t="n">
        <f aca="false">IF($AJ128="","",COUNTIF($AJ$4:$AJ128,$AJ128))</f>
        <v>30</v>
      </c>
      <c r="AL128" s="57" t="n">
        <f aca="false">IF($AJ128="","",COUNTIF($AJ$4:$AJ$1004,$AJ128))</f>
        <v>34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58" t="s">
        <v>436</v>
      </c>
      <c r="D129" s="59" t="s">
        <v>178</v>
      </c>
      <c r="E129" s="59" t="s">
        <v>338</v>
      </c>
      <c r="F129" s="59" t="s">
        <v>437</v>
      </c>
      <c r="G129" s="60" t="s">
        <v>110</v>
      </c>
      <c r="H129" s="60" t="s">
        <v>88</v>
      </c>
      <c r="I129" s="61" t="s">
        <v>118</v>
      </c>
      <c r="J129" s="61"/>
      <c r="K129" s="61"/>
      <c r="L129" s="62" t="n">
        <v>36</v>
      </c>
      <c r="M129" s="63" t="s">
        <v>112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46265</v>
      </c>
      <c r="P129" s="64" t="n">
        <f aca="false">IF($O129="","",$O129+MAX(0,ROUNDUP($AK129*MAX(1,IF($N129="",1,$N129))/MAX(1,$AL129),0)-1))</f>
        <v>46267</v>
      </c>
      <c r="Q129" s="65"/>
      <c r="R129" s="60"/>
      <c r="S129" s="66" t="n">
        <v>35</v>
      </c>
      <c r="T129" s="59"/>
      <c r="U129" s="59"/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46258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1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1</v>
      </c>
      <c r="AE129" s="57" t="n">
        <f aca="false">IF($AH129=0,"",SUM($AH$4:$AH129))</f>
        <v>16</v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Alexandre</v>
      </c>
      <c r="AH129" s="57" t="n">
        <f aca="false">IF(AND($F129&lt;&gt;"",$O129&lt;&gt;"",$O129&lt;=Hoje!$C$3,$P129&gt;=Hoje!$C$3,$R129&lt;&gt;"Cancelada"),1,0)</f>
        <v>1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F-815|Baixa de pendências backlog|36</v>
      </c>
      <c r="AK129" s="57" t="n">
        <f aca="false">IF($AJ129="","",COUNTIF($AJ$4:$AJ129,$AJ129))</f>
        <v>31</v>
      </c>
      <c r="AL129" s="57" t="n">
        <f aca="false">IF($AJ129="","",COUNTIF($AJ$4:$AJ$1004,$AJ129))</f>
        <v>34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58" t="s">
        <v>438</v>
      </c>
      <c r="D130" s="59" t="s">
        <v>178</v>
      </c>
      <c r="E130" s="59" t="s">
        <v>338</v>
      </c>
      <c r="F130" s="59" t="s">
        <v>439</v>
      </c>
      <c r="G130" s="60" t="s">
        <v>110</v>
      </c>
      <c r="H130" s="60" t="s">
        <v>88</v>
      </c>
      <c r="I130" s="61" t="s">
        <v>128</v>
      </c>
      <c r="J130" s="61"/>
      <c r="K130" s="61"/>
      <c r="L130" s="62" t="n">
        <v>36</v>
      </c>
      <c r="M130" s="63" t="s">
        <v>112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46265</v>
      </c>
      <c r="P130" s="64" t="n">
        <f aca="false">IF($O130="","",$O130+MAX(0,ROUNDUP($AK130*MAX(1,IF($N130="",1,$N130))/MAX(1,$AL130),0)-1))</f>
        <v>46267</v>
      </c>
      <c r="Q130" s="65"/>
      <c r="R130" s="60"/>
      <c r="S130" s="66" t="n">
        <v>35</v>
      </c>
      <c r="T130" s="59"/>
      <c r="U130" s="59"/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46258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1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1</v>
      </c>
      <c r="AE130" s="57" t="n">
        <f aca="false">IF($AH130=0,"",SUM($AH$4:$AH130))</f>
        <v>17</v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Heliton</v>
      </c>
      <c r="AH130" s="57" t="n">
        <f aca="false">IF(AND($F130&lt;&gt;"",$O130&lt;&gt;"",$O130&lt;=Hoje!$C$3,$P130&gt;=Hoje!$C$3,$R130&lt;&gt;"Cancelada"),1,0)</f>
        <v>1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F-815|Baixa de pendências backlog|36</v>
      </c>
      <c r="AK130" s="57" t="n">
        <f aca="false">IF($AJ130="","",COUNTIF($AJ$4:$AJ130,$AJ130))</f>
        <v>32</v>
      </c>
      <c r="AL130" s="57" t="n">
        <f aca="false">IF($AJ130="","",COUNTIF($AJ$4:$AJ$1004,$AJ130))</f>
        <v>34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VENCIDA</v>
      </c>
      <c r="C131" s="58"/>
      <c r="D131" s="59" t="s">
        <v>178</v>
      </c>
      <c r="E131" s="59" t="s">
        <v>338</v>
      </c>
      <c r="F131" s="59" t="s">
        <v>440</v>
      </c>
      <c r="G131" s="60" t="s">
        <v>110</v>
      </c>
      <c r="H131" s="60" t="s">
        <v>88</v>
      </c>
      <c r="I131" s="61"/>
      <c r="J131" s="61"/>
      <c r="K131" s="61"/>
      <c r="L131" s="62" t="n">
        <v>36</v>
      </c>
      <c r="M131" s="63" t="s">
        <v>112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46265</v>
      </c>
      <c r="P131" s="64" t="n">
        <f aca="false">IF($O131="","",$O131+MAX(0,ROUNDUP($AK131*MAX(1,IF($N131="",1,$N131))/MAX(1,$AL131),0)-1))</f>
        <v>46267</v>
      </c>
      <c r="Q131" s="65"/>
      <c r="R131" s="60"/>
      <c r="S131" s="66" t="n">
        <v>35</v>
      </c>
      <c r="T131" s="59" t="s">
        <v>111</v>
      </c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46258</v>
      </c>
      <c r="X131" s="57" t="n">
        <f aca="false">IF($F131="","",IF(OR($Q131="",$O131=""),0,IF($Q131&lt;=$O131,1,0)))</f>
        <v>0</v>
      </c>
      <c r="Y131" s="57" t="n">
        <f aca="false">IF($F131="","",IF(OR($Q131="",$W131=""),0,IF($Q131&lt;=$W131,1,0)))</f>
        <v>0</v>
      </c>
      <c r="Z131" s="57" t="str">
        <f aca="false">IF(OR($Q131="",$O131=""),"",MAX(0,$Q131-$O131))</f>
        <v/>
      </c>
      <c r="AA131" s="57" t="n">
        <f aca="false">IF($F131="","",IF(AND($S131&lt;&gt;"",$L131&lt;&gt;"",$S131&lt;&gt;$L131),1,0))</f>
        <v>1</v>
      </c>
      <c r="AB131" s="57" t="n">
        <f aca="false">IF($F131="","",IF($R131="Cancelada",0,IF(OR($Q131&lt;&gt;"",$R131="Concluída"),1,0)))</f>
        <v>0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0</v>
      </c>
      <c r="AE131" s="57" t="n">
        <f aca="false">IF($AH131=0,"",SUM($AH$4:$AH131))</f>
        <v>18</v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/>
      </c>
      <c r="AH131" s="57" t="n">
        <f aca="false">IF(AND($F131&lt;&gt;"",$O131&lt;&gt;"",$O131&lt;=Hoje!$C$3,$P131&gt;=Hoje!$C$3,$R131&lt;&gt;"Cancelada"),1,0)</f>
        <v>1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F-815|Baixa de pendências backlog|36</v>
      </c>
      <c r="AK131" s="57" t="n">
        <f aca="false">IF($AJ131="","",COUNTIF($AJ$4:$AJ131,$AJ131))</f>
        <v>33</v>
      </c>
      <c r="AL131" s="57" t="n">
        <f aca="false">IF($AJ131="","",COUNTIF($AJ$4:$AJ$1004,$AJ131))</f>
        <v>34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VENCIDA</v>
      </c>
      <c r="C132" s="58" t="s">
        <v>404</v>
      </c>
      <c r="D132" s="59" t="s">
        <v>178</v>
      </c>
      <c r="E132" s="59" t="s">
        <v>338</v>
      </c>
      <c r="F132" s="59" t="s">
        <v>227</v>
      </c>
      <c r="G132" s="60" t="s">
        <v>110</v>
      </c>
      <c r="H132" s="60" t="s">
        <v>88</v>
      </c>
      <c r="I132" s="61" t="s">
        <v>138</v>
      </c>
      <c r="J132" s="61"/>
      <c r="K132" s="61"/>
      <c r="L132" s="62" t="n">
        <v>36</v>
      </c>
      <c r="M132" s="63" t="s">
        <v>112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46265</v>
      </c>
      <c r="P132" s="64" t="n">
        <f aca="false">IF($O132="","",$O132+MAX(0,ROUNDUP($AK132*MAX(1,IF($N132="",1,$N132))/MAX(1,$AL132),0)-1))</f>
        <v>46267</v>
      </c>
      <c r="Q132" s="65"/>
      <c r="R132" s="60"/>
      <c r="S132" s="66" t="n">
        <v>35</v>
      </c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46258</v>
      </c>
      <c r="X132" s="57" t="n">
        <f aca="false">IF($F132="","",IF(OR($Q132="",$O132=""),0,IF($Q132&lt;=$O132,1,0)))</f>
        <v>0</v>
      </c>
      <c r="Y132" s="57" t="n">
        <f aca="false">IF($F132="","",IF(OR($Q132="",$W132=""),0,IF($Q132&lt;=$W132,1,0)))</f>
        <v>0</v>
      </c>
      <c r="Z132" s="57" t="str">
        <f aca="false">IF(OR($Q132="",$O132=""),"",MAX(0,$Q132-$O132))</f>
        <v/>
      </c>
      <c r="AA132" s="57" t="n">
        <f aca="false">IF($F132="","",IF(AND($S132&lt;&gt;"",$L132&lt;&gt;"",$S132&lt;&gt;$L132),1,0))</f>
        <v>1</v>
      </c>
      <c r="AB132" s="57" t="n">
        <f aca="false">IF($F132="","",IF($R132="Cancelada",0,IF(OR($Q132&lt;&gt;"",$R132="Concluída"),1,0)))</f>
        <v>0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n">
        <f aca="false">IF($AH132=0,"",SUM($AH$4:$AH132))</f>
        <v>19</v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Luiz Paulo</v>
      </c>
      <c r="AH132" s="57" t="n">
        <f aca="false">IF(AND($F132&lt;&gt;"",$O132&lt;&gt;"",$O132&lt;=Hoje!$C$3,$P132&gt;=Hoje!$C$3,$R132&lt;&gt;"Cancelada"),1,0)</f>
        <v>1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F-815|Baixa de pendências backlog|36</v>
      </c>
      <c r="AK132" s="57" t="n">
        <f aca="false">IF($AJ132="","",COUNTIF($AJ$4:$AJ132,$AJ132))</f>
        <v>34</v>
      </c>
      <c r="AL132" s="57" t="n">
        <f aca="false">IF($AJ132="","",COUNTIF($AJ$4:$AJ$1004,$AJ132))</f>
        <v>34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58"/>
      <c r="D133" s="59" t="s">
        <v>182</v>
      </c>
      <c r="E133" s="59" t="s">
        <v>261</v>
      </c>
      <c r="F133" s="59" t="s">
        <v>441</v>
      </c>
      <c r="G133" s="60" t="s">
        <v>115</v>
      </c>
      <c r="H133" s="60" t="s">
        <v>88</v>
      </c>
      <c r="I133" s="61" t="s">
        <v>123</v>
      </c>
      <c r="J133" s="61" t="s">
        <v>133</v>
      </c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46261</v>
      </c>
      <c r="Q133" s="65"/>
      <c r="R133" s="60" t="s">
        <v>57</v>
      </c>
      <c r="S133" s="66"/>
      <c r="T133" s="59"/>
      <c r="U133" s="59" t="s">
        <v>442</v>
      </c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0</v>
      </c>
      <c r="Y133" s="57" t="n">
        <f aca="false">IF($F133="","",IF(OR($Q133="",$W133=""),0,IF($Q133&lt;=$W133,1,0)))</f>
        <v>0</v>
      </c>
      <c r="Z133" s="57" t="str">
        <f aca="false">IF(OR($Q133="",$O133=""),"",MAX(0,$Q133-$O133))</f>
        <v/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0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0.5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Gabriel · 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F-856|Realizar troca de óleo e filtro|35</v>
      </c>
      <c r="AK133" s="57" t="n">
        <f aca="false">IF($AJ133="","",COUNTIF($AJ$4:$AJ133,$AJ133))</f>
        <v>1</v>
      </c>
      <c r="AL133" s="57" t="n">
        <f aca="false">IF($AJ133="","",COUNTIF($AJ$4:$AJ$1004,$AJ133))</f>
        <v>5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58"/>
      <c r="D134" s="59" t="s">
        <v>182</v>
      </c>
      <c r="E134" s="59" t="s">
        <v>261</v>
      </c>
      <c r="F134" s="59" t="s">
        <v>443</v>
      </c>
      <c r="G134" s="60" t="s">
        <v>115</v>
      </c>
      <c r="H134" s="60" t="s">
        <v>88</v>
      </c>
      <c r="I134" s="61" t="s">
        <v>123</v>
      </c>
      <c r="J134" s="61" t="s">
        <v>133</v>
      </c>
      <c r="K134" s="61"/>
      <c r="L134" s="62" t="n">
        <v>35</v>
      </c>
      <c r="M134" s="63" t="s">
        <v>127</v>
      </c>
      <c r="N134" s="62" t="n">
        <v>3</v>
      </c>
      <c r="O134" s="64" t="n">
        <f aca="false">IF(OR($L134="",$M134=""),"",(DATE(Semana!$J$3,1,4)-WEEKDAY(DATE(Semana!$J$3,1,4),3))+($L134-1)*7+MATCH($M134,Listas!$F$5:$F$11,0)-1)</f>
        <v>46261</v>
      </c>
      <c r="P134" s="64" t="n">
        <f aca="false">IF($O134="","",$O134+MAX(0,ROUNDUP($AK134*MAX(1,IF($N134="",1,$N134))/MAX(1,$AL134),0)-1))</f>
        <v>46262</v>
      </c>
      <c r="Q134" s="65"/>
      <c r="R134" s="60" t="s">
        <v>57</v>
      </c>
      <c r="S134" s="66"/>
      <c r="T134" s="59"/>
      <c r="U134" s="59" t="s">
        <v>442</v>
      </c>
      <c r="V134" s="57" t="str">
        <f aca="false">IF($F134="","",IF(ISNUMBER(SEARCH("(externo)",$I134&amp;$J134&amp;$K134)),"Terceirizada","Interna"))</f>
        <v>Interna</v>
      </c>
      <c r="W134" s="64" t="n">
        <f aca="false">IF($O134="","",IF($S134="",$O134,(DATE(Semana!$J$3,1,4)-WEEKDAY(DATE(Semana!$J$3,1,4),3))+($S134-1)*7+IF($M134="",0,MATCH($M134,Listas!$F$5:$F$11,0)-1)))</f>
        <v>46261</v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1</v>
      </c>
      <c r="AD134" s="57" t="n">
        <f aca="false">IF($F134="","",IF(COUNTA($I134:$K134)=0,0,1/COUNTA($I134:$K134)))</f>
        <v>0.5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>Gabriel · Júnior</v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F-856|Realizar troca de óleo e filtro|35</v>
      </c>
      <c r="AK134" s="57" t="n">
        <f aca="false">IF($AJ134="","",COUNTIF($AJ$4:$AJ134,$AJ134))</f>
        <v>2</v>
      </c>
      <c r="AL134" s="57" t="n">
        <f aca="false">IF($AJ134="","",COUNTIF($AJ$4:$AJ$1004,$AJ134))</f>
        <v>5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58"/>
      <c r="D135" s="59" t="s">
        <v>182</v>
      </c>
      <c r="E135" s="59" t="s">
        <v>261</v>
      </c>
      <c r="F135" s="59" t="s">
        <v>444</v>
      </c>
      <c r="G135" s="60" t="s">
        <v>115</v>
      </c>
      <c r="H135" s="60" t="s">
        <v>88</v>
      </c>
      <c r="I135" s="61" t="s">
        <v>123</v>
      </c>
      <c r="J135" s="61" t="s">
        <v>133</v>
      </c>
      <c r="K135" s="61"/>
      <c r="L135" s="62" t="n">
        <v>35</v>
      </c>
      <c r="M135" s="63" t="s">
        <v>127</v>
      </c>
      <c r="N135" s="62" t="n">
        <v>3</v>
      </c>
      <c r="O135" s="64" t="n">
        <f aca="false">IF(OR($L135="",$M135=""),"",(DATE(Semana!$J$3,1,4)-WEEKDAY(DATE(Semana!$J$3,1,4),3))+($L135-1)*7+MATCH($M135,Listas!$F$5:$F$11,0)-1)</f>
        <v>46261</v>
      </c>
      <c r="P135" s="64" t="n">
        <f aca="false">IF($O135="","",$O135+MAX(0,ROUNDUP($AK135*MAX(1,IF($N135="",1,$N135))/MAX(1,$AL135),0)-1))</f>
        <v>46262</v>
      </c>
      <c r="Q135" s="65"/>
      <c r="R135" s="60" t="s">
        <v>57</v>
      </c>
      <c r="S135" s="66"/>
      <c r="T135" s="59"/>
      <c r="U135" s="59" t="s">
        <v>442</v>
      </c>
      <c r="V135" s="57" t="str">
        <f aca="false">IF($F135="","",IF(ISNUMBER(SEARCH("(externo)",$I135&amp;$J135&amp;$K135)),"Terceirizada","Interna"))</f>
        <v>Interna</v>
      </c>
      <c r="W135" s="64" t="n">
        <f aca="false">IF($O135="","",IF($S135="",$O135,(DATE(Semana!$J$3,1,4)-WEEKDAY(DATE(Semana!$J$3,1,4),3))+($S135-1)*7+IF($M135="",0,MATCH($M135,Listas!$F$5:$F$11,0)-1)))</f>
        <v>46261</v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1</v>
      </c>
      <c r="AD135" s="57" t="n">
        <f aca="false">IF($F135="","",IF(COUNTA($I135:$K135)=0,0,1/COUNTA($I135:$K135)))</f>
        <v>0.5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>Gabriel · Júnior</v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F-856|Realizar troca de óleo e filtro|35</v>
      </c>
      <c r="AK135" s="57" t="n">
        <f aca="false">IF($AJ135="","",COUNTIF($AJ$4:$AJ135,$AJ135))</f>
        <v>3</v>
      </c>
      <c r="AL135" s="57" t="n">
        <f aca="false">IF($AJ135="","",COUNTIF($AJ$4:$AJ$1004,$AJ135))</f>
        <v>5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58"/>
      <c r="D136" s="59" t="s">
        <v>182</v>
      </c>
      <c r="E136" s="59" t="s">
        <v>261</v>
      </c>
      <c r="F136" s="59" t="s">
        <v>445</v>
      </c>
      <c r="G136" s="60" t="s">
        <v>115</v>
      </c>
      <c r="H136" s="60" t="s">
        <v>88</v>
      </c>
      <c r="I136" s="61" t="s">
        <v>123</v>
      </c>
      <c r="J136" s="61" t="s">
        <v>133</v>
      </c>
      <c r="K136" s="61"/>
      <c r="L136" s="62" t="n">
        <v>35</v>
      </c>
      <c r="M136" s="63" t="s">
        <v>127</v>
      </c>
      <c r="N136" s="62" t="n">
        <v>3</v>
      </c>
      <c r="O136" s="64" t="n">
        <f aca="false">IF(OR($L136="",$M136=""),"",(DATE(Semana!$J$3,1,4)-WEEKDAY(DATE(Semana!$J$3,1,4),3))+($L136-1)*7+MATCH($M136,Listas!$F$5:$F$11,0)-1)</f>
        <v>46261</v>
      </c>
      <c r="P136" s="64" t="n">
        <f aca="false">IF($O136="","",$O136+MAX(0,ROUNDUP($AK136*MAX(1,IF($N136="",1,$N136))/MAX(1,$AL136),0)-1))</f>
        <v>46263</v>
      </c>
      <c r="Q136" s="65"/>
      <c r="R136" s="60" t="s">
        <v>57</v>
      </c>
      <c r="S136" s="66"/>
      <c r="T136" s="59"/>
      <c r="U136" s="59" t="s">
        <v>442</v>
      </c>
      <c r="V136" s="57" t="str">
        <f aca="false">IF($F136="","",IF(ISNUMBER(SEARCH("(externo)",$I136&amp;$J136&amp;$K136)),"Terceirizada","Interna"))</f>
        <v>Interna</v>
      </c>
      <c r="W136" s="64" t="n">
        <f aca="false">IF($O136="","",IF($S136="",$O136,(DATE(Semana!$J$3,1,4)-WEEKDAY(DATE(Semana!$J$3,1,4),3))+($S136-1)*7+IF($M136="",0,MATCH($M136,Listas!$F$5:$F$11,0)-1)))</f>
        <v>46261</v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1</v>
      </c>
      <c r="AD136" s="57" t="n">
        <f aca="false">IF($F136="","",IF(COUNTA($I136:$K136)=0,0,1/COUNTA($I136:$K136)))</f>
        <v>0.5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>Gabriel · Júnior</v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F-856|Realizar troca de óleo e filtro|35</v>
      </c>
      <c r="AK136" s="57" t="n">
        <f aca="false">IF($AJ136="","",COUNTIF($AJ$4:$AJ136,$AJ136))</f>
        <v>4</v>
      </c>
      <c r="AL136" s="57" t="n">
        <f aca="false">IF($AJ136="","",COUNTIF($AJ$4:$AJ$1004,$AJ136))</f>
        <v>5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Cancelada</v>
      </c>
      <c r="C137" s="58"/>
      <c r="D137" s="59" t="s">
        <v>182</v>
      </c>
      <c r="E137" s="59" t="s">
        <v>261</v>
      </c>
      <c r="F137" s="59" t="s">
        <v>446</v>
      </c>
      <c r="G137" s="60" t="s">
        <v>115</v>
      </c>
      <c r="H137" s="60" t="s">
        <v>88</v>
      </c>
      <c r="I137" s="61" t="s">
        <v>123</v>
      </c>
      <c r="J137" s="61" t="s">
        <v>133</v>
      </c>
      <c r="K137" s="61"/>
      <c r="L137" s="62" t="n">
        <v>35</v>
      </c>
      <c r="M137" s="63" t="s">
        <v>127</v>
      </c>
      <c r="N137" s="62" t="n">
        <v>3</v>
      </c>
      <c r="O137" s="64" t="n">
        <f aca="false">IF(OR($L137="",$M137=""),"",(DATE(Semana!$J$3,1,4)-WEEKDAY(DATE(Semana!$J$3,1,4),3))+($L137-1)*7+MATCH($M137,Listas!$F$5:$F$11,0)-1)</f>
        <v>46261</v>
      </c>
      <c r="P137" s="64" t="n">
        <f aca="false">IF($O137="","",$O137+MAX(0,ROUNDUP($AK137*MAX(1,IF($N137="",1,$N137))/MAX(1,$AL137),0)-1))</f>
        <v>46263</v>
      </c>
      <c r="Q137" s="65"/>
      <c r="R137" s="60" t="s">
        <v>57</v>
      </c>
      <c r="S137" s="66"/>
      <c r="T137" s="59"/>
      <c r="U137" s="59" t="s">
        <v>442</v>
      </c>
      <c r="V137" s="57" t="str">
        <f aca="false">IF($F137="","",IF(ISNUMBER(SEARCH("(externo)",$I137&amp;$J137&amp;$K137)),"Terceirizada","Interna"))</f>
        <v>Interna</v>
      </c>
      <c r="W137" s="64" t="n">
        <f aca="false">IF($O137="","",IF($S137="",$O137,(DATE(Semana!$J$3,1,4)-WEEKDAY(DATE(Semana!$J$3,1,4),3))+($S137-1)*7+IF($M137="",0,MATCH($M137,Listas!$F$5:$F$11,0)-1)))</f>
        <v>46261</v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1</v>
      </c>
      <c r="AD137" s="57" t="n">
        <f aca="false">IF($F137="","",IF(COUNTA($I137:$K137)=0,0,1/COUNTA($I137:$K137)))</f>
        <v>0.5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>Gabriel · Júnior</v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F-856|Realizar troca de óleo e filtro|35</v>
      </c>
      <c r="AK137" s="57" t="n">
        <f aca="false">IF($AJ137="","",COUNTIF($AJ$4:$AJ137,$AJ137))</f>
        <v>5</v>
      </c>
      <c r="AL137" s="57" t="n">
        <f aca="false">IF($AJ137="","",COUNTIF($AJ$4:$AJ$1004,$AJ137))</f>
        <v>5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58" t="s">
        <v>447</v>
      </c>
      <c r="D138" s="59" t="s">
        <v>184</v>
      </c>
      <c r="E138" s="59" t="s">
        <v>448</v>
      </c>
      <c r="F138" s="59" t="s">
        <v>448</v>
      </c>
      <c r="G138" s="60" t="s">
        <v>110</v>
      </c>
      <c r="H138" s="60" t="s">
        <v>229</v>
      </c>
      <c r="I138" s="61" t="s">
        <v>133</v>
      </c>
      <c r="J138" s="61"/>
      <c r="K138" s="61"/>
      <c r="L138" s="62" t="n">
        <v>35</v>
      </c>
      <c r="M138" s="63" t="s">
        <v>127</v>
      </c>
      <c r="N138" s="62" t="n">
        <v>3</v>
      </c>
      <c r="O138" s="64" t="n">
        <f aca="false">IF(OR($L138="",$M138=""),"",(DATE(Semana!$J$3,1,4)-WEEKDAY(DATE(Semana!$J$3,1,4),3))+($L138-1)*7+MATCH($M138,Listas!$F$5:$F$11,0)-1)</f>
        <v>46261</v>
      </c>
      <c r="P138" s="64" t="n">
        <f aca="false">IF($O138="","",$O138+MAX(0,ROUNDUP($AK138*MAX(1,IF($N138="",1,$N138))/MAX(1,$AL138),0)-1))</f>
        <v>46261</v>
      </c>
      <c r="Q138" s="65" t="n">
        <v>46261</v>
      </c>
      <c r="R138" s="60" t="s">
        <v>82</v>
      </c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n">
        <f aca="false">IF($O138="","",IF($S138="",$O138,(DATE(Semana!$J$3,1,4)-WEEKDAY(DATE(Semana!$J$3,1,4),3))+($S138-1)*7+IF($M138="",0,MATCH($M138,Listas!$F$5:$F$11,0)-1)))</f>
        <v>46261</v>
      </c>
      <c r="X138" s="57" t="n">
        <f aca="false">IF($F138="","",IF(OR($Q138="",$O138=""),0,IF($Q138&lt;=$O138,1,0)))</f>
        <v>1</v>
      </c>
      <c r="Y138" s="57" t="n">
        <f aca="false">IF($F138="","",IF(OR($Q138="",$W138=""),0,IF($Q138&lt;=$W138,1,0)))</f>
        <v>1</v>
      </c>
      <c r="Z138" s="57" t="n">
        <f aca="false">IF(OR($Q138="",$O138=""),"",MAX(0,$Q138-$O138))</f>
        <v>0</v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1</v>
      </c>
      <c r="AC138" s="57" t="n">
        <f aca="false">IF($P138="",0,IF($P138&lt;Hoje!$L$1,1,IF(AND($P138=Hoje!$L$1,Hoje!$L$2&gt;Semana!$M$3),1,0)))</f>
        <v>1</v>
      </c>
      <c r="AD138" s="57" t="n">
        <f aca="false">IF($F138="","",IF(COUNTA($I138:$K138)=0,0,1/COUNTA($I138:$K138)))</f>
        <v>1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>Júnior</v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F-938|Trocar palhetas do climatizador|35</v>
      </c>
      <c r="AK138" s="57" t="n">
        <f aca="false">IF($AJ138="","",COUNTIF($AJ$4:$AJ138,$AJ138))</f>
        <v>1</v>
      </c>
      <c r="AL138" s="57" t="n">
        <f aca="false">IF($AJ138="","",COUNTIF($AJ$4:$AJ$1004,$AJ138))</f>
        <v>3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58"/>
      <c r="D139" s="59" t="s">
        <v>184</v>
      </c>
      <c r="E139" s="59" t="s">
        <v>448</v>
      </c>
      <c r="F139" s="59" t="s">
        <v>449</v>
      </c>
      <c r="G139" s="60" t="s">
        <v>110</v>
      </c>
      <c r="H139" s="60" t="s">
        <v>229</v>
      </c>
      <c r="I139" s="61" t="s">
        <v>133</v>
      </c>
      <c r="J139" s="61"/>
      <c r="K139" s="61"/>
      <c r="L139" s="62" t="n">
        <v>35</v>
      </c>
      <c r="M139" s="63" t="s">
        <v>127</v>
      </c>
      <c r="N139" s="62" t="n">
        <v>3</v>
      </c>
      <c r="O139" s="64" t="n">
        <f aca="false">IF(OR($L139="",$M139=""),"",(DATE(Semana!$J$3,1,4)-WEEKDAY(DATE(Semana!$J$3,1,4),3))+($L139-1)*7+MATCH($M139,Listas!$F$5:$F$11,0)-1)</f>
        <v>46261</v>
      </c>
      <c r="P139" s="64" t="n">
        <f aca="false">IF($O139="","",$O139+MAX(0,ROUNDUP($AK139*MAX(1,IF($N139="",1,$N139))/MAX(1,$AL139),0)-1))</f>
        <v>46262</v>
      </c>
      <c r="Q139" s="65" t="n">
        <v>46261</v>
      </c>
      <c r="R139" s="60" t="s">
        <v>82</v>
      </c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n">
        <f aca="false">IF($O139="","",IF($S139="",$O139,(DATE(Semana!$J$3,1,4)-WEEKDAY(DATE(Semana!$J$3,1,4),3))+($S139-1)*7+IF($M139="",0,MATCH($M139,Listas!$F$5:$F$11,0)-1)))</f>
        <v>46261</v>
      </c>
      <c r="X139" s="57" t="n">
        <f aca="false">IF($F139="","",IF(OR($Q139="",$O139=""),0,IF($Q139&lt;=$O139,1,0)))</f>
        <v>1</v>
      </c>
      <c r="Y139" s="57" t="n">
        <f aca="false">IF($F139="","",IF(OR($Q139="",$W139=""),0,IF($Q139&lt;=$W139,1,0)))</f>
        <v>1</v>
      </c>
      <c r="Z139" s="57" t="n">
        <f aca="false">IF(OR($Q139="",$O139=""),"",MAX(0,$Q139-$O139))</f>
        <v>0</v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1</v>
      </c>
      <c r="AC139" s="57" t="n">
        <f aca="false">IF($P139="",0,IF($P139&lt;Hoje!$L$1,1,IF(AND($P139=Hoje!$L$1,Hoje!$L$2&gt;Semana!$M$3),1,0)))</f>
        <v>1</v>
      </c>
      <c r="AD139" s="57" t="n">
        <f aca="false">IF($F139="","",IF(COUNTA($I139:$K139)=0,0,1/COUNTA($I139:$K139)))</f>
        <v>1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>Júnior</v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F-938|Trocar palhetas do climatizador|35</v>
      </c>
      <c r="AK139" s="57" t="n">
        <f aca="false">IF($AJ139="","",COUNTIF($AJ$4:$AJ139,$AJ139))</f>
        <v>2</v>
      </c>
      <c r="AL139" s="57" t="n">
        <f aca="false">IF($AJ139="","",COUNTIF($AJ$4:$AJ$1004,$AJ139))</f>
        <v>3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Concluída</v>
      </c>
      <c r="C140" s="58"/>
      <c r="D140" s="59" t="s">
        <v>184</v>
      </c>
      <c r="E140" s="59" t="s">
        <v>448</v>
      </c>
      <c r="F140" s="59" t="s">
        <v>450</v>
      </c>
      <c r="G140" s="60" t="s">
        <v>110</v>
      </c>
      <c r="H140" s="60" t="s">
        <v>229</v>
      </c>
      <c r="I140" s="61" t="s">
        <v>133</v>
      </c>
      <c r="J140" s="61"/>
      <c r="K140" s="61"/>
      <c r="L140" s="62" t="n">
        <v>35</v>
      </c>
      <c r="M140" s="63" t="s">
        <v>127</v>
      </c>
      <c r="N140" s="62" t="n">
        <v>3</v>
      </c>
      <c r="O140" s="64" t="n">
        <f aca="false">IF(OR($L140="",$M140=""),"",(DATE(Semana!$J$3,1,4)-WEEKDAY(DATE(Semana!$J$3,1,4),3))+($L140-1)*7+MATCH($M140,Listas!$F$5:$F$11,0)-1)</f>
        <v>46261</v>
      </c>
      <c r="P140" s="64" t="n">
        <f aca="false">IF($O140="","",$O140+MAX(0,ROUNDUP($AK140*MAX(1,IF($N140="",1,$N140))/MAX(1,$AL140),0)-1))</f>
        <v>46263</v>
      </c>
      <c r="Q140" s="65" t="n">
        <v>46261</v>
      </c>
      <c r="R140" s="60" t="s">
        <v>82</v>
      </c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n">
        <f aca="false">IF($O140="","",IF($S140="",$O140,(DATE(Semana!$J$3,1,4)-WEEKDAY(DATE(Semana!$J$3,1,4),3))+($S140-1)*7+IF($M140="",0,MATCH($M140,Listas!$F$5:$F$11,0)-1)))</f>
        <v>46261</v>
      </c>
      <c r="X140" s="57" t="n">
        <f aca="false">IF($F140="","",IF(OR($Q140="",$O140=""),0,IF($Q140&lt;=$O140,1,0)))</f>
        <v>1</v>
      </c>
      <c r="Y140" s="57" t="n">
        <f aca="false">IF($F140="","",IF(OR($Q140="",$W140=""),0,IF($Q140&lt;=$W140,1,0)))</f>
        <v>1</v>
      </c>
      <c r="Z140" s="57" t="n">
        <f aca="false">IF(OR($Q140="",$O140=""),"",MAX(0,$Q140-$O140))</f>
        <v>0</v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1</v>
      </c>
      <c r="AC140" s="57" t="n">
        <f aca="false">IF($P140="",0,IF($P140&lt;Hoje!$L$1,1,IF(AND($P140=Hoje!$L$1,Hoje!$L$2&gt;Semana!$M$3),1,0)))</f>
        <v>1</v>
      </c>
      <c r="AD140" s="57" t="n">
        <f aca="false">IF($F140="","",IF(COUNTA($I140:$K140)=0,0,1/COUNTA($I140:$K140)))</f>
        <v>1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>Júnior</v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F-938|Trocar palhetas do climatizador|35</v>
      </c>
      <c r="AK140" s="57" t="n">
        <f aca="false">IF($AJ140="","",COUNTIF($AJ$4:$AJ140,$AJ140))</f>
        <v>3</v>
      </c>
      <c r="AL140" s="57" t="n">
        <f aca="false">IF($AJ140="","",COUNTIF($AJ$4:$AJ$1004,$AJ140))</f>
        <v>3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185</v>
      </c>
      <c r="E141" s="59" t="s">
        <v>451</v>
      </c>
      <c r="F141" s="59" t="s">
        <v>452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1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185</v>
      </c>
      <c r="E142" s="59" t="s">
        <v>451</v>
      </c>
      <c r="F142" s="59" t="s">
        <v>453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2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185</v>
      </c>
      <c r="E143" s="59" t="s">
        <v>451</v>
      </c>
      <c r="F143" s="59" t="s">
        <v>454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3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185</v>
      </c>
      <c r="E144" s="59" t="s">
        <v>451</v>
      </c>
      <c r="F144" s="59" t="s">
        <v>455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4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185</v>
      </c>
      <c r="E145" s="59" t="s">
        <v>451</v>
      </c>
      <c r="F145" s="59" t="s">
        <v>456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5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185</v>
      </c>
      <c r="E146" s="59" t="s">
        <v>451</v>
      </c>
      <c r="F146" s="59" t="s">
        <v>457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6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185</v>
      </c>
      <c r="E147" s="59" t="s">
        <v>451</v>
      </c>
      <c r="F147" s="59" t="s">
        <v>458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7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185</v>
      </c>
      <c r="E148" s="59" t="s">
        <v>451</v>
      </c>
      <c r="F148" s="59" t="s">
        <v>459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8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185</v>
      </c>
      <c r="E149" s="59" t="s">
        <v>451</v>
      </c>
      <c r="F149" s="59" t="s">
        <v>460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9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185</v>
      </c>
      <c r="E150" s="59" t="s">
        <v>451</v>
      </c>
      <c r="F150" s="59" t="s">
        <v>461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10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185</v>
      </c>
      <c r="E151" s="59" t="s">
        <v>451</v>
      </c>
      <c r="F151" s="59" t="s">
        <v>462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11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185</v>
      </c>
      <c r="E152" s="59" t="s">
        <v>451</v>
      </c>
      <c r="F152" s="59" t="s">
        <v>463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12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185</v>
      </c>
      <c r="E153" s="59" t="s">
        <v>451</v>
      </c>
      <c r="F153" s="59" t="s">
        <v>464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13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185</v>
      </c>
      <c r="E154" s="59" t="s">
        <v>451</v>
      </c>
      <c r="F154" s="59" t="s">
        <v>465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14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185</v>
      </c>
      <c r="E155" s="59" t="s">
        <v>451</v>
      </c>
      <c r="F155" s="59" t="s">
        <v>466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15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185</v>
      </c>
      <c r="E156" s="59" t="s">
        <v>451</v>
      </c>
      <c r="F156" s="59" t="s">
        <v>467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16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185</v>
      </c>
      <c r="E157" s="59" t="s">
        <v>451</v>
      </c>
      <c r="F157" s="59" t="s">
        <v>468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17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185</v>
      </c>
      <c r="E158" s="59" t="s">
        <v>451</v>
      </c>
      <c r="F158" s="59" t="s">
        <v>469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18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185</v>
      </c>
      <c r="E159" s="59" t="s">
        <v>451</v>
      </c>
      <c r="F159" s="59" t="s">
        <v>470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19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185</v>
      </c>
      <c r="E160" s="59" t="s">
        <v>451</v>
      </c>
      <c r="F160" s="59" t="s">
        <v>471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20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185</v>
      </c>
      <c r="E161" s="59" t="s">
        <v>451</v>
      </c>
      <c r="F161" s="59" t="s">
        <v>472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21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185</v>
      </c>
      <c r="E162" s="59" t="s">
        <v>451</v>
      </c>
      <c r="F162" s="59" t="s">
        <v>473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22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185</v>
      </c>
      <c r="E163" s="59" t="s">
        <v>451</v>
      </c>
      <c r="F163" s="59" t="s">
        <v>474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23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185</v>
      </c>
      <c r="E164" s="59" t="s">
        <v>451</v>
      </c>
      <c r="F164" s="59" t="s">
        <v>475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24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185</v>
      </c>
      <c r="E165" s="59" t="s">
        <v>451</v>
      </c>
      <c r="F165" s="59" t="s">
        <v>476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25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185</v>
      </c>
      <c r="E166" s="59" t="s">
        <v>451</v>
      </c>
      <c r="F166" s="59" t="s">
        <v>477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26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185</v>
      </c>
      <c r="E167" s="59" t="s">
        <v>451</v>
      </c>
      <c r="F167" s="59" t="s">
        <v>478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27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58"/>
      <c r="D168" s="59" t="s">
        <v>185</v>
      </c>
      <c r="E168" s="59" t="s">
        <v>451</v>
      </c>
      <c r="F168" s="59" t="s">
        <v>479</v>
      </c>
      <c r="G168" s="60" t="s">
        <v>110</v>
      </c>
      <c r="H168" s="60" t="s">
        <v>88</v>
      </c>
      <c r="I168" s="61"/>
      <c r="J168" s="61"/>
      <c r="K168" s="61"/>
      <c r="L168" s="62"/>
      <c r="M168" s="63"/>
      <c r="N168" s="62" t="n">
        <v>4</v>
      </c>
      <c r="O168" s="64" t="str">
        <f aca="false">IF(OR($L168="",$M168=""),"",(DATE(Semana!$J$3,1,4)-WEEKDAY(DATE(Semana!$J$3,1,4),3))+($L168-1)*7+MATCH($M168,Listas!$F$5:$F$11,0)-1)</f>
        <v/>
      </c>
      <c r="P168" s="64" t="str">
        <f aca="false">IF($O168="","",$O168+MAX(0,ROUNDUP($AK168*MAX(1,IF($N168="",1,$N168))/MAX(1,$AL168),0)-1))</f>
        <v/>
      </c>
      <c r="Q168" s="65"/>
      <c r="R168" s="60"/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str">
        <f aca="false">IF($O168="","",IF($S168="",$O168,(DATE(Semana!$J$3,1,4)-WEEKDAY(DATE(Semana!$J$3,1,4),3))+($S168-1)*7+IF($M168="",0,MATCH($M168,Listas!$F$5:$F$11,0)-1)))</f>
        <v/>
      </c>
      <c r="X168" s="57" t="n">
        <f aca="false">IF($F168="","",IF(OR($Q168="",$O168=""),0,IF($Q168&lt;=$O168,1,0)))</f>
        <v>0</v>
      </c>
      <c r="Y168" s="57" t="n">
        <f aca="false">IF($F168="","",IF(OR($Q168="",$W168=""),0,IF($Q168&lt;=$W168,1,0)))</f>
        <v>0</v>
      </c>
      <c r="Z168" s="57" t="str">
        <f aca="false">IF(OR($Q168="",$O168=""),"",MAX(0,$Q168-$O168))</f>
        <v/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0</v>
      </c>
      <c r="AC168" s="57" t="n">
        <f aca="false">IF($P168="",0,IF($P168&lt;Hoje!$L$1,1,IF(AND($P168=Hoje!$L$1,Hoje!$L$2&gt;Semana!$M$3),1,0)))</f>
        <v>0</v>
      </c>
      <c r="AD168" s="57" t="n">
        <f aca="false">IF($F168="","",IF(COUNTA($I168:$K168)=0,0,1/COUNTA($I168:$K168)))</f>
        <v>0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/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F-964|BAIXA DE CARTEIRA|</v>
      </c>
      <c r="AK168" s="57" t="n">
        <f aca="false">IF($AJ168="","",COUNTIF($AJ$4:$AJ168,$AJ168))</f>
        <v>28</v>
      </c>
      <c r="AL168" s="57" t="n">
        <f aca="false">IF($AJ168="","",COUNTIF($AJ$4:$AJ$1004,$AJ168))</f>
        <v>34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58"/>
      <c r="D169" s="59" t="s">
        <v>185</v>
      </c>
      <c r="E169" s="59" t="s">
        <v>451</v>
      </c>
      <c r="F169" s="59" t="s">
        <v>480</v>
      </c>
      <c r="G169" s="60" t="s">
        <v>110</v>
      </c>
      <c r="H169" s="60" t="s">
        <v>88</v>
      </c>
      <c r="I169" s="61"/>
      <c r="J169" s="61"/>
      <c r="K169" s="61"/>
      <c r="L169" s="62"/>
      <c r="M169" s="63"/>
      <c r="N169" s="62" t="n">
        <v>4</v>
      </c>
      <c r="O169" s="64" t="str">
        <f aca="false">IF(OR($L169="",$M169=""),"",(DATE(Semana!$J$3,1,4)-WEEKDAY(DATE(Semana!$J$3,1,4),3))+($L169-1)*7+MATCH($M169,Listas!$F$5:$F$11,0)-1)</f>
        <v/>
      </c>
      <c r="P169" s="64" t="str">
        <f aca="false">IF($O169="","",$O169+MAX(0,ROUNDUP($AK169*MAX(1,IF($N169="",1,$N169))/MAX(1,$AL169),0)-1))</f>
        <v/>
      </c>
      <c r="Q169" s="65"/>
      <c r="R169" s="60"/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str">
        <f aca="false">IF($O169="","",IF($S169="",$O169,(DATE(Semana!$J$3,1,4)-WEEKDAY(DATE(Semana!$J$3,1,4),3))+($S169-1)*7+IF($M169="",0,MATCH($M169,Listas!$F$5:$F$11,0)-1)))</f>
        <v/>
      </c>
      <c r="X169" s="57" t="n">
        <f aca="false">IF($F169="","",IF(OR($Q169="",$O169=""),0,IF($Q169&lt;=$O169,1,0)))</f>
        <v>0</v>
      </c>
      <c r="Y169" s="57" t="n">
        <f aca="false">IF($F169="","",IF(OR($Q169="",$W169=""),0,IF($Q169&lt;=$W169,1,0)))</f>
        <v>0</v>
      </c>
      <c r="Z169" s="57" t="str">
        <f aca="false">IF(OR($Q169="",$O169=""),"",MAX(0,$Q169-$O169))</f>
        <v/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0</v>
      </c>
      <c r="AC169" s="57" t="n">
        <f aca="false">IF($P169="",0,IF($P169&lt;Hoje!$L$1,1,IF(AND($P169=Hoje!$L$1,Hoje!$L$2&gt;Semana!$M$3),1,0)))</f>
        <v>0</v>
      </c>
      <c r="AD169" s="57" t="n">
        <f aca="false">IF($F169="","",IF(COUNTA($I169:$K169)=0,0,1/COUNTA($I169:$K169)))</f>
        <v>0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/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F-964|BAIXA DE CARTEIRA|</v>
      </c>
      <c r="AK169" s="57" t="n">
        <f aca="false">IF($AJ169="","",COUNTIF($AJ$4:$AJ169,$AJ169))</f>
        <v>29</v>
      </c>
      <c r="AL169" s="57" t="n">
        <f aca="false">IF($AJ169="","",COUNTIF($AJ$4:$AJ$1004,$AJ169))</f>
        <v>34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58"/>
      <c r="D170" s="59" t="s">
        <v>185</v>
      </c>
      <c r="E170" s="59" t="s">
        <v>451</v>
      </c>
      <c r="F170" s="59" t="s">
        <v>481</v>
      </c>
      <c r="G170" s="60" t="s">
        <v>110</v>
      </c>
      <c r="H170" s="60" t="s">
        <v>88</v>
      </c>
      <c r="I170" s="61"/>
      <c r="J170" s="61"/>
      <c r="K170" s="61"/>
      <c r="L170" s="62"/>
      <c r="M170" s="63"/>
      <c r="N170" s="62" t="n">
        <v>4</v>
      </c>
      <c r="O170" s="64" t="str">
        <f aca="false">IF(OR($L170="",$M170=""),"",(DATE(Semana!$J$3,1,4)-WEEKDAY(DATE(Semana!$J$3,1,4),3))+($L170-1)*7+MATCH($M170,Listas!$F$5:$F$11,0)-1)</f>
        <v/>
      </c>
      <c r="P170" s="64" t="str">
        <f aca="false">IF($O170="","",$O170+MAX(0,ROUNDUP($AK170*MAX(1,IF($N170="",1,$N170))/MAX(1,$AL170),0)-1))</f>
        <v/>
      </c>
      <c r="Q170" s="65"/>
      <c r="R170" s="60"/>
      <c r="S170" s="66"/>
      <c r="T170" s="59"/>
      <c r="U170" s="59"/>
      <c r="V170" s="57" t="str">
        <f aca="false">IF($F170="","",IF(ISNUMBER(SEARCH("(externo)",$I170&amp;$J170&amp;$K170)),"Terceirizada","Interna"))</f>
        <v>Interna</v>
      </c>
      <c r="W170" s="64" t="str">
        <f aca="false">IF($O170="","",IF($S170="",$O170,(DATE(Semana!$J$3,1,4)-WEEKDAY(DATE(Semana!$J$3,1,4),3))+($S170-1)*7+IF($M170="",0,MATCH($M170,Listas!$F$5:$F$11,0)-1)))</f>
        <v/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str">
        <f aca="false">IF(OR($Q170="",$O170=""),"",MAX(0,$Q170-$O170))</f>
        <v/>
      </c>
      <c r="AA170" s="57" t="n">
        <f aca="false">IF($F170="","",IF(AND($S170&lt;&gt;"",$L170&lt;&gt;"",$S170&lt;&gt;$L170),1,0))</f>
        <v>0</v>
      </c>
      <c r="AB170" s="57" t="n">
        <f aca="false">IF($F170="","",IF($R170="Cancelada",0,IF(OR($Q170&lt;&gt;"",$R170="Concluída"),1,0)))</f>
        <v>0</v>
      </c>
      <c r="AC170" s="57" t="n">
        <f aca="false">IF($P170="",0,IF($P170&lt;Hoje!$L$1,1,IF(AND($P170=Hoje!$L$1,Hoje!$L$2&gt;Semana!$M$3),1,0)))</f>
        <v>0</v>
      </c>
      <c r="AD170" s="57" t="n">
        <f aca="false">IF($F170="","",IF(COUNTA($I170:$K170)=0,0,1/COUNTA($I170:$K170)))</f>
        <v>0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/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F-964|BAIXA DE CARTEIRA|</v>
      </c>
      <c r="AK170" s="57" t="n">
        <f aca="false">IF($AJ170="","",COUNTIF($AJ$4:$AJ170,$AJ170))</f>
        <v>30</v>
      </c>
      <c r="AL170" s="57" t="n">
        <f aca="false">IF($AJ170="","",COUNTIF($AJ$4:$AJ$1004,$AJ170))</f>
        <v>34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58"/>
      <c r="D171" s="59" t="s">
        <v>185</v>
      </c>
      <c r="E171" s="59" t="s">
        <v>451</v>
      </c>
      <c r="F171" s="59" t="s">
        <v>482</v>
      </c>
      <c r="G171" s="60" t="s">
        <v>110</v>
      </c>
      <c r="H171" s="60" t="s">
        <v>88</v>
      </c>
      <c r="I171" s="61"/>
      <c r="J171" s="61"/>
      <c r="K171" s="61"/>
      <c r="L171" s="62"/>
      <c r="M171" s="63"/>
      <c r="N171" s="62" t="n">
        <v>4</v>
      </c>
      <c r="O171" s="64" t="str">
        <f aca="false">IF(OR($L171="",$M171=""),"",(DATE(Semana!$J$3,1,4)-WEEKDAY(DATE(Semana!$J$3,1,4),3))+($L171-1)*7+MATCH($M171,Listas!$F$5:$F$11,0)-1)</f>
        <v/>
      </c>
      <c r="P171" s="64" t="str">
        <f aca="false">IF($O171="","",$O171+MAX(0,ROUNDUP($AK171*MAX(1,IF($N171="",1,$N171))/MAX(1,$AL171),0)-1))</f>
        <v/>
      </c>
      <c r="Q171" s="65"/>
      <c r="R171" s="60"/>
      <c r="S171" s="66"/>
      <c r="T171" s="59"/>
      <c r="U171" s="59"/>
      <c r="V171" s="57" t="str">
        <f aca="false">IF($F171="","",IF(ISNUMBER(SEARCH("(externo)",$I171&amp;$J171&amp;$K171)),"Terceirizada","Interna"))</f>
        <v>Interna</v>
      </c>
      <c r="W171" s="64" t="str">
        <f aca="false">IF($O171="","",IF($S171="",$O171,(DATE(Semana!$J$3,1,4)-WEEKDAY(DATE(Semana!$J$3,1,4),3))+($S171-1)*7+IF($M171="",0,MATCH($M171,Listas!$F$5:$F$11,0)-1)))</f>
        <v/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str">
        <f aca="false">IF(OR($Q171="",$O171=""),"",MAX(0,$Q171-$O171))</f>
        <v/>
      </c>
      <c r="AA171" s="57" t="n">
        <f aca="false">IF($F171="","",IF(AND($S171&lt;&gt;"",$L171&lt;&gt;"",$S171&lt;&gt;$L171),1,0))</f>
        <v>0</v>
      </c>
      <c r="AB171" s="57" t="n">
        <f aca="false">IF($F171="","",IF($R171="Cancelada",0,IF(OR($Q171&lt;&gt;"",$R171="Concluída"),1,0)))</f>
        <v>0</v>
      </c>
      <c r="AC171" s="57" t="n">
        <f aca="false">IF($P171="",0,IF($P171&lt;Hoje!$L$1,1,IF(AND($P171=Hoje!$L$1,Hoje!$L$2&gt;Semana!$M$3),1,0)))</f>
        <v>0</v>
      </c>
      <c r="AD171" s="57" t="n">
        <f aca="false">IF($F171="","",IF(COUNTA($I171:$K171)=0,0,1/COUNTA($I171:$K171)))</f>
        <v>0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/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F-964|BAIXA DE CARTEIRA|</v>
      </c>
      <c r="AK171" s="57" t="n">
        <f aca="false">IF($AJ171="","",COUNTIF($AJ$4:$AJ171,$AJ171))</f>
        <v>31</v>
      </c>
      <c r="AL171" s="57" t="n">
        <f aca="false">IF($AJ171="","",COUNTIF($AJ$4:$AJ$1004,$AJ171))</f>
        <v>34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58"/>
      <c r="D172" s="59" t="s">
        <v>185</v>
      </c>
      <c r="E172" s="59" t="s">
        <v>451</v>
      </c>
      <c r="F172" s="59" t="s">
        <v>483</v>
      </c>
      <c r="G172" s="60" t="s">
        <v>110</v>
      </c>
      <c r="H172" s="60" t="s">
        <v>88</v>
      </c>
      <c r="I172" s="61"/>
      <c r="J172" s="61"/>
      <c r="K172" s="61"/>
      <c r="L172" s="62"/>
      <c r="M172" s="63"/>
      <c r="N172" s="62" t="n">
        <v>4</v>
      </c>
      <c r="O172" s="64" t="str">
        <f aca="false">IF(OR($L172="",$M172=""),"",(DATE(Semana!$J$3,1,4)-WEEKDAY(DATE(Semana!$J$3,1,4),3))+($L172-1)*7+MATCH($M172,Listas!$F$5:$F$11,0)-1)</f>
        <v/>
      </c>
      <c r="P172" s="64" t="str">
        <f aca="false">IF($O172="","",$O172+MAX(0,ROUNDUP($AK172*MAX(1,IF($N172="",1,$N172))/MAX(1,$AL172),0)-1))</f>
        <v/>
      </c>
      <c r="Q172" s="65"/>
      <c r="R172" s="60"/>
      <c r="S172" s="66"/>
      <c r="T172" s="59"/>
      <c r="U172" s="59"/>
      <c r="V172" s="57" t="str">
        <f aca="false">IF($F172="","",IF(ISNUMBER(SEARCH("(externo)",$I172&amp;$J172&amp;$K172)),"Terceirizada","Interna"))</f>
        <v>Interna</v>
      </c>
      <c r="W172" s="64" t="str">
        <f aca="false">IF($O172="","",IF($S172="",$O172,(DATE(Semana!$J$3,1,4)-WEEKDAY(DATE(Semana!$J$3,1,4),3))+($S172-1)*7+IF($M172="",0,MATCH($M172,Listas!$F$5:$F$11,0)-1)))</f>
        <v/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str">
        <f aca="false">IF(OR($Q172="",$O172=""),"",MAX(0,$Q172-$O172))</f>
        <v/>
      </c>
      <c r="AA172" s="57" t="n">
        <f aca="false">IF($F172="","",IF(AND($S172&lt;&gt;"",$L172&lt;&gt;"",$S172&lt;&gt;$L172),1,0))</f>
        <v>0</v>
      </c>
      <c r="AB172" s="57" t="n">
        <f aca="false">IF($F172="","",IF($R172="Cancelada",0,IF(OR($Q172&lt;&gt;"",$R172="Concluída"),1,0)))</f>
        <v>0</v>
      </c>
      <c r="AC172" s="57" t="n">
        <f aca="false">IF($P172="",0,IF($P172&lt;Hoje!$L$1,1,IF(AND($P172=Hoje!$L$1,Hoje!$L$2&gt;Semana!$M$3),1,0)))</f>
        <v>0</v>
      </c>
      <c r="AD172" s="57" t="n">
        <f aca="false">IF($F172="","",IF(COUNTA($I172:$K172)=0,0,1/COUNTA($I172:$K172)))</f>
        <v>0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/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F-964|BAIXA DE CARTEIRA|</v>
      </c>
      <c r="AK172" s="57" t="n">
        <f aca="false">IF($AJ172="","",COUNTIF($AJ$4:$AJ172,$AJ172))</f>
        <v>32</v>
      </c>
      <c r="AL172" s="57" t="n">
        <f aca="false">IF($AJ172="","",COUNTIF($AJ$4:$AJ$1004,$AJ172))</f>
        <v>34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58"/>
      <c r="D173" s="59" t="s">
        <v>185</v>
      </c>
      <c r="E173" s="59" t="s">
        <v>451</v>
      </c>
      <c r="F173" s="59" t="s">
        <v>484</v>
      </c>
      <c r="G173" s="60" t="s">
        <v>110</v>
      </c>
      <c r="H173" s="60" t="s">
        <v>88</v>
      </c>
      <c r="I173" s="61"/>
      <c r="J173" s="61"/>
      <c r="K173" s="61"/>
      <c r="L173" s="62"/>
      <c r="M173" s="63"/>
      <c r="N173" s="62" t="n">
        <v>4</v>
      </c>
      <c r="O173" s="64" t="str">
        <f aca="false">IF(OR($L173="",$M173=""),"",(DATE(Semana!$J$3,1,4)-WEEKDAY(DATE(Semana!$J$3,1,4),3))+($L173-1)*7+MATCH($M173,Listas!$F$5:$F$11,0)-1)</f>
        <v/>
      </c>
      <c r="P173" s="64" t="str">
        <f aca="false">IF($O173="","",$O173+MAX(0,ROUNDUP($AK173*MAX(1,IF($N173="",1,$N173))/MAX(1,$AL173),0)-1))</f>
        <v/>
      </c>
      <c r="Q173" s="65"/>
      <c r="R173" s="60"/>
      <c r="S173" s="66"/>
      <c r="T173" s="59"/>
      <c r="U173" s="59"/>
      <c r="V173" s="57" t="str">
        <f aca="false">IF($F173="","",IF(ISNUMBER(SEARCH("(externo)",$I173&amp;$J173&amp;$K173)),"Terceirizada","Interna"))</f>
        <v>Interna</v>
      </c>
      <c r="W173" s="64" t="str">
        <f aca="false">IF($O173="","",IF($S173="",$O173,(DATE(Semana!$J$3,1,4)-WEEKDAY(DATE(Semana!$J$3,1,4),3))+($S173-1)*7+IF($M173="",0,MATCH($M173,Listas!$F$5:$F$11,0)-1)))</f>
        <v/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str">
        <f aca="false">IF(OR($Q173="",$O173=""),"",MAX(0,$Q173-$O173))</f>
        <v/>
      </c>
      <c r="AA173" s="57" t="n">
        <f aca="false">IF($F173="","",IF(AND($S173&lt;&gt;"",$L173&lt;&gt;"",$S173&lt;&gt;$L173),1,0))</f>
        <v>0</v>
      </c>
      <c r="AB173" s="57" t="n">
        <f aca="false">IF($F173="","",IF($R173="Cancelada",0,IF(OR($Q173&lt;&gt;"",$R173="Concluída"),1,0)))</f>
        <v>0</v>
      </c>
      <c r="AC173" s="57" t="n">
        <f aca="false">IF($P173="",0,IF($P173&lt;Hoje!$L$1,1,IF(AND($P173=Hoje!$L$1,Hoje!$L$2&gt;Semana!$M$3),1,0)))</f>
        <v>0</v>
      </c>
      <c r="AD173" s="57" t="n">
        <f aca="false">IF($F173="","",IF(COUNTA($I173:$K173)=0,0,1/COUNTA($I173:$K173)))</f>
        <v>0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/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F-964|BAIXA DE CARTEIRA|</v>
      </c>
      <c r="AK173" s="57" t="n">
        <f aca="false">IF($AJ173="","",COUNTIF($AJ$4:$AJ173,$AJ173))</f>
        <v>33</v>
      </c>
      <c r="AL173" s="57" t="n">
        <f aca="false">IF($AJ173="","",COUNTIF($AJ$4:$AJ$1004,$AJ173))</f>
        <v>34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Na carteira</v>
      </c>
      <c r="C174" s="58"/>
      <c r="D174" s="59" t="s">
        <v>185</v>
      </c>
      <c r="E174" s="59" t="s">
        <v>451</v>
      </c>
      <c r="F174" s="59" t="s">
        <v>485</v>
      </c>
      <c r="G174" s="60" t="s">
        <v>110</v>
      </c>
      <c r="H174" s="60" t="s">
        <v>88</v>
      </c>
      <c r="I174" s="61"/>
      <c r="J174" s="61"/>
      <c r="K174" s="61"/>
      <c r="L174" s="62"/>
      <c r="M174" s="63"/>
      <c r="N174" s="62" t="n">
        <v>4</v>
      </c>
      <c r="O174" s="64" t="str">
        <f aca="false">IF(OR($L174="",$M174=""),"",(DATE(Semana!$J$3,1,4)-WEEKDAY(DATE(Semana!$J$3,1,4),3))+($L174-1)*7+MATCH($M174,Listas!$F$5:$F$11,0)-1)</f>
        <v/>
      </c>
      <c r="P174" s="64" t="str">
        <f aca="false">IF($O174="","",$O174+MAX(0,ROUNDUP($AK174*MAX(1,IF($N174="",1,$N174))/MAX(1,$AL174),0)-1))</f>
        <v/>
      </c>
      <c r="Q174" s="65"/>
      <c r="R174" s="60"/>
      <c r="S174" s="66"/>
      <c r="T174" s="59"/>
      <c r="U174" s="59"/>
      <c r="V174" s="57" t="str">
        <f aca="false">IF($F174="","",IF(ISNUMBER(SEARCH("(externo)",$I174&amp;$J174&amp;$K174)),"Terceirizada","Interna"))</f>
        <v>Interna</v>
      </c>
      <c r="W174" s="64" t="str">
        <f aca="false">IF($O174="","",IF($S174="",$O174,(DATE(Semana!$J$3,1,4)-WEEKDAY(DATE(Semana!$J$3,1,4),3))+($S174-1)*7+IF($M174="",0,MATCH($M174,Listas!$F$5:$F$11,0)-1)))</f>
        <v/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str">
        <f aca="false">IF(OR($Q174="",$O174=""),"",MAX(0,$Q174-$O174))</f>
        <v/>
      </c>
      <c r="AA174" s="57" t="n">
        <f aca="false">IF($F174="","",IF(AND($S174&lt;&gt;"",$L174&lt;&gt;"",$S174&lt;&gt;$L174),1,0))</f>
        <v>0</v>
      </c>
      <c r="AB174" s="57" t="n">
        <f aca="false">IF($F174="","",IF($R174="Cancelada",0,IF(OR($Q174&lt;&gt;"",$R174="Concluída"),1,0)))</f>
        <v>0</v>
      </c>
      <c r="AC174" s="57" t="n">
        <f aca="false">IF($P174="",0,IF($P174&lt;Hoje!$L$1,1,IF(AND($P174=Hoje!$L$1,Hoje!$L$2&gt;Semana!$M$3),1,0)))</f>
        <v>0</v>
      </c>
      <c r="AD174" s="57" t="n">
        <f aca="false">IF($F174="","",IF(COUNTA($I174:$K174)=0,0,1/COUNTA($I174:$K174)))</f>
        <v>0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/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F-964|BAIXA DE CARTEIRA|</v>
      </c>
      <c r="AK174" s="57" t="n">
        <f aca="false">IF($AJ174="","",COUNTIF($AJ$4:$AJ174,$AJ174))</f>
        <v>34</v>
      </c>
      <c r="AL174" s="57" t="n">
        <f aca="false">IF($AJ174="","",COUNTIF($AJ$4:$AJ$1004,$AJ174))</f>
        <v>34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58"/>
      <c r="D175" s="59" t="s">
        <v>119</v>
      </c>
      <c r="E175" s="59" t="s">
        <v>227</v>
      </c>
      <c r="F175" s="59" t="s">
        <v>486</v>
      </c>
      <c r="G175" s="60" t="s">
        <v>110</v>
      </c>
      <c r="H175" s="60" t="s">
        <v>229</v>
      </c>
      <c r="I175" s="61" t="s">
        <v>113</v>
      </c>
      <c r="J175" s="61" t="s">
        <v>138</v>
      </c>
      <c r="K175" s="61"/>
      <c r="L175" s="62" t="n">
        <v>35</v>
      </c>
      <c r="M175" s="63" t="s">
        <v>127</v>
      </c>
      <c r="N175" s="62" t="n">
        <v>2</v>
      </c>
      <c r="O175" s="64" t="n">
        <f aca="false">IF(OR($L175="",$M175=""),"",(DATE(Semana!$J$3,1,4)-WEEKDAY(DATE(Semana!$J$3,1,4),3))+($L175-1)*7+MATCH($M175,Listas!$F$5:$F$11,0)-1)</f>
        <v>46261</v>
      </c>
      <c r="P175" s="64" t="n">
        <f aca="false">IF($O175="","",$O175+MAX(0,ROUNDUP($AK175*MAX(1,IF($N175="",1,$N175))/MAX(1,$AL175),0)-1))</f>
        <v>46262</v>
      </c>
      <c r="Q175" s="65" t="n">
        <v>46261</v>
      </c>
      <c r="R175" s="60" t="s">
        <v>82</v>
      </c>
      <c r="S175" s="66"/>
      <c r="T175" s="59"/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46261</v>
      </c>
      <c r="X175" s="57" t="n">
        <f aca="false">IF($F175="","",IF(OR($Q175="",$O175=""),0,IF($Q175&lt;=$O175,1,0)))</f>
        <v>1</v>
      </c>
      <c r="Y175" s="57" t="n">
        <f aca="false">IF($F175="","",IF(OR($Q175="",$W175=""),0,IF($Q175&lt;=$W175,1,0)))</f>
        <v>1</v>
      </c>
      <c r="Z175" s="57" t="n">
        <f aca="false">IF(OR($Q175="",$O175=""),"",MAX(0,$Q175-$O175))</f>
        <v>0</v>
      </c>
      <c r="AA175" s="57" t="n">
        <f aca="false">IF($F175="","",IF(AND($S175&lt;&gt;"",$L175&lt;&gt;"",$S175&lt;&gt;$L175),1,0))</f>
        <v>0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Airton · Luiz Paulo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F-1064|Calibração e troca de pneus|35</v>
      </c>
      <c r="AK175" s="57" t="n">
        <f aca="false">IF($AJ175="","",COUNTIF($AJ$4:$AJ175,$AJ175))</f>
        <v>1</v>
      </c>
      <c r="AL175" s="57" t="n">
        <f aca="false">IF($AJ175="","",COUNTIF($AJ$4:$AJ$1004,$AJ175))</f>
        <v>1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</v>
      </c>
      <c r="C176" s="58"/>
      <c r="D176" s="59" t="s">
        <v>124</v>
      </c>
      <c r="E176" s="59" t="s">
        <v>227</v>
      </c>
      <c r="F176" s="59" t="s">
        <v>486</v>
      </c>
      <c r="G176" s="60" t="s">
        <v>110</v>
      </c>
      <c r="H176" s="60" t="s">
        <v>229</v>
      </c>
      <c r="I176" s="61" t="s">
        <v>113</v>
      </c>
      <c r="J176" s="61" t="s">
        <v>138</v>
      </c>
      <c r="K176" s="61"/>
      <c r="L176" s="62" t="n">
        <v>35</v>
      </c>
      <c r="M176" s="63" t="s">
        <v>127</v>
      </c>
      <c r="N176" s="62" t="n">
        <v>4</v>
      </c>
      <c r="O176" s="64" t="n">
        <f aca="false">IF(OR($L176="",$M176=""),"",(DATE(Semana!$J$3,1,4)-WEEKDAY(DATE(Semana!$J$3,1,4),3))+($L176-1)*7+MATCH($M176,Listas!$F$5:$F$11,0)-1)</f>
        <v>46261</v>
      </c>
      <c r="P176" s="64" t="n">
        <f aca="false">IF($O176="","",$O176+MAX(0,ROUNDUP($AK176*MAX(1,IF($N176="",1,$N176))/MAX(1,$AL176),0)-1))</f>
        <v>46264</v>
      </c>
      <c r="Q176" s="65" t="n">
        <v>46261</v>
      </c>
      <c r="R176" s="60" t="s">
        <v>82</v>
      </c>
      <c r="S176" s="66"/>
      <c r="T176" s="59"/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46261</v>
      </c>
      <c r="X176" s="57" t="n">
        <f aca="false">IF($F176="","",IF(OR($Q176="",$O176=""),0,IF($Q176&lt;=$O176,1,0)))</f>
        <v>1</v>
      </c>
      <c r="Y176" s="57" t="n">
        <f aca="false">IF($F176="","",IF(OR($Q176="",$W176=""),0,IF($Q176&lt;=$W176,1,0)))</f>
        <v>1</v>
      </c>
      <c r="Z176" s="57" t="n">
        <f aca="false">IF(OR($Q176="",$O176=""),"",MAX(0,$Q176-$O176))</f>
        <v>0</v>
      </c>
      <c r="AA176" s="57" t="n">
        <f aca="false">IF($F176="","",IF(AND($S176&lt;&gt;"",$L176&lt;&gt;"",$S176&lt;&gt;$L176),1,0))</f>
        <v>0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Airton · Luiz Paulo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F-1065|Calibração e troca de pneus|35</v>
      </c>
      <c r="AK176" s="57" t="n">
        <f aca="false">IF($AJ176="","",COUNTIF($AJ$4:$AJ176,$AJ176))</f>
        <v>1</v>
      </c>
      <c r="AL176" s="57" t="n">
        <f aca="false">IF($AJ176="","",COUNTIF($AJ$4:$AJ$1004,$AJ176))</f>
        <v>1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58"/>
      <c r="D177" s="59" t="s">
        <v>186</v>
      </c>
      <c r="E177" s="59" t="s">
        <v>487</v>
      </c>
      <c r="F177" s="59" t="s">
        <v>488</v>
      </c>
      <c r="G177" s="60" t="s">
        <v>110</v>
      </c>
      <c r="H177" s="60" t="s">
        <v>88</v>
      </c>
      <c r="I177" s="61" t="s">
        <v>118</v>
      </c>
      <c r="J177" s="61" t="s">
        <v>128</v>
      </c>
      <c r="K177" s="61"/>
      <c r="L177" s="62" t="n">
        <v>35</v>
      </c>
      <c r="M177" s="63" t="s">
        <v>117</v>
      </c>
      <c r="N177" s="62" t="n">
        <v>3</v>
      </c>
      <c r="O177" s="64" t="n">
        <f aca="false">IF(OR($L177="",$M177=""),"",(DATE(Semana!$J$3,1,4)-WEEKDAY(DATE(Semana!$J$3,1,4),3))+($L177-1)*7+MATCH($M177,Listas!$F$5:$F$11,0)-1)</f>
        <v>46259</v>
      </c>
      <c r="P177" s="64" t="n">
        <f aca="false">IF($O177="","",$O177+MAX(0,ROUNDUP($AK177*MAX(1,IF($N177="",1,$N177))/MAX(1,$AL177),0)-1))</f>
        <v>46259</v>
      </c>
      <c r="Q177" s="65" t="n">
        <v>46260</v>
      </c>
      <c r="R177" s="60" t="s">
        <v>82</v>
      </c>
      <c r="S177" s="66" t="n">
        <v>34</v>
      </c>
      <c r="T177" s="59" t="s">
        <v>111</v>
      </c>
      <c r="U177" s="59"/>
      <c r="V177" s="57" t="str">
        <f aca="false">IF($F177="","",IF(ISNUMBER(SEARCH("(externo)",$I177&amp;$J177&amp;$K177)),"Terceirizada","Interna"))</f>
        <v>Interna</v>
      </c>
      <c r="W177" s="64" t="n">
        <f aca="false">IF($O177="","",IF($S177="",$O177,(DATE(Semana!$J$3,1,4)-WEEKDAY(DATE(Semana!$J$3,1,4),3))+($S177-1)*7+IF($M177="",0,MATCH($M177,Listas!$F$5:$F$11,0)-1)))</f>
        <v>46252</v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n">
        <f aca="false">IF(OR($Q177="",$O177=""),"",MAX(0,$Q177-$O177))</f>
        <v>1</v>
      </c>
      <c r="AA177" s="57" t="n">
        <f aca="false">IF($F177="","",IF(AND($S177&lt;&gt;"",$L177&lt;&gt;"",$S177&lt;&gt;$L177),1,0))</f>
        <v>1</v>
      </c>
      <c r="AB177" s="57" t="n">
        <f aca="false">IF($F177="","",IF($R177="Cancelada",0,IF(OR($Q177&lt;&gt;"",$R177="Concluída"),1,0)))</f>
        <v>1</v>
      </c>
      <c r="AC177" s="57" t="n">
        <f aca="false">IF($P177="",0,IF($P177&lt;Hoje!$L$1,1,IF(AND($P177=Hoje!$L$1,Hoje!$L$2&gt;Semana!$M$3),1,0)))</f>
        <v>1</v>
      </c>
      <c r="AD177" s="57" t="n">
        <f aca="false">IF($F177="","",IF(COUNTA($I177:$K177)=0,0,1/COUNTA($I177:$K177)))</f>
        <v>0.5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>Alexandre · Heliton</v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F-966|BAIXA DE PENDENCIAS|35</v>
      </c>
      <c r="AK177" s="57" t="n">
        <f aca="false">IF($AJ177="","",COUNTIF($AJ$4:$AJ177,$AJ177))</f>
        <v>1</v>
      </c>
      <c r="AL177" s="57" t="n">
        <f aca="false">IF($AJ177="","",COUNTIF($AJ$4:$AJ$1004,$AJ177))</f>
        <v>7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58"/>
      <c r="D178" s="59" t="s">
        <v>186</v>
      </c>
      <c r="E178" s="59" t="s">
        <v>487</v>
      </c>
      <c r="F178" s="59" t="s">
        <v>489</v>
      </c>
      <c r="G178" s="60" t="s">
        <v>110</v>
      </c>
      <c r="H178" s="60" t="s">
        <v>88</v>
      </c>
      <c r="I178" s="61" t="s">
        <v>118</v>
      </c>
      <c r="J178" s="61" t="s">
        <v>128</v>
      </c>
      <c r="K178" s="61"/>
      <c r="L178" s="62" t="n">
        <v>35</v>
      </c>
      <c r="M178" s="63" t="s">
        <v>117</v>
      </c>
      <c r="N178" s="62" t="n">
        <v>3</v>
      </c>
      <c r="O178" s="64" t="n">
        <f aca="false">IF(OR($L178="",$M178=""),"",(DATE(Semana!$J$3,1,4)-WEEKDAY(DATE(Semana!$J$3,1,4),3))+($L178-1)*7+MATCH($M178,Listas!$F$5:$F$11,0)-1)</f>
        <v>46259</v>
      </c>
      <c r="P178" s="64" t="n">
        <f aca="false">IF($O178="","",$O178+MAX(0,ROUNDUP($AK178*MAX(1,IF($N178="",1,$N178))/MAX(1,$AL178),0)-1))</f>
        <v>46259</v>
      </c>
      <c r="Q178" s="65" t="n">
        <v>46260</v>
      </c>
      <c r="R178" s="60" t="s">
        <v>82</v>
      </c>
      <c r="S178" s="66" t="n">
        <v>34</v>
      </c>
      <c r="T178" s="59" t="s">
        <v>111</v>
      </c>
      <c r="U178" s="59"/>
      <c r="V178" s="57" t="str">
        <f aca="false">IF($F178="","",IF(ISNUMBER(SEARCH("(externo)",$I178&amp;$J178&amp;$K178)),"Terceirizada","Interna"))</f>
        <v>Interna</v>
      </c>
      <c r="W178" s="64" t="n">
        <f aca="false">IF($O178="","",IF($S178="",$O178,(DATE(Semana!$J$3,1,4)-WEEKDAY(DATE(Semana!$J$3,1,4),3))+($S178-1)*7+IF($M178="",0,MATCH($M178,Listas!$F$5:$F$11,0)-1)))</f>
        <v>46252</v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n">
        <f aca="false">IF(OR($Q178="",$O178=""),"",MAX(0,$Q178-$O178))</f>
        <v>1</v>
      </c>
      <c r="AA178" s="57" t="n">
        <f aca="false">IF($F178="","",IF(AND($S178&lt;&gt;"",$L178&lt;&gt;"",$S178&lt;&gt;$L178),1,0))</f>
        <v>1</v>
      </c>
      <c r="AB178" s="57" t="n">
        <f aca="false">IF($F178="","",IF($R178="Cancelada",0,IF(OR($Q178&lt;&gt;"",$R178="Concluída"),1,0)))</f>
        <v>1</v>
      </c>
      <c r="AC178" s="57" t="n">
        <f aca="false">IF($P178="",0,IF($P178&lt;Hoje!$L$1,1,IF(AND($P178=Hoje!$L$1,Hoje!$L$2&gt;Semana!$M$3),1,0)))</f>
        <v>1</v>
      </c>
      <c r="AD178" s="57" t="n">
        <f aca="false">IF($F178="","",IF(COUNTA($I178:$K178)=0,0,1/COUNTA($I178:$K178)))</f>
        <v>0.5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>Alexandre · Heliton</v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F-966|BAIXA DE PENDENCIAS|35</v>
      </c>
      <c r="AK178" s="57" t="n">
        <f aca="false">IF($AJ178="","",COUNTIF($AJ$4:$AJ178,$AJ178))</f>
        <v>2</v>
      </c>
      <c r="AL178" s="57" t="n">
        <f aca="false">IF($AJ178="","",COUNTIF($AJ$4:$AJ$1004,$AJ178))</f>
        <v>7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58"/>
      <c r="D179" s="59" t="s">
        <v>186</v>
      </c>
      <c r="E179" s="59" t="s">
        <v>487</v>
      </c>
      <c r="F179" s="59" t="s">
        <v>490</v>
      </c>
      <c r="G179" s="60" t="s">
        <v>110</v>
      </c>
      <c r="H179" s="60" t="s">
        <v>88</v>
      </c>
      <c r="I179" s="61" t="s">
        <v>118</v>
      </c>
      <c r="J179" s="61" t="s">
        <v>128</v>
      </c>
      <c r="K179" s="61"/>
      <c r="L179" s="62" t="n">
        <v>35</v>
      </c>
      <c r="M179" s="63" t="s">
        <v>117</v>
      </c>
      <c r="N179" s="62" t="n">
        <v>3</v>
      </c>
      <c r="O179" s="64" t="n">
        <f aca="false">IF(OR($L179="",$M179=""),"",(DATE(Semana!$J$3,1,4)-WEEKDAY(DATE(Semana!$J$3,1,4),3))+($L179-1)*7+MATCH($M179,Listas!$F$5:$F$11,0)-1)</f>
        <v>46259</v>
      </c>
      <c r="P179" s="64" t="n">
        <f aca="false">IF($O179="","",$O179+MAX(0,ROUNDUP($AK179*MAX(1,IF($N179="",1,$N179))/MAX(1,$AL179),0)-1))</f>
        <v>46260</v>
      </c>
      <c r="Q179" s="65" t="n">
        <v>46260</v>
      </c>
      <c r="R179" s="60" t="s">
        <v>82</v>
      </c>
      <c r="S179" s="66" t="n">
        <v>34</v>
      </c>
      <c r="T179" s="59" t="s">
        <v>111</v>
      </c>
      <c r="U179" s="59"/>
      <c r="V179" s="57" t="str">
        <f aca="false">IF($F179="","",IF(ISNUMBER(SEARCH("(externo)",$I179&amp;$J179&amp;$K179)),"Terceirizada","Interna"))</f>
        <v>Interna</v>
      </c>
      <c r="W179" s="64" t="n">
        <f aca="false">IF($O179="","",IF($S179="",$O179,(DATE(Semana!$J$3,1,4)-WEEKDAY(DATE(Semana!$J$3,1,4),3))+($S179-1)*7+IF($M179="",0,MATCH($M179,Listas!$F$5:$F$11,0)-1)))</f>
        <v>46252</v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n">
        <f aca="false">IF(OR($Q179="",$O179=""),"",MAX(0,$Q179-$O179))</f>
        <v>1</v>
      </c>
      <c r="AA179" s="57" t="n">
        <f aca="false">IF($F179="","",IF(AND($S179&lt;&gt;"",$L179&lt;&gt;"",$S179&lt;&gt;$L179),1,0))</f>
        <v>1</v>
      </c>
      <c r="AB179" s="57" t="n">
        <f aca="false">IF($F179="","",IF($R179="Cancelada",0,IF(OR($Q179&lt;&gt;"",$R179="Concluída"),1,0)))</f>
        <v>1</v>
      </c>
      <c r="AC179" s="57" t="n">
        <f aca="false">IF($P179="",0,IF($P179&lt;Hoje!$L$1,1,IF(AND($P179=Hoje!$L$1,Hoje!$L$2&gt;Semana!$M$3),1,0)))</f>
        <v>1</v>
      </c>
      <c r="AD179" s="57" t="n">
        <f aca="false">IF($F179="","",IF(COUNTA($I179:$K179)=0,0,1/COUNTA($I179:$K179)))</f>
        <v>0.5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>Alexandre · Heliton</v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F-966|BAIXA DE PENDENCIAS|35</v>
      </c>
      <c r="AK179" s="57" t="n">
        <f aca="false">IF($AJ179="","",COUNTIF($AJ$4:$AJ179,$AJ179))</f>
        <v>3</v>
      </c>
      <c r="AL179" s="57" t="n">
        <f aca="false">IF($AJ179="","",COUNTIF($AJ$4:$AJ$1004,$AJ179))</f>
        <v>7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58"/>
      <c r="D180" s="59" t="s">
        <v>186</v>
      </c>
      <c r="E180" s="59" t="s">
        <v>487</v>
      </c>
      <c r="F180" s="59" t="s">
        <v>491</v>
      </c>
      <c r="G180" s="60" t="s">
        <v>110</v>
      </c>
      <c r="H180" s="60" t="s">
        <v>88</v>
      </c>
      <c r="I180" s="61" t="s">
        <v>118</v>
      </c>
      <c r="J180" s="61" t="s">
        <v>128</v>
      </c>
      <c r="K180" s="61"/>
      <c r="L180" s="62" t="n">
        <v>35</v>
      </c>
      <c r="M180" s="63" t="s">
        <v>117</v>
      </c>
      <c r="N180" s="62" t="n">
        <v>3</v>
      </c>
      <c r="O180" s="64" t="n">
        <f aca="false">IF(OR($L180="",$M180=""),"",(DATE(Semana!$J$3,1,4)-WEEKDAY(DATE(Semana!$J$3,1,4),3))+($L180-1)*7+MATCH($M180,Listas!$F$5:$F$11,0)-1)</f>
        <v>46259</v>
      </c>
      <c r="P180" s="64" t="n">
        <f aca="false">IF($O180="","",$O180+MAX(0,ROUNDUP($AK180*MAX(1,IF($N180="",1,$N180))/MAX(1,$AL180),0)-1))</f>
        <v>46260</v>
      </c>
      <c r="Q180" s="65" t="n">
        <v>46260</v>
      </c>
      <c r="R180" s="60" t="s">
        <v>82</v>
      </c>
      <c r="S180" s="66" t="n">
        <v>34</v>
      </c>
      <c r="T180" s="59" t="s">
        <v>111</v>
      </c>
      <c r="U180" s="59"/>
      <c r="V180" s="57" t="str">
        <f aca="false">IF($F180="","",IF(ISNUMBER(SEARCH("(externo)",$I180&amp;$J180&amp;$K180)),"Terceirizada","Interna"))</f>
        <v>Interna</v>
      </c>
      <c r="W180" s="64" t="n">
        <f aca="false">IF($O180="","",IF($S180="",$O180,(DATE(Semana!$J$3,1,4)-WEEKDAY(DATE(Semana!$J$3,1,4),3))+($S180-1)*7+IF($M180="",0,MATCH($M180,Listas!$F$5:$F$11,0)-1)))</f>
        <v>46252</v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n">
        <f aca="false">IF(OR($Q180="",$O180=""),"",MAX(0,$Q180-$O180))</f>
        <v>1</v>
      </c>
      <c r="AA180" s="57" t="n">
        <f aca="false">IF($F180="","",IF(AND($S180&lt;&gt;"",$L180&lt;&gt;"",$S180&lt;&gt;$L180),1,0))</f>
        <v>1</v>
      </c>
      <c r="AB180" s="57" t="n">
        <f aca="false">IF($F180="","",IF($R180="Cancelada",0,IF(OR($Q180&lt;&gt;"",$R180="Concluída"),1,0)))</f>
        <v>1</v>
      </c>
      <c r="AC180" s="57" t="n">
        <f aca="false">IF($P180="",0,IF($P180&lt;Hoje!$L$1,1,IF(AND($P180=Hoje!$L$1,Hoje!$L$2&gt;Semana!$M$3),1,0)))</f>
        <v>1</v>
      </c>
      <c r="AD180" s="57" t="n">
        <f aca="false">IF($F180="","",IF(COUNTA($I180:$K180)=0,0,1/COUNTA($I180:$K180)))</f>
        <v>0.5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>Alexandre · Heliton</v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F-966|BAIXA DE PENDENCIAS|35</v>
      </c>
      <c r="AK180" s="57" t="n">
        <f aca="false">IF($AJ180="","",COUNTIF($AJ$4:$AJ180,$AJ180))</f>
        <v>4</v>
      </c>
      <c r="AL180" s="57" t="n">
        <f aca="false">IF($AJ180="","",COUNTIF($AJ$4:$AJ$1004,$AJ180))</f>
        <v>7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58"/>
      <c r="D181" s="59" t="s">
        <v>186</v>
      </c>
      <c r="E181" s="59" t="s">
        <v>487</v>
      </c>
      <c r="F181" s="59" t="s">
        <v>492</v>
      </c>
      <c r="G181" s="60" t="s">
        <v>110</v>
      </c>
      <c r="H181" s="60" t="s">
        <v>88</v>
      </c>
      <c r="I181" s="61" t="s">
        <v>118</v>
      </c>
      <c r="J181" s="61" t="s">
        <v>128</v>
      </c>
      <c r="K181" s="61"/>
      <c r="L181" s="62" t="n">
        <v>35</v>
      </c>
      <c r="M181" s="63" t="s">
        <v>117</v>
      </c>
      <c r="N181" s="62" t="n">
        <v>3</v>
      </c>
      <c r="O181" s="64" t="n">
        <f aca="false">IF(OR($L181="",$M181=""),"",(DATE(Semana!$J$3,1,4)-WEEKDAY(DATE(Semana!$J$3,1,4),3))+($L181-1)*7+MATCH($M181,Listas!$F$5:$F$11,0)-1)</f>
        <v>46259</v>
      </c>
      <c r="P181" s="64" t="n">
        <f aca="false">IF($O181="","",$O181+MAX(0,ROUNDUP($AK181*MAX(1,IF($N181="",1,$N181))/MAX(1,$AL181),0)-1))</f>
        <v>46261</v>
      </c>
      <c r="Q181" s="65" t="n">
        <v>46260</v>
      </c>
      <c r="R181" s="60" t="s">
        <v>82</v>
      </c>
      <c r="S181" s="66" t="n">
        <v>34</v>
      </c>
      <c r="T181" s="59" t="s">
        <v>111</v>
      </c>
      <c r="U181" s="59"/>
      <c r="V181" s="57" t="str">
        <f aca="false">IF($F181="","",IF(ISNUMBER(SEARCH("(externo)",$I181&amp;$J181&amp;$K181)),"Terceirizada","Interna"))</f>
        <v>Interna</v>
      </c>
      <c r="W181" s="64" t="n">
        <f aca="false">IF($O181="","",IF($S181="",$O181,(DATE(Semana!$J$3,1,4)-WEEKDAY(DATE(Semana!$J$3,1,4),3))+($S181-1)*7+IF($M181="",0,MATCH($M181,Listas!$F$5:$F$11,0)-1)))</f>
        <v>46252</v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n">
        <f aca="false">IF(OR($Q181="",$O181=""),"",MAX(0,$Q181-$O181))</f>
        <v>1</v>
      </c>
      <c r="AA181" s="57" t="n">
        <f aca="false">IF($F181="","",IF(AND($S181&lt;&gt;"",$L181&lt;&gt;"",$S181&lt;&gt;$L181),1,0))</f>
        <v>1</v>
      </c>
      <c r="AB181" s="57" t="n">
        <f aca="false">IF($F181="","",IF($R181="Cancelada",0,IF(OR($Q181&lt;&gt;"",$R181="Concluída"),1,0)))</f>
        <v>1</v>
      </c>
      <c r="AC181" s="57" t="n">
        <f aca="false">IF($P181="",0,IF($P181&lt;Hoje!$L$1,1,IF(AND($P181=Hoje!$L$1,Hoje!$L$2&gt;Semana!$M$3),1,0)))</f>
        <v>1</v>
      </c>
      <c r="AD181" s="57" t="n">
        <f aca="false">IF($F181="","",IF(COUNTA($I181:$K181)=0,0,1/COUNTA($I181:$K181)))</f>
        <v>0.5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>Alexandre · Heliton</v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F-966|BAIXA DE PENDENCIAS|35</v>
      </c>
      <c r="AK181" s="57" t="n">
        <f aca="false">IF($AJ181="","",COUNTIF($AJ$4:$AJ181,$AJ181))</f>
        <v>5</v>
      </c>
      <c r="AL181" s="57" t="n">
        <f aca="false">IF($AJ181="","",COUNTIF($AJ$4:$AJ$1004,$AJ181))</f>
        <v>7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58"/>
      <c r="D182" s="59" t="s">
        <v>186</v>
      </c>
      <c r="E182" s="59" t="s">
        <v>487</v>
      </c>
      <c r="F182" s="59" t="s">
        <v>493</v>
      </c>
      <c r="G182" s="60" t="s">
        <v>110</v>
      </c>
      <c r="H182" s="60" t="s">
        <v>88</v>
      </c>
      <c r="I182" s="61" t="s">
        <v>118</v>
      </c>
      <c r="J182" s="61" t="s">
        <v>128</v>
      </c>
      <c r="K182" s="61"/>
      <c r="L182" s="62" t="n">
        <v>35</v>
      </c>
      <c r="M182" s="63" t="s">
        <v>117</v>
      </c>
      <c r="N182" s="62" t="n">
        <v>3</v>
      </c>
      <c r="O182" s="64" t="n">
        <f aca="false">IF(OR($L182="",$M182=""),"",(DATE(Semana!$J$3,1,4)-WEEKDAY(DATE(Semana!$J$3,1,4),3))+($L182-1)*7+MATCH($M182,Listas!$F$5:$F$11,0)-1)</f>
        <v>46259</v>
      </c>
      <c r="P182" s="64" t="n">
        <f aca="false">IF($O182="","",$O182+MAX(0,ROUNDUP($AK182*MAX(1,IF($N182="",1,$N182))/MAX(1,$AL182),0)-1))</f>
        <v>46261</v>
      </c>
      <c r="Q182" s="65" t="n">
        <v>46260</v>
      </c>
      <c r="R182" s="60" t="s">
        <v>82</v>
      </c>
      <c r="S182" s="66" t="n">
        <v>34</v>
      </c>
      <c r="T182" s="59" t="s">
        <v>111</v>
      </c>
      <c r="U182" s="59"/>
      <c r="V182" s="57" t="str">
        <f aca="false">IF($F182="","",IF(ISNUMBER(SEARCH("(externo)",$I182&amp;$J182&amp;$K182)),"Terceirizada","Interna"))</f>
        <v>Interna</v>
      </c>
      <c r="W182" s="64" t="n">
        <f aca="false">IF($O182="","",IF($S182="",$O182,(DATE(Semana!$J$3,1,4)-WEEKDAY(DATE(Semana!$J$3,1,4),3))+($S182-1)*7+IF($M182="",0,MATCH($M182,Listas!$F$5:$F$11,0)-1)))</f>
        <v>46252</v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n">
        <f aca="false">IF(OR($Q182="",$O182=""),"",MAX(0,$Q182-$O182))</f>
        <v>1</v>
      </c>
      <c r="AA182" s="57" t="n">
        <f aca="false">IF($F182="","",IF(AND($S182&lt;&gt;"",$L182&lt;&gt;"",$S182&lt;&gt;$L182),1,0))</f>
        <v>1</v>
      </c>
      <c r="AB182" s="57" t="n">
        <f aca="false">IF($F182="","",IF($R182="Cancelada",0,IF(OR($Q182&lt;&gt;"",$R182="Concluída"),1,0)))</f>
        <v>1</v>
      </c>
      <c r="AC182" s="57" t="n">
        <f aca="false">IF($P182="",0,IF($P182&lt;Hoje!$L$1,1,IF(AND($P182=Hoje!$L$1,Hoje!$L$2&gt;Semana!$M$3),1,0)))</f>
        <v>1</v>
      </c>
      <c r="AD182" s="57" t="n">
        <f aca="false">IF($F182="","",IF(COUNTA($I182:$K182)=0,0,1/COUNTA($I182:$K182)))</f>
        <v>0.5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>Alexandre · Heliton</v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F-966|BAIXA DE PENDENCIAS|35</v>
      </c>
      <c r="AK182" s="57" t="n">
        <f aca="false">IF($AJ182="","",COUNTIF($AJ$4:$AJ182,$AJ182))</f>
        <v>6</v>
      </c>
      <c r="AL182" s="57" t="n">
        <f aca="false">IF($AJ182="","",COUNTIF($AJ$4:$AJ$1004,$AJ182))</f>
        <v>7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 com atraso</v>
      </c>
      <c r="C183" s="58"/>
      <c r="D183" s="59" t="s">
        <v>186</v>
      </c>
      <c r="E183" s="59" t="s">
        <v>487</v>
      </c>
      <c r="F183" s="59" t="s">
        <v>494</v>
      </c>
      <c r="G183" s="60" t="s">
        <v>110</v>
      </c>
      <c r="H183" s="60" t="s">
        <v>88</v>
      </c>
      <c r="I183" s="61" t="s">
        <v>118</v>
      </c>
      <c r="J183" s="61" t="s">
        <v>128</v>
      </c>
      <c r="K183" s="61"/>
      <c r="L183" s="62" t="n">
        <v>35</v>
      </c>
      <c r="M183" s="63" t="s">
        <v>117</v>
      </c>
      <c r="N183" s="62" t="n">
        <v>3</v>
      </c>
      <c r="O183" s="64" t="n">
        <f aca="false">IF(OR($L183="",$M183=""),"",(DATE(Semana!$J$3,1,4)-WEEKDAY(DATE(Semana!$J$3,1,4),3))+($L183-1)*7+MATCH($M183,Listas!$F$5:$F$11,0)-1)</f>
        <v>46259</v>
      </c>
      <c r="P183" s="64" t="n">
        <f aca="false">IF($O183="","",$O183+MAX(0,ROUNDUP($AK183*MAX(1,IF($N183="",1,$N183))/MAX(1,$AL183),0)-1))</f>
        <v>46261</v>
      </c>
      <c r="Q183" s="65" t="n">
        <v>46260</v>
      </c>
      <c r="R183" s="60" t="s">
        <v>82</v>
      </c>
      <c r="S183" s="66" t="n">
        <v>34</v>
      </c>
      <c r="T183" s="59" t="s">
        <v>111</v>
      </c>
      <c r="U183" s="59"/>
      <c r="V183" s="57" t="str">
        <f aca="false">IF($F183="","",IF(ISNUMBER(SEARCH("(externo)",$I183&amp;$J183&amp;$K183)),"Terceirizada","Interna"))</f>
        <v>Interna</v>
      </c>
      <c r="W183" s="64" t="n">
        <f aca="false">IF($O183="","",IF($S183="",$O183,(DATE(Semana!$J$3,1,4)-WEEKDAY(DATE(Semana!$J$3,1,4),3))+($S183-1)*7+IF($M183="",0,MATCH($M183,Listas!$F$5:$F$11,0)-1)))</f>
        <v>46252</v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n">
        <f aca="false">IF(OR($Q183="",$O183=""),"",MAX(0,$Q183-$O183))</f>
        <v>1</v>
      </c>
      <c r="AA183" s="57" t="n">
        <f aca="false">IF($F183="","",IF(AND($S183&lt;&gt;"",$L183&lt;&gt;"",$S183&lt;&gt;$L183),1,0))</f>
        <v>1</v>
      </c>
      <c r="AB183" s="57" t="n">
        <f aca="false">IF($F183="","",IF($R183="Cancelada",0,IF(OR($Q183&lt;&gt;"",$R183="Concluída"),1,0)))</f>
        <v>1</v>
      </c>
      <c r="AC183" s="57" t="n">
        <f aca="false">IF($P183="",0,IF($P183&lt;Hoje!$L$1,1,IF(AND($P183=Hoje!$L$1,Hoje!$L$2&gt;Semana!$M$3),1,0)))</f>
        <v>1</v>
      </c>
      <c r="AD183" s="57" t="n">
        <f aca="false">IF($F183="","",IF(COUNTA($I183:$K183)=0,0,1/COUNTA($I183:$K183)))</f>
        <v>0.5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>Alexandre · Heliton</v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F-966|BAIXA DE PENDENCIAS|35</v>
      </c>
      <c r="AK183" s="57" t="n">
        <f aca="false">IF($AJ183="","",COUNTIF($AJ$4:$AJ183,$AJ183))</f>
        <v>7</v>
      </c>
      <c r="AL183" s="57" t="n">
        <f aca="false">IF($AJ183="","",COUNTIF($AJ$4:$AJ$1004,$AJ183))</f>
        <v>7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Em programação</v>
      </c>
      <c r="C184" s="58" t="s">
        <v>495</v>
      </c>
      <c r="D184" s="59" t="s">
        <v>177</v>
      </c>
      <c r="E184" s="59" t="s">
        <v>487</v>
      </c>
      <c r="F184" s="59" t="s">
        <v>496</v>
      </c>
      <c r="G184" s="60" t="s">
        <v>110</v>
      </c>
      <c r="H184" s="60" t="s">
        <v>88</v>
      </c>
      <c r="I184" s="61"/>
      <c r="J184" s="61"/>
      <c r="K184" s="61"/>
      <c r="L184" s="62" t="n">
        <v>36</v>
      </c>
      <c r="M184" s="63" t="s">
        <v>122</v>
      </c>
      <c r="N184" s="62" t="n">
        <v>2</v>
      </c>
      <c r="O184" s="64" t="n">
        <f aca="false">IF(OR($L184="",$M184=""),"",(DATE(Semana!$J$3,1,4)-WEEKDAY(DATE(Semana!$J$3,1,4),3))+($L184-1)*7+MATCH($M184,Listas!$F$5:$F$11,0)-1)</f>
        <v>46267</v>
      </c>
      <c r="P184" s="64" t="n">
        <f aca="false">IF($O184="","",$O184+MAX(0,ROUNDUP($AK184*MAX(1,IF($N184="",1,$N184))/MAX(1,$AL184),0)-1))</f>
        <v>46267</v>
      </c>
      <c r="Q184" s="65"/>
      <c r="R184" s="60" t="s">
        <v>86</v>
      </c>
      <c r="S184" s="66"/>
      <c r="T184" s="59" t="s">
        <v>116</v>
      </c>
      <c r="U184" s="59"/>
      <c r="V184" s="57" t="str">
        <f aca="false">IF($F184="","",IF(ISNUMBER(SEARCH("(externo)",$I184&amp;$J184&amp;$K184)),"Terceirizada","Interna"))</f>
        <v>Interna</v>
      </c>
      <c r="W184" s="64" t="n">
        <f aca="false">IF($O184="","",IF($S184="",$O184,(DATE(Semana!$J$3,1,4)-WEEKDAY(DATE(Semana!$J$3,1,4),3))+($S184-1)*7+IF($M184="",0,MATCH($M184,Listas!$F$5:$F$11,0)-1)))</f>
        <v>46267</v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1</v>
      </c>
      <c r="AD184" s="57" t="n">
        <f aca="false">IF($F184="","",IF(COUNTA($I184:$K184)=0,0,1/COUNTA($I184:$K184)))</f>
        <v>0</v>
      </c>
      <c r="AE184" s="57" t="n">
        <f aca="false">IF($AH184=0,"",SUM($AH$4:$AH184))</f>
        <v>20</v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1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PENDENCIAS|36</v>
      </c>
      <c r="AK184" s="57" t="n">
        <f aca="false">IF($AJ184="","",COUNTIF($AJ$4:$AJ184,$AJ184))</f>
        <v>1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Em programação</v>
      </c>
      <c r="C185" s="58" t="s">
        <v>497</v>
      </c>
      <c r="D185" s="59" t="s">
        <v>177</v>
      </c>
      <c r="E185" s="59" t="s">
        <v>487</v>
      </c>
      <c r="F185" s="59" t="s">
        <v>498</v>
      </c>
      <c r="G185" s="60" t="s">
        <v>110</v>
      </c>
      <c r="H185" s="60" t="s">
        <v>88</v>
      </c>
      <c r="I185" s="61"/>
      <c r="J185" s="61"/>
      <c r="K185" s="61"/>
      <c r="L185" s="62" t="n">
        <v>36</v>
      </c>
      <c r="M185" s="63" t="s">
        <v>122</v>
      </c>
      <c r="N185" s="62" t="n">
        <v>2</v>
      </c>
      <c r="O185" s="64" t="n">
        <f aca="false">IF(OR($L185="",$M185=""),"",(DATE(Semana!$J$3,1,4)-WEEKDAY(DATE(Semana!$J$3,1,4),3))+($L185-1)*7+MATCH($M185,Listas!$F$5:$F$11,0)-1)</f>
        <v>46267</v>
      </c>
      <c r="P185" s="64" t="n">
        <f aca="false">IF($O185="","",$O185+MAX(0,ROUNDUP($AK185*MAX(1,IF($N185="",1,$N185))/MAX(1,$AL185),0)-1))</f>
        <v>46267</v>
      </c>
      <c r="Q185" s="65"/>
      <c r="R185" s="60" t="s">
        <v>86</v>
      </c>
      <c r="S185" s="66"/>
      <c r="T185" s="59" t="s">
        <v>116</v>
      </c>
      <c r="U185" s="59"/>
      <c r="V185" s="57" t="str">
        <f aca="false">IF($F185="","",IF(ISNUMBER(SEARCH("(externo)",$I185&amp;$J185&amp;$K185)),"Terceirizada","Interna"))</f>
        <v>Interna</v>
      </c>
      <c r="W185" s="64" t="n">
        <f aca="false">IF($O185="","",IF($S185="",$O185,(DATE(Semana!$J$3,1,4)-WEEKDAY(DATE(Semana!$J$3,1,4),3))+($S185-1)*7+IF($M185="",0,MATCH($M185,Listas!$F$5:$F$11,0)-1)))</f>
        <v>46267</v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1</v>
      </c>
      <c r="AD185" s="57" t="n">
        <f aca="false">IF($F185="","",IF(COUNTA($I185:$K185)=0,0,1/COUNTA($I185:$K185)))</f>
        <v>0</v>
      </c>
      <c r="AE185" s="57" t="n">
        <f aca="false">IF($AH185=0,"",SUM($AH$4:$AH185))</f>
        <v>21</v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1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PENDENCIAS|36</v>
      </c>
      <c r="AK185" s="57" t="n">
        <f aca="false">IF($AJ185="","",COUNTIF($AJ$4:$AJ185,$AJ185))</f>
        <v>2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Em programação</v>
      </c>
      <c r="C186" s="58" t="s">
        <v>499</v>
      </c>
      <c r="D186" s="59" t="s">
        <v>177</v>
      </c>
      <c r="E186" s="59" t="s">
        <v>487</v>
      </c>
      <c r="F186" s="59" t="s">
        <v>500</v>
      </c>
      <c r="G186" s="60" t="s">
        <v>110</v>
      </c>
      <c r="H186" s="60" t="s">
        <v>88</v>
      </c>
      <c r="I186" s="61"/>
      <c r="J186" s="61"/>
      <c r="K186" s="61"/>
      <c r="L186" s="62" t="n">
        <v>36</v>
      </c>
      <c r="M186" s="63" t="s">
        <v>122</v>
      </c>
      <c r="N186" s="62" t="n">
        <v>2</v>
      </c>
      <c r="O186" s="64" t="n">
        <f aca="false">IF(OR($L186="",$M186=""),"",(DATE(Semana!$J$3,1,4)-WEEKDAY(DATE(Semana!$J$3,1,4),3))+($L186-1)*7+MATCH($M186,Listas!$F$5:$F$11,0)-1)</f>
        <v>46267</v>
      </c>
      <c r="P186" s="64" t="n">
        <f aca="false">IF($O186="","",$O186+MAX(0,ROUNDUP($AK186*MAX(1,IF($N186="",1,$N186))/MAX(1,$AL186),0)-1))</f>
        <v>46267</v>
      </c>
      <c r="Q186" s="65"/>
      <c r="R186" s="60" t="s">
        <v>86</v>
      </c>
      <c r="S186" s="66"/>
      <c r="T186" s="59" t="s">
        <v>116</v>
      </c>
      <c r="U186" s="59"/>
      <c r="V186" s="57" t="str">
        <f aca="false">IF($F186="","",IF(ISNUMBER(SEARCH("(externo)",$I186&amp;$J186&amp;$K186)),"Terceirizada","Interna"))</f>
        <v>Interna</v>
      </c>
      <c r="W186" s="64" t="n">
        <f aca="false">IF($O186="","",IF($S186="",$O186,(DATE(Semana!$J$3,1,4)-WEEKDAY(DATE(Semana!$J$3,1,4),3))+($S186-1)*7+IF($M186="",0,MATCH($M186,Listas!$F$5:$F$11,0)-1)))</f>
        <v>46267</v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1</v>
      </c>
      <c r="AD186" s="57" t="n">
        <f aca="false">IF($F186="","",IF(COUNTA($I186:$K186)=0,0,1/COUNTA($I186:$K186)))</f>
        <v>0</v>
      </c>
      <c r="AE186" s="57" t="n">
        <f aca="false">IF($AH186=0,"",SUM($AH$4:$AH186))</f>
        <v>22</v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1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PENDENCIAS|36</v>
      </c>
      <c r="AK186" s="57" t="n">
        <f aca="false">IF($AJ186="","",COUNTIF($AJ$4:$AJ186,$AJ186))</f>
        <v>3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programação</v>
      </c>
      <c r="C187" s="58" t="s">
        <v>501</v>
      </c>
      <c r="D187" s="59" t="s">
        <v>177</v>
      </c>
      <c r="E187" s="59" t="s">
        <v>487</v>
      </c>
      <c r="F187" s="59" t="s">
        <v>502</v>
      </c>
      <c r="G187" s="60" t="s">
        <v>110</v>
      </c>
      <c r="H187" s="60" t="s">
        <v>88</v>
      </c>
      <c r="I187" s="61"/>
      <c r="J187" s="61"/>
      <c r="K187" s="61"/>
      <c r="L187" s="62" t="n">
        <v>36</v>
      </c>
      <c r="M187" s="63" t="s">
        <v>122</v>
      </c>
      <c r="N187" s="62" t="n">
        <v>2</v>
      </c>
      <c r="O187" s="64" t="n">
        <f aca="false">IF(OR($L187="",$M187=""),"",(DATE(Semana!$J$3,1,4)-WEEKDAY(DATE(Semana!$J$3,1,4),3))+($L187-1)*7+MATCH($M187,Listas!$F$5:$F$11,0)-1)</f>
        <v>46267</v>
      </c>
      <c r="P187" s="64" t="n">
        <f aca="false">IF($O187="","",$O187+MAX(0,ROUNDUP($AK187*MAX(1,IF($N187="",1,$N187))/MAX(1,$AL187),0)-1))</f>
        <v>46267</v>
      </c>
      <c r="Q187" s="65"/>
      <c r="R187" s="60" t="s">
        <v>86</v>
      </c>
      <c r="S187" s="66"/>
      <c r="T187" s="59" t="s">
        <v>116</v>
      </c>
      <c r="U187" s="59"/>
      <c r="V187" s="57" t="str">
        <f aca="false">IF($F187="","",IF(ISNUMBER(SEARCH("(externo)",$I187&amp;$J187&amp;$K187)),"Terceirizada","Interna"))</f>
        <v>Interna</v>
      </c>
      <c r="W187" s="64" t="n">
        <f aca="false">IF($O187="","",IF($S187="",$O187,(DATE(Semana!$J$3,1,4)-WEEKDAY(DATE(Semana!$J$3,1,4),3))+($S187-1)*7+IF($M187="",0,MATCH($M187,Listas!$F$5:$F$11,0)-1)))</f>
        <v>46267</v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1</v>
      </c>
      <c r="AD187" s="57" t="n">
        <f aca="false">IF($F187="","",IF(COUNTA($I187:$K187)=0,0,1/COUNTA($I187:$K187)))</f>
        <v>0</v>
      </c>
      <c r="AE187" s="57" t="n">
        <f aca="false">IF($AH187=0,"",SUM($AH$4:$AH187))</f>
        <v>23</v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1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PENDENCIAS|36</v>
      </c>
      <c r="AK187" s="57" t="n">
        <f aca="false">IF($AJ187="","",COUNTIF($AJ$4:$AJ187,$AJ187))</f>
        <v>4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programação</v>
      </c>
      <c r="C188" s="58" t="s">
        <v>503</v>
      </c>
      <c r="D188" s="59" t="s">
        <v>177</v>
      </c>
      <c r="E188" s="59" t="s">
        <v>487</v>
      </c>
      <c r="F188" s="59" t="s">
        <v>504</v>
      </c>
      <c r="G188" s="60" t="s">
        <v>110</v>
      </c>
      <c r="H188" s="60" t="s">
        <v>88</v>
      </c>
      <c r="I188" s="61"/>
      <c r="J188" s="61"/>
      <c r="K188" s="61"/>
      <c r="L188" s="62" t="n">
        <v>36</v>
      </c>
      <c r="M188" s="63" t="s">
        <v>122</v>
      </c>
      <c r="N188" s="62" t="n">
        <v>2</v>
      </c>
      <c r="O188" s="64" t="n">
        <f aca="false">IF(OR($L188="",$M188=""),"",(DATE(Semana!$J$3,1,4)-WEEKDAY(DATE(Semana!$J$3,1,4),3))+($L188-1)*7+MATCH($M188,Listas!$F$5:$F$11,0)-1)</f>
        <v>46267</v>
      </c>
      <c r="P188" s="64" t="n">
        <f aca="false">IF($O188="","",$O188+MAX(0,ROUNDUP($AK188*MAX(1,IF($N188="",1,$N188))/MAX(1,$AL188),0)-1))</f>
        <v>46267</v>
      </c>
      <c r="Q188" s="65"/>
      <c r="R188" s="60" t="s">
        <v>86</v>
      </c>
      <c r="S188" s="66"/>
      <c r="T188" s="59" t="s">
        <v>116</v>
      </c>
      <c r="U188" s="59"/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46267</v>
      </c>
      <c r="X188" s="57" t="n">
        <f aca="false">IF($F188="","",IF(OR($Q188="",$O188=""),0,IF($Q188&lt;=$O188,1,0)))</f>
        <v>0</v>
      </c>
      <c r="Y188" s="57" t="n">
        <f aca="false">IF($F188="","",IF(OR($Q188="",$W188=""),0,IF($Q188&lt;=$W188,1,0)))</f>
        <v>0</v>
      </c>
      <c r="Z188" s="57" t="str">
        <f aca="false">IF(OR($Q188="",$O188=""),"",MAX(0,$Q188-$O188))</f>
        <v/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0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</v>
      </c>
      <c r="AE188" s="57" t="n">
        <f aca="false">IF($AH188=0,"",SUM($AH$4:$AH188))</f>
        <v>24</v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/>
      </c>
      <c r="AH188" s="57" t="n">
        <f aca="false">IF(AND($F188&lt;&gt;"",$O188&lt;&gt;"",$O188&lt;=Hoje!$C$3,$P188&gt;=Hoje!$C$3,$R188&lt;&gt;"Cancelada"),1,0)</f>
        <v>1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F-814|BAIXA DE PENDENCIAS|36</v>
      </c>
      <c r="AK188" s="57" t="n">
        <f aca="false">IF($AJ188="","",COUNTIF($AJ$4:$AJ188,$AJ188))</f>
        <v>5</v>
      </c>
      <c r="AL188" s="57" t="n">
        <f aca="false">IF($AJ188="","",COUNTIF($AJ$4:$AJ$1004,$AJ188))</f>
        <v>11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programação</v>
      </c>
      <c r="C189" s="58" t="s">
        <v>505</v>
      </c>
      <c r="D189" s="59" t="s">
        <v>177</v>
      </c>
      <c r="E189" s="59" t="s">
        <v>487</v>
      </c>
      <c r="F189" s="59" t="s">
        <v>506</v>
      </c>
      <c r="G189" s="60" t="s">
        <v>110</v>
      </c>
      <c r="H189" s="60" t="s">
        <v>88</v>
      </c>
      <c r="I189" s="61"/>
      <c r="J189" s="61"/>
      <c r="K189" s="61"/>
      <c r="L189" s="62" t="n">
        <v>36</v>
      </c>
      <c r="M189" s="63" t="s">
        <v>122</v>
      </c>
      <c r="N189" s="62" t="n">
        <v>2</v>
      </c>
      <c r="O189" s="64" t="n">
        <f aca="false">IF(OR($L189="",$M189=""),"",(DATE(Semana!$J$3,1,4)-WEEKDAY(DATE(Semana!$J$3,1,4),3))+($L189-1)*7+MATCH($M189,Listas!$F$5:$F$11,0)-1)</f>
        <v>46267</v>
      </c>
      <c r="P189" s="64" t="n">
        <f aca="false">IF($O189="","",$O189+MAX(0,ROUNDUP($AK189*MAX(1,IF($N189="",1,$N189))/MAX(1,$AL189),0)-1))</f>
        <v>46268</v>
      </c>
      <c r="Q189" s="65"/>
      <c r="R189" s="60" t="s">
        <v>86</v>
      </c>
      <c r="S189" s="66"/>
      <c r="T189" s="59" t="s">
        <v>116</v>
      </c>
      <c r="U189" s="59"/>
      <c r="V189" s="57" t="str">
        <f aca="false">IF($F189="","",IF(ISNUMBER(SEARCH("(externo)",$I189&amp;$J189&amp;$K189)),"Terceirizada","Interna"))</f>
        <v>Interna</v>
      </c>
      <c r="W189" s="64" t="n">
        <f aca="false">IF($O189="","",IF($S189="",$O189,(DATE(Semana!$J$3,1,4)-WEEKDAY(DATE(Semana!$J$3,1,4),3))+($S189-1)*7+IF($M189="",0,MATCH($M189,Listas!$F$5:$F$11,0)-1)))</f>
        <v>46267</v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n">
        <f aca="false">IF($AH189=0,"",SUM($AH$4:$AH189))</f>
        <v>25</v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1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F-814|BAIXA DE PENDENCIAS|36</v>
      </c>
      <c r="AK189" s="57" t="n">
        <f aca="false">IF($AJ189="","",COUNTIF($AJ$4:$AJ189,$AJ189))</f>
        <v>6</v>
      </c>
      <c r="AL189" s="57" t="n">
        <f aca="false">IF($AJ189="","",COUNTIF($AJ$4:$AJ$1004,$AJ189))</f>
        <v>11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programação</v>
      </c>
      <c r="C190" s="58" t="s">
        <v>507</v>
      </c>
      <c r="D190" s="59" t="s">
        <v>177</v>
      </c>
      <c r="E190" s="59" t="s">
        <v>487</v>
      </c>
      <c r="F190" s="59" t="s">
        <v>508</v>
      </c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 t="s">
        <v>122</v>
      </c>
      <c r="N190" s="62" t="n">
        <v>2</v>
      </c>
      <c r="O190" s="64" t="n">
        <f aca="false">IF(OR($L190="",$M190=""),"",(DATE(Semana!$J$3,1,4)-WEEKDAY(DATE(Semana!$J$3,1,4),3))+($L190-1)*7+MATCH($M190,Listas!$F$5:$F$11,0)-1)</f>
        <v>46267</v>
      </c>
      <c r="P190" s="64" t="n">
        <f aca="false">IF($O190="","",$O190+MAX(0,ROUNDUP($AK190*MAX(1,IF($N190="",1,$N190))/MAX(1,$AL190),0)-1))</f>
        <v>46268</v>
      </c>
      <c r="Q190" s="65"/>
      <c r="R190" s="60" t="s">
        <v>86</v>
      </c>
      <c r="S190" s="66"/>
      <c r="T190" s="59" t="s">
        <v>116</v>
      </c>
      <c r="U190" s="59"/>
      <c r="V190" s="57" t="str">
        <f aca="false">IF($F190="","",IF(ISNUMBER(SEARCH("(externo)",$I190&amp;$J190&amp;$K190)),"Terceirizada","Interna"))</f>
        <v>Interna</v>
      </c>
      <c r="W190" s="64" t="n">
        <f aca="false">IF($O190="","",IF($S190="",$O190,(DATE(Semana!$J$3,1,4)-WEEKDAY(DATE(Semana!$J$3,1,4),3))+($S190-1)*7+IF($M190="",0,MATCH($M190,Listas!$F$5:$F$11,0)-1)))</f>
        <v>46267</v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n">
        <f aca="false">IF($AH190=0,"",SUM($AH$4:$AH190))</f>
        <v>26</v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1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F-814|BAIXA DE PENDENCIAS|36</v>
      </c>
      <c r="AK190" s="57" t="n">
        <f aca="false">IF($AJ190="","",COUNTIF($AJ$4:$AJ190,$AJ190))</f>
        <v>7</v>
      </c>
      <c r="AL190" s="57" t="n">
        <f aca="false">IF($AJ190="","",COUNTIF($AJ$4:$AJ$1004,$AJ190))</f>
        <v>11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programação</v>
      </c>
      <c r="C191" s="58" t="s">
        <v>509</v>
      </c>
      <c r="D191" s="59" t="s">
        <v>177</v>
      </c>
      <c r="E191" s="59" t="s">
        <v>487</v>
      </c>
      <c r="F191" s="59" t="s">
        <v>510</v>
      </c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 t="s">
        <v>122</v>
      </c>
      <c r="N191" s="62" t="n">
        <v>2</v>
      </c>
      <c r="O191" s="64" t="n">
        <f aca="false">IF(OR($L191="",$M191=""),"",(DATE(Semana!$J$3,1,4)-WEEKDAY(DATE(Semana!$J$3,1,4),3))+($L191-1)*7+MATCH($M191,Listas!$F$5:$F$11,0)-1)</f>
        <v>46267</v>
      </c>
      <c r="P191" s="64" t="n">
        <f aca="false">IF($O191="","",$O191+MAX(0,ROUNDUP($AK191*MAX(1,IF($N191="",1,$N191))/MAX(1,$AL191),0)-1))</f>
        <v>46268</v>
      </c>
      <c r="Q191" s="65"/>
      <c r="R191" s="60" t="s">
        <v>86</v>
      </c>
      <c r="S191" s="66"/>
      <c r="T191" s="59" t="s">
        <v>116</v>
      </c>
      <c r="U191" s="59"/>
      <c r="V191" s="57" t="str">
        <f aca="false">IF($F191="","",IF(ISNUMBER(SEARCH("(externo)",$I191&amp;$J191&amp;$K191)),"Terceirizada","Interna"))</f>
        <v>Interna</v>
      </c>
      <c r="W191" s="64" t="n">
        <f aca="false">IF($O191="","",IF($S191="",$O191,(DATE(Semana!$J$3,1,4)-WEEKDAY(DATE(Semana!$J$3,1,4),3))+($S191-1)*7+IF($M191="",0,MATCH($M191,Listas!$F$5:$F$11,0)-1)))</f>
        <v>46267</v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n">
        <f aca="false">IF($AH191=0,"",SUM($AH$4:$AH191))</f>
        <v>27</v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1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F-814|BAIXA DE PENDENCIAS|36</v>
      </c>
      <c r="AK191" s="57" t="n">
        <f aca="false">IF($AJ191="","",COUNTIF($AJ$4:$AJ191,$AJ191))</f>
        <v>8</v>
      </c>
      <c r="AL191" s="57" t="n">
        <f aca="false">IF($AJ191="","",COUNTIF($AJ$4:$AJ$1004,$AJ191))</f>
        <v>11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programação</v>
      </c>
      <c r="C192" s="58" t="s">
        <v>511</v>
      </c>
      <c r="D192" s="59" t="s">
        <v>177</v>
      </c>
      <c r="E192" s="59" t="s">
        <v>487</v>
      </c>
      <c r="F192" s="59" t="s">
        <v>512</v>
      </c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 t="s">
        <v>122</v>
      </c>
      <c r="N192" s="62" t="n">
        <v>2</v>
      </c>
      <c r="O192" s="64" t="n">
        <f aca="false">IF(OR($L192="",$M192=""),"",(DATE(Semana!$J$3,1,4)-WEEKDAY(DATE(Semana!$J$3,1,4),3))+($L192-1)*7+MATCH($M192,Listas!$F$5:$F$11,0)-1)</f>
        <v>46267</v>
      </c>
      <c r="P192" s="64" t="n">
        <f aca="false">IF($O192="","",$O192+MAX(0,ROUNDUP($AK192*MAX(1,IF($N192="",1,$N192))/MAX(1,$AL192),0)-1))</f>
        <v>46268</v>
      </c>
      <c r="Q192" s="65"/>
      <c r="R192" s="60" t="s">
        <v>86</v>
      </c>
      <c r="S192" s="66"/>
      <c r="T192" s="59" t="s">
        <v>116</v>
      </c>
      <c r="U192" s="59"/>
      <c r="V192" s="57" t="str">
        <f aca="false">IF($F192="","",IF(ISNUMBER(SEARCH("(externo)",$I192&amp;$J192&amp;$K192)),"Terceirizada","Interna"))</f>
        <v>Interna</v>
      </c>
      <c r="W192" s="64" t="n">
        <f aca="false">IF($O192="","",IF($S192="",$O192,(DATE(Semana!$J$3,1,4)-WEEKDAY(DATE(Semana!$J$3,1,4),3))+($S192-1)*7+IF($M192="",0,MATCH($M192,Listas!$F$5:$F$11,0)-1)))</f>
        <v>46267</v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n">
        <f aca="false">IF($AH192=0,"",SUM($AH$4:$AH192))</f>
        <v>28</v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1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F-814|BAIXA DE PENDENCIAS|36</v>
      </c>
      <c r="AK192" s="57" t="n">
        <f aca="false">IF($AJ192="","",COUNTIF($AJ$4:$AJ192,$AJ192))</f>
        <v>9</v>
      </c>
      <c r="AL192" s="57" t="n">
        <f aca="false">IF($AJ192="","",COUNTIF($AJ$4:$AJ$1004,$AJ192))</f>
        <v>11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programação</v>
      </c>
      <c r="C193" s="58" t="s">
        <v>513</v>
      </c>
      <c r="D193" s="59" t="s">
        <v>177</v>
      </c>
      <c r="E193" s="59" t="s">
        <v>487</v>
      </c>
      <c r="F193" s="59" t="s">
        <v>514</v>
      </c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 t="s">
        <v>122</v>
      </c>
      <c r="N193" s="62" t="n">
        <v>2</v>
      </c>
      <c r="O193" s="64" t="n">
        <f aca="false">IF(OR($L193="",$M193=""),"",(DATE(Semana!$J$3,1,4)-WEEKDAY(DATE(Semana!$J$3,1,4),3))+($L193-1)*7+MATCH($M193,Listas!$F$5:$F$11,0)-1)</f>
        <v>46267</v>
      </c>
      <c r="P193" s="64" t="n">
        <f aca="false">IF($O193="","",$O193+MAX(0,ROUNDUP($AK193*MAX(1,IF($N193="",1,$N193))/MAX(1,$AL193),0)-1))</f>
        <v>46268</v>
      </c>
      <c r="Q193" s="65"/>
      <c r="R193" s="60" t="s">
        <v>86</v>
      </c>
      <c r="S193" s="66"/>
      <c r="T193" s="59" t="s">
        <v>116</v>
      </c>
      <c r="U193" s="59"/>
      <c r="V193" s="57" t="str">
        <f aca="false">IF($F193="","",IF(ISNUMBER(SEARCH("(externo)",$I193&amp;$J193&amp;$K193)),"Terceirizada","Interna"))</f>
        <v>Interna</v>
      </c>
      <c r="W193" s="64" t="n">
        <f aca="false">IF($O193="","",IF($S193="",$O193,(DATE(Semana!$J$3,1,4)-WEEKDAY(DATE(Semana!$J$3,1,4),3))+($S193-1)*7+IF($M193="",0,MATCH($M193,Listas!$F$5:$F$11,0)-1)))</f>
        <v>46267</v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n">
        <f aca="false">IF($AH193=0,"",SUM($AH$4:$AH193))</f>
        <v>29</v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1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F-814|BAIXA DE PENDENCIAS|36</v>
      </c>
      <c r="AK193" s="57" t="n">
        <f aca="false">IF($AJ193="","",COUNTIF($AJ$4:$AJ193,$AJ193))</f>
        <v>10</v>
      </c>
      <c r="AL193" s="57" t="n">
        <f aca="false">IF($AJ193="","",COUNTIF($AJ$4:$AJ$1004,$AJ193))</f>
        <v>11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Em execução</v>
      </c>
      <c r="C194" s="58" t="s">
        <v>515</v>
      </c>
      <c r="D194" s="59" t="s">
        <v>177</v>
      </c>
      <c r="E194" s="59" t="s">
        <v>487</v>
      </c>
      <c r="F194" s="59" t="s">
        <v>516</v>
      </c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 t="s">
        <v>122</v>
      </c>
      <c r="N194" s="62" t="n">
        <v>2</v>
      </c>
      <c r="O194" s="64" t="n">
        <f aca="false">IF(OR($L194="",$M194=""),"",(DATE(Semana!$J$3,1,4)-WEEKDAY(DATE(Semana!$J$3,1,4),3))+($L194-1)*7+MATCH($M194,Listas!$F$5:$F$11,0)-1)</f>
        <v>46267</v>
      </c>
      <c r="P194" s="64" t="n">
        <f aca="false">IF($O194="","",$O194+MAX(0,ROUNDUP($AK194*MAX(1,IF($N194="",1,$N194))/MAX(1,$AL194),0)-1))</f>
        <v>46268</v>
      </c>
      <c r="Q194" s="65"/>
      <c r="R194" s="60"/>
      <c r="S194" s="66"/>
      <c r="T194" s="59" t="s">
        <v>116</v>
      </c>
      <c r="U194" s="59"/>
      <c r="V194" s="57" t="str">
        <f aca="false">IF($F194="","",IF(ISNUMBER(SEARCH("(externo)",$I194&amp;$J194&amp;$K194)),"Terceirizada","Interna"))</f>
        <v>Interna</v>
      </c>
      <c r="W194" s="64" t="n">
        <f aca="false">IF($O194="","",IF($S194="",$O194,(DATE(Semana!$J$3,1,4)-WEEKDAY(DATE(Semana!$J$3,1,4),3))+($S194-1)*7+IF($M194="",0,MATCH($M194,Listas!$F$5:$F$11,0)-1)))</f>
        <v>46267</v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0</v>
      </c>
      <c r="AD194" s="57" t="n">
        <f aca="false">IF($F194="","",IF(COUNTA($I194:$K194)=0,0,1/COUNTA($I194:$K194)))</f>
        <v>0</v>
      </c>
      <c r="AE194" s="57" t="n">
        <f aca="false">IF($AH194=0,"",SUM($AH$4:$AH194))</f>
        <v>30</v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1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>F-814|BAIXA DE PENDENCIAS|36</v>
      </c>
      <c r="AK194" s="57" t="n">
        <f aca="false">IF($AJ194="","",COUNTIF($AJ$4:$AJ194,$AJ194))</f>
        <v>11</v>
      </c>
      <c r="AL194" s="57" t="n">
        <f aca="false">IF($AJ194="","",COUNTIF($AJ$4:$AJ$1004,$AJ194))</f>
        <v>11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58" t="s">
        <v>517</v>
      </c>
      <c r="D195" s="59" t="s">
        <v>178</v>
      </c>
      <c r="E195" s="59" t="s">
        <v>487</v>
      </c>
      <c r="F195" s="59" t="s">
        <v>518</v>
      </c>
      <c r="G195" s="60" t="s">
        <v>110</v>
      </c>
      <c r="H195" s="60" t="s">
        <v>88</v>
      </c>
      <c r="I195" s="61" t="s">
        <v>143</v>
      </c>
      <c r="J195" s="61"/>
      <c r="K195" s="61"/>
      <c r="L195" s="62" t="n">
        <v>36</v>
      </c>
      <c r="M195" s="63" t="s">
        <v>117</v>
      </c>
      <c r="N195" s="62" t="n">
        <v>2</v>
      </c>
      <c r="O195" s="64" t="n">
        <f aca="false">IF(OR($L195="",$M195=""),"",(DATE(Semana!$J$3,1,4)-WEEKDAY(DATE(Semana!$J$3,1,4),3))+($L195-1)*7+MATCH($M195,Listas!$F$5:$F$11,0)-1)</f>
        <v>46266</v>
      </c>
      <c r="P195" s="64" t="n">
        <f aca="false">IF($O195="","",$O195+MAX(0,ROUNDUP($AK195*MAX(1,IF($N195="",1,$N195))/MAX(1,$AL195),0)-1))</f>
        <v>46267</v>
      </c>
      <c r="Q195" s="65" t="n">
        <v>46265</v>
      </c>
      <c r="R195" s="60" t="s">
        <v>82</v>
      </c>
      <c r="S195" s="66"/>
      <c r="T195" s="59"/>
      <c r="U195" s="59"/>
      <c r="V195" s="57" t="str">
        <f aca="false">IF($F195="","",IF(ISNUMBER(SEARCH("(externo)",$I195&amp;$J195&amp;$K195)),"Terceirizada","Interna"))</f>
        <v>Interna</v>
      </c>
      <c r="W195" s="64" t="n">
        <f aca="false">IF($O195="","",IF($S195="",$O195,(DATE(Semana!$J$3,1,4)-WEEKDAY(DATE(Semana!$J$3,1,4),3))+($S195-1)*7+IF($M195="",0,MATCH($M195,Listas!$F$5:$F$11,0)-1)))</f>
        <v>46266</v>
      </c>
      <c r="X195" s="57" t="n">
        <f aca="false">IF($F195="","",IF(OR($Q195="",$O195=""),0,IF($Q195&lt;=$O195,1,0)))</f>
        <v>1</v>
      </c>
      <c r="Y195" s="57" t="n">
        <f aca="false">IF($F195="","",IF(OR($Q195="",$W195=""),0,IF($Q195&lt;=$W195,1,0)))</f>
        <v>1</v>
      </c>
      <c r="Z195" s="57" t="n">
        <f aca="false">IF(OR($Q195="",$O195=""),"",MAX(0,$Q195-$O195))</f>
        <v>0</v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1</v>
      </c>
      <c r="AC195" s="57" t="n">
        <f aca="false">IF($P195="",0,IF($P195&lt;Hoje!$L$1,1,IF(AND($P195=Hoje!$L$1,Hoje!$L$2&gt;Semana!$M$3),1,0)))</f>
        <v>1</v>
      </c>
      <c r="AD195" s="57" t="n">
        <f aca="false">IF($F195="","",IF(COUNTA($I195:$K195)=0,0,1/COUNTA($I195:$K195)))</f>
        <v>1</v>
      </c>
      <c r="AE195" s="57" t="n">
        <f aca="false">IF($AH195=0,"",SUM($AH$4:$AH195))</f>
        <v>31</v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>Terceirizada</v>
      </c>
      <c r="AH195" s="57" t="n">
        <f aca="false">IF(AND($F195&lt;&gt;"",$O195&lt;&gt;"",$O195&lt;=Hoje!$C$3,$P195&gt;=Hoje!$C$3,$R195&lt;&gt;"Cancelada"),1,0)</f>
        <v>1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F-815|BAIXA DE PENDENCIAS|36</v>
      </c>
      <c r="AK195" s="57" t="n">
        <f aca="false">IF($AJ195="","",COUNTIF($AJ$4:$AJ195,$AJ195))</f>
        <v>1</v>
      </c>
      <c r="AL195" s="57" t="n">
        <f aca="false">IF($AJ195="","",COUNTIF($AJ$4:$AJ$1004,$AJ195))</f>
        <v>1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Concluída</v>
      </c>
      <c r="C196" s="58" t="s">
        <v>519</v>
      </c>
      <c r="D196" s="59" t="s">
        <v>173</v>
      </c>
      <c r="E196" s="59" t="s">
        <v>520</v>
      </c>
      <c r="F196" s="59" t="s">
        <v>521</v>
      </c>
      <c r="G196" s="60" t="s">
        <v>110</v>
      </c>
      <c r="H196" s="60" t="s">
        <v>229</v>
      </c>
      <c r="I196" s="61" t="s">
        <v>123</v>
      </c>
      <c r="J196" s="61"/>
      <c r="K196" s="61"/>
      <c r="L196" s="62" t="n">
        <v>36</v>
      </c>
      <c r="M196" s="63" t="s">
        <v>112</v>
      </c>
      <c r="N196" s="62" t="n">
        <v>1</v>
      </c>
      <c r="O196" s="64" t="n">
        <f aca="false">IF(OR($L196="",$M196=""),"",(DATE(Semana!$J$3,1,4)-WEEKDAY(DATE(Semana!$J$3,1,4),3))+($L196-1)*7+MATCH($M196,Listas!$F$5:$F$11,0)-1)</f>
        <v>46265</v>
      </c>
      <c r="P196" s="64" t="n">
        <f aca="false">IF($O196="","",$O196+MAX(0,ROUNDUP($AK196*MAX(1,IF($N196="",1,$N196))/MAX(1,$AL196),0)-1))</f>
        <v>46265</v>
      </c>
      <c r="Q196" s="65" t="n">
        <v>46265</v>
      </c>
      <c r="R196" s="60" t="s">
        <v>82</v>
      </c>
      <c r="S196" s="66"/>
      <c r="T196" s="59"/>
      <c r="U196" s="59"/>
      <c r="V196" s="57" t="str">
        <f aca="false">IF($F196="","",IF(ISNUMBER(SEARCH("(externo)",$I196&amp;$J196&amp;$K196)),"Terceirizada","Interna"))</f>
        <v>Interna</v>
      </c>
      <c r="W196" s="64" t="n">
        <f aca="false">IF($O196="","",IF($S196="",$O196,(DATE(Semana!$J$3,1,4)-WEEKDAY(DATE(Semana!$J$3,1,4),3))+($S196-1)*7+IF($M196="",0,MATCH($M196,Listas!$F$5:$F$11,0)-1)))</f>
        <v>46265</v>
      </c>
      <c r="X196" s="57" t="n">
        <f aca="false">IF($F196="","",IF(OR($Q196="",$O196=""),0,IF($Q196&lt;=$O196,1,0)))</f>
        <v>1</v>
      </c>
      <c r="Y196" s="57" t="n">
        <f aca="false">IF($F196="","",IF(OR($Q196="",$W196=""),0,IF($Q196&lt;=$W196,1,0)))</f>
        <v>1</v>
      </c>
      <c r="Z196" s="57" t="n">
        <f aca="false">IF(OR($Q196="",$O196=""),"",MAX(0,$Q196-$O196))</f>
        <v>0</v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1</v>
      </c>
      <c r="AC196" s="57" t="n">
        <f aca="false">IF($P196="",0,IF($P196&lt;Hoje!$L$1,1,IF(AND($P196=Hoje!$L$1,Hoje!$L$2&gt;Semana!$M$3),1,0)))</f>
        <v>1</v>
      </c>
      <c r="AD196" s="57" t="n">
        <f aca="false">IF($F196="","",IF(COUNTA($I196:$K196)=0,0,1/COUNTA($I196:$K196)))</f>
        <v>1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>Gabriel</v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F-711|Substituir filtro|36</v>
      </c>
      <c r="AK196" s="57" t="n">
        <f aca="false">IF($AJ196="","",COUNTIF($AJ$4:$AJ196,$AJ196))</f>
        <v>1</v>
      </c>
      <c r="AL196" s="57" t="n">
        <f aca="false">IF($AJ196="","",COUNTIF($AJ$4:$AJ$1004,$AJ196))</f>
        <v>1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Concluída</v>
      </c>
      <c r="C197" s="58"/>
      <c r="D197" s="59" t="s">
        <v>166</v>
      </c>
      <c r="E197" s="59" t="s">
        <v>522</v>
      </c>
      <c r="F197" s="59" t="s">
        <v>523</v>
      </c>
      <c r="G197" s="60" t="s">
        <v>110</v>
      </c>
      <c r="H197" s="60" t="s">
        <v>88</v>
      </c>
      <c r="I197" s="61" t="s">
        <v>113</v>
      </c>
      <c r="J197" s="61" t="s">
        <v>138</v>
      </c>
      <c r="K197" s="61"/>
      <c r="L197" s="62" t="n">
        <v>35</v>
      </c>
      <c r="M197" s="63" t="s">
        <v>132</v>
      </c>
      <c r="N197" s="62" t="n">
        <v>1</v>
      </c>
      <c r="O197" s="64" t="n">
        <f aca="false">IF(OR($L197="",$M197=""),"",(DATE(Semana!$J$3,1,4)-WEEKDAY(DATE(Semana!$J$3,1,4),3))+($L197-1)*7+MATCH($M197,Listas!$F$5:$F$11,0)-1)</f>
        <v>46262</v>
      </c>
      <c r="P197" s="64" t="n">
        <f aca="false">IF($O197="","",$O197+MAX(0,ROUNDUP($AK197*MAX(1,IF($N197="",1,$N197))/MAX(1,$AL197),0)-1))</f>
        <v>46262</v>
      </c>
      <c r="Q197" s="65" t="n">
        <v>46262</v>
      </c>
      <c r="R197" s="60" t="s">
        <v>82</v>
      </c>
      <c r="S197" s="66"/>
      <c r="T197" s="59"/>
      <c r="U197" s="59" t="s">
        <v>524</v>
      </c>
      <c r="V197" s="57" t="str">
        <f aca="false">IF($F197="","",IF(ISNUMBER(SEARCH("(externo)",$I197&amp;$J197&amp;$K197)),"Terceirizada","Interna"))</f>
        <v>Interna</v>
      </c>
      <c r="W197" s="64" t="n">
        <f aca="false">IF($O197="","",IF($S197="",$O197,(DATE(Semana!$J$3,1,4)-WEEKDAY(DATE(Semana!$J$3,1,4),3))+($S197-1)*7+IF($M197="",0,MATCH($M197,Listas!$F$5:$F$11,0)-1)))</f>
        <v>46262</v>
      </c>
      <c r="X197" s="57" t="n">
        <f aca="false">IF($F197="","",IF(OR($Q197="",$O197=""),0,IF($Q197&lt;=$O197,1,0)))</f>
        <v>1</v>
      </c>
      <c r="Y197" s="57" t="n">
        <f aca="false">IF($F197="","",IF(OR($Q197="",$W197=""),0,IF($Q197&lt;=$W197,1,0)))</f>
        <v>1</v>
      </c>
      <c r="Z197" s="57" t="n">
        <f aca="false">IF(OR($Q197="",$O197=""),"",MAX(0,$Q197-$O197))</f>
        <v>0</v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1</v>
      </c>
      <c r="AC197" s="57" t="n">
        <f aca="false">IF($P197="",0,IF($P197&lt;Hoje!$L$1,1,IF(AND($P197=Hoje!$L$1,Hoje!$L$2&gt;Semana!$M$3),1,0)))</f>
        <v>1</v>
      </c>
      <c r="AD197" s="57" t="n">
        <f aca="false">IF($F197="","",IF(COUNTA($I197:$K197)=0,0,1/COUNTA($I197:$K197)))</f>
        <v>0.5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>Airton · Luiz Paulo</v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F-616|TROCAR E FERRAR PNEUS|35</v>
      </c>
      <c r="AK197" s="57" t="n">
        <f aca="false">IF($AJ197="","",COUNTIF($AJ$4:$AJ197,$AJ197))</f>
        <v>1</v>
      </c>
      <c r="AL197" s="57" t="n">
        <f aca="false">IF($AJ197="","",COUNTIF($AJ$4:$AJ$1004,$AJ197))</f>
        <v>1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 t="s">
        <v>525</v>
      </c>
      <c r="D198" s="59" t="s">
        <v>109</v>
      </c>
      <c r="E198" s="59" t="s">
        <v>526</v>
      </c>
      <c r="F198" s="59" t="s">
        <v>527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528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1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 t="s">
        <v>529</v>
      </c>
      <c r="D199" s="59" t="s">
        <v>109</v>
      </c>
      <c r="E199" s="59" t="s">
        <v>526</v>
      </c>
      <c r="F199" s="59" t="s">
        <v>530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528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F-1038|Pendências de inspeção|</v>
      </c>
      <c r="AK199" s="57" t="n">
        <f aca="false">IF($AJ199="","",COUNTIF($AJ$4:$AJ199,$AJ199))</f>
        <v>2</v>
      </c>
      <c r="AL199" s="57" t="n">
        <f aca="false">IF($AJ199="","",COUNTIF($AJ$4:$AJ$1004,$AJ199))</f>
        <v>10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 t="s">
        <v>531</v>
      </c>
      <c r="D200" s="59" t="s">
        <v>109</v>
      </c>
      <c r="E200" s="59" t="s">
        <v>526</v>
      </c>
      <c r="F200" s="59" t="s">
        <v>532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528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F-1038|Pendências de inspeção|</v>
      </c>
      <c r="AK200" s="57" t="n">
        <f aca="false">IF($AJ200="","",COUNTIF($AJ$4:$AJ200,$AJ200))</f>
        <v>3</v>
      </c>
      <c r="AL200" s="57" t="n">
        <f aca="false">IF($AJ200="","",COUNTIF($AJ$4:$AJ$1004,$AJ200))</f>
        <v>10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 t="s">
        <v>533</v>
      </c>
      <c r="D201" s="59" t="s">
        <v>109</v>
      </c>
      <c r="E201" s="59" t="s">
        <v>526</v>
      </c>
      <c r="F201" s="59" t="s">
        <v>534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528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F-1038|Pendências de inspeção|</v>
      </c>
      <c r="AK201" s="57" t="n">
        <f aca="false">IF($AJ201="","",COUNTIF($AJ$4:$AJ201,$AJ201))</f>
        <v>4</v>
      </c>
      <c r="AL201" s="57" t="n">
        <f aca="false">IF($AJ201="","",COUNTIF($AJ$4:$AJ$1004,$AJ201))</f>
        <v>10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 t="s">
        <v>535</v>
      </c>
      <c r="D202" s="59" t="s">
        <v>109</v>
      </c>
      <c r="E202" s="59" t="s">
        <v>526</v>
      </c>
      <c r="F202" s="59" t="s">
        <v>536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528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F-1038|Pendências de inspeção|</v>
      </c>
      <c r="AK202" s="57" t="n">
        <f aca="false">IF($AJ202="","",COUNTIF($AJ$4:$AJ202,$AJ202))</f>
        <v>5</v>
      </c>
      <c r="AL202" s="57" t="n">
        <f aca="false">IF($AJ202="","",COUNTIF($AJ$4:$AJ$1004,$AJ202))</f>
        <v>10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 t="s">
        <v>537</v>
      </c>
      <c r="D203" s="59" t="s">
        <v>109</v>
      </c>
      <c r="E203" s="59" t="s">
        <v>526</v>
      </c>
      <c r="F203" s="59" t="s">
        <v>538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528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F-1038|Pendências de inspeção|</v>
      </c>
      <c r="AK203" s="57" t="n">
        <f aca="false">IF($AJ203="","",COUNTIF($AJ$4:$AJ203,$AJ203))</f>
        <v>6</v>
      </c>
      <c r="AL203" s="57" t="n">
        <f aca="false">IF($AJ203="","",COUNTIF($AJ$4:$AJ$1004,$AJ203))</f>
        <v>10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 t="s">
        <v>539</v>
      </c>
      <c r="D204" s="59" t="s">
        <v>109</v>
      </c>
      <c r="E204" s="59" t="s">
        <v>526</v>
      </c>
      <c r="F204" s="59" t="s">
        <v>540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528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F-1038|Pendências de inspeção|</v>
      </c>
      <c r="AK204" s="57" t="n">
        <f aca="false">IF($AJ204="","",COUNTIF($AJ$4:$AJ204,$AJ204))</f>
        <v>7</v>
      </c>
      <c r="AL204" s="57" t="n">
        <f aca="false">IF($AJ204="","",COUNTIF($AJ$4:$AJ$1004,$AJ204))</f>
        <v>10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 t="s">
        <v>541</v>
      </c>
      <c r="D205" s="59" t="s">
        <v>109</v>
      </c>
      <c r="E205" s="59" t="s">
        <v>526</v>
      </c>
      <c r="F205" s="59" t="s">
        <v>542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528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F-1038|Pendências de inspeção|</v>
      </c>
      <c r="AK205" s="57" t="n">
        <f aca="false">IF($AJ205="","",COUNTIF($AJ$4:$AJ205,$AJ205))</f>
        <v>8</v>
      </c>
      <c r="AL205" s="57" t="n">
        <f aca="false">IF($AJ205="","",COUNTIF($AJ$4:$AJ$1004,$AJ205))</f>
        <v>10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 t="s">
        <v>543</v>
      </c>
      <c r="D206" s="59" t="s">
        <v>109</v>
      </c>
      <c r="E206" s="59" t="s">
        <v>526</v>
      </c>
      <c r="F206" s="59" t="s">
        <v>544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528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F-1038|Pendências de inspeção|</v>
      </c>
      <c r="AK206" s="57" t="n">
        <f aca="false">IF($AJ206="","",COUNTIF($AJ$4:$AJ206,$AJ206))</f>
        <v>9</v>
      </c>
      <c r="AL206" s="57" t="n">
        <f aca="false">IF($AJ206="","",COUNTIF($AJ$4:$AJ$1004,$AJ206))</f>
        <v>10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 t="s">
        <v>545</v>
      </c>
      <c r="D207" s="59" t="s">
        <v>109</v>
      </c>
      <c r="E207" s="59" t="s">
        <v>526</v>
      </c>
      <c r="F207" s="59" t="s">
        <v>546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528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F-1038|Pendências de inspeção|</v>
      </c>
      <c r="AK207" s="57" t="n">
        <f aca="false">IF($AJ207="","",COUNTIF($AJ$4:$AJ207,$AJ207))</f>
        <v>10</v>
      </c>
      <c r="AL207" s="57" t="n">
        <f aca="false">IF($AJ207="","",COUNTIF($AJ$4:$AJ$1004,$AJ207))</f>
        <v>10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 t="s">
        <v>547</v>
      </c>
      <c r="D208" s="59" t="s">
        <v>114</v>
      </c>
      <c r="E208" s="59" t="s">
        <v>526</v>
      </c>
      <c r="F208" s="59" t="s">
        <v>548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528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F-1039|Pendências de inspeção|</v>
      </c>
      <c r="AK208" s="57" t="n">
        <f aca="false">IF($AJ208="","",COUNTIF($AJ$4:$AJ208,$AJ208))</f>
        <v>1</v>
      </c>
      <c r="AL208" s="57" t="n">
        <f aca="false">IF($AJ208="","",COUNTIF($AJ$4:$AJ$1004,$AJ208))</f>
        <v>9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 t="s">
        <v>549</v>
      </c>
      <c r="D209" s="59" t="s">
        <v>114</v>
      </c>
      <c r="E209" s="59" t="s">
        <v>526</v>
      </c>
      <c r="F209" s="59" t="s">
        <v>550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528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F-1039|Pendências de inspeção|</v>
      </c>
      <c r="AK209" s="57" t="n">
        <f aca="false">IF($AJ209="","",COUNTIF($AJ$4:$AJ209,$AJ209))</f>
        <v>2</v>
      </c>
      <c r="AL209" s="57" t="n">
        <f aca="false">IF($AJ209="","",COUNTIF($AJ$4:$AJ$1004,$AJ209))</f>
        <v>9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 t="s">
        <v>551</v>
      </c>
      <c r="D210" s="59" t="s">
        <v>114</v>
      </c>
      <c r="E210" s="59" t="s">
        <v>526</v>
      </c>
      <c r="F210" s="59" t="s">
        <v>552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528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F-1039|Pendências de inspeção|</v>
      </c>
      <c r="AK210" s="57" t="n">
        <f aca="false">IF($AJ210="","",COUNTIF($AJ$4:$AJ210,$AJ210))</f>
        <v>3</v>
      </c>
      <c r="AL210" s="57" t="n">
        <f aca="false">IF($AJ210="","",COUNTIF($AJ$4:$AJ$1004,$AJ210))</f>
        <v>9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 t="s">
        <v>553</v>
      </c>
      <c r="D211" s="59" t="s">
        <v>114</v>
      </c>
      <c r="E211" s="59" t="s">
        <v>526</v>
      </c>
      <c r="F211" s="59" t="s">
        <v>554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528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F-1039|Pendências de inspeção|</v>
      </c>
      <c r="AK211" s="57" t="n">
        <f aca="false">IF($AJ211="","",COUNTIF($AJ$4:$AJ211,$AJ211))</f>
        <v>4</v>
      </c>
      <c r="AL211" s="57" t="n">
        <f aca="false">IF($AJ211="","",COUNTIF($AJ$4:$AJ$1004,$AJ211))</f>
        <v>9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 t="s">
        <v>555</v>
      </c>
      <c r="D212" s="59" t="s">
        <v>114</v>
      </c>
      <c r="E212" s="59" t="s">
        <v>526</v>
      </c>
      <c r="F212" s="59" t="s">
        <v>556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528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F-1039|Pendências de inspeção|</v>
      </c>
      <c r="AK212" s="57" t="n">
        <f aca="false">IF($AJ212="","",COUNTIF($AJ$4:$AJ212,$AJ212))</f>
        <v>5</v>
      </c>
      <c r="AL212" s="57" t="n">
        <f aca="false">IF($AJ212="","",COUNTIF($AJ$4:$AJ$1004,$AJ212))</f>
        <v>9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 t="s">
        <v>557</v>
      </c>
      <c r="D213" s="59" t="s">
        <v>114</v>
      </c>
      <c r="E213" s="59" t="s">
        <v>526</v>
      </c>
      <c r="F213" s="59" t="s">
        <v>558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528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F-1039|Pendências de inspeção|</v>
      </c>
      <c r="AK213" s="57" t="n">
        <f aca="false">IF($AJ213="","",COUNTIF($AJ$4:$AJ213,$AJ213))</f>
        <v>6</v>
      </c>
      <c r="AL213" s="57" t="n">
        <f aca="false">IF($AJ213="","",COUNTIF($AJ$4:$AJ$1004,$AJ213))</f>
        <v>9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 t="s">
        <v>559</v>
      </c>
      <c r="D214" s="59" t="s">
        <v>114</v>
      </c>
      <c r="E214" s="59" t="s">
        <v>526</v>
      </c>
      <c r="F214" s="59" t="s">
        <v>560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528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F-1039|Pendências de inspeção|</v>
      </c>
      <c r="AK214" s="57" t="n">
        <f aca="false">IF($AJ214="","",COUNTIF($AJ$4:$AJ214,$AJ214))</f>
        <v>7</v>
      </c>
      <c r="AL214" s="57" t="n">
        <f aca="false">IF($AJ214="","",COUNTIF($AJ$4:$AJ$1004,$AJ214))</f>
        <v>9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561</v>
      </c>
      <c r="D215" s="59" t="s">
        <v>114</v>
      </c>
      <c r="E215" s="59" t="s">
        <v>526</v>
      </c>
      <c r="F215" s="59" t="s">
        <v>562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528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F-1039|Pendências de inspeção|</v>
      </c>
      <c r="AK215" s="57" t="n">
        <f aca="false">IF($AJ215="","",COUNTIF($AJ$4:$AJ215,$AJ215))</f>
        <v>8</v>
      </c>
      <c r="AL215" s="57" t="n">
        <f aca="false">IF($AJ215="","",COUNTIF($AJ$4:$AJ$1004,$AJ215))</f>
        <v>9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563</v>
      </c>
      <c r="D216" s="59" t="s">
        <v>114</v>
      </c>
      <c r="E216" s="59" t="s">
        <v>526</v>
      </c>
      <c r="F216" s="59" t="s">
        <v>564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528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F-1039|Pendências de inspeção|</v>
      </c>
      <c r="AK216" s="57" t="n">
        <f aca="false">IF($AJ216="","",COUNTIF($AJ$4:$AJ216,$AJ216))</f>
        <v>9</v>
      </c>
      <c r="AL216" s="57" t="n">
        <f aca="false">IF($AJ216="","",COUNTIF($AJ$4:$AJ$1004,$AJ216))</f>
        <v>9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565</v>
      </c>
      <c r="D217" s="59" t="s">
        <v>180</v>
      </c>
      <c r="E217" s="59" t="s">
        <v>526</v>
      </c>
      <c r="F217" s="59" t="s">
        <v>566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528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1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567</v>
      </c>
      <c r="D218" s="59" t="s">
        <v>180</v>
      </c>
      <c r="E218" s="59" t="s">
        <v>526</v>
      </c>
      <c r="F218" s="59" t="s">
        <v>568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528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2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569</v>
      </c>
      <c r="D219" s="59" t="s">
        <v>180</v>
      </c>
      <c r="E219" s="59" t="s">
        <v>526</v>
      </c>
      <c r="F219" s="59" t="s">
        <v>570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528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3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571</v>
      </c>
      <c r="D220" s="59" t="s">
        <v>180</v>
      </c>
      <c r="E220" s="59" t="s">
        <v>526</v>
      </c>
      <c r="F220" s="59" t="s">
        <v>572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528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4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573</v>
      </c>
      <c r="D221" s="59" t="s">
        <v>180</v>
      </c>
      <c r="E221" s="59" t="s">
        <v>526</v>
      </c>
      <c r="F221" s="59" t="s">
        <v>574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528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5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575</v>
      </c>
      <c r="D222" s="59" t="s">
        <v>180</v>
      </c>
      <c r="E222" s="59" t="s">
        <v>526</v>
      </c>
      <c r="F222" s="59" t="s">
        <v>576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528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6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577</v>
      </c>
      <c r="D223" s="59" t="s">
        <v>180</v>
      </c>
      <c r="E223" s="59" t="s">
        <v>526</v>
      </c>
      <c r="F223" s="59" t="s">
        <v>578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528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7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579</v>
      </c>
      <c r="D224" s="59" t="s">
        <v>180</v>
      </c>
      <c r="E224" s="59" t="s">
        <v>526</v>
      </c>
      <c r="F224" s="59" t="s">
        <v>580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528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8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581</v>
      </c>
      <c r="D225" s="59" t="s">
        <v>180</v>
      </c>
      <c r="E225" s="59" t="s">
        <v>526</v>
      </c>
      <c r="F225" s="59" t="s">
        <v>582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528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9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583</v>
      </c>
      <c r="D226" s="59" t="s">
        <v>180</v>
      </c>
      <c r="E226" s="59" t="s">
        <v>526</v>
      </c>
      <c r="F226" s="59" t="s">
        <v>584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528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10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585</v>
      </c>
      <c r="D227" s="59" t="s">
        <v>180</v>
      </c>
      <c r="E227" s="59" t="s">
        <v>526</v>
      </c>
      <c r="F227" s="59" t="s">
        <v>586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528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11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587</v>
      </c>
      <c r="D228" s="59" t="s">
        <v>180</v>
      </c>
      <c r="E228" s="59" t="s">
        <v>526</v>
      </c>
      <c r="F228" s="59" t="s">
        <v>588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528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12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589</v>
      </c>
      <c r="D229" s="59" t="s">
        <v>180</v>
      </c>
      <c r="E229" s="59" t="s">
        <v>526</v>
      </c>
      <c r="F229" s="59" t="s">
        <v>590</v>
      </c>
      <c r="G229" s="60" t="s">
        <v>110</v>
      </c>
      <c r="H229" s="60" t="s">
        <v>88</v>
      </c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528</v>
      </c>
      <c r="V229" s="57" t="str">
        <f aca="false">IF($F229="","",IF(ISNUMBER(SEARCH("(externo)",$I229&amp;$J229&amp;$K229)),"Terceirizada","Interna"))</f>
        <v>Interna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0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13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591</v>
      </c>
      <c r="D230" s="59" t="s">
        <v>180</v>
      </c>
      <c r="E230" s="59" t="s">
        <v>526</v>
      </c>
      <c r="F230" s="59" t="s">
        <v>592</v>
      </c>
      <c r="G230" s="60" t="s">
        <v>110</v>
      </c>
      <c r="H230" s="60" t="s">
        <v>88</v>
      </c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528</v>
      </c>
      <c r="V230" s="57" t="str">
        <f aca="false">IF($F230="","",IF(ISNUMBER(SEARCH("(externo)",$I230&amp;$J230&amp;$K230)),"Terceirizada","Interna"))</f>
        <v>Interna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0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14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593</v>
      </c>
      <c r="D231" s="59" t="s">
        <v>180</v>
      </c>
      <c r="E231" s="59" t="s">
        <v>526</v>
      </c>
      <c r="F231" s="59" t="s">
        <v>594</v>
      </c>
      <c r="G231" s="60" t="s">
        <v>110</v>
      </c>
      <c r="H231" s="60" t="s">
        <v>88</v>
      </c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528</v>
      </c>
      <c r="V231" s="57" t="str">
        <f aca="false">IF($F231="","",IF(ISNUMBER(SEARCH("(externo)",$I231&amp;$J231&amp;$K231)),"Terceirizada","Interna"))</f>
        <v>Interna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0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15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595</v>
      </c>
      <c r="D232" s="59" t="s">
        <v>180</v>
      </c>
      <c r="E232" s="59" t="s">
        <v>526</v>
      </c>
      <c r="F232" s="59" t="s">
        <v>596</v>
      </c>
      <c r="G232" s="60" t="s">
        <v>110</v>
      </c>
      <c r="H232" s="60" t="s">
        <v>88</v>
      </c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528</v>
      </c>
      <c r="V232" s="57" t="str">
        <f aca="false">IF($F232="","",IF(ISNUMBER(SEARCH("(externo)",$I232&amp;$J232&amp;$K232)),"Terceirizada","Interna"))</f>
        <v>Interna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0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16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597</v>
      </c>
      <c r="D233" s="59" t="s">
        <v>180</v>
      </c>
      <c r="E233" s="59" t="s">
        <v>526</v>
      </c>
      <c r="F233" s="59" t="s">
        <v>598</v>
      </c>
      <c r="G233" s="60" t="s">
        <v>110</v>
      </c>
      <c r="H233" s="60" t="s">
        <v>88</v>
      </c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528</v>
      </c>
      <c r="V233" s="57" t="str">
        <f aca="false">IF($F233="","",IF(ISNUMBER(SEARCH("(externo)",$I233&amp;$J233&amp;$K233)),"Terceirizada","Interna"))</f>
        <v>Interna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0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17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 t="s">
        <v>599</v>
      </c>
      <c r="D234" s="59" t="s">
        <v>180</v>
      </c>
      <c r="E234" s="59" t="s">
        <v>526</v>
      </c>
      <c r="F234" s="59" t="s">
        <v>600</v>
      </c>
      <c r="G234" s="60" t="s">
        <v>110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 t="s">
        <v>528</v>
      </c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F-818|Pendências de inspeção|</v>
      </c>
      <c r="AK234" s="57" t="n">
        <f aca="false">IF($AJ234="","",COUNTIF($AJ$4:$AJ234,$AJ234))</f>
        <v>18</v>
      </c>
      <c r="AL234" s="57" t="n">
        <f aca="false">IF($AJ234="","",COUNTIF($AJ$4:$AJ$1004,$AJ234))</f>
        <v>26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 t="s">
        <v>601</v>
      </c>
      <c r="D235" s="59" t="s">
        <v>180</v>
      </c>
      <c r="E235" s="59" t="s">
        <v>526</v>
      </c>
      <c r="F235" s="59" t="s">
        <v>602</v>
      </c>
      <c r="G235" s="60" t="s">
        <v>110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528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F-818|Pendências de inspeção|</v>
      </c>
      <c r="AK235" s="57" t="n">
        <f aca="false">IF($AJ235="","",COUNTIF($AJ$4:$AJ235,$AJ235))</f>
        <v>19</v>
      </c>
      <c r="AL235" s="57" t="n">
        <f aca="false">IF($AJ235="","",COUNTIF($AJ$4:$AJ$1004,$AJ235))</f>
        <v>26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 t="s">
        <v>603</v>
      </c>
      <c r="D236" s="59" t="s">
        <v>180</v>
      </c>
      <c r="E236" s="59" t="s">
        <v>526</v>
      </c>
      <c r="F236" s="59" t="s">
        <v>604</v>
      </c>
      <c r="G236" s="60" t="s">
        <v>110</v>
      </c>
      <c r="H236" s="60" t="s">
        <v>88</v>
      </c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528</v>
      </c>
      <c r="V236" s="57" t="str">
        <f aca="false">IF($F236="","",IF(ISNUMBER(SEARCH("(externo)",$I236&amp;$J236&amp;$K236)),"Terceirizada","Interna"))</f>
        <v>Interna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0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F-818|Pendências de inspeção|</v>
      </c>
      <c r="AK236" s="57" t="n">
        <f aca="false">IF($AJ236="","",COUNTIF($AJ$4:$AJ236,$AJ236))</f>
        <v>20</v>
      </c>
      <c r="AL236" s="57" t="n">
        <f aca="false">IF($AJ236="","",COUNTIF($AJ$4:$AJ$1004,$AJ236))</f>
        <v>26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 t="s">
        <v>605</v>
      </c>
      <c r="D237" s="59" t="s">
        <v>180</v>
      </c>
      <c r="E237" s="59" t="s">
        <v>526</v>
      </c>
      <c r="F237" s="59" t="s">
        <v>606</v>
      </c>
      <c r="G237" s="60" t="s">
        <v>110</v>
      </c>
      <c r="H237" s="60" t="s">
        <v>88</v>
      </c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528</v>
      </c>
      <c r="V237" s="57" t="str">
        <f aca="false">IF($F237="","",IF(ISNUMBER(SEARCH("(externo)",$I237&amp;$J237&amp;$K237)),"Terceirizada","Interna"))</f>
        <v>Interna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0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F-818|Pendências de inspeção|</v>
      </c>
      <c r="AK237" s="57" t="n">
        <f aca="false">IF($AJ237="","",COUNTIF($AJ$4:$AJ237,$AJ237))</f>
        <v>21</v>
      </c>
      <c r="AL237" s="57" t="n">
        <f aca="false">IF($AJ237="","",COUNTIF($AJ$4:$AJ$1004,$AJ237))</f>
        <v>26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 t="s">
        <v>607</v>
      </c>
      <c r="D238" s="59" t="s">
        <v>180</v>
      </c>
      <c r="E238" s="59" t="s">
        <v>526</v>
      </c>
      <c r="F238" s="59" t="s">
        <v>608</v>
      </c>
      <c r="G238" s="60" t="s">
        <v>110</v>
      </c>
      <c r="H238" s="60" t="s">
        <v>88</v>
      </c>
      <c r="I238" s="61" t="s">
        <v>153</v>
      </c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609</v>
      </c>
      <c r="V238" s="57" t="str">
        <f aca="false">IF($F238="","",IF(ISNUMBER(SEARCH("(externo)",$I238&amp;$J238&amp;$K238)),"Terceirizada","Interna"))</f>
        <v>Terceirizada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1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>Cardan Nordeste (externo)</v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F-818|Pendências de inspeção|</v>
      </c>
      <c r="AK238" s="57" t="n">
        <f aca="false">IF($AJ238="","",COUNTIF($AJ$4:$AJ238,$AJ238))</f>
        <v>22</v>
      </c>
      <c r="AL238" s="57" t="n">
        <f aca="false">IF($AJ238="","",COUNTIF($AJ$4:$AJ$1004,$AJ238))</f>
        <v>26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 t="s">
        <v>607</v>
      </c>
      <c r="D239" s="59" t="s">
        <v>180</v>
      </c>
      <c r="E239" s="59" t="s">
        <v>526</v>
      </c>
      <c r="F239" s="59" t="s">
        <v>610</v>
      </c>
      <c r="G239" s="60" t="s">
        <v>110</v>
      </c>
      <c r="H239" s="60" t="s">
        <v>88</v>
      </c>
      <c r="I239" s="61" t="s">
        <v>153</v>
      </c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609</v>
      </c>
      <c r="V239" s="57" t="str">
        <f aca="false">IF($F239="","",IF(ISNUMBER(SEARCH("(externo)",$I239&amp;$J239&amp;$K239)),"Terceirizada","Interna"))</f>
        <v>Terceirizada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1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>Cardan Nordeste (externo)</v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F-818|Pendências de inspeção|</v>
      </c>
      <c r="AK239" s="57" t="n">
        <f aca="false">IF($AJ239="","",COUNTIF($AJ$4:$AJ239,$AJ239))</f>
        <v>23</v>
      </c>
      <c r="AL239" s="57" t="n">
        <f aca="false">IF($AJ239="","",COUNTIF($AJ$4:$AJ$1004,$AJ239))</f>
        <v>26</v>
      </c>
    </row>
    <row r="240" customFormat="false" ht="16.5" hidden="false" customHeight="true" outlineLevel="0" collapsed="false">
      <c r="A240" s="56" t="n">
        <f aca="false">IF($F240="","",COUNTA($F$4:$F240))</f>
        <v>236</v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58" t="s">
        <v>607</v>
      </c>
      <c r="D240" s="59" t="s">
        <v>180</v>
      </c>
      <c r="E240" s="59" t="s">
        <v>526</v>
      </c>
      <c r="F240" s="59" t="s">
        <v>611</v>
      </c>
      <c r="G240" s="60" t="s">
        <v>110</v>
      </c>
      <c r="H240" s="60" t="s">
        <v>88</v>
      </c>
      <c r="I240" s="61" t="s">
        <v>153</v>
      </c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 t="s">
        <v>609</v>
      </c>
      <c r="V240" s="57" t="str">
        <f aca="false">IF($F240="","",IF(ISNUMBER(SEARCH("(externo)",$I240&amp;$J240&amp;$K240)),"Terceirizada","Interna"))</f>
        <v>Terceirizada</v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n">
        <f aca="false">IF($F240="","",IF(OR($Q240="",$O240=""),0,IF($Q240&lt;=$O240,1,0)))</f>
        <v>0</v>
      </c>
      <c r="Y240" s="57" t="n">
        <f aca="false">IF($F240="","",IF(OR($Q240="",$W240=""),0,IF($Q240&lt;=$W240,1,0)))</f>
        <v>0</v>
      </c>
      <c r="Z240" s="57" t="str">
        <f aca="false">IF(OR($Q240="",$O240=""),"",MAX(0,$Q240-$O240))</f>
        <v/>
      </c>
      <c r="AA240" s="57" t="n">
        <f aca="false">IF($F240="","",IF(AND($S240&lt;&gt;"",$L240&lt;&gt;"",$S240&lt;&gt;$L240),1,0))</f>
        <v>0</v>
      </c>
      <c r="AB240" s="57" t="n">
        <f aca="false">IF($F240="","",IF($R240="Cancelada",0,IF(OR($Q240&lt;&gt;"",$R240="Concluída"),1,0)))</f>
        <v>0</v>
      </c>
      <c r="AC240" s="57" t="n">
        <f aca="false">IF($P240="",0,IF($P240&lt;Hoje!$L$1,1,IF(AND($P240=Hoje!$L$1,Hoje!$L$2&gt;Semana!$M$3),1,0)))</f>
        <v>0</v>
      </c>
      <c r="AD240" s="57" t="n">
        <f aca="false">IF($F240="","",IF(COUNTA($I240:$K240)=0,0,1/COUNTA($I240:$K240)))</f>
        <v>1</v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>Cardan Nordeste (externo)</v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>F-818|Pendências de inspeção|</v>
      </c>
      <c r="AK240" s="57" t="n">
        <f aca="false">IF($AJ240="","",COUNTIF($AJ$4:$AJ240,$AJ240))</f>
        <v>24</v>
      </c>
      <c r="AL240" s="57" t="n">
        <f aca="false">IF($AJ240="","",COUNTIF($AJ$4:$AJ$1004,$AJ240))</f>
        <v>26</v>
      </c>
    </row>
    <row r="241" customFormat="false" ht="16.5" hidden="false" customHeight="true" outlineLevel="0" collapsed="false">
      <c r="A241" s="56" t="n">
        <f aca="false">IF($F241="","",COUNTA($F$4:$F241))</f>
        <v>237</v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58" t="s">
        <v>607</v>
      </c>
      <c r="D241" s="59" t="s">
        <v>180</v>
      </c>
      <c r="E241" s="59" t="s">
        <v>526</v>
      </c>
      <c r="F241" s="59" t="s">
        <v>612</v>
      </c>
      <c r="G241" s="60" t="s">
        <v>110</v>
      </c>
      <c r="H241" s="60" t="s">
        <v>88</v>
      </c>
      <c r="I241" s="61" t="s">
        <v>153</v>
      </c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 t="s">
        <v>609</v>
      </c>
      <c r="V241" s="57" t="str">
        <f aca="false">IF($F241="","",IF(ISNUMBER(SEARCH("(externo)",$I241&amp;$J241&amp;$K241)),"Terceirizada","Interna"))</f>
        <v>Terceirizada</v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n">
        <f aca="false">IF($F241="","",IF(OR($Q241="",$O241=""),0,IF($Q241&lt;=$O241,1,0)))</f>
        <v>0</v>
      </c>
      <c r="Y241" s="57" t="n">
        <f aca="false">IF($F241="","",IF(OR($Q241="",$W241=""),0,IF($Q241&lt;=$W241,1,0)))</f>
        <v>0</v>
      </c>
      <c r="Z241" s="57" t="str">
        <f aca="false">IF(OR($Q241="",$O241=""),"",MAX(0,$Q241-$O241))</f>
        <v/>
      </c>
      <c r="AA241" s="57" t="n">
        <f aca="false">IF($F241="","",IF(AND($S241&lt;&gt;"",$L241&lt;&gt;"",$S241&lt;&gt;$L241),1,0))</f>
        <v>0</v>
      </c>
      <c r="AB241" s="57" t="n">
        <f aca="false">IF($F241="","",IF($R241="Cancelada",0,IF(OR($Q241&lt;&gt;"",$R241="Concluída"),1,0)))</f>
        <v>0</v>
      </c>
      <c r="AC241" s="57" t="n">
        <f aca="false">IF($P241="",0,IF($P241&lt;Hoje!$L$1,1,IF(AND($P241=Hoje!$L$1,Hoje!$L$2&gt;Semana!$M$3),1,0)))</f>
        <v>0</v>
      </c>
      <c r="AD241" s="57" t="n">
        <f aca="false">IF($F241="","",IF(COUNTA($I241:$K241)=0,0,1/COUNTA($I241:$K241)))</f>
        <v>1</v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>Cardan Nordeste (externo)</v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>F-818|Pendências de inspeção|</v>
      </c>
      <c r="AK241" s="57" t="n">
        <f aca="false">IF($AJ241="","",COUNTIF($AJ$4:$AJ241,$AJ241))</f>
        <v>25</v>
      </c>
      <c r="AL241" s="57" t="n">
        <f aca="false">IF($AJ241="","",COUNTIF($AJ$4:$AJ$1004,$AJ241))</f>
        <v>26</v>
      </c>
    </row>
    <row r="242" customFormat="false" ht="16.5" hidden="false" customHeight="true" outlineLevel="0" collapsed="false">
      <c r="A242" s="56" t="n">
        <f aca="false">IF($F242="","",COUNTA($F$4:$F242))</f>
        <v>238</v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58" t="s">
        <v>607</v>
      </c>
      <c r="D242" s="59" t="s">
        <v>180</v>
      </c>
      <c r="E242" s="59" t="s">
        <v>526</v>
      </c>
      <c r="F242" s="59" t="s">
        <v>613</v>
      </c>
      <c r="G242" s="60" t="s">
        <v>110</v>
      </c>
      <c r="H242" s="60" t="s">
        <v>88</v>
      </c>
      <c r="I242" s="61" t="s">
        <v>160</v>
      </c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 t="s">
        <v>614</v>
      </c>
      <c r="V242" s="57" t="str">
        <f aca="false">IF($F242="","",IF(ISNUMBER(SEARCH("(externo)",$I242&amp;$J242&amp;$K242)),"Terceirizada","Interna"))</f>
        <v>Terceirizada</v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n">
        <f aca="false">IF($F242="","",IF(OR($Q242="",$O242=""),0,IF($Q242&lt;=$O242,1,0)))</f>
        <v>0</v>
      </c>
      <c r="Y242" s="57" t="n">
        <f aca="false">IF($F242="","",IF(OR($Q242="",$W242=""),0,IF($Q242&lt;=$W242,1,0)))</f>
        <v>0</v>
      </c>
      <c r="Z242" s="57" t="str">
        <f aca="false">IF(OR($Q242="",$O242=""),"",MAX(0,$Q242-$O242))</f>
        <v/>
      </c>
      <c r="AA242" s="57" t="n">
        <f aca="false">IF($F242="","",IF(AND($S242&lt;&gt;"",$L242&lt;&gt;"",$S242&lt;&gt;$L242),1,0))</f>
        <v>0</v>
      </c>
      <c r="AB242" s="57" t="n">
        <f aca="false">IF($F242="","",IF($R242="Cancelada",0,IF(OR($Q242&lt;&gt;"",$R242="Concluída"),1,0)))</f>
        <v>0</v>
      </c>
      <c r="AC242" s="57" t="n">
        <f aca="false">IF($P242="",0,IF($P242&lt;Hoje!$L$1,1,IF(AND($P242=Hoje!$L$1,Hoje!$L$2&gt;Semana!$M$3),1,0)))</f>
        <v>0</v>
      </c>
      <c r="AD242" s="57" t="n">
        <f aca="false">IF($F242="","",IF(COUNTA($I242:$K242)=0,0,1/COUNTA($I242:$K242)))</f>
        <v>1</v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>Rodo Ceará (externo)</v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>F-818|Pendências de inspeção|</v>
      </c>
      <c r="AK242" s="57" t="n">
        <f aca="false">IF($AJ242="","",COUNTIF($AJ$4:$AJ242,$AJ242))</f>
        <v>26</v>
      </c>
      <c r="AL242" s="57" t="n">
        <f aca="false">IF($AJ242="","",COUNTIF($AJ$4:$AJ$1004,$AJ242))</f>
        <v>26</v>
      </c>
    </row>
    <row r="243" customFormat="false" ht="16.5" hidden="false" customHeight="true" outlineLevel="0" collapsed="false">
      <c r="A243" s="56" t="n">
        <f aca="false">IF($F243="","",COUNTA($F$4:$F243))</f>
        <v>239</v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58"/>
      <c r="D243" s="59" t="s">
        <v>187</v>
      </c>
      <c r="E243" s="59" t="s">
        <v>615</v>
      </c>
      <c r="F243" s="59" t="s">
        <v>616</v>
      </c>
      <c r="G243" s="60" t="s">
        <v>130</v>
      </c>
      <c r="H243" s="60" t="s">
        <v>88</v>
      </c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>Interna</v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n">
        <f aca="false">IF($F243="","",IF(OR($Q243="",$O243=""),0,IF($Q243&lt;=$O243,1,0)))</f>
        <v>0</v>
      </c>
      <c r="Y243" s="57" t="n">
        <f aca="false">IF($F243="","",IF(OR($Q243="",$W243=""),0,IF($Q243&lt;=$W243,1,0)))</f>
        <v>0</v>
      </c>
      <c r="Z243" s="57" t="str">
        <f aca="false">IF(OR($Q243="",$O243=""),"",MAX(0,$Q243-$O243))</f>
        <v/>
      </c>
      <c r="AA243" s="57" t="n">
        <f aca="false">IF($F243="","",IF(AND($S243&lt;&gt;"",$L243&lt;&gt;"",$S243&lt;&gt;$L243),1,0))</f>
        <v>0</v>
      </c>
      <c r="AB243" s="57" t="n">
        <f aca="false">IF($F243="","",IF($R243="Cancelada",0,IF(OR($Q243&lt;&gt;"",$R243="Concluída"),1,0)))</f>
        <v>0</v>
      </c>
      <c r="AC243" s="57" t="n">
        <f aca="false">IF($P243="",0,IF($P243&lt;Hoje!$L$1,1,IF(AND($P243=Hoje!$L$1,Hoje!$L$2&gt;Semana!$M$3),1,0)))</f>
        <v>0</v>
      </c>
      <c r="AD243" s="57" t="n">
        <f aca="false">IF($F243="","",IF(COUNTA($I243:$K243)=0,0,1/COUNTA($I243:$K243)))</f>
        <v>0</v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>F-968|Inspeção Mossoró|</v>
      </c>
      <c r="AK243" s="57" t="n">
        <f aca="false">IF($AJ243="","",COUNTIF($AJ$4:$AJ243,$AJ243))</f>
        <v>1</v>
      </c>
      <c r="AL243" s="57" t="n">
        <f aca="false">IF($AJ243="","",COUNTIF($AJ$4:$AJ$1004,$AJ243))</f>
        <v>1</v>
      </c>
    </row>
    <row r="244" customFormat="false" ht="16.5" hidden="false" customHeight="true" outlineLevel="0" collapsed="false">
      <c r="A244" s="56" t="n">
        <f aca="false">IF($F244="","",COUNTA($F$4:$F244))</f>
        <v>240</v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58"/>
      <c r="D244" s="59" t="s">
        <v>157</v>
      </c>
      <c r="E244" s="59" t="s">
        <v>617</v>
      </c>
      <c r="F244" s="59" t="s">
        <v>618</v>
      </c>
      <c r="G244" s="60" t="s">
        <v>130</v>
      </c>
      <c r="H244" s="60" t="s">
        <v>88</v>
      </c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 t="s">
        <v>619</v>
      </c>
      <c r="V244" s="57" t="str">
        <f aca="false">IF($F244="","",IF(ISNUMBER(SEARCH("(externo)",$I244&amp;$J244&amp;$K244)),"Terceirizada","Interna"))</f>
        <v>Interna</v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n">
        <f aca="false">IF($F244="","",IF(OR($Q244="",$O244=""),0,IF($Q244&lt;=$O244,1,0)))</f>
        <v>0</v>
      </c>
      <c r="Y244" s="57" t="n">
        <f aca="false">IF($F244="","",IF(OR($Q244="",$W244=""),0,IF($Q244&lt;=$W244,1,0)))</f>
        <v>0</v>
      </c>
      <c r="Z244" s="57" t="str">
        <f aca="false">IF(OR($Q244="",$O244=""),"",MAX(0,$Q244-$O244))</f>
        <v/>
      </c>
      <c r="AA244" s="57" t="n">
        <f aca="false">IF($F244="","",IF(AND($S244&lt;&gt;"",$L244&lt;&gt;"",$S244&lt;&gt;$L244),1,0))</f>
        <v>0</v>
      </c>
      <c r="AB244" s="57" t="n">
        <f aca="false">IF($F244="","",IF($R244="Cancelada",0,IF(OR($Q244&lt;&gt;"",$R244="Concluída"),1,0)))</f>
        <v>0</v>
      </c>
      <c r="AC244" s="57" t="n">
        <f aca="false">IF($P244="",0,IF($P244&lt;Hoje!$L$1,1,IF(AND($P244=Hoje!$L$1,Hoje!$L$2&gt;Semana!$M$3),1,0)))</f>
        <v>0</v>
      </c>
      <c r="AD244" s="57" t="n">
        <f aca="false">IF($F244="","",IF(COUNTA($I244:$K244)=0,0,1/COUNTA($I244:$K244)))</f>
        <v>0</v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>F-425|Inspeção de setembro|</v>
      </c>
      <c r="AK244" s="57" t="n">
        <f aca="false">IF($AJ244="","",COUNTIF($AJ$4:$AJ244,$AJ244))</f>
        <v>1</v>
      </c>
      <c r="AL244" s="57" t="n">
        <f aca="false">IF($AJ244="","",COUNTIF($AJ$4:$AJ$1004,$AJ244))</f>
        <v>1</v>
      </c>
    </row>
    <row r="245" customFormat="false" ht="16.5" hidden="false" customHeight="true" outlineLevel="0" collapsed="false">
      <c r="A245" s="56" t="n">
        <f aca="false">IF($F245="","",COUNTA($F$4:$F245))</f>
        <v>241</v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58"/>
      <c r="D245" s="59" t="s">
        <v>169</v>
      </c>
      <c r="E245" s="59" t="s">
        <v>617</v>
      </c>
      <c r="F245" s="59" t="s">
        <v>618</v>
      </c>
      <c r="G245" s="60" t="s">
        <v>130</v>
      </c>
      <c r="H245" s="60" t="s">
        <v>88</v>
      </c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 t="s">
        <v>619</v>
      </c>
      <c r="V245" s="57" t="str">
        <f aca="false">IF($F245="","",IF(ISNUMBER(SEARCH("(externo)",$I245&amp;$J245&amp;$K245)),"Terceirizada","Interna"))</f>
        <v>Interna</v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n">
        <f aca="false">IF($F245="","",IF(OR($Q245="",$O245=""),0,IF($Q245&lt;=$O245,1,0)))</f>
        <v>0</v>
      </c>
      <c r="Y245" s="57" t="n">
        <f aca="false">IF($F245="","",IF(OR($Q245="",$W245=""),0,IF($Q245&lt;=$W245,1,0)))</f>
        <v>0</v>
      </c>
      <c r="Z245" s="57" t="str">
        <f aca="false">IF(OR($Q245="",$O245=""),"",MAX(0,$Q245-$O245))</f>
        <v/>
      </c>
      <c r="AA245" s="57" t="n">
        <f aca="false">IF($F245="","",IF(AND($S245&lt;&gt;"",$L245&lt;&gt;"",$S245&lt;&gt;$L245),1,0))</f>
        <v>0</v>
      </c>
      <c r="AB245" s="57" t="n">
        <f aca="false">IF($F245="","",IF($R245="Cancelada",0,IF(OR($Q245&lt;&gt;"",$R245="Concluída"),1,0)))</f>
        <v>0</v>
      </c>
      <c r="AC245" s="57" t="n">
        <f aca="false">IF($P245="",0,IF($P245&lt;Hoje!$L$1,1,IF(AND($P245=Hoje!$L$1,Hoje!$L$2&gt;Semana!$M$3),1,0)))</f>
        <v>0</v>
      </c>
      <c r="AD245" s="57" t="n">
        <f aca="false">IF($F245="","",IF(COUNTA($I245:$K245)=0,0,1/COUNTA($I245:$K245)))</f>
        <v>0</v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>F-621|Inspeção de setembro|</v>
      </c>
      <c r="AK245" s="57" t="n">
        <f aca="false">IF($AJ245="","",COUNTIF($AJ$4:$AJ245,$AJ245))</f>
        <v>1</v>
      </c>
      <c r="AL245" s="57" t="n">
        <f aca="false">IF($AJ245="","",COUNTIF($AJ$4:$AJ$1004,$AJ245))</f>
        <v>1</v>
      </c>
    </row>
    <row r="246" customFormat="false" ht="16.5" hidden="false" customHeight="true" outlineLevel="0" collapsed="false">
      <c r="A246" s="56" t="n">
        <f aca="false">IF($F246="","",COUNTA($F$4:$F246))</f>
        <v>242</v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58"/>
      <c r="D246" s="59" t="s">
        <v>159</v>
      </c>
      <c r="E246" s="59" t="s">
        <v>617</v>
      </c>
      <c r="F246" s="59" t="s">
        <v>618</v>
      </c>
      <c r="G246" s="60" t="s">
        <v>130</v>
      </c>
      <c r="H246" s="60" t="s">
        <v>88</v>
      </c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 t="s">
        <v>619</v>
      </c>
      <c r="V246" s="57" t="str">
        <f aca="false">IF($F246="","",IF(ISNUMBER(SEARCH("(externo)",$I246&amp;$J246&amp;$K246)),"Terceirizada","Interna"))</f>
        <v>Interna</v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n">
        <f aca="false">IF($F246="","",IF(OR($Q246="",$O246=""),0,IF($Q246&lt;=$O246,1,0)))</f>
        <v>0</v>
      </c>
      <c r="Y246" s="57" t="n">
        <f aca="false">IF($F246="","",IF(OR($Q246="",$W246=""),0,IF($Q246&lt;=$W246,1,0)))</f>
        <v>0</v>
      </c>
      <c r="Z246" s="57" t="str">
        <f aca="false">IF(OR($Q246="",$O246=""),"",MAX(0,$Q246-$O246))</f>
        <v/>
      </c>
      <c r="AA246" s="57" t="n">
        <f aca="false">IF($F246="","",IF(AND($S246&lt;&gt;"",$L246&lt;&gt;"",$S246&lt;&gt;$L246),1,0))</f>
        <v>0</v>
      </c>
      <c r="AB246" s="57" t="n">
        <f aca="false">IF($F246="","",IF($R246="Cancelada",0,IF(OR($Q246&lt;&gt;"",$R246="Concluída"),1,0)))</f>
        <v>0</v>
      </c>
      <c r="AC246" s="57" t="n">
        <f aca="false">IF($P246="",0,IF($P246&lt;Hoje!$L$1,1,IF(AND($P246=Hoje!$L$1,Hoje!$L$2&gt;Semana!$M$3),1,0)))</f>
        <v>0</v>
      </c>
      <c r="AD246" s="57" t="n">
        <f aca="false">IF($F246="","",IF(COUNTA($I246:$K246)=0,0,1/COUNTA($I246:$K246)))</f>
        <v>0</v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>F-433|Inspeção de setembro|</v>
      </c>
      <c r="AK246" s="57" t="n">
        <f aca="false">IF($AJ246="","",COUNTIF($AJ$4:$AJ246,$AJ246))</f>
        <v>1</v>
      </c>
      <c r="AL246" s="57" t="n">
        <f aca="false">IF($AJ246="","",COUNTIF($AJ$4:$AJ$1004,$AJ246))</f>
        <v>1</v>
      </c>
    </row>
    <row r="247" customFormat="false" ht="16.5" hidden="false" customHeight="true" outlineLevel="0" collapsed="false">
      <c r="A247" s="56" t="n">
        <f aca="false">IF($F247="","",COUNTA($F$4:$F247))</f>
        <v>243</v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58"/>
      <c r="D247" s="59" t="s">
        <v>179</v>
      </c>
      <c r="E247" s="59" t="s">
        <v>617</v>
      </c>
      <c r="F247" s="59" t="s">
        <v>618</v>
      </c>
      <c r="G247" s="60" t="s">
        <v>130</v>
      </c>
      <c r="H247" s="60" t="s">
        <v>88</v>
      </c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 t="s">
        <v>619</v>
      </c>
      <c r="V247" s="57" t="str">
        <f aca="false">IF($F247="","",IF(ISNUMBER(SEARCH("(externo)",$I247&amp;$J247&amp;$K247)),"Terceirizada","Interna"))</f>
        <v>Interna</v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n">
        <f aca="false">IF($F247="","",IF(OR($Q247="",$O247=""),0,IF($Q247&lt;=$O247,1,0)))</f>
        <v>0</v>
      </c>
      <c r="Y247" s="57" t="n">
        <f aca="false">IF($F247="","",IF(OR($Q247="",$W247=""),0,IF($Q247&lt;=$W247,1,0)))</f>
        <v>0</v>
      </c>
      <c r="Z247" s="57" t="str">
        <f aca="false">IF(OR($Q247="",$O247=""),"",MAX(0,$Q247-$O247))</f>
        <v/>
      </c>
      <c r="AA247" s="57" t="n">
        <f aca="false">IF($F247="","",IF(AND($S247&lt;&gt;"",$L247&lt;&gt;"",$S247&lt;&gt;$L247),1,0))</f>
        <v>0</v>
      </c>
      <c r="AB247" s="57" t="n">
        <f aca="false">IF($F247="","",IF($R247="Cancelada",0,IF(OR($Q247&lt;&gt;"",$R247="Concluída"),1,0)))</f>
        <v>0</v>
      </c>
      <c r="AC247" s="57" t="n">
        <f aca="false">IF($P247="",0,IF($P247&lt;Hoje!$L$1,1,IF(AND($P247=Hoje!$L$1,Hoje!$L$2&gt;Semana!$M$3),1,0)))</f>
        <v>0</v>
      </c>
      <c r="AD247" s="57" t="n">
        <f aca="false">IF($F247="","",IF(COUNTA($I247:$K247)=0,0,1/COUNTA($I247:$K247)))</f>
        <v>0</v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>F-817|Inspeção de setembro|</v>
      </c>
      <c r="AK247" s="57" t="n">
        <f aca="false">IF($AJ247="","",COUNTIF($AJ$4:$AJ247,$AJ247))</f>
        <v>1</v>
      </c>
      <c r="AL247" s="57" t="n">
        <f aca="false">IF($AJ247="","",COUNTIF($AJ$4:$AJ$1004,$AJ247))</f>
        <v>1</v>
      </c>
    </row>
    <row r="248" customFormat="false" ht="16.5" hidden="false" customHeight="true" outlineLevel="0" collapsed="false">
      <c r="A248" s="56" t="n">
        <f aca="false">IF($F248="","",COUNTA($F$4:$F248))</f>
        <v>244</v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58"/>
      <c r="D248" s="59" t="s">
        <v>174</v>
      </c>
      <c r="E248" s="59" t="s">
        <v>617</v>
      </c>
      <c r="F248" s="59" t="s">
        <v>618</v>
      </c>
      <c r="G248" s="60" t="s">
        <v>130</v>
      </c>
      <c r="H248" s="60" t="s">
        <v>88</v>
      </c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 t="s">
        <v>619</v>
      </c>
      <c r="V248" s="57" t="str">
        <f aca="false">IF($F248="","",IF(ISNUMBER(SEARCH("(externo)",$I248&amp;$J248&amp;$K248)),"Terceirizada","Interna"))</f>
        <v>Interna</v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n">
        <f aca="false">IF($F248="","",IF(OR($Q248="",$O248=""),0,IF($Q248&lt;=$O248,1,0)))</f>
        <v>0</v>
      </c>
      <c r="Y248" s="57" t="n">
        <f aca="false">IF($F248="","",IF(OR($Q248="",$W248=""),0,IF($Q248&lt;=$W248,1,0)))</f>
        <v>0</v>
      </c>
      <c r="Z248" s="57" t="str">
        <f aca="false">IF(OR($Q248="",$O248=""),"",MAX(0,$Q248-$O248))</f>
        <v/>
      </c>
      <c r="AA248" s="57" t="n">
        <f aca="false">IF($F248="","",IF(AND($S248&lt;&gt;"",$L248&lt;&gt;"",$S248&lt;&gt;$L248),1,0))</f>
        <v>0</v>
      </c>
      <c r="AB248" s="57" t="n">
        <f aca="false">IF($F248="","",IF($R248="Cancelada",0,IF(OR($Q248&lt;&gt;"",$R248="Concluída"),1,0)))</f>
        <v>0</v>
      </c>
      <c r="AC248" s="57" t="n">
        <f aca="false">IF($P248="",0,IF($P248&lt;Hoje!$L$1,1,IF(AND($P248=Hoje!$L$1,Hoje!$L$2&gt;Semana!$M$3),1,0)))</f>
        <v>0</v>
      </c>
      <c r="AD248" s="57" t="n">
        <f aca="false">IF($F248="","",IF(COUNTA($I248:$K248)=0,0,1/COUNTA($I248:$K248)))</f>
        <v>0</v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>F-745|Inspeção de setembro|</v>
      </c>
      <c r="AK248" s="57" t="n">
        <f aca="false">IF($AJ248="","",COUNTIF($AJ$4:$AJ248,$AJ248))</f>
        <v>1</v>
      </c>
      <c r="AL248" s="57" t="n">
        <f aca="false">IF($AJ248="","",COUNTIF($AJ$4:$AJ$1004,$AJ248))</f>
        <v>1</v>
      </c>
    </row>
    <row r="249" customFormat="false" ht="16.5" hidden="false" customHeight="true" outlineLevel="0" collapsed="false">
      <c r="A249" s="56" t="n">
        <f aca="false">IF($F249="","",COUNTA($F$4:$F249))</f>
        <v>245</v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Em programação</v>
      </c>
      <c r="C249" s="58" t="s">
        <v>447</v>
      </c>
      <c r="D249" s="59" t="s">
        <v>184</v>
      </c>
      <c r="E249" s="59" t="s">
        <v>526</v>
      </c>
      <c r="F249" s="59" t="s">
        <v>620</v>
      </c>
      <c r="G249" s="60" t="s">
        <v>110</v>
      </c>
      <c r="H249" s="60" t="s">
        <v>88</v>
      </c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 t="s">
        <v>86</v>
      </c>
      <c r="S249" s="66"/>
      <c r="T249" s="59"/>
      <c r="U249" s="59"/>
      <c r="V249" s="57" t="str">
        <f aca="false">IF($F249="","",IF(ISNUMBER(SEARCH("(externo)",$I249&amp;$J249&amp;$K249)),"Terceirizada","Interna"))</f>
        <v>Interna</v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n">
        <f aca="false">IF($F249="","",IF(OR($Q249="",$O249=""),0,IF($Q249&lt;=$O249,1,0)))</f>
        <v>0</v>
      </c>
      <c r="Y249" s="57" t="n">
        <f aca="false">IF($F249="","",IF(OR($Q249="",$W249=""),0,IF($Q249&lt;=$W249,1,0)))</f>
        <v>0</v>
      </c>
      <c r="Z249" s="57" t="str">
        <f aca="false">IF(OR($Q249="",$O249=""),"",MAX(0,$Q249-$O249))</f>
        <v/>
      </c>
      <c r="AA249" s="57" t="n">
        <f aca="false">IF($F249="","",IF(AND($S249&lt;&gt;"",$L249&lt;&gt;"",$S249&lt;&gt;$L249),1,0))</f>
        <v>0</v>
      </c>
      <c r="AB249" s="57" t="n">
        <f aca="false">IF($F249="","",IF($R249="Cancelada",0,IF(OR($Q249&lt;&gt;"",$R249="Concluída"),1,0)))</f>
        <v>0</v>
      </c>
      <c r="AC249" s="57" t="n">
        <f aca="false">IF($P249="",0,IF($P249&lt;Hoje!$L$1,1,IF(AND($P249=Hoje!$L$1,Hoje!$L$2&gt;Semana!$M$3),1,0)))</f>
        <v>0</v>
      </c>
      <c r="AD249" s="57" t="n">
        <f aca="false">IF($F249="","",IF(COUNTA($I249:$K249)=0,0,1/COUNTA($I249:$K249)))</f>
        <v>0</v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>F-938|Pendências de inspeção|</v>
      </c>
      <c r="AK249" s="57" t="n">
        <f aca="false">IF($AJ249="","",COUNTIF($AJ$4:$AJ249,$AJ249))</f>
        <v>1</v>
      </c>
      <c r="AL249" s="57" t="n">
        <f aca="false">IF($AJ249="","",COUNTIF($AJ$4:$AJ$1004,$AJ249))</f>
        <v>4</v>
      </c>
    </row>
    <row r="250" customFormat="false" ht="16.5" hidden="false" customHeight="true" outlineLevel="0" collapsed="false">
      <c r="A250" s="56" t="n">
        <f aca="false">IF($F250="","",COUNTA($F$4:$F250))</f>
        <v>246</v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Em programação</v>
      </c>
      <c r="C250" s="58" t="s">
        <v>621</v>
      </c>
      <c r="D250" s="59" t="s">
        <v>184</v>
      </c>
      <c r="E250" s="59" t="s">
        <v>526</v>
      </c>
      <c r="F250" s="59" t="s">
        <v>622</v>
      </c>
      <c r="G250" s="60" t="s">
        <v>110</v>
      </c>
      <c r="H250" s="60" t="s">
        <v>88</v>
      </c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 t="s">
        <v>86</v>
      </c>
      <c r="S250" s="66"/>
      <c r="T250" s="59"/>
      <c r="U250" s="59"/>
      <c r="V250" s="57" t="str">
        <f aca="false">IF($F250="","",IF(ISNUMBER(SEARCH("(externo)",$I250&amp;$J250&amp;$K250)),"Terceirizada","Interna"))</f>
        <v>Interna</v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n">
        <f aca="false">IF($F250="","",IF(OR($Q250="",$O250=""),0,IF($Q250&lt;=$O250,1,0)))</f>
        <v>0</v>
      </c>
      <c r="Y250" s="57" t="n">
        <f aca="false">IF($F250="","",IF(OR($Q250="",$W250=""),0,IF($Q250&lt;=$W250,1,0)))</f>
        <v>0</v>
      </c>
      <c r="Z250" s="57" t="str">
        <f aca="false">IF(OR($Q250="",$O250=""),"",MAX(0,$Q250-$O250))</f>
        <v/>
      </c>
      <c r="AA250" s="57" t="n">
        <f aca="false">IF($F250="","",IF(AND($S250&lt;&gt;"",$L250&lt;&gt;"",$S250&lt;&gt;$L250),1,0))</f>
        <v>0</v>
      </c>
      <c r="AB250" s="57" t="n">
        <f aca="false">IF($F250="","",IF($R250="Cancelada",0,IF(OR($Q250&lt;&gt;"",$R250="Concluída"),1,0)))</f>
        <v>0</v>
      </c>
      <c r="AC250" s="57" t="n">
        <f aca="false">IF($P250="",0,IF($P250&lt;Hoje!$L$1,1,IF(AND($P250=Hoje!$L$1,Hoje!$L$2&gt;Semana!$M$3),1,0)))</f>
        <v>0</v>
      </c>
      <c r="AD250" s="57" t="n">
        <f aca="false">IF($F250="","",IF(COUNTA($I250:$K250)=0,0,1/COUNTA($I250:$K250)))</f>
        <v>0</v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>F-938|Pendências de inspeção|</v>
      </c>
      <c r="AK250" s="57" t="n">
        <f aca="false">IF($AJ250="","",COUNTIF($AJ$4:$AJ250,$AJ250))</f>
        <v>2</v>
      </c>
      <c r="AL250" s="57" t="n">
        <f aca="false">IF($AJ250="","",COUNTIF($AJ$4:$AJ$1004,$AJ250))</f>
        <v>4</v>
      </c>
    </row>
    <row r="251" customFormat="false" ht="16.5" hidden="false" customHeight="true" outlineLevel="0" collapsed="false">
      <c r="A251" s="56" t="n">
        <f aca="false">IF($F251="","",COUNTA($F$4:$F251))</f>
        <v>247</v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Em programação</v>
      </c>
      <c r="C251" s="58" t="s">
        <v>623</v>
      </c>
      <c r="D251" s="59" t="s">
        <v>184</v>
      </c>
      <c r="E251" s="59" t="s">
        <v>526</v>
      </c>
      <c r="F251" s="59" t="s">
        <v>624</v>
      </c>
      <c r="G251" s="60" t="s">
        <v>110</v>
      </c>
      <c r="H251" s="60" t="s">
        <v>88</v>
      </c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 t="s">
        <v>86</v>
      </c>
      <c r="S251" s="66"/>
      <c r="T251" s="59"/>
      <c r="U251" s="59"/>
      <c r="V251" s="57" t="str">
        <f aca="false">IF($F251="","",IF(ISNUMBER(SEARCH("(externo)",$I251&amp;$J251&amp;$K251)),"Terceirizada","Interna"))</f>
        <v>Interna</v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n">
        <f aca="false">IF($F251="","",IF(OR($Q251="",$O251=""),0,IF($Q251&lt;=$O251,1,0)))</f>
        <v>0</v>
      </c>
      <c r="Y251" s="57" t="n">
        <f aca="false">IF($F251="","",IF(OR($Q251="",$W251=""),0,IF($Q251&lt;=$W251,1,0)))</f>
        <v>0</v>
      </c>
      <c r="Z251" s="57" t="str">
        <f aca="false">IF(OR($Q251="",$O251=""),"",MAX(0,$Q251-$O251))</f>
        <v/>
      </c>
      <c r="AA251" s="57" t="n">
        <f aca="false">IF($F251="","",IF(AND($S251&lt;&gt;"",$L251&lt;&gt;"",$S251&lt;&gt;$L251),1,0))</f>
        <v>0</v>
      </c>
      <c r="AB251" s="57" t="n">
        <f aca="false">IF($F251="","",IF($R251="Cancelada",0,IF(OR($Q251&lt;&gt;"",$R251="Concluída"),1,0)))</f>
        <v>0</v>
      </c>
      <c r="AC251" s="57" t="n">
        <f aca="false">IF($P251="",0,IF($P251&lt;Hoje!$L$1,1,IF(AND($P251=Hoje!$L$1,Hoje!$L$2&gt;Semana!$M$3),1,0)))</f>
        <v>0</v>
      </c>
      <c r="AD251" s="57" t="n">
        <f aca="false">IF($F251="","",IF(COUNTA($I251:$K251)=0,0,1/COUNTA($I251:$K251)))</f>
        <v>0</v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>F-938|Pendências de inspeção|</v>
      </c>
      <c r="AK251" s="57" t="n">
        <f aca="false">IF($AJ251="","",COUNTIF($AJ$4:$AJ251,$AJ251))</f>
        <v>3</v>
      </c>
      <c r="AL251" s="57" t="n">
        <f aca="false">IF($AJ251="","",COUNTIF($AJ$4:$AJ$1004,$AJ251))</f>
        <v>4</v>
      </c>
    </row>
    <row r="252" customFormat="false" ht="16.5" hidden="false" customHeight="true" outlineLevel="0" collapsed="false">
      <c r="A252" s="56" t="n">
        <f aca="false">IF($F252="","",COUNTA($F$4:$F252))</f>
        <v>248</v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Em programação</v>
      </c>
      <c r="C252" s="58" t="s">
        <v>625</v>
      </c>
      <c r="D252" s="59" t="s">
        <v>184</v>
      </c>
      <c r="E252" s="59" t="s">
        <v>526</v>
      </c>
      <c r="F252" s="59" t="s">
        <v>626</v>
      </c>
      <c r="G252" s="60" t="s">
        <v>110</v>
      </c>
      <c r="H252" s="60" t="s">
        <v>88</v>
      </c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 t="s">
        <v>86</v>
      </c>
      <c r="S252" s="66"/>
      <c r="T252" s="59"/>
      <c r="U252" s="59"/>
      <c r="V252" s="57" t="str">
        <f aca="false">IF($F252="","",IF(ISNUMBER(SEARCH("(externo)",$I252&amp;$J252&amp;$K252)),"Terceirizada","Interna"))</f>
        <v>Interna</v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n">
        <f aca="false">IF($F252="","",IF(OR($Q252="",$O252=""),0,IF($Q252&lt;=$O252,1,0)))</f>
        <v>0</v>
      </c>
      <c r="Y252" s="57" t="n">
        <f aca="false">IF($F252="","",IF(OR($Q252="",$W252=""),0,IF($Q252&lt;=$W252,1,0)))</f>
        <v>0</v>
      </c>
      <c r="Z252" s="57" t="str">
        <f aca="false">IF(OR($Q252="",$O252=""),"",MAX(0,$Q252-$O252))</f>
        <v/>
      </c>
      <c r="AA252" s="57" t="n">
        <f aca="false">IF($F252="","",IF(AND($S252&lt;&gt;"",$L252&lt;&gt;"",$S252&lt;&gt;$L252),1,0))</f>
        <v>0</v>
      </c>
      <c r="AB252" s="57" t="n">
        <f aca="false">IF($F252="","",IF($R252="Cancelada",0,IF(OR($Q252&lt;&gt;"",$R252="Concluída"),1,0)))</f>
        <v>0</v>
      </c>
      <c r="AC252" s="57" t="n">
        <f aca="false">IF($P252="",0,IF($P252&lt;Hoje!$L$1,1,IF(AND($P252=Hoje!$L$1,Hoje!$L$2&gt;Semana!$M$3),1,0)))</f>
        <v>0</v>
      </c>
      <c r="AD252" s="57" t="n">
        <f aca="false">IF($F252="","",IF(COUNTA($I252:$K252)=0,0,1/COUNTA($I252:$K252)))</f>
        <v>0</v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>F-938|Pendências de inspeção|</v>
      </c>
      <c r="AK252" s="57" t="n">
        <f aca="false">IF($AJ252="","",COUNTIF($AJ$4:$AJ252,$AJ252))</f>
        <v>4</v>
      </c>
      <c r="AL252" s="57" t="n">
        <f aca="false">IF($AJ252="","",COUNTIF($AJ$4:$AJ$1004,$AJ252))</f>
        <v>4</v>
      </c>
    </row>
    <row r="253" customFormat="false" ht="16.5" hidden="false" customHeight="true" outlineLevel="0" collapsed="false">
      <c r="A253" s="56" t="n">
        <f aca="false">IF($F253="","",COUNTA($F$4:$F253))</f>
        <v>249</v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58" t="s">
        <v>627</v>
      </c>
      <c r="D253" s="59" t="s">
        <v>184</v>
      </c>
      <c r="E253" s="59" t="s">
        <v>526</v>
      </c>
      <c r="F253" s="59" t="s">
        <v>628</v>
      </c>
      <c r="G253" s="60" t="s">
        <v>110</v>
      </c>
      <c r="H253" s="60" t="s">
        <v>229</v>
      </c>
      <c r="I253" s="61" t="s">
        <v>133</v>
      </c>
      <c r="J253" s="61"/>
      <c r="K253" s="61"/>
      <c r="L253" s="62" t="n">
        <v>35</v>
      </c>
      <c r="M253" s="63" t="s">
        <v>127</v>
      </c>
      <c r="N253" s="62" t="n">
        <v>1</v>
      </c>
      <c r="O253" s="64" t="n">
        <f aca="false">IF(OR($L253="",$M253=""),"",(DATE(Semana!$J$3,1,4)-WEEKDAY(DATE(Semana!$J$3,1,4),3))+($L253-1)*7+MATCH($M253,Listas!$F$5:$F$11,0)-1)</f>
        <v>46261</v>
      </c>
      <c r="P253" s="64" t="n">
        <f aca="false">IF($O253="","",$O253+MAX(0,ROUNDUP($AK253*MAX(1,IF($N253="",1,$N253))/MAX(1,$AL253),0)-1))</f>
        <v>46261</v>
      </c>
      <c r="Q253" s="65" t="n">
        <v>46261</v>
      </c>
      <c r="R253" s="60" t="s">
        <v>82</v>
      </c>
      <c r="S253" s="66"/>
      <c r="T253" s="59"/>
      <c r="U253" s="59"/>
      <c r="V253" s="57" t="str">
        <f aca="false">IF($F253="","",IF(ISNUMBER(SEARCH("(externo)",$I253&amp;$J253&amp;$K253)),"Terceirizada","Interna"))</f>
        <v>Interna</v>
      </c>
      <c r="W253" s="64" t="n">
        <f aca="false">IF($O253="","",IF($S253="",$O253,(DATE(Semana!$J$3,1,4)-WEEKDAY(DATE(Semana!$J$3,1,4),3))+($S253-1)*7+IF($M253="",0,MATCH($M253,Listas!$F$5:$F$11,0)-1)))</f>
        <v>46261</v>
      </c>
      <c r="X253" s="57" t="n">
        <f aca="false">IF($F253="","",IF(OR($Q253="",$O253=""),0,IF($Q253&lt;=$O253,1,0)))</f>
        <v>1</v>
      </c>
      <c r="Y253" s="57" t="n">
        <f aca="false">IF($F253="","",IF(OR($Q253="",$W253=""),0,IF($Q253&lt;=$W253,1,0)))</f>
        <v>1</v>
      </c>
      <c r="Z253" s="57" t="n">
        <f aca="false">IF(OR($Q253="",$O253=""),"",MAX(0,$Q253-$O253))</f>
        <v>0</v>
      </c>
      <c r="AA253" s="57" t="n">
        <f aca="false">IF($F253="","",IF(AND($S253&lt;&gt;"",$L253&lt;&gt;"",$S253&lt;&gt;$L253),1,0))</f>
        <v>0</v>
      </c>
      <c r="AB253" s="57" t="n">
        <f aca="false">IF($F253="","",IF($R253="Cancelada",0,IF(OR($Q253&lt;&gt;"",$R253="Concluída"),1,0)))</f>
        <v>1</v>
      </c>
      <c r="AC253" s="57" t="n">
        <f aca="false">IF($P253="",0,IF($P253&lt;Hoje!$L$1,1,IF(AND($P253=Hoje!$L$1,Hoje!$L$2&gt;Semana!$M$3),1,0)))</f>
        <v>1</v>
      </c>
      <c r="AD253" s="57" t="n">
        <f aca="false">IF($F253="","",IF(COUNTA($I253:$K253)=0,0,1/COUNTA($I253:$K253)))</f>
        <v>1</v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>Júnior</v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>F-938|Pendências de inspeção|35</v>
      </c>
      <c r="AK253" s="57" t="n">
        <f aca="false">IF($AJ253="","",COUNTIF($AJ$4:$AJ253,$AJ253))</f>
        <v>1</v>
      </c>
      <c r="AL253" s="57" t="n">
        <f aca="false">IF($AJ253="","",COUNTIF($AJ$4:$AJ$1004,$AJ253))</f>
        <v>1</v>
      </c>
    </row>
    <row r="254" customFormat="false" ht="16.5" hidden="false" customHeight="true" outlineLevel="0" collapsed="false">
      <c r="A254" s="56" t="n">
        <f aca="false">IF($F254="","",COUNTA($F$4:$F254))</f>
        <v>250</v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VENCIDA</v>
      </c>
      <c r="C254" s="58" t="s">
        <v>629</v>
      </c>
      <c r="D254" s="59" t="s">
        <v>184</v>
      </c>
      <c r="E254" s="59" t="s">
        <v>630</v>
      </c>
      <c r="F254" s="59" t="s">
        <v>631</v>
      </c>
      <c r="G254" s="60" t="s">
        <v>110</v>
      </c>
      <c r="H254" s="60" t="s">
        <v>229</v>
      </c>
      <c r="I254" s="61"/>
      <c r="J254" s="61"/>
      <c r="K254" s="61"/>
      <c r="L254" s="62" t="n">
        <v>36</v>
      </c>
      <c r="M254" s="63" t="s">
        <v>117</v>
      </c>
      <c r="N254" s="62" t="n">
        <v>1</v>
      </c>
      <c r="O254" s="64" t="n">
        <f aca="false">IF(OR($L254="",$M254=""),"",(DATE(Semana!$J$3,1,4)-WEEKDAY(DATE(Semana!$J$3,1,4),3))+($L254-1)*7+MATCH($M254,Listas!$F$5:$F$11,0)-1)</f>
        <v>46266</v>
      </c>
      <c r="P254" s="64" t="n">
        <f aca="false">IF($O254="","",$O254+MAX(0,ROUNDUP($AK254*MAX(1,IF($N254="",1,$N254))/MAX(1,$AL254),0)-1))</f>
        <v>46266</v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>Interna</v>
      </c>
      <c r="W254" s="64" t="n">
        <f aca="false">IF($O254="","",IF($S254="",$O254,(DATE(Semana!$J$3,1,4)-WEEKDAY(DATE(Semana!$J$3,1,4),3))+($S254-1)*7+IF($M254="",0,MATCH($M254,Listas!$F$5:$F$11,0)-1)))</f>
        <v>46266</v>
      </c>
      <c r="X254" s="57" t="n">
        <f aca="false">IF($F254="","",IF(OR($Q254="",$O254=""),0,IF($Q254&lt;=$O254,1,0)))</f>
        <v>0</v>
      </c>
      <c r="Y254" s="57" t="n">
        <f aca="false">IF($F254="","",IF(OR($Q254="",$W254=""),0,IF($Q254&lt;=$W254,1,0)))</f>
        <v>0</v>
      </c>
      <c r="Z254" s="57" t="str">
        <f aca="false">IF(OR($Q254="",$O254=""),"",MAX(0,$Q254-$O254))</f>
        <v/>
      </c>
      <c r="AA254" s="57" t="n">
        <f aca="false">IF($F254="","",IF(AND($S254&lt;&gt;"",$L254&lt;&gt;"",$S254&lt;&gt;$L254),1,0))</f>
        <v>0</v>
      </c>
      <c r="AB254" s="57" t="n">
        <f aca="false">IF($F254="","",IF($R254="Cancelada",0,IF(OR($Q254&lt;&gt;"",$R254="Concluída"),1,0)))</f>
        <v>0</v>
      </c>
      <c r="AC254" s="57" t="n">
        <f aca="false">IF($P254="",0,IF($P254&lt;Hoje!$L$1,1,IF(AND($P254=Hoje!$L$1,Hoje!$L$2&gt;Semana!$M$3),1,0)))</f>
        <v>1</v>
      </c>
      <c r="AD254" s="57" t="n">
        <f aca="false">IF($F254="","",IF(COUNTA($I254:$K254)=0,0,1/COUNTA($I254:$K254)))</f>
        <v>0</v>
      </c>
      <c r="AE254" s="57" t="str">
        <f aca="false">IF($AH254=0,"",SUM($AH$4:$AH254))</f>
        <v/>
      </c>
      <c r="AF254" s="57" t="n">
        <f aca="false">IF($AI254=0,"",SUM($AI$4:$AI254))</f>
        <v>39</v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1</v>
      </c>
      <c r="AJ254" s="67" t="str">
        <f aca="false">IF($F254="","",$D254&amp;"|"&amp;$E254&amp;"|"&amp;$L254)</f>
        <v>F-938|Realizar troca de baterias|36</v>
      </c>
      <c r="AK254" s="57" t="n">
        <f aca="false">IF($AJ254="","",COUNTIF($AJ$4:$AJ254,$AJ254))</f>
        <v>1</v>
      </c>
      <c r="AL254" s="57" t="n">
        <f aca="false">IF($AJ254="","",COUNTIF($AJ$4:$AJ$1004,$AJ254))</f>
        <v>1</v>
      </c>
    </row>
    <row r="255" customFormat="false" ht="16.5" hidden="false" customHeight="true" outlineLevel="0" collapsed="false">
      <c r="A255" s="56" t="n">
        <f aca="false">IF($F255="","",COUNTA($F$4:$F255))</f>
        <v>251</v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VENCIDA</v>
      </c>
      <c r="C255" s="58" t="s">
        <v>632</v>
      </c>
      <c r="D255" s="59" t="s">
        <v>170</v>
      </c>
      <c r="E255" s="59" t="s">
        <v>633</v>
      </c>
      <c r="F255" s="59" t="s">
        <v>633</v>
      </c>
      <c r="G255" s="60" t="s">
        <v>110</v>
      </c>
      <c r="H255" s="60" t="s">
        <v>229</v>
      </c>
      <c r="I255" s="61" t="s">
        <v>133</v>
      </c>
      <c r="J255" s="61"/>
      <c r="K255" s="61"/>
      <c r="L255" s="62" t="n">
        <v>36</v>
      </c>
      <c r="M255" s="63" t="s">
        <v>117</v>
      </c>
      <c r="N255" s="62" t="n">
        <v>1</v>
      </c>
      <c r="O255" s="64" t="n">
        <f aca="false">IF(OR($L255="",$M255=""),"",(DATE(Semana!$J$3,1,4)-WEEKDAY(DATE(Semana!$J$3,1,4),3))+($L255-1)*7+MATCH($M255,Listas!$F$5:$F$11,0)-1)</f>
        <v>46266</v>
      </c>
      <c r="P255" s="64" t="n">
        <f aca="false">IF($O255="","",$O255+MAX(0,ROUNDUP($AK255*MAX(1,IF($N255="",1,$N255))/MAX(1,$AL255),0)-1))</f>
        <v>46266</v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>Interna</v>
      </c>
      <c r="W255" s="64" t="n">
        <f aca="false">IF($O255="","",IF($S255="",$O255,(DATE(Semana!$J$3,1,4)-WEEKDAY(DATE(Semana!$J$3,1,4),3))+($S255-1)*7+IF($M255="",0,MATCH($M255,Listas!$F$5:$F$11,0)-1)))</f>
        <v>46266</v>
      </c>
      <c r="X255" s="57" t="n">
        <f aca="false">IF($F255="","",IF(OR($Q255="",$O255=""),0,IF($Q255&lt;=$O255,1,0)))</f>
        <v>0</v>
      </c>
      <c r="Y255" s="57" t="n">
        <f aca="false">IF($F255="","",IF(OR($Q255="",$W255=""),0,IF($Q255&lt;=$W255,1,0)))</f>
        <v>0</v>
      </c>
      <c r="Z255" s="57" t="str">
        <f aca="false">IF(OR($Q255="",$O255=""),"",MAX(0,$Q255-$O255))</f>
        <v/>
      </c>
      <c r="AA255" s="57" t="n">
        <f aca="false">IF($F255="","",IF(AND($S255&lt;&gt;"",$L255&lt;&gt;"",$S255&lt;&gt;$L255),1,0))</f>
        <v>0</v>
      </c>
      <c r="AB255" s="57" t="n">
        <f aca="false">IF($F255="","",IF($R255="Cancelada",0,IF(OR($Q255&lt;&gt;"",$R255="Concluída"),1,0)))</f>
        <v>0</v>
      </c>
      <c r="AC255" s="57" t="n">
        <f aca="false">IF($P255="",0,IF($P255&lt;Hoje!$L$1,1,IF(AND($P255=Hoje!$L$1,Hoje!$L$2&gt;Semana!$M$3),1,0)))</f>
        <v>1</v>
      </c>
      <c r="AD255" s="57" t="n">
        <f aca="false">IF($F255="","",IF(COUNTA($I255:$K255)=0,0,1/COUNTA($I255:$K255)))</f>
        <v>1</v>
      </c>
      <c r="AE255" s="57" t="str">
        <f aca="false">IF($AH255=0,"",SUM($AH$4:$AH255))</f>
        <v/>
      </c>
      <c r="AF255" s="57" t="n">
        <f aca="false">IF($AI255=0,"",SUM($AI$4:$AI255))</f>
        <v>40</v>
      </c>
      <c r="AG255" s="67" t="str">
        <f aca="false">IF($F255="","",$I255&amp;IF($J255="",""," · "&amp;$J255)&amp;IF($K255="",""," · "&amp;$K255))</f>
        <v>Júnior</v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1</v>
      </c>
      <c r="AJ255" s="67" t="str">
        <f aca="false">IF($F255="","",$D255&amp;"|"&amp;$E255&amp;"|"&amp;$L255)</f>
        <v>F-624|Completar liquido de arrefecimento|36</v>
      </c>
      <c r="AK255" s="57" t="n">
        <f aca="false">IF($AJ255="","",COUNTIF($AJ$4:$AJ255,$AJ255))</f>
        <v>1</v>
      </c>
      <c r="AL255" s="57" t="n">
        <f aca="false">IF($AJ255="","",COUNTIF($AJ$4:$AJ$1004,$AJ255))</f>
        <v>1</v>
      </c>
    </row>
    <row r="256" customFormat="false" ht="16.5" hidden="false" customHeight="true" outlineLevel="0" collapsed="false">
      <c r="A256" s="56" t="n">
        <f aca="false">IF($F256="","",COUNTA($F$4:$F256))</f>
        <v>252</v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VENCIDA</v>
      </c>
      <c r="C256" s="58"/>
      <c r="D256" s="59" t="s">
        <v>151</v>
      </c>
      <c r="E256" s="59" t="s">
        <v>634</v>
      </c>
      <c r="F256" s="59" t="s">
        <v>635</v>
      </c>
      <c r="G256" s="60" t="s">
        <v>110</v>
      </c>
      <c r="H256" s="60" t="s">
        <v>88</v>
      </c>
      <c r="I256" s="61" t="s">
        <v>108</v>
      </c>
      <c r="J256" s="61" t="s">
        <v>133</v>
      </c>
      <c r="K256" s="61" t="s">
        <v>123</v>
      </c>
      <c r="L256" s="62" t="n">
        <v>36</v>
      </c>
      <c r="M256" s="63" t="s">
        <v>122</v>
      </c>
      <c r="N256" s="62" t="n">
        <v>1</v>
      </c>
      <c r="O256" s="64" t="n">
        <f aca="false">IF(OR($L256="",$M256=""),"",(DATE(Semana!$J$3,1,4)-WEEKDAY(DATE(Semana!$J$3,1,4),3))+($L256-1)*7+MATCH($M256,Listas!$F$5:$F$11,0)-1)</f>
        <v>46267</v>
      </c>
      <c r="P256" s="64" t="n">
        <f aca="false">IF($O256="","",$O256+MAX(0,ROUNDUP($AK256*MAX(1,IF($N256="",1,$N256))/MAX(1,$AL256),0)-1))</f>
        <v>46267</v>
      </c>
      <c r="Q256" s="65"/>
      <c r="R256" s="60"/>
      <c r="S256" s="66"/>
      <c r="T256" s="59"/>
      <c r="U256" s="59" t="s">
        <v>636</v>
      </c>
      <c r="V256" s="57" t="str">
        <f aca="false">IF($F256="","",IF(ISNUMBER(SEARCH("(externo)",$I256&amp;$J256&amp;$K256)),"Terceirizada","Interna"))</f>
        <v>Interna</v>
      </c>
      <c r="W256" s="64" t="n">
        <f aca="false">IF($O256="","",IF($S256="",$O256,(DATE(Semana!$J$3,1,4)-WEEKDAY(DATE(Semana!$J$3,1,4),3))+($S256-1)*7+IF($M256="",0,MATCH($M256,Listas!$F$5:$F$11,0)-1)))</f>
        <v>46267</v>
      </c>
      <c r="X256" s="57" t="n">
        <f aca="false">IF($F256="","",IF(OR($Q256="",$O256=""),0,IF($Q256&lt;=$O256,1,0)))</f>
        <v>0</v>
      </c>
      <c r="Y256" s="57" t="n">
        <f aca="false">IF($F256="","",IF(OR($Q256="",$W256=""),0,IF($Q256&lt;=$W256,1,0)))</f>
        <v>0</v>
      </c>
      <c r="Z256" s="57" t="str">
        <f aca="false">IF(OR($Q256="",$O256=""),"",MAX(0,$Q256-$O256))</f>
        <v/>
      </c>
      <c r="AA256" s="57" t="n">
        <f aca="false">IF($F256="","",IF(AND($S256&lt;&gt;"",$L256&lt;&gt;"",$S256&lt;&gt;$L256),1,0))</f>
        <v>0</v>
      </c>
      <c r="AB256" s="57" t="n">
        <f aca="false">IF($F256="","",IF($R256="Cancelada",0,IF(OR($Q256&lt;&gt;"",$R256="Concluída"),1,0)))</f>
        <v>0</v>
      </c>
      <c r="AC256" s="57" t="n">
        <f aca="false">IF($P256="",0,IF($P256&lt;Hoje!$L$1,1,IF(AND($P256=Hoje!$L$1,Hoje!$L$2&gt;Semana!$M$3),1,0)))</f>
        <v>1</v>
      </c>
      <c r="AD256" s="57" t="n">
        <f aca="false">IF($F256="","",IF(COUNTA($I256:$K256)=0,0,1/COUNTA($I256:$K256)))</f>
        <v>0.333333333333333</v>
      </c>
      <c r="AE256" s="57" t="n">
        <f aca="false">IF($AH256=0,"",SUM($AH$4:$AH256))</f>
        <v>32</v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>Adilton · Júnior · Gabriel</v>
      </c>
      <c r="AH256" s="57" t="n">
        <f aca="false">IF(AND($F256&lt;&gt;"",$O256&lt;&gt;"",$O256&lt;=Hoje!$C$3,$P256&gt;=Hoje!$C$3,$R256&lt;&gt;"Cancelada"),1,0)</f>
        <v>1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>F-331|Programação 02/09|36</v>
      </c>
      <c r="AK256" s="57" t="n">
        <f aca="false">IF($AJ256="","",COUNTIF($AJ$4:$AJ256,$AJ256))</f>
        <v>1</v>
      </c>
      <c r="AL256" s="57" t="n">
        <f aca="false">IF($AJ256="","",COUNTIF($AJ$4:$AJ$1004,$AJ256))</f>
        <v>1</v>
      </c>
    </row>
    <row r="257" customFormat="false" ht="16.5" hidden="false" customHeight="true" outlineLevel="0" collapsed="false">
      <c r="A257" s="56" t="n">
        <f aca="false">IF($F257="","",COUNTA($F$4:$F257))</f>
        <v>253</v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VENCIDA</v>
      </c>
      <c r="C257" s="58"/>
      <c r="D257" s="59" t="s">
        <v>177</v>
      </c>
      <c r="E257" s="59" t="s">
        <v>637</v>
      </c>
      <c r="F257" s="59" t="s">
        <v>638</v>
      </c>
      <c r="G257" s="60" t="s">
        <v>135</v>
      </c>
      <c r="H257" s="60" t="s">
        <v>88</v>
      </c>
      <c r="I257" s="61" t="s">
        <v>138</v>
      </c>
      <c r="J257" s="61" t="s">
        <v>113</v>
      </c>
      <c r="K257" s="61"/>
      <c r="L257" s="62" t="n">
        <v>36</v>
      </c>
      <c r="M257" s="63" t="s">
        <v>122</v>
      </c>
      <c r="N257" s="62" t="n">
        <v>1</v>
      </c>
      <c r="O257" s="64" t="n">
        <f aca="false">IF(OR($L257="",$M257=""),"",(DATE(Semana!$J$3,1,4)-WEEKDAY(DATE(Semana!$J$3,1,4),3))+($L257-1)*7+MATCH($M257,Listas!$F$5:$F$11,0)-1)</f>
        <v>46267</v>
      </c>
      <c r="P257" s="64" t="n">
        <f aca="false">IF($O257="","",$O257+MAX(0,ROUNDUP($AK257*MAX(1,IF($N257="",1,$N257))/MAX(1,$AL257),0)-1))</f>
        <v>46267</v>
      </c>
      <c r="Q257" s="65"/>
      <c r="R257" s="60"/>
      <c r="S257" s="66"/>
      <c r="T257" s="59"/>
      <c r="U257" s="59" t="s">
        <v>639</v>
      </c>
      <c r="V257" s="57" t="str">
        <f aca="false">IF($F257="","",IF(ISNUMBER(SEARCH("(externo)",$I257&amp;$J257&amp;$K257)),"Terceirizada","Interna"))</f>
        <v>Interna</v>
      </c>
      <c r="W257" s="64" t="n">
        <f aca="false">IF($O257="","",IF($S257="",$O257,(DATE(Semana!$J$3,1,4)-WEEKDAY(DATE(Semana!$J$3,1,4),3))+($S257-1)*7+IF($M257="",0,MATCH($M257,Listas!$F$5:$F$11,0)-1)))</f>
        <v>46267</v>
      </c>
      <c r="X257" s="57" t="n">
        <f aca="false">IF($F257="","",IF(OR($Q257="",$O257=""),0,IF($Q257&lt;=$O257,1,0)))</f>
        <v>0</v>
      </c>
      <c r="Y257" s="57" t="n">
        <f aca="false">IF($F257="","",IF(OR($Q257="",$W257=""),0,IF($Q257&lt;=$W257,1,0)))</f>
        <v>0</v>
      </c>
      <c r="Z257" s="57" t="str">
        <f aca="false">IF(OR($Q257="",$O257=""),"",MAX(0,$Q257-$O257))</f>
        <v/>
      </c>
      <c r="AA257" s="57" t="n">
        <f aca="false">IF($F257="","",IF(AND($S257&lt;&gt;"",$L257&lt;&gt;"",$S257&lt;&gt;$L257),1,0))</f>
        <v>0</v>
      </c>
      <c r="AB257" s="57" t="n">
        <f aca="false">IF($F257="","",IF($R257="Cancelada",0,IF(OR($Q257&lt;&gt;"",$R257="Concluída"),1,0)))</f>
        <v>0</v>
      </c>
      <c r="AC257" s="57" t="n">
        <f aca="false">IF($P257="",0,IF($P257&lt;Hoje!$L$1,1,IF(AND($P257=Hoje!$L$1,Hoje!$L$2&gt;Semana!$M$3),1,0)))</f>
        <v>1</v>
      </c>
      <c r="AD257" s="57" t="n">
        <f aca="false">IF($F257="","",IF(COUNTA($I257:$K257)=0,0,1/COUNTA($I257:$K257)))</f>
        <v>0.5</v>
      </c>
      <c r="AE257" s="57" t="n">
        <f aca="false">IF($AH257=0,"",SUM($AH$4:$AH257))</f>
        <v>33</v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>Luiz Paulo · Airton</v>
      </c>
      <c r="AH257" s="57" t="n">
        <f aca="false">IF(AND($F257&lt;&gt;"",$O257&lt;&gt;"",$O257&lt;=Hoje!$C$3,$P257&gt;=Hoje!$C$3,$R257&lt;&gt;"Cancelada"),1,0)</f>
        <v>1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>F-814|Borracharia 02/09|36</v>
      </c>
      <c r="AK257" s="57" t="n">
        <f aca="false">IF($AJ257="","",COUNTIF($AJ$4:$AJ257,$AJ257))</f>
        <v>1</v>
      </c>
      <c r="AL257" s="57" t="n">
        <f aca="false">IF($AJ257="","",COUNTIF($AJ$4:$AJ$1004,$AJ257))</f>
        <v>1</v>
      </c>
    </row>
    <row r="258" customFormat="false" ht="16.5" hidden="false" customHeight="true" outlineLevel="0" collapsed="false">
      <c r="A258" s="56" t="n">
        <f aca="false">IF($F258="","",COUNTA($F$4:$F258))</f>
        <v>254</v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VENCIDA</v>
      </c>
      <c r="C258" s="58"/>
      <c r="D258" s="59" t="s">
        <v>178</v>
      </c>
      <c r="E258" s="59" t="s">
        <v>634</v>
      </c>
      <c r="F258" s="59" t="s">
        <v>640</v>
      </c>
      <c r="G258" s="60" t="s">
        <v>140</v>
      </c>
      <c r="H258" s="60" t="s">
        <v>88</v>
      </c>
      <c r="I258" s="61" t="s">
        <v>128</v>
      </c>
      <c r="J258" s="61"/>
      <c r="K258" s="61"/>
      <c r="L258" s="62" t="n">
        <v>36</v>
      </c>
      <c r="M258" s="63" t="s">
        <v>122</v>
      </c>
      <c r="N258" s="62" t="n">
        <v>1</v>
      </c>
      <c r="O258" s="64" t="n">
        <f aca="false">IF(OR($L258="",$M258=""),"",(DATE(Semana!$J$3,1,4)-WEEKDAY(DATE(Semana!$J$3,1,4),3))+($L258-1)*7+MATCH($M258,Listas!$F$5:$F$11,0)-1)</f>
        <v>46267</v>
      </c>
      <c r="P258" s="64" t="n">
        <f aca="false">IF($O258="","",$O258+MAX(0,ROUNDUP($AK258*MAX(1,IF($N258="",1,$N258))/MAX(1,$AL258),0)-1))</f>
        <v>46267</v>
      </c>
      <c r="Q258" s="65"/>
      <c r="R258" s="60"/>
      <c r="S258" s="66"/>
      <c r="T258" s="59"/>
      <c r="U258" s="59" t="s">
        <v>641</v>
      </c>
      <c r="V258" s="57" t="str">
        <f aca="false">IF($F258="","",IF(ISNUMBER(SEARCH("(externo)",$I258&amp;$J258&amp;$K258)),"Terceirizada","Interna"))</f>
        <v>Interna</v>
      </c>
      <c r="W258" s="64" t="n">
        <f aca="false">IF($O258="","",IF($S258="",$O258,(DATE(Semana!$J$3,1,4)-WEEKDAY(DATE(Semana!$J$3,1,4),3))+($S258-1)*7+IF($M258="",0,MATCH($M258,Listas!$F$5:$F$11,0)-1)))</f>
        <v>46267</v>
      </c>
      <c r="X258" s="57" t="n">
        <f aca="false">IF($F258="","",IF(OR($Q258="",$O258=""),0,IF($Q258&lt;=$O258,1,0)))</f>
        <v>0</v>
      </c>
      <c r="Y258" s="57" t="n">
        <f aca="false">IF($F258="","",IF(OR($Q258="",$W258=""),0,IF($Q258&lt;=$W258,1,0)))</f>
        <v>0</v>
      </c>
      <c r="Z258" s="57" t="str">
        <f aca="false">IF(OR($Q258="",$O258=""),"",MAX(0,$Q258-$O258))</f>
        <v/>
      </c>
      <c r="AA258" s="57" t="n">
        <f aca="false">IF($F258="","",IF(AND($S258&lt;&gt;"",$L258&lt;&gt;"",$S258&lt;&gt;$L258),1,0))</f>
        <v>0</v>
      </c>
      <c r="AB258" s="57" t="n">
        <f aca="false">IF($F258="","",IF($R258="Cancelada",0,IF(OR($Q258&lt;&gt;"",$R258="Concluída"),1,0)))</f>
        <v>0</v>
      </c>
      <c r="AC258" s="57" t="n">
        <f aca="false">IF($P258="",0,IF($P258&lt;Hoje!$L$1,1,IF(AND($P258=Hoje!$L$1,Hoje!$L$2&gt;Semana!$M$3),1,0)))</f>
        <v>1</v>
      </c>
      <c r="AD258" s="57" t="n">
        <f aca="false">IF($F258="","",IF(COUNTA($I258:$K258)=0,0,1/COUNTA($I258:$K258)))</f>
        <v>1</v>
      </c>
      <c r="AE258" s="57" t="n">
        <f aca="false">IF($AH258=0,"",SUM($AH$4:$AH258))</f>
        <v>34</v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>Heliton</v>
      </c>
      <c r="AH258" s="57" t="n">
        <f aca="false">IF(AND($F258&lt;&gt;"",$O258&lt;&gt;"",$O258&lt;=Hoje!$C$3,$P258&gt;=Hoje!$C$3,$R258&lt;&gt;"Cancelada"),1,0)</f>
        <v>1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>F-815|Programação 02/09|36</v>
      </c>
      <c r="AK258" s="57" t="n">
        <f aca="false">IF($AJ258="","",COUNTIF($AJ$4:$AJ258,$AJ258))</f>
        <v>1</v>
      </c>
      <c r="AL258" s="57" t="n">
        <f aca="false">IF($AJ258="","",COUNTIF($AJ$4:$AJ$1004,$AJ258))</f>
        <v>2</v>
      </c>
    </row>
    <row r="259" customFormat="false" ht="16.5" hidden="false" customHeight="true" outlineLevel="0" collapsed="false">
      <c r="A259" s="56" t="n">
        <f aca="false">IF($F259="","",COUNTA($F$4:$F259))</f>
        <v>255</v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58"/>
      <c r="D259" s="59" t="s">
        <v>178</v>
      </c>
      <c r="E259" s="59" t="s">
        <v>634</v>
      </c>
      <c r="F259" s="59" t="s">
        <v>642</v>
      </c>
      <c r="G259" s="60" t="s">
        <v>140</v>
      </c>
      <c r="H259" s="60" t="s">
        <v>88</v>
      </c>
      <c r="I259" s="61" t="s">
        <v>108</v>
      </c>
      <c r="J259" s="61" t="s">
        <v>123</v>
      </c>
      <c r="K259" s="61"/>
      <c r="L259" s="62" t="n">
        <v>36</v>
      </c>
      <c r="M259" s="63" t="s">
        <v>122</v>
      </c>
      <c r="N259" s="62" t="n">
        <v>1</v>
      </c>
      <c r="O259" s="64" t="n">
        <f aca="false">IF(OR($L259="",$M259=""),"",(DATE(Semana!$J$3,1,4)-WEEKDAY(DATE(Semana!$J$3,1,4),3))+($L259-1)*7+MATCH($M259,Listas!$F$5:$F$11,0)-1)</f>
        <v>46267</v>
      </c>
      <c r="P259" s="64" t="n">
        <f aca="false">IF($O259="","",$O259+MAX(0,ROUNDUP($AK259*MAX(1,IF($N259="",1,$N259))/MAX(1,$AL259),0)-1))</f>
        <v>46267</v>
      </c>
      <c r="Q259" s="65"/>
      <c r="R259" s="60"/>
      <c r="S259" s="66"/>
      <c r="T259" s="59"/>
      <c r="U259" s="59" t="s">
        <v>643</v>
      </c>
      <c r="V259" s="57" t="str">
        <f aca="false">IF($F259="","",IF(ISNUMBER(SEARCH("(externo)",$I259&amp;$J259&amp;$K259)),"Terceirizada","Interna"))</f>
        <v>Interna</v>
      </c>
      <c r="W259" s="64" t="n">
        <f aca="false">IF($O259="","",IF($S259="",$O259,(DATE(Semana!$J$3,1,4)-WEEKDAY(DATE(Semana!$J$3,1,4),3))+($S259-1)*7+IF($M259="",0,MATCH($M259,Listas!$F$5:$F$11,0)-1)))</f>
        <v>46267</v>
      </c>
      <c r="X259" s="57" t="n">
        <f aca="false">IF($F259="","",IF(OR($Q259="",$O259=""),0,IF($Q259&lt;=$O259,1,0)))</f>
        <v>0</v>
      </c>
      <c r="Y259" s="57" t="n">
        <f aca="false">IF($F259="","",IF(OR($Q259="",$W259=""),0,IF($Q259&lt;=$W259,1,0)))</f>
        <v>0</v>
      </c>
      <c r="Z259" s="57" t="str">
        <f aca="false">IF(OR($Q259="",$O259=""),"",MAX(0,$Q259-$O259))</f>
        <v/>
      </c>
      <c r="AA259" s="57" t="n">
        <f aca="false">IF($F259="","",IF(AND($S259&lt;&gt;"",$L259&lt;&gt;"",$S259&lt;&gt;$L259),1,0))</f>
        <v>0</v>
      </c>
      <c r="AB259" s="57" t="n">
        <f aca="false">IF($F259="","",IF($R259="Cancelada",0,IF(OR($Q259&lt;&gt;"",$R259="Concluída"),1,0)))</f>
        <v>0</v>
      </c>
      <c r="AC259" s="57" t="n">
        <f aca="false">IF($P259="",0,IF($P259&lt;Hoje!$L$1,1,IF(AND($P259=Hoje!$L$1,Hoje!$L$2&gt;Semana!$M$3),1,0)))</f>
        <v>1</v>
      </c>
      <c r="AD259" s="57" t="n">
        <f aca="false">IF($F259="","",IF(COUNTA($I259:$K259)=0,0,1/COUNTA($I259:$K259)))</f>
        <v>0.5</v>
      </c>
      <c r="AE259" s="57" t="n">
        <f aca="false">IF($AH259=0,"",SUM($AH$4:$AH259))</f>
        <v>35</v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>Adilton · Gabriel</v>
      </c>
      <c r="AH259" s="57" t="n">
        <f aca="false">IF(AND($F259&lt;&gt;"",$O259&lt;&gt;"",$O259&lt;=Hoje!$C$3,$P259&gt;=Hoje!$C$3,$R259&lt;&gt;"Cancelada"),1,0)</f>
        <v>1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>F-815|Programação 02/09|36</v>
      </c>
      <c r="AK259" s="57" t="n">
        <f aca="false">IF($AJ259="","",COUNTIF($AJ$4:$AJ259,$AJ259))</f>
        <v>2</v>
      </c>
      <c r="AL259" s="57" t="n">
        <f aca="false">IF($AJ259="","",COUNTIF($AJ$4:$AJ$1004,$AJ259))</f>
        <v>2</v>
      </c>
    </row>
    <row r="260" customFormat="false" ht="16.5" hidden="false" customHeight="true" outlineLevel="0" collapsed="false">
      <c r="A260" s="56" t="n">
        <f aca="false">IF($F260="","",COUNTA($F$4:$F260))</f>
        <v>256</v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VENCIDA</v>
      </c>
      <c r="C260" s="58"/>
      <c r="D260" s="59" t="s">
        <v>164</v>
      </c>
      <c r="E260" s="59" t="s">
        <v>644</v>
      </c>
      <c r="F260" s="59" t="s">
        <v>645</v>
      </c>
      <c r="G260" s="60" t="s">
        <v>145</v>
      </c>
      <c r="H260" s="60" t="s">
        <v>88</v>
      </c>
      <c r="I260" s="61" t="s">
        <v>118</v>
      </c>
      <c r="J260" s="61"/>
      <c r="K260" s="61"/>
      <c r="L260" s="62" t="n">
        <v>36</v>
      </c>
      <c r="M260" s="63" t="s">
        <v>122</v>
      </c>
      <c r="N260" s="62" t="n">
        <v>1</v>
      </c>
      <c r="O260" s="64" t="n">
        <f aca="false">IF(OR($L260="",$M260=""),"",(DATE(Semana!$J$3,1,4)-WEEKDAY(DATE(Semana!$J$3,1,4),3))+($L260-1)*7+MATCH($M260,Listas!$F$5:$F$11,0)-1)</f>
        <v>46267</v>
      </c>
      <c r="P260" s="64" t="n">
        <f aca="false">IF($O260="","",$O260+MAX(0,ROUNDUP($AK260*MAX(1,IF($N260="",1,$N260))/MAX(1,$AL260),0)-1))</f>
        <v>46267</v>
      </c>
      <c r="Q260" s="65"/>
      <c r="R260" s="60"/>
      <c r="S260" s="66"/>
      <c r="T260" s="59"/>
      <c r="U260" s="59" t="s">
        <v>646</v>
      </c>
      <c r="V260" s="57" t="str">
        <f aca="false">IF($F260="","",IF(ISNUMBER(SEARCH("(externo)",$I260&amp;$J260&amp;$K260)),"Terceirizada","Interna"))</f>
        <v>Interna</v>
      </c>
      <c r="W260" s="64" t="n">
        <f aca="false">IF($O260="","",IF($S260="",$O260,(DATE(Semana!$J$3,1,4)-WEEKDAY(DATE(Semana!$J$3,1,4),3))+($S260-1)*7+IF($M260="",0,MATCH($M260,Listas!$F$5:$F$11,0)-1)))</f>
        <v>46267</v>
      </c>
      <c r="X260" s="57" t="n">
        <f aca="false">IF($F260="","",IF(OR($Q260="",$O260=""),0,IF($Q260&lt;=$O260,1,0)))</f>
        <v>0</v>
      </c>
      <c r="Y260" s="57" t="n">
        <f aca="false">IF($F260="","",IF(OR($Q260="",$W260=""),0,IF($Q260&lt;=$W260,1,0)))</f>
        <v>0</v>
      </c>
      <c r="Z260" s="57" t="str">
        <f aca="false">IF(OR($Q260="",$O260=""),"",MAX(0,$Q260-$O260))</f>
        <v/>
      </c>
      <c r="AA260" s="57" t="n">
        <f aca="false">IF($F260="","",IF(AND($S260&lt;&gt;"",$L260&lt;&gt;"",$S260&lt;&gt;$L260),1,0))</f>
        <v>0</v>
      </c>
      <c r="AB260" s="57" t="n">
        <f aca="false">IF($F260="","",IF($R260="Cancelada",0,IF(OR($Q260&lt;&gt;"",$R260="Concluída"),1,0)))</f>
        <v>0</v>
      </c>
      <c r="AC260" s="57" t="n">
        <f aca="false">IF($P260="",0,IF($P260&lt;Hoje!$L$1,1,IF(AND($P260=Hoje!$L$1,Hoje!$L$2&gt;Semana!$M$3),1,0)))</f>
        <v>1</v>
      </c>
      <c r="AD260" s="57" t="n">
        <f aca="false">IF($F260="","",IF(COUNTA($I260:$K260)=0,0,1/COUNTA($I260:$K260)))</f>
        <v>1</v>
      </c>
      <c r="AE260" s="57" t="n">
        <f aca="false">IF($AH260=0,"",SUM($AH$4:$AH260))</f>
        <v>36</v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>Alexandre</v>
      </c>
      <c r="AH260" s="57" t="n">
        <f aca="false">IF(AND($F260&lt;&gt;"",$O260&lt;&gt;"",$O260&lt;=Hoje!$C$3,$P260&gt;=Hoje!$C$3,$R260&lt;&gt;"Cancelada"),1,0)</f>
        <v>1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>F-580|Rentaf|36</v>
      </c>
      <c r="AK260" s="57" t="n">
        <f aca="false">IF($AJ260="","",COUNTIF($AJ$4:$AJ260,$AJ260))</f>
        <v>1</v>
      </c>
      <c r="AL260" s="57" t="n">
        <f aca="false">IF($AJ260="","",COUNTIF($AJ$4:$AJ$1004,$AJ260))</f>
        <v>1</v>
      </c>
    </row>
    <row r="261" customFormat="false" ht="16.5" hidden="false" customHeight="true" outlineLevel="0" collapsed="false">
      <c r="A261" s="56" t="n">
        <f aca="false">IF($F261="","",COUNTA($F$4:$F261))</f>
        <v>257</v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VENCIDA</v>
      </c>
      <c r="C261" s="58"/>
      <c r="D261" s="59" t="s">
        <v>154</v>
      </c>
      <c r="E261" s="59" t="s">
        <v>647</v>
      </c>
      <c r="F261" s="59" t="s">
        <v>648</v>
      </c>
      <c r="G261" s="60" t="s">
        <v>110</v>
      </c>
      <c r="H261" s="60" t="s">
        <v>229</v>
      </c>
      <c r="I261" s="61" t="s">
        <v>133</v>
      </c>
      <c r="J261" s="61"/>
      <c r="K261" s="61"/>
      <c r="L261" s="62" t="n">
        <v>36</v>
      </c>
      <c r="M261" s="63" t="s">
        <v>122</v>
      </c>
      <c r="N261" s="62" t="n">
        <v>1</v>
      </c>
      <c r="O261" s="64" t="n">
        <f aca="false">IF(OR($L261="",$M261=""),"",(DATE(Semana!$J$3,1,4)-WEEKDAY(DATE(Semana!$J$3,1,4),3))+($L261-1)*7+MATCH($M261,Listas!$F$5:$F$11,0)-1)</f>
        <v>46267</v>
      </c>
      <c r="P261" s="64" t="n">
        <f aca="false">IF($O261="","",$O261+MAX(0,ROUNDUP($AK261*MAX(1,IF($N261="",1,$N261))/MAX(1,$AL261),0)-1))</f>
        <v>46267</v>
      </c>
      <c r="Q261" s="65"/>
      <c r="R261" s="60"/>
      <c r="S261" s="66"/>
      <c r="T261" s="59"/>
      <c r="U261" s="59" t="s">
        <v>649</v>
      </c>
      <c r="V261" s="57" t="str">
        <f aca="false">IF($F261="","",IF(ISNUMBER(SEARCH("(externo)",$I261&amp;$J261&amp;$K261)),"Terceirizada","Interna"))</f>
        <v>Interna</v>
      </c>
      <c r="W261" s="64" t="n">
        <f aca="false">IF($O261="","",IF($S261="",$O261,(DATE(Semana!$J$3,1,4)-WEEKDAY(DATE(Semana!$J$3,1,4),3))+($S261-1)*7+IF($M261="",0,MATCH($M261,Listas!$F$5:$F$11,0)-1)))</f>
        <v>46267</v>
      </c>
      <c r="X261" s="57" t="n">
        <f aca="false">IF($F261="","",IF(OR($Q261="",$O261=""),0,IF($Q261&lt;=$O261,1,0)))</f>
        <v>0</v>
      </c>
      <c r="Y261" s="57" t="n">
        <f aca="false">IF($F261="","",IF(OR($Q261="",$W261=""),0,IF($Q261&lt;=$W261,1,0)))</f>
        <v>0</v>
      </c>
      <c r="Z261" s="57" t="str">
        <f aca="false">IF(OR($Q261="",$O261=""),"",MAX(0,$Q261-$O261))</f>
        <v/>
      </c>
      <c r="AA261" s="57" t="n">
        <f aca="false">IF($F261="","",IF(AND($S261&lt;&gt;"",$L261&lt;&gt;"",$S261&lt;&gt;$L261),1,0))</f>
        <v>0</v>
      </c>
      <c r="AB261" s="57" t="n">
        <f aca="false">IF($F261="","",IF($R261="Cancelada",0,IF(OR($Q261&lt;&gt;"",$R261="Concluída"),1,0)))</f>
        <v>0</v>
      </c>
      <c r="AC261" s="57" t="n">
        <f aca="false">IF($P261="",0,IF($P261&lt;Hoje!$L$1,1,IF(AND($P261=Hoje!$L$1,Hoje!$L$2&gt;Semana!$M$3),1,0)))</f>
        <v>1</v>
      </c>
      <c r="AD261" s="57" t="n">
        <f aca="false">IF($F261="","",IF(COUNTA($I261:$K261)=0,0,1/COUNTA($I261:$K261)))</f>
        <v>1</v>
      </c>
      <c r="AE261" s="57" t="n">
        <f aca="false">IF($AH261=0,"",SUM($AH$4:$AH261))</f>
        <v>37</v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>Júnior</v>
      </c>
      <c r="AH261" s="57" t="n">
        <f aca="false">IF(AND($F261&lt;&gt;"",$O261&lt;&gt;"",$O261&lt;=Hoje!$C$3,$P261&gt;=Hoje!$C$3,$R261&lt;&gt;"Cancelada"),1,0)</f>
        <v>1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>F-424|Extra 02/09|36</v>
      </c>
      <c r="AK261" s="57" t="n">
        <f aca="false">IF($AJ261="","",COUNTIF($AJ$4:$AJ261,$AJ261))</f>
        <v>1</v>
      </c>
      <c r="AL261" s="57" t="n">
        <f aca="false">IF($AJ261="","",COUNTIF($AJ$4:$AJ$1004,$AJ261))</f>
        <v>1</v>
      </c>
    </row>
    <row r="262" customFormat="false" ht="16.5" hidden="false" customHeight="true" outlineLevel="0" collapsed="false">
      <c r="A262" s="56" t="n">
        <f aca="false">IF($F262="","",COUNTA($F$4:$F262))</f>
        <v>258</v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VENCIDA</v>
      </c>
      <c r="C262" s="58"/>
      <c r="D262" s="59" t="s">
        <v>167</v>
      </c>
      <c r="E262" s="59" t="s">
        <v>647</v>
      </c>
      <c r="F262" s="59" t="s">
        <v>650</v>
      </c>
      <c r="G262" s="60" t="s">
        <v>110</v>
      </c>
      <c r="H262" s="60" t="s">
        <v>229</v>
      </c>
      <c r="I262" s="61" t="s">
        <v>147</v>
      </c>
      <c r="J262" s="61"/>
      <c r="K262" s="61"/>
      <c r="L262" s="62" t="n">
        <v>36</v>
      </c>
      <c r="M262" s="63" t="s">
        <v>122</v>
      </c>
      <c r="N262" s="62" t="n">
        <v>1</v>
      </c>
      <c r="O262" s="64" t="n">
        <f aca="false">IF(OR($L262="",$M262=""),"",(DATE(Semana!$J$3,1,4)-WEEKDAY(DATE(Semana!$J$3,1,4),3))+($L262-1)*7+MATCH($M262,Listas!$F$5:$F$11,0)-1)</f>
        <v>46267</v>
      </c>
      <c r="P262" s="64" t="n">
        <f aca="false">IF($O262="","",$O262+MAX(0,ROUNDUP($AK262*MAX(1,IF($N262="",1,$N262))/MAX(1,$AL262),0)-1))</f>
        <v>46267</v>
      </c>
      <c r="Q262" s="65"/>
      <c r="R262" s="60"/>
      <c r="S262" s="66"/>
      <c r="T262" s="59"/>
      <c r="U262" s="59" t="s">
        <v>651</v>
      </c>
      <c r="V262" s="57" t="str">
        <f aca="false">IF($F262="","",IF(ISNUMBER(SEARCH("(externo)",$I262&amp;$J262&amp;$K262)),"Terceirizada","Interna"))</f>
        <v>Interna</v>
      </c>
      <c r="W262" s="64" t="n">
        <f aca="false">IF($O262="","",IF($S262="",$O262,(DATE(Semana!$J$3,1,4)-WEEKDAY(DATE(Semana!$J$3,1,4),3))+($S262-1)*7+IF($M262="",0,MATCH($M262,Listas!$F$5:$F$11,0)-1)))</f>
        <v>46267</v>
      </c>
      <c r="X262" s="57" t="n">
        <f aca="false">IF($F262="","",IF(OR($Q262="",$O262=""),0,IF($Q262&lt;=$O262,1,0)))</f>
        <v>0</v>
      </c>
      <c r="Y262" s="57" t="n">
        <f aca="false">IF($F262="","",IF(OR($Q262="",$W262=""),0,IF($Q262&lt;=$W262,1,0)))</f>
        <v>0</v>
      </c>
      <c r="Z262" s="57" t="str">
        <f aca="false">IF(OR($Q262="",$O262=""),"",MAX(0,$Q262-$O262))</f>
        <v/>
      </c>
      <c r="AA262" s="57" t="n">
        <f aca="false">IF($F262="","",IF(AND($S262&lt;&gt;"",$L262&lt;&gt;"",$S262&lt;&gt;$L262),1,0))</f>
        <v>0</v>
      </c>
      <c r="AB262" s="57" t="n">
        <f aca="false">IF($F262="","",IF($R262="Cancelada",0,IF(OR($Q262&lt;&gt;"",$R262="Concluída"),1,0)))</f>
        <v>0</v>
      </c>
      <c r="AC262" s="57" t="n">
        <f aca="false">IF($P262="",0,IF($P262&lt;Hoje!$L$1,1,IF(AND($P262=Hoje!$L$1,Hoje!$L$2&gt;Semana!$M$3),1,0)))</f>
        <v>1</v>
      </c>
      <c r="AD262" s="57" t="n">
        <f aca="false">IF($F262="","",IF(COUNTA($I262:$K262)=0,0,1/COUNTA($I262:$K262)))</f>
        <v>1</v>
      </c>
      <c r="AE262" s="57" t="n">
        <f aca="false">IF($AH262=0,"",SUM($AH$4:$AH262))</f>
        <v>38</v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>Thawan</v>
      </c>
      <c r="AH262" s="57" t="n">
        <f aca="false">IF(AND($F262&lt;&gt;"",$O262&lt;&gt;"",$O262&lt;=Hoje!$C$3,$P262&gt;=Hoje!$C$3,$R262&lt;&gt;"Cancelada"),1,0)</f>
        <v>1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>F-617|Extra 02/09|36</v>
      </c>
      <c r="AK262" s="57" t="n">
        <f aca="false">IF($AJ262="","",COUNTIF($AJ$4:$AJ262,$AJ262))</f>
        <v>1</v>
      </c>
      <c r="AL262" s="57" t="n">
        <f aca="false">IF($AJ262="","",COUNTIF($AJ$4:$AJ$1004,$AJ262))</f>
        <v>1</v>
      </c>
    </row>
    <row r="263" customFormat="false" ht="16.5" hidden="false" customHeight="true" outlineLevel="0" collapsed="false">
      <c r="A263" s="56" t="n">
        <f aca="false">IF($F263="","",COUNTA($F$4:$F263))</f>
        <v>259</v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Concluída</v>
      </c>
      <c r="C263" s="58"/>
      <c r="D263" s="59" t="s">
        <v>124</v>
      </c>
      <c r="E263" s="59" t="s">
        <v>637</v>
      </c>
      <c r="F263" s="59" t="s">
        <v>652</v>
      </c>
      <c r="G263" s="60" t="s">
        <v>135</v>
      </c>
      <c r="H263" s="60" t="s">
        <v>88</v>
      </c>
      <c r="I263" s="61" t="s">
        <v>138</v>
      </c>
      <c r="J263" s="61" t="s">
        <v>113</v>
      </c>
      <c r="K263" s="61"/>
      <c r="L263" s="62" t="n">
        <v>36</v>
      </c>
      <c r="M263" s="63" t="s">
        <v>122</v>
      </c>
      <c r="N263" s="62" t="n">
        <v>1</v>
      </c>
      <c r="O263" s="64" t="n">
        <f aca="false">IF(OR($L263="",$M263=""),"",(DATE(Semana!$J$3,1,4)-WEEKDAY(DATE(Semana!$J$3,1,4),3))+($L263-1)*7+MATCH($M263,Listas!$F$5:$F$11,0)-1)</f>
        <v>46267</v>
      </c>
      <c r="P263" s="64" t="n">
        <f aca="false">IF($O263="","",$O263+MAX(0,ROUNDUP($AK263*MAX(1,IF($N263="",1,$N263))/MAX(1,$AL263),0)-1))</f>
        <v>46267</v>
      </c>
      <c r="Q263" s="65" t="n">
        <v>46267</v>
      </c>
      <c r="R263" s="60" t="s">
        <v>82</v>
      </c>
      <c r="S263" s="66"/>
      <c r="T263" s="59"/>
      <c r="U263" s="59" t="s">
        <v>653</v>
      </c>
      <c r="V263" s="57" t="str">
        <f aca="false">IF($F263="","",IF(ISNUMBER(SEARCH("(externo)",$I263&amp;$J263&amp;$K263)),"Terceirizada","Interna"))</f>
        <v>Interna</v>
      </c>
      <c r="W263" s="64" t="n">
        <f aca="false">IF($O263="","",IF($S263="",$O263,(DATE(Semana!$J$3,1,4)-WEEKDAY(DATE(Semana!$J$3,1,4),3))+($S263-1)*7+IF($M263="",0,MATCH($M263,Listas!$F$5:$F$11,0)-1)))</f>
        <v>46267</v>
      </c>
      <c r="X263" s="57" t="n">
        <f aca="false">IF($F263="","",IF(OR($Q263="",$O263=""),0,IF($Q263&lt;=$O263,1,0)))</f>
        <v>1</v>
      </c>
      <c r="Y263" s="57" t="n">
        <f aca="false">IF($F263="","",IF(OR($Q263="",$W263=""),0,IF($Q263&lt;=$W263,1,0)))</f>
        <v>1</v>
      </c>
      <c r="Z263" s="57" t="n">
        <f aca="false">IF(OR($Q263="",$O263=""),"",MAX(0,$Q263-$O263))</f>
        <v>0</v>
      </c>
      <c r="AA263" s="57" t="n">
        <f aca="false">IF($F263="","",IF(AND($S263&lt;&gt;"",$L263&lt;&gt;"",$S263&lt;&gt;$L263),1,0))</f>
        <v>0</v>
      </c>
      <c r="AB263" s="57" t="n">
        <f aca="false">IF($F263="","",IF($R263="Cancelada",0,IF(OR($Q263&lt;&gt;"",$R263="Concluída"),1,0)))</f>
        <v>1</v>
      </c>
      <c r="AC263" s="57" t="n">
        <f aca="false">IF($P263="",0,IF($P263&lt;Hoje!$L$1,1,IF(AND($P263=Hoje!$L$1,Hoje!$L$2&gt;Semana!$M$3),1,0)))</f>
        <v>1</v>
      </c>
      <c r="AD263" s="57" t="n">
        <f aca="false">IF($F263="","",IF(COUNTA($I263:$K263)=0,0,1/COUNTA($I263:$K263)))</f>
        <v>0.5</v>
      </c>
      <c r="AE263" s="57" t="n">
        <f aca="false">IF($AH263=0,"",SUM($AH$4:$AH263))</f>
        <v>39</v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>Luiz Paulo · Airton</v>
      </c>
      <c r="AH263" s="57" t="n">
        <f aca="false">IF(AND($F263&lt;&gt;"",$O263&lt;&gt;"",$O263&lt;=Hoje!$C$3,$P263&gt;=Hoje!$C$3,$R263&lt;&gt;"Cancelada"),1,0)</f>
        <v>1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>F-1065|Borracharia 02/09|36</v>
      </c>
      <c r="AK263" s="57" t="n">
        <f aca="false">IF($AJ263="","",COUNTIF($AJ$4:$AJ263,$AJ263))</f>
        <v>1</v>
      </c>
      <c r="AL263" s="57" t="n">
        <f aca="false">IF($AJ263="","",COUNTIF($AJ$4:$AJ$1004,$AJ263))</f>
        <v>1</v>
      </c>
    </row>
    <row r="264" customFormat="false" ht="16.5" hidden="false" customHeight="true" outlineLevel="0" collapsed="false">
      <c r="A264" s="56" t="n">
        <f aca="false">IF($F264="","",COUNTA($F$4:$F264))</f>
        <v>260</v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VENCIDA</v>
      </c>
      <c r="C264" s="58"/>
      <c r="D264" s="59" t="s">
        <v>181</v>
      </c>
      <c r="E264" s="59" t="s">
        <v>637</v>
      </c>
      <c r="F264" s="59" t="s">
        <v>654</v>
      </c>
      <c r="G264" s="60" t="s">
        <v>135</v>
      </c>
      <c r="H264" s="60" t="s">
        <v>88</v>
      </c>
      <c r="I264" s="61" t="s">
        <v>113</v>
      </c>
      <c r="J264" s="61" t="s">
        <v>138</v>
      </c>
      <c r="K264" s="61"/>
      <c r="L264" s="62" t="n">
        <v>36</v>
      </c>
      <c r="M264" s="63" t="s">
        <v>122</v>
      </c>
      <c r="N264" s="62" t="n">
        <v>1</v>
      </c>
      <c r="O264" s="64" t="n">
        <f aca="false">IF(OR($L264="",$M264=""),"",(DATE(Semana!$J$3,1,4)-WEEKDAY(DATE(Semana!$J$3,1,4),3))+($L264-1)*7+MATCH($M264,Listas!$F$5:$F$11,0)-1)</f>
        <v>46267</v>
      </c>
      <c r="P264" s="64" t="n">
        <f aca="false">IF($O264="","",$O264+MAX(0,ROUNDUP($AK264*MAX(1,IF($N264="",1,$N264))/MAX(1,$AL264),0)-1))</f>
        <v>46267</v>
      </c>
      <c r="Q264" s="65"/>
      <c r="R264" s="60"/>
      <c r="S264" s="66"/>
      <c r="T264" s="59"/>
      <c r="U264" s="59" t="s">
        <v>636</v>
      </c>
      <c r="V264" s="57" t="str">
        <f aca="false">IF($F264="","",IF(ISNUMBER(SEARCH("(externo)",$I264&amp;$J264&amp;$K264)),"Terceirizada","Interna"))</f>
        <v>Interna</v>
      </c>
      <c r="W264" s="64" t="n">
        <f aca="false">IF($O264="","",IF($S264="",$O264,(DATE(Semana!$J$3,1,4)-WEEKDAY(DATE(Semana!$J$3,1,4),3))+($S264-1)*7+IF($M264="",0,MATCH($M264,Listas!$F$5:$F$11,0)-1)))</f>
        <v>46267</v>
      </c>
      <c r="X264" s="57" t="n">
        <f aca="false">IF($F264="","",IF(OR($Q264="",$O264=""),0,IF($Q264&lt;=$O264,1,0)))</f>
        <v>0</v>
      </c>
      <c r="Y264" s="57" t="n">
        <f aca="false">IF($F264="","",IF(OR($Q264="",$W264=""),0,IF($Q264&lt;=$W264,1,0)))</f>
        <v>0</v>
      </c>
      <c r="Z264" s="57" t="str">
        <f aca="false">IF(OR($Q264="",$O264=""),"",MAX(0,$Q264-$O264))</f>
        <v/>
      </c>
      <c r="AA264" s="57" t="n">
        <f aca="false">IF($F264="","",IF(AND($S264&lt;&gt;"",$L264&lt;&gt;"",$S264&lt;&gt;$L264),1,0))</f>
        <v>0</v>
      </c>
      <c r="AB264" s="57" t="n">
        <f aca="false">IF($F264="","",IF($R264="Cancelada",0,IF(OR($Q264&lt;&gt;"",$R264="Concluída"),1,0)))</f>
        <v>0</v>
      </c>
      <c r="AC264" s="57" t="n">
        <f aca="false">IF($P264="",0,IF($P264&lt;Hoje!$L$1,1,IF(AND($P264=Hoje!$L$1,Hoje!$L$2&gt;Semana!$M$3),1,0)))</f>
        <v>1</v>
      </c>
      <c r="AD264" s="57" t="n">
        <f aca="false">IF($F264="","",IF(COUNTA($I264:$K264)=0,0,1/COUNTA($I264:$K264)))</f>
        <v>0.5</v>
      </c>
      <c r="AE264" s="57" t="n">
        <f aca="false">IF($AH264=0,"",SUM($AH$4:$AH264))</f>
        <v>40</v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>Airton · Luiz Paulo</v>
      </c>
      <c r="AH264" s="57" t="n">
        <f aca="false">IF(AND($F264&lt;&gt;"",$O264&lt;&gt;"",$O264&lt;=Hoje!$C$3,$P264&gt;=Hoje!$C$3,$R264&lt;&gt;"Cancelada"),1,0)</f>
        <v>1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>F-848|Borracharia 02/09|36</v>
      </c>
      <c r="AK264" s="57" t="n">
        <f aca="false">IF($AJ264="","",COUNTIF($AJ$4:$AJ264,$AJ264))</f>
        <v>1</v>
      </c>
      <c r="AL264" s="57" t="n">
        <f aca="false">IF($AJ264="","",COUNTIF($AJ$4:$AJ$1004,$AJ264))</f>
        <v>1</v>
      </c>
    </row>
    <row r="265" customFormat="false" ht="16.5" hidden="false" customHeight="true" outlineLevel="0" collapsed="false">
      <c r="A265" s="56" t="n">
        <f aca="false">IF($F265="","",COUNTA($F$4:$F265))</f>
        <v>261</v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VENCIDA</v>
      </c>
      <c r="C265" s="58"/>
      <c r="D265" s="59" t="s">
        <v>168</v>
      </c>
      <c r="E265" s="59" t="s">
        <v>637</v>
      </c>
      <c r="F265" s="59" t="s">
        <v>655</v>
      </c>
      <c r="G265" s="60" t="s">
        <v>135</v>
      </c>
      <c r="H265" s="60" t="s">
        <v>88</v>
      </c>
      <c r="I265" s="61" t="s">
        <v>138</v>
      </c>
      <c r="J265" s="61" t="s">
        <v>113</v>
      </c>
      <c r="K265" s="61"/>
      <c r="L265" s="62" t="n">
        <v>36</v>
      </c>
      <c r="M265" s="63" t="s">
        <v>122</v>
      </c>
      <c r="N265" s="62" t="n">
        <v>1</v>
      </c>
      <c r="O265" s="64" t="n">
        <f aca="false">IF(OR($L265="",$M265=""),"",(DATE(Semana!$J$3,1,4)-WEEKDAY(DATE(Semana!$J$3,1,4),3))+($L265-1)*7+MATCH($M265,Listas!$F$5:$F$11,0)-1)</f>
        <v>46267</v>
      </c>
      <c r="P265" s="64" t="n">
        <f aca="false">IF($O265="","",$O265+MAX(0,ROUNDUP($AK265*MAX(1,IF($N265="",1,$N265))/MAX(1,$AL265),0)-1))</f>
        <v>46267</v>
      </c>
      <c r="Q265" s="65"/>
      <c r="R265" s="60"/>
      <c r="S265" s="66"/>
      <c r="T265" s="59"/>
      <c r="U265" s="59" t="s">
        <v>636</v>
      </c>
      <c r="V265" s="57" t="str">
        <f aca="false">IF($F265="","",IF(ISNUMBER(SEARCH("(externo)",$I265&amp;$J265&amp;$K265)),"Terceirizada","Interna"))</f>
        <v>Interna</v>
      </c>
      <c r="W265" s="64" t="n">
        <f aca="false">IF($O265="","",IF($S265="",$O265,(DATE(Semana!$J$3,1,4)-WEEKDAY(DATE(Semana!$J$3,1,4),3))+($S265-1)*7+IF($M265="",0,MATCH($M265,Listas!$F$5:$F$11,0)-1)))</f>
        <v>46267</v>
      </c>
      <c r="X265" s="57" t="n">
        <f aca="false">IF($F265="","",IF(OR($Q265="",$O265=""),0,IF($Q265&lt;=$O265,1,0)))</f>
        <v>0</v>
      </c>
      <c r="Y265" s="57" t="n">
        <f aca="false">IF($F265="","",IF(OR($Q265="",$W265=""),0,IF($Q265&lt;=$W265,1,0)))</f>
        <v>0</v>
      </c>
      <c r="Z265" s="57" t="str">
        <f aca="false">IF(OR($Q265="",$O265=""),"",MAX(0,$Q265-$O265))</f>
        <v/>
      </c>
      <c r="AA265" s="57" t="n">
        <f aca="false">IF($F265="","",IF(AND($S265&lt;&gt;"",$L265&lt;&gt;"",$S265&lt;&gt;$L265),1,0))</f>
        <v>0</v>
      </c>
      <c r="AB265" s="57" t="n">
        <f aca="false">IF($F265="","",IF($R265="Cancelada",0,IF(OR($Q265&lt;&gt;"",$R265="Concluída"),1,0)))</f>
        <v>0</v>
      </c>
      <c r="AC265" s="57" t="n">
        <f aca="false">IF($P265="",0,IF($P265&lt;Hoje!$L$1,1,IF(AND($P265=Hoje!$L$1,Hoje!$L$2&gt;Semana!$M$3),1,0)))</f>
        <v>1</v>
      </c>
      <c r="AD265" s="57" t="n">
        <f aca="false">IF($F265="","",IF(COUNTA($I265:$K265)=0,0,1/COUNTA($I265:$K265)))</f>
        <v>0.5</v>
      </c>
      <c r="AE265" s="57" t="n">
        <f aca="false">IF($AH265=0,"",SUM($AH$4:$AH265))</f>
        <v>41</v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>Luiz Paulo · Airton</v>
      </c>
      <c r="AH265" s="57" t="n">
        <f aca="false">IF(AND($F265&lt;&gt;"",$O265&lt;&gt;"",$O265&lt;=Hoje!$C$3,$P265&gt;=Hoje!$C$3,$R265&lt;&gt;"Cancelada"),1,0)</f>
        <v>1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>F-618|Borracharia 02/09|36</v>
      </c>
      <c r="AK265" s="57" t="n">
        <f aca="false">IF($AJ265="","",COUNTIF($AJ$4:$AJ265,$AJ265))</f>
        <v>1</v>
      </c>
      <c r="AL265" s="57" t="n">
        <f aca="false">IF($AJ265="","",COUNTIF($AJ$4:$AJ$1004,$AJ265))</f>
        <v>1</v>
      </c>
    </row>
    <row r="266" customFormat="false" ht="16.5" hidden="false" customHeight="true" outlineLevel="0" collapsed="false">
      <c r="A266" s="56" t="n">
        <f aca="false">IF($F266="","",COUNTA($F$4:$F266))</f>
        <v>262</v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58"/>
      <c r="D266" s="59" t="s">
        <v>157</v>
      </c>
      <c r="E266" s="59" t="s">
        <v>115</v>
      </c>
      <c r="F266" s="59" t="s">
        <v>656</v>
      </c>
      <c r="G266" s="60" t="s">
        <v>115</v>
      </c>
      <c r="H266" s="60" t="s">
        <v>88</v>
      </c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 t="s">
        <v>657</v>
      </c>
      <c r="V266" s="57" t="str">
        <f aca="false">IF($F266="","",IF(ISNUMBER(SEARCH("(externo)",$I266&amp;$J266&amp;$K266)),"Terceirizada","Interna"))</f>
        <v>Interna</v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n">
        <f aca="false">IF($F266="","",IF(OR($Q266="",$O266=""),0,IF($Q266&lt;=$O266,1,0)))</f>
        <v>0</v>
      </c>
      <c r="Y266" s="57" t="n">
        <f aca="false">IF($F266="","",IF(OR($Q266="",$W266=""),0,IF($Q266&lt;=$W266,1,0)))</f>
        <v>0</v>
      </c>
      <c r="Z266" s="57" t="str">
        <f aca="false">IF(OR($Q266="",$O266=""),"",MAX(0,$Q266-$O266))</f>
        <v/>
      </c>
      <c r="AA266" s="57" t="n">
        <f aca="false">IF($F266="","",IF(AND($S266&lt;&gt;"",$L266&lt;&gt;"",$S266&lt;&gt;$L266),1,0))</f>
        <v>0</v>
      </c>
      <c r="AB266" s="57" t="n">
        <f aca="false">IF($F266="","",IF($R266="Cancelada",0,IF(OR($Q266&lt;&gt;"",$R266="Concluída"),1,0)))</f>
        <v>0</v>
      </c>
      <c r="AC266" s="57" t="n">
        <f aca="false">IF($P266="",0,IF($P266&lt;Hoje!$L$1,1,IF(AND($P266=Hoje!$L$1,Hoje!$L$2&gt;Semana!$M$3),1,0)))</f>
        <v>0</v>
      </c>
      <c r="AD266" s="57" t="n">
        <f aca="false">IF($F266="","",IF(COUNTA($I266:$K266)=0,0,1/COUNTA($I266:$K266)))</f>
        <v>0</v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>F-425|Preventiva|</v>
      </c>
      <c r="AK266" s="57" t="n">
        <f aca="false">IF($AJ266="","",COUNTIF($AJ$4:$AJ266,$AJ266))</f>
        <v>1</v>
      </c>
      <c r="AL266" s="57" t="n">
        <f aca="false">IF($AJ266="","",COUNTIF($AJ$4:$AJ$1004,$AJ266))</f>
        <v>1</v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2">
      <formula>$B5="Falta a atividade"</formula>
    </cfRule>
    <cfRule type="expression" priority="6" aboveAverage="0" equalAverage="0" bottom="0" percent="0" rank="0" text="" dxfId="33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4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5">
      <formula>$B5="Programada"</formula>
    </cfRule>
    <cfRule type="expression" priority="11" aboveAverage="0" equalAverage="0" bottom="0" percent="0" rank="0" text="" dxfId="36">
      <formula>$B5="Na carteira"</formula>
    </cfRule>
    <cfRule type="expression" priority="12" aboveAverage="0" equalAverage="0" bottom="0" percent="0" rank="0" text="" dxfId="37">
      <formula>$B5="Cancelada"</formula>
    </cfRule>
  </conditionalFormatting>
  <conditionalFormatting sqref="C5:H1004">
    <cfRule type="expression" priority="13" aboveAverage="0" equalAverage="0" bottom="0" percent="0" rank="0" text="" dxfId="38">
      <formula>$B5="Cancelada"</formula>
    </cfRule>
  </conditionalFormatting>
  <conditionalFormatting sqref="H5:H1004">
    <cfRule type="expression" priority="14" aboveAverage="0" equalAverage="0" bottom="0" percent="0" rank="0" text="" dxfId="39">
      <formula>$H5="Extra"</formula>
    </cfRule>
  </conditionalFormatting>
  <conditionalFormatting sqref="A5:A1004">
    <cfRule type="expression" priority="15" aboveAverage="0" equalAverage="0" bottom="0" percent="0" rank="0" text="" dxfId="40">
      <formula>$H5="Extra"</formula>
    </cfRule>
  </conditionalFormatting>
  <conditionalFormatting sqref="O5:P1004">
    <cfRule type="expression" priority="16" aboveAverage="0" equalAverage="0" bottom="0" percent="0" rank="0" text="" dxfId="41">
      <formula>$B5="VENCIDA"</formula>
    </cfRule>
    <cfRule type="expression" priority="17" aboveAverage="0" equalAverage="0" bottom="0" percent="0" rank="0" text="" dxfId="42">
      <formula>$B5="Fecha hoje"</formula>
    </cfRule>
    <cfRule type="expression" priority="18" aboveAverage="0" equalAverage="0" bottom="0" percent="0" rank="0" text="" dxfId="43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4">
      <formula>$T5&lt;&gt;""</formula>
    </cfRule>
  </conditionalFormatting>
  <conditionalFormatting sqref="A5:AL1004">
    <cfRule type="expression" priority="21" aboveAverage="0" equalAverage="0" bottom="0" percent="0" rank="0" text="" dxfId="45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659</v>
      </c>
      <c r="B3" s="68"/>
      <c r="C3" s="69" t="n">
        <v>36</v>
      </c>
      <c r="D3" s="70" t="s">
        <v>660</v>
      </c>
      <c r="E3" s="71" t="n">
        <f aca="false">(DATE(Semana!$J$3,1,4)-WEEKDAY(DATE(Semana!$J$3,1,4),3))+($C$3-1)*7</f>
        <v>46265</v>
      </c>
      <c r="F3" s="70" t="s">
        <v>661</v>
      </c>
      <c r="G3" s="71" t="n">
        <f aca="false">$E$3+6</f>
        <v>46271</v>
      </c>
      <c r="I3" s="72" t="s">
        <v>662</v>
      </c>
      <c r="J3" s="73" t="n">
        <v>2026</v>
      </c>
      <c r="K3" s="74" t="s">
        <v>663</v>
      </c>
      <c r="L3" s="74"/>
      <c r="M3" s="75" t="n">
        <v>0.75</v>
      </c>
    </row>
    <row r="4" customFormat="false" ht="19.5" hidden="false" customHeight="true" outlineLevel="0" collapsed="false">
      <c r="A4" s="76" t="s">
        <v>664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665</v>
      </c>
      <c r="B5" s="12"/>
      <c r="C5" s="12"/>
      <c r="D5" s="12" t="s">
        <v>666</v>
      </c>
      <c r="E5" s="12"/>
      <c r="F5" s="12" t="s">
        <v>667</v>
      </c>
      <c r="G5" s="12"/>
      <c r="H5" s="12" t="s">
        <v>668</v>
      </c>
      <c r="I5" s="12"/>
      <c r="J5" s="12" t="s">
        <v>669</v>
      </c>
      <c r="K5" s="12"/>
      <c r="L5" s="12" t="s">
        <v>670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91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25</v>
      </c>
      <c r="E6" s="78"/>
      <c r="F6" s="79" t="n">
        <f aca="false">IF($A$6=0,"",$D$6/$A$6)</f>
        <v>0.274725274725275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0.25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13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67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92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671</v>
      </c>
      <c r="B9" s="76"/>
      <c r="C9" s="76"/>
      <c r="D9" s="48" t="s">
        <v>672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673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674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57</v>
      </c>
      <c r="I11" s="88" t="n">
        <f aca="false">COUNTIFS(Programação!$L$5:$L$1004,I$10,Programação!$F$5:$F$1004,"&lt;&gt;",Programação!$R$5:$R$1004,"&lt;&gt;Cancelada")</f>
        <v>104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675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676</v>
      </c>
      <c r="J13" s="19" t="s">
        <v>204</v>
      </c>
      <c r="K13" s="19" t="s">
        <v>677</v>
      </c>
      <c r="L13" s="19" t="s">
        <v>678</v>
      </c>
      <c r="M13" s="19" t="s">
        <v>679</v>
      </c>
      <c r="N13" s="19" t="s">
        <v>680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8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25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64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0.16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21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12.3333333333333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5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6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3</v>
      </c>
      <c r="L15" s="92" t="n">
        <f aca="false">IF(OR($A15="",$I15=0),"",$K15/$I15)</f>
        <v>0.5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3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9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5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19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45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8</v>
      </c>
      <c r="L16" s="92" t="n">
        <f aca="false">IF(OR($A16="",$I16=0),"",$K16/$I16)</f>
        <v>0.421052631578947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11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19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8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26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5</v>
      </c>
      <c r="L17" s="92" t="n">
        <f aca="false">IF(OR($A17="",$I17=0),"",$K17/$I17)</f>
        <v>0.192307692307692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21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13.3333333333333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8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7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22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22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22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15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27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9</v>
      </c>
      <c r="L19" s="92" t="n">
        <f aca="false">IF(OR($A19="",$I19=0),"",$K19/$I19)</f>
        <v>0.6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6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14.3333333333333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6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8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15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3</v>
      </c>
      <c r="L20" s="92" t="n">
        <f aca="false">IF(OR($A20="",$I20=0),"",$K20/$I20)</f>
        <v>0.375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1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1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2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1</v>
      </c>
      <c r="L21" s="92" t="n">
        <f aca="false">IF(OR($A21="",$I21=0),"",$K21/$I21)</f>
        <v>1</v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1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1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n">
        <f aca="false">IF(OR($A22="",$I22=0),"",$K22/$I22)</f>
        <v>0</v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1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90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90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90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90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90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90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90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91" t="n">
        <f aca="false">IF($A27="","",SUM($B27:$H27))</f>
        <v>0</v>
      </c>
      <c r="J27" s="91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91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92" t="str">
        <f aca="false">IF(OR($A27="",$I27=0),"",$K27/$I27)</f>
        <v/>
      </c>
      <c r="M27" s="91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93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90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90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90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90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90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90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90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91" t="str">
        <f aca="false">IF($A31="","",SUM($B31:$H31))</f>
        <v/>
      </c>
      <c r="J31" s="91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91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92" t="str">
        <f aca="false">IF(OR($A31="",$I31=0),"",$K31/$I31)</f>
        <v/>
      </c>
      <c r="M31" s="91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93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94" t="s">
        <v>681</v>
      </c>
      <c r="B32" s="91" t="n">
        <f aca="false">COUNTIFS(Programação!$I$5:$I$1004,"",Programação!$F$5:$F$1004,"&lt;&gt;",Programação!$P$5:$P$1004,B$13,Programação!$R$5:$R$1004,"&lt;&gt;Cancelada")</f>
        <v>0</v>
      </c>
      <c r="C32" s="91" t="n">
        <f aca="false">COUNTIFS(Programação!$I$5:$I$1004,"",Programação!$F$5:$F$1004,"&lt;&gt;",Programação!$P$5:$P$1004,C$13,Programação!$R$5:$R$1004,"&lt;&gt;Cancelada")</f>
        <v>1</v>
      </c>
      <c r="D32" s="91" t="n">
        <f aca="false">COUNTIFS(Programação!$I$5:$I$1004,"",Programação!$F$5:$F$1004,"&lt;&gt;",Programação!$P$5:$P$1004,D$13,Programação!$R$5:$R$1004,"&lt;&gt;Cancelada")</f>
        <v>6</v>
      </c>
      <c r="E32" s="91" t="n">
        <f aca="false">COUNTIFS(Programação!$I$5:$I$1004,"",Programação!$F$5:$F$1004,"&lt;&gt;",Programação!$P$5:$P$1004,E$13,Programação!$R$5:$R$1004,"&lt;&gt;Cancelada")</f>
        <v>6</v>
      </c>
      <c r="F32" s="91" t="n">
        <f aca="false">COUNTIFS(Programação!$I$5:$I$1004,"",Programação!$F$5:$F$1004,"&lt;&gt;",Programação!$P$5:$P$1004,F$13,Programação!$R$5:$R$1004,"&lt;&gt;Cancelada")</f>
        <v>0</v>
      </c>
      <c r="G32" s="91" t="n">
        <f aca="false">COUNTIFS(Programação!$I$5:$I$1004,"",Programação!$F$5:$F$1004,"&lt;&gt;",Programação!$P$5:$P$1004,G$13,Programação!$R$5:$R$1004,"&lt;&gt;Cancelada")</f>
        <v>0</v>
      </c>
      <c r="H32" s="91" t="n">
        <f aca="false">COUNTIFS(Programação!$I$5:$I$1004,"",Programação!$F$5:$F$1004,"&lt;&gt;",Programação!$P$5:$P$1004,H$13,Programação!$R$5:$R$1004,"&lt;&gt;Cancelada")</f>
        <v>0</v>
      </c>
      <c r="I32" s="91" t="n">
        <f aca="false">SUM($B32:$H32)</f>
        <v>13</v>
      </c>
      <c r="J32" s="91" t="n">
        <f aca="false">SUMIFS(Programação!$N$5:$N$1004,Programação!$I$5:$I$1004,"",Programação!$O$5:$O$1004,"&gt;="&amp;$E$3,Programação!$O$5:$O$1004,"&lt;="&amp;$G$3,Programação!$R$5:$R$1004,"&lt;&gt;Cancelada")</f>
        <v>26</v>
      </c>
      <c r="K32" s="91" t="n">
        <f aca="false">SUMIFS(Programação!$AB$5:$AB$1004,Programação!$I$5:$I$1004,"",Programação!$O$5:$O$1004,"&gt;="&amp;$E$3,Programação!$O$5:$O$1004,"&lt;="&amp;$G$3)</f>
        <v>0</v>
      </c>
      <c r="L32" s="92" t="n">
        <f aca="false">IF($I32=0,"",$K32/$I32)</f>
        <v>0</v>
      </c>
      <c r="M32" s="91" t="n">
        <f aca="false">COUNTIFS(Programação!$I$5:$I$1004,"",Programação!$B$5:$B$1004,"VENCIDA",Programação!$O$5:$O$1004,"&gt;="&amp;$E$3,Programação!$O$5:$O$1004,"&lt;="&amp;$G$3)</f>
        <v>2</v>
      </c>
      <c r="N32" s="93" t="n">
        <f aca="false">COUNTIFS(Programação!$I$5:$I$1004,"",Programação!$F$5:$F$1004,"&lt;&gt;",Programação!$O$5:$O$1004,"&gt;="&amp;$E$3,Programação!$O$5:$O$1004,"&lt;="&amp;$G$3,Programação!$R$5:$R$1004,"&lt;&gt;Cancelada")</f>
        <v>13</v>
      </c>
    </row>
    <row r="33" customFormat="false" ht="16.5" hidden="false" customHeight="true" outlineLevel="0" collapsed="false">
      <c r="A33" s="95" t="s">
        <v>682</v>
      </c>
      <c r="B33" s="96" t="n">
        <f aca="false">COUNTIFS(Programação!$F$5:$F$1004,"&lt;&gt;",Programação!$P$5:$P$1004,B$13,Programação!$R$5:$R$1004,"&lt;&gt;Cancelada")</f>
        <v>29</v>
      </c>
      <c r="C33" s="96" t="n">
        <f aca="false">COUNTIFS(Programação!$F$5:$F$1004,"&lt;&gt;",Programação!$P$5:$P$1004,C$13,Programação!$R$5:$R$1004,"&lt;&gt;Cancelada")</f>
        <v>34</v>
      </c>
      <c r="D33" s="96" t="n">
        <f aca="false">COUNTIFS(Programação!$F$5:$F$1004,"&lt;&gt;",Programação!$P$5:$P$1004,D$13,Programação!$R$5:$R$1004,"&lt;&gt;Cancelada")</f>
        <v>35</v>
      </c>
      <c r="E33" s="96" t="n">
        <f aca="false">COUNTIFS(Programação!$F$5:$F$1004,"&lt;&gt;",Programação!$P$5:$P$1004,E$13,Programação!$R$5:$R$1004,"&lt;&gt;Cancelada")</f>
        <v>6</v>
      </c>
      <c r="F33" s="96" t="n">
        <f aca="false">COUNTIFS(Programação!$F$5:$F$1004,"&lt;&gt;",Programação!$P$5:$P$1004,F$13,Programação!$R$5:$R$1004,"&lt;&gt;Cancelada")</f>
        <v>0</v>
      </c>
      <c r="G33" s="96" t="n">
        <f aca="false">COUNTIFS(Programação!$F$5:$F$1004,"&lt;&gt;",Programação!$P$5:$P$1004,G$13,Programação!$R$5:$R$1004,"&lt;&gt;Cancelada")</f>
        <v>0</v>
      </c>
      <c r="H33" s="96" t="n">
        <f aca="false">COUNTIFS(Programação!$F$5:$F$1004,"&lt;&gt;",Programação!$P$5:$P$1004,H$13,Programação!$R$5:$R$1004,"&lt;&gt;Cancelada")</f>
        <v>0</v>
      </c>
      <c r="I33" s="96" t="n">
        <f aca="false">COUNTIFS(Programação!$O$5:$O$1004,"&gt;="&amp;$E$3,Programação!$O$5:$O$1004,"&lt;="&amp;$G$3,Programação!$F$5:$F$1004,"&lt;&gt;",Programação!$R$5:$R$1004,"&lt;&gt;Cancelada")</f>
        <v>104</v>
      </c>
      <c r="J33" s="96" t="n">
        <f aca="false">SUMIFS(Programação!$N$5:$N$1004,Programação!$O$5:$O$1004,"&gt;="&amp;$E$3,Programação!$O$5:$O$1004,"&lt;="&amp;$G$3,Programação!$R$5:$R$1004,"&lt;&gt;Cancelada")</f>
        <v>244</v>
      </c>
      <c r="K33" s="96" t="n">
        <f aca="false">SUMIFS(Programação!$AB$5:$AB$1004,Programação!$O$5:$O$1004,"&gt;="&amp;$E$3,Programação!$O$5:$O$1004,"&lt;="&amp;$G$3)</f>
        <v>26</v>
      </c>
      <c r="L33" s="97" t="n">
        <f aca="false">IF($I33=0,"",$K33/$I33)</f>
        <v>0.25</v>
      </c>
      <c r="M33" s="96" t="n">
        <f aca="false">COUNTIFS(Programação!$B$5:$B$1004,"VENCIDA",Programação!$O$5:$O$1004,"&gt;="&amp;$E$3,Programação!$O$5:$O$1004,"&lt;="&amp;$G$3)</f>
        <v>67</v>
      </c>
      <c r="N33" s="98" t="n">
        <f aca="false">SUM($N14:$N32)</f>
        <v>104</v>
      </c>
    </row>
    <row r="35" customFormat="false" ht="19.5" hidden="false" customHeight="true" outlineLevel="0" collapsed="false">
      <c r="A35" s="76" t="s">
        <v>683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</row>
    <row r="36" customFormat="false" ht="16.5" hidden="false" customHeight="true" outlineLevel="0" collapsed="false">
      <c r="A36" s="22" t="s">
        <v>684</v>
      </c>
      <c r="B36" s="99" t="n">
        <f aca="false">COUNTIFS(Programação!$P$5:$P$1004,B$13,Programação!$F$5:$F$1004,"&lt;&gt;",Programação!$R$5:$R$1004,"&lt;&gt;Cancelada",Programação!$V$5:$V$1004,"Interna")</f>
        <v>29</v>
      </c>
      <c r="C36" s="99" t="n">
        <f aca="false">COUNTIFS(Programação!$P$5:$P$1004,C$13,Programação!$F$5:$F$1004,"&lt;&gt;",Programação!$R$5:$R$1004,"&lt;&gt;Cancelada",Programação!$V$5:$V$1004,"Interna")</f>
        <v>34</v>
      </c>
      <c r="D36" s="99" t="n">
        <f aca="false">COUNTIFS(Programação!$P$5:$P$1004,D$13,Programação!$F$5:$F$1004,"&lt;&gt;",Programação!$R$5:$R$1004,"&lt;&gt;Cancelada",Programação!$V$5:$V$1004,"Interna")</f>
        <v>35</v>
      </c>
      <c r="E36" s="99" t="n">
        <f aca="false">COUNTIFS(Programação!$P$5:$P$1004,E$13,Programação!$F$5:$F$1004,"&lt;&gt;",Programação!$R$5:$R$1004,"&lt;&gt;Cancelada",Programação!$V$5:$V$1004,"Interna")</f>
        <v>6</v>
      </c>
      <c r="F36" s="99" t="n">
        <f aca="false">COUNTIFS(Programação!$P$5:$P$1004,F$13,Programação!$F$5:$F$1004,"&lt;&gt;",Programação!$R$5:$R$1004,"&lt;&gt;Cancelada",Programação!$V$5:$V$1004,"Interna")</f>
        <v>0</v>
      </c>
      <c r="G36" s="99" t="n">
        <f aca="false">COUNTIFS(Programação!$P$5:$P$1004,G$13,Programação!$F$5:$F$1004,"&lt;&gt;",Programação!$R$5:$R$1004,"&lt;&gt;Cancelada",Programação!$V$5:$V$1004,"Interna")</f>
        <v>0</v>
      </c>
      <c r="H36" s="99" t="n">
        <f aca="false">COUNTIFS(Programação!$P$5:$P$1004,H$13,Programação!$F$5:$F$1004,"&lt;&gt;",Programação!$R$5:$R$1004,"&lt;&gt;Cancelada",Programação!$V$5:$V$1004,"Interna")</f>
        <v>0</v>
      </c>
      <c r="I36" s="99" t="n">
        <f aca="false">SUM($B36:$H36)</f>
        <v>104</v>
      </c>
    </row>
    <row r="37" customFormat="false" ht="16.5" hidden="false" customHeight="true" outlineLevel="0" collapsed="false">
      <c r="A37" s="22" t="s">
        <v>685</v>
      </c>
      <c r="B37" s="99" t="n">
        <f aca="false">SUMIFS(Programação!$AB$5:$AB$1004,Programação!$P$5:$P$1004,B$13,Programação!$R$5:$R$1004,"&lt;&gt;Cancelada",Programação!$V$5:$V$1004,"Interna")</f>
        <v>14</v>
      </c>
      <c r="C37" s="99" t="n">
        <f aca="false">SUMIFS(Programação!$AB$5:$AB$1004,Programação!$P$5:$P$1004,C$13,Programação!$R$5:$R$1004,"&lt;&gt;Cancelada",Programação!$V$5:$V$1004,"Interna")</f>
        <v>9</v>
      </c>
      <c r="D37" s="99" t="n">
        <f aca="false">SUMIFS(Programação!$AB$5:$AB$1004,Programação!$P$5:$P$1004,D$13,Programação!$R$5:$R$1004,"&lt;&gt;Cancelada",Programação!$V$5:$V$1004,"Interna")</f>
        <v>3</v>
      </c>
      <c r="E37" s="99" t="n">
        <f aca="false">SUMIFS(Programação!$AB$5:$AB$1004,Programação!$P$5:$P$1004,E$13,Programação!$R$5:$R$1004,"&lt;&gt;Cancelada",Programação!$V$5:$V$1004,"Interna")</f>
        <v>0</v>
      </c>
      <c r="F37" s="99" t="n">
        <f aca="false">SUMIFS(Programação!$AB$5:$AB$1004,Programação!$P$5:$P$1004,F$13,Programação!$R$5:$R$1004,"&lt;&gt;Cancelada",Programação!$V$5:$V$1004,"Interna")</f>
        <v>0</v>
      </c>
      <c r="G37" s="99" t="n">
        <f aca="false">SUMIFS(Programação!$AB$5:$AB$1004,Programação!$P$5:$P$1004,G$13,Programação!$R$5:$R$1004,"&lt;&gt;Cancelada",Programação!$V$5:$V$1004,"Interna")</f>
        <v>0</v>
      </c>
      <c r="H37" s="99" t="n">
        <f aca="false">SUMIFS(Programação!$AB$5:$AB$1004,Programação!$P$5:$P$1004,H$13,Programação!$R$5:$R$1004,"&lt;&gt;Cancelada",Programação!$V$5:$V$1004,"Interna")</f>
        <v>0</v>
      </c>
      <c r="I37" s="99" t="n">
        <f aca="false">SUM($B37:$H37)</f>
        <v>26</v>
      </c>
    </row>
    <row r="38" customFormat="false" ht="16.5" hidden="false" customHeight="true" outlineLevel="0" collapsed="false">
      <c r="A38" s="100" t="s">
        <v>686</v>
      </c>
      <c r="B38" s="101" t="n">
        <f aca="false">IF(B36=0,"",B37/B36)</f>
        <v>0.482758620689655</v>
      </c>
      <c r="C38" s="101" t="n">
        <f aca="false">IF(C36=0,"",C37/C36)</f>
        <v>0.264705882352941</v>
      </c>
      <c r="D38" s="101" t="n">
        <f aca="false">IF(D36=0,"",D37/D36)</f>
        <v>0.0857142857142857</v>
      </c>
      <c r="E38" s="101" t="n">
        <f aca="false">IF(E36=0,"",E37/E36)</f>
        <v>0</v>
      </c>
      <c r="F38" s="101" t="str">
        <f aca="false">IF(F36=0,"",F37/F36)</f>
        <v/>
      </c>
      <c r="G38" s="101" t="str">
        <f aca="false">IF(G36=0,"",G37/G36)</f>
        <v/>
      </c>
      <c r="H38" s="101" t="str">
        <f aca="false">IF(H36=0,"",H37/H36)</f>
        <v/>
      </c>
      <c r="I38" s="101" t="n">
        <f aca="false">IF($I36=0,"",$I37/$I36)</f>
        <v>0.25</v>
      </c>
    </row>
    <row r="40" customFormat="false" ht="15" hidden="false" customHeight="false" outlineLevel="0" collapsed="false">
      <c r="A40" s="48" t="s">
        <v>687</v>
      </c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46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{D883F91F-99D0-47B6-99E7-A052663D9844}</x14:id>
        </ext>
      </extLst>
    </cfRule>
    <cfRule type="cellIs" priority="4" operator="equal" aboveAverage="0" equalAverage="0" bottom="0" percent="0" rank="0" text="" dxfId="47">
      <formula>0</formula>
    </cfRule>
  </conditionalFormatting>
  <conditionalFormatting sqref="L14:L31">
    <cfRule type="cellIs" priority="5" operator="greaterThanOrEqual" aboveAverage="0" equalAverage="0" bottom="0" percent="0" rank="0" text="" dxfId="48">
      <formula>0.85</formula>
    </cfRule>
    <cfRule type="cellIs" priority="6" operator="lessThan" aboveAverage="0" equalAverage="0" bottom="0" percent="0" rank="0" text="" dxfId="49">
      <formula>0.6</formula>
    </cfRule>
  </conditionalFormatting>
  <conditionalFormatting sqref="M14:M32">
    <cfRule type="cellIs" priority="7" operator="greaterThan" aboveAverage="0" equalAverage="0" bottom="0" percent="0" rank="0" text="" dxfId="49">
      <formula>0</formula>
    </cfRule>
  </conditionalFormatting>
  <conditionalFormatting sqref="B38:I38">
    <cfRule type="cellIs" priority="8" operator="greaterThanOrEqual" aboveAverage="0" equalAverage="0" bottom="0" percent="0" rank="0" text="" dxfId="48">
      <formula>0.85</formula>
    </cfRule>
    <cfRule type="cellIs" priority="9" operator="lessThan" aboveAverage="0" equalAverage="0" bottom="0" percent="0" rank="0" text="" dxfId="49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83F91F-99D0-47B6-99E7-A052663D9844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689</v>
      </c>
      <c r="B3" s="103" t="n">
        <f aca="false">Semana!$C$3</f>
        <v>36</v>
      </c>
      <c r="C3" s="104" t="n">
        <f aca="false">Semana!$E$3</f>
        <v>46265</v>
      </c>
      <c r="D3" s="105" t="s">
        <v>661</v>
      </c>
      <c r="E3" s="104" t="n">
        <f aca="false">Semana!$G$3</f>
        <v>46271</v>
      </c>
      <c r="F3" s="48" t="s">
        <v>690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691</v>
      </c>
      <c r="B5" s="106"/>
      <c r="C5" s="106"/>
      <c r="D5" s="106"/>
      <c r="E5" s="106"/>
      <c r="F5" s="106"/>
      <c r="G5" s="106" t="s">
        <v>668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0.274725274725275</v>
      </c>
      <c r="B6" s="107"/>
      <c r="C6" s="107"/>
      <c r="D6" s="107"/>
      <c r="E6" s="107"/>
      <c r="F6" s="107"/>
      <c r="G6" s="108" t="n">
        <f aca="false">IFERROR(B18/B16,"")</f>
        <v>0.25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25 de 91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26 das 104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692</v>
      </c>
      <c r="B11" s="55" t="s">
        <v>693</v>
      </c>
      <c r="C11" s="110" t="s">
        <v>694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695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696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13" s="113" t="s">
        <v>697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C14" s="113" t="s">
        <v>698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699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C15" s="113" t="s">
        <v>700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701</v>
      </c>
      <c r="B16" s="112" t="n">
        <f aca="false">COUNTIFS(Programação!$O$5:$O$1004,"&gt;="&amp;$C$3,Programação!$O$5:$O$1004,"&lt;="&amp;$E$3,Programação!$R$5:$R$1004,"&lt;&gt;Cancelada",Programação!$V$5:$V$1004,"Interna")</f>
        <v>104</v>
      </c>
      <c r="C16" s="113" t="s">
        <v>702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703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1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704</v>
      </c>
      <c r="B18" s="112" t="n">
        <f aca="false">SUMIFS(Programação!$AB$5:$AB$1004,Programação!$O$5:$O$1004,"&gt;="&amp;$C$3,Programação!$O$5:$O$1004,"&lt;="&amp;$E$3,Programação!$V$5:$V$1004,"Interna")</f>
        <v>26</v>
      </c>
      <c r="C18" s="113" t="s">
        <v>702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705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706</v>
      </c>
      <c r="B20" s="115" t="n">
        <f aca="false">IFERROR(B15/B13,"")</f>
        <v>0.274725274725275</v>
      </c>
      <c r="C20" s="116" t="s">
        <v>707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0.25</v>
      </c>
      <c r="C21" s="116" t="s">
        <v>708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709</v>
      </c>
      <c r="B22" s="117" t="n">
        <f aca="false">IFERROR(B14/B16,"")</f>
        <v>0.125</v>
      </c>
      <c r="C22" s="113" t="s">
        <v>710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711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8</v>
      </c>
      <c r="C23" s="113" t="s">
        <v>712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713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714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715</v>
      </c>
      <c r="B25" s="117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0.142857142857143</v>
      </c>
      <c r="C25" s="113" t="s">
        <v>716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717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718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679</v>
      </c>
      <c r="B27" s="112" t="n">
        <f aca="false">COUNTIFS(Programação!$B$5:$B$1004,"VENCIDA",Programação!$O$5:$O$1004,"&gt;="&amp;$C$3,Programação!$O$5:$O$1004,"&lt;="&amp;$E$3,Programação!$V$5:$V$1004,"Interna")</f>
        <v>67</v>
      </c>
      <c r="C27" s="113" t="s">
        <v>719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720</v>
      </c>
      <c r="B28" s="112" t="n">
        <f aca="false">SUMIFS(Programação!$AA$5:$AA$1004,Programação!$O$5:$O$1004,"&gt;="&amp;$C$3,Programação!$O$5:$O$1004,"&lt;="&amp;$E$3,Programação!$V$5:$V$1004,"Interna")</f>
        <v>82</v>
      </c>
      <c r="C28" s="113" t="s">
        <v>721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722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723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724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725</v>
      </c>
      <c r="B31" s="118" t="n">
        <f aca="false">IFERROR(B16/5,"")</f>
        <v>20.8</v>
      </c>
      <c r="C31" s="113" t="s">
        <v>726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727</v>
      </c>
      <c r="B32" s="118" t="n">
        <f aca="false">IFERROR(B18/5,"")</f>
        <v>5.2</v>
      </c>
      <c r="C32" s="113" t="s">
        <v>728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729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244</v>
      </c>
      <c r="C33" s="113" t="s">
        <v>730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731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732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733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734</v>
      </c>
      <c r="B36" s="112" t="n">
        <f aca="false">COUNTIFS(Programação!$O$5:$O$1004,"&gt;="&amp;$C$3,Programação!$O$5:$O$1004,"&lt;="&amp;$E$3,Programação!$R$5:$R$1004,"Cancelada")</f>
        <v>4</v>
      </c>
      <c r="C36" s="113" t="s">
        <v>735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736</v>
      </c>
      <c r="B37" s="112" t="n">
        <f aca="false">COUNTIFS(Programação!$O$5:$O$1004,"",Programação!$F$5:$F$1004,"&lt;&gt;",Programação!$R$5:$R$1004,"&lt;&gt;Cancelada")</f>
        <v>92</v>
      </c>
      <c r="C37" s="113" t="s">
        <v>737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738</v>
      </c>
      <c r="P39" s="119" t="s">
        <v>739</v>
      </c>
      <c r="Q39" s="119" t="s">
        <v>677</v>
      </c>
    </row>
    <row r="40" customFormat="false" ht="15" hidden="false" customHeight="false" outlineLevel="0" collapsed="false">
      <c r="O40" s="119" t="s">
        <v>740</v>
      </c>
      <c r="P40" s="120" t="n">
        <f aca="false">B13</f>
        <v>91</v>
      </c>
      <c r="Q40" s="120" t="n">
        <f aca="false">B15</f>
        <v>25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13</v>
      </c>
      <c r="Q41" s="120" t="n">
        <f aca="false">B17</f>
        <v>1</v>
      </c>
    </row>
    <row r="43" customFormat="false" ht="15" hidden="false" customHeight="false" outlineLevel="0" collapsed="false">
      <c r="O43" s="119" t="s">
        <v>20</v>
      </c>
      <c r="P43" s="119" t="s">
        <v>676</v>
      </c>
      <c r="Q43" s="119"/>
    </row>
    <row r="44" customFormat="false" ht="15" hidden="false" customHeight="false" outlineLevel="0" collapsed="false">
      <c r="O44" s="119" t="s">
        <v>677</v>
      </c>
      <c r="P44" s="120" t="n">
        <f aca="false">B18</f>
        <v>26</v>
      </c>
      <c r="Q44" s="119"/>
    </row>
    <row r="45" customFormat="false" ht="15" hidden="false" customHeight="false" outlineLevel="0" collapsed="false">
      <c r="O45" s="119" t="s">
        <v>679</v>
      </c>
      <c r="P45" s="120" t="n">
        <f aca="false">B27</f>
        <v>67</v>
      </c>
      <c r="Q45" s="119"/>
    </row>
    <row r="46" customFormat="false" ht="15" hidden="false" customHeight="false" outlineLevel="0" collapsed="false">
      <c r="O46" s="119" t="s">
        <v>741</v>
      </c>
      <c r="P46" s="119" t="n">
        <f aca="false">MAX(0,B16-B18-B27)</f>
        <v>11</v>
      </c>
      <c r="Q46" s="119"/>
    </row>
    <row r="47" customFormat="false" ht="15" hidden="false" customHeight="false" outlineLevel="0" collapsed="false">
      <c r="O47" s="119" t="s">
        <v>734</v>
      </c>
      <c r="P47" s="120" t="n">
        <f aca="false">B36</f>
        <v>4</v>
      </c>
      <c r="Q47" s="119"/>
    </row>
    <row r="48" customFormat="false" ht="15" hidden="false" customHeight="false" outlineLevel="0" collapsed="false">
      <c r="O48" s="119" t="s">
        <v>143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742</v>
      </c>
      <c r="B57" s="29"/>
      <c r="C57" s="29"/>
      <c r="D57" s="29"/>
      <c r="E57" s="29"/>
      <c r="F57" s="29"/>
      <c r="H57" s="29" t="s">
        <v>743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744</v>
      </c>
      <c r="B58" s="19" t="s">
        <v>210</v>
      </c>
      <c r="C58" s="19" t="s">
        <v>215</v>
      </c>
      <c r="D58" s="19" t="s">
        <v>745</v>
      </c>
      <c r="E58" s="19" t="s">
        <v>679</v>
      </c>
      <c r="F58" s="19" t="s">
        <v>229</v>
      </c>
      <c r="H58" s="19" t="s">
        <v>744</v>
      </c>
      <c r="I58" s="19" t="s">
        <v>210</v>
      </c>
      <c r="J58" s="19" t="s">
        <v>215</v>
      </c>
      <c r="K58" s="19" t="s">
        <v>745</v>
      </c>
      <c r="L58" s="19" t="s">
        <v>679</v>
      </c>
      <c r="M58" s="19" t="s">
        <v>229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17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0.235294117647059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21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6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3</v>
      </c>
      <c r="D60" s="92" t="n">
        <f aca="false">IF(OR($A60="",$B60=0),"",$C60/$B60)</f>
        <v>0.5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3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19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8</v>
      </c>
      <c r="D61" s="92" t="n">
        <f aca="false">IF(OR($A61="",$B61=0),"",$C61/$B61)</f>
        <v>0.421052631578947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11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17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0.235294117647059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21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1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1</v>
      </c>
      <c r="K62" s="92" t="n">
        <f aca="false">IF(OR($H62="",$I62=0),"",$J62/$I62)</f>
        <v>1</v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22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22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13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9</v>
      </c>
      <c r="D64" s="92" t="n">
        <f aca="false">IF(OR($A64="",$B64=0),"",$C64/$B64)</f>
        <v>0.692307692307692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6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str">
        <f aca="false">IF(OR($H64="",$I64=0),"",$J64/$I64)</f>
        <v/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8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3</v>
      </c>
      <c r="D65" s="92" t="n">
        <f aca="false">IF(OR($A65="",$B65=0),"",$C65/$B65)</f>
        <v>0.375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5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1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1</v>
      </c>
      <c r="D66" s="92" t="n">
        <f aca="false">IF(OR($A66="",$B66=0),"",$C66/$B66)</f>
        <v>1</v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7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1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17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5</v>
      </c>
      <c r="K68" s="92" t="n">
        <f aca="false">IF(OR($H68="",$I68=0),"",$J68/$I68)</f>
        <v>0.294117647058824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13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F-424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1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1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F-425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F-433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91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91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92" t="str">
        <f aca="false">IF(OR($A72="",$B72=0),"",$C72/$B72)</f>
        <v/>
      </c>
      <c r="E72" s="91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91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F-457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F-458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str">
        <f aca="false">IF(OR($H73="",$I73=0),"",$J73/$I73)</f>
        <v/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F-485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91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91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92" t="str">
        <f aca="false">IF(OR($A75="",$B75=0),"",$C75/$B75)</f>
        <v/>
      </c>
      <c r="E75" s="91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91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F-580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1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n">
        <f aca="false">IF(OR($H75="",$I75=0),"",$J75/$I75)</f>
        <v>0</v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1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21" t="s">
        <v>682</v>
      </c>
      <c r="B76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76" s="12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D76" s="123" t="n">
        <f aca="false">IF($B76=0,"",$C76/$B76)</f>
        <v>0.274725274725275</v>
      </c>
      <c r="E76" s="122" t="n">
        <f aca="false">COUNTIFS(Programação!$B$5:$B$1004,"VENCIDA",Programação!$O$5:$O$1004,"&gt;="&amp;$C$3,Programação!$O$5:$O$1004,"&lt;="&amp;$E$3,Programação!$V$5:$V$1004,"Interna")</f>
        <v>67</v>
      </c>
      <c r="F76" s="12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H76" s="21" t="str">
        <f aca="false">IF(Listas!B22="","",Listas!B22)</f>
        <v>F-614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str">
        <f aca="false">IF(OR($H76="",$I76=0),"",$J76/$I76)</f>
        <v/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F-616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F-617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23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18</v>
      </c>
      <c r="K78" s="92" t="n">
        <f aca="false">IF(OR($H78="",$I78=0),"",$J78/$I78)</f>
        <v>0.782608695652174</v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6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H79" s="21" t="str">
        <f aca="false">IF(Listas!B25="","",Listas!B25)</f>
        <v>F-618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1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n">
        <f aca="false">IF(OR($H79="",$I79=0),"",$J79/$I79)</f>
        <v>0</v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F-621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2" t="str">
        <f aca="false">IF(OR($H80="",$I80=0),"",$J80/$I80)</f>
        <v/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F-624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F-626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str">
        <f aca="false">IF(OR($H82="",$I82=0),"",$J82/$I82)</f>
        <v/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F-696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F-711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1</v>
      </c>
    </row>
    <row r="85" customFormat="false" ht="15.75" hidden="false" customHeight="true" outlineLevel="0" collapsed="false">
      <c r="H85" s="21" t="str">
        <f aca="false">IF(Listas!B31="","",Listas!B31)</f>
        <v>F-745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str">
        <f aca="false">IF(OR($H85="",$I85=0),"",$J85/$I85)</f>
        <v/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F-763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F-789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F-814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12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n">
        <f aca="false">IF(OR($H88="",$I88=0),"",$J88/$I88)</f>
        <v>0</v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1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F-815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35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1</v>
      </c>
      <c r="K89" s="92" t="n">
        <f aca="false">IF(OR($H89="",$I89=0),"",$J89/$I89)</f>
        <v>0.0285714285714286</v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34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F-817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F-818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F-848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1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n">
        <f aca="false">IF(OR($H92="",$I92=0),"",$J92/$I92)</f>
        <v>0</v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1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F-856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F-871</v>
      </c>
      <c r="I94" s="9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2" t="str">
        <f aca="false">IF(OR($H94="",$I94=0),"",$J94/$I94)</f>
        <v/>
      </c>
      <c r="L94" s="9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F-938</v>
      </c>
      <c r="I95" s="91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91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92" t="str">
        <f aca="false">IF(OR($H95="",$I95=0),"",$J95/$I95)</f>
        <v/>
      </c>
      <c r="L95" s="91" t="n">
        <f aca="false">IF($H95="","",COUNTIFS(Programação!$D$5:$D$1004,$H95,Programação!$B$5:$B$1004,"VENCIDA",Programação!$O$5:$O$1004,"&gt;="&amp;$C$3,Programação!$O$5:$O$1004,"&lt;="&amp;$E$3,Programação!$V$5:$V$1004,"Interna"))</f>
        <v>1</v>
      </c>
      <c r="M95" s="91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1</v>
      </c>
    </row>
    <row r="96" customFormat="false" ht="15.75" hidden="false" customHeight="true" outlineLevel="0" collapsed="false">
      <c r="H96" s="21" t="str">
        <f aca="false">IF(Listas!B42="","",Listas!B42)</f>
        <v>F-964</v>
      </c>
      <c r="I96" s="91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91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92" t="str">
        <f aca="false">IF(OR($H96="",$I96=0),"",$J96/$I96)</f>
        <v/>
      </c>
      <c r="L96" s="91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91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F-966</v>
      </c>
      <c r="I97" s="91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91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92" t="str">
        <f aca="false">IF(OR($H97="",$I97=0),"",$J97/$I97)</f>
        <v/>
      </c>
      <c r="L97" s="91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91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F-968</v>
      </c>
      <c r="I98" s="91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91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92" t="str">
        <f aca="false">IF(OR($H98="",$I98=0),"",$J98/$I98)</f>
        <v/>
      </c>
      <c r="L98" s="91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91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Não informada</v>
      </c>
      <c r="I99" s="91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91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92" t="str">
        <f aca="false">IF(OR($H99="",$I99=0),"",$J99/$I99)</f>
        <v/>
      </c>
      <c r="L99" s="91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91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/>
      </c>
      <c r="I100" s="91" t="str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/>
      </c>
      <c r="J100" s="91" t="str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/>
      </c>
      <c r="K100" s="92" t="str">
        <f aca="false">IF(OR($H100="",$I100=0),"",$J100/$I100)</f>
        <v/>
      </c>
      <c r="L100" s="91" t="str">
        <f aca="false">IF($H100="","",COUNTIFS(Programação!$D$5:$D$1004,$H100,Programação!$B$5:$B$1004,"VENCIDA",Programação!$O$5:$O$1004,"&gt;="&amp;$C$3,Programação!$O$5:$O$1004,"&lt;="&amp;$E$3,Programação!$V$5:$V$1004,"Interna"))</f>
        <v/>
      </c>
      <c r="M100" s="91" t="str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/>
      </c>
    </row>
    <row r="101" customFormat="false" ht="15.75" hidden="false" customHeight="true" outlineLevel="0" collapsed="false">
      <c r="H101" s="21" t="str">
        <f aca="false">IF(Listas!B47="","",Listas!B47)</f>
        <v/>
      </c>
      <c r="I101" s="91" t="str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/>
      </c>
      <c r="J101" s="91" t="str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/>
      </c>
      <c r="K101" s="92" t="str">
        <f aca="false">IF(OR($H101="",$I101=0),"",$J101/$I101)</f>
        <v/>
      </c>
      <c r="L101" s="91" t="str">
        <f aca="false">IF($H101="","",COUNTIFS(Programação!$D$5:$D$1004,$H101,Programação!$B$5:$B$1004,"VENCIDA",Programação!$O$5:$O$1004,"&gt;="&amp;$C$3,Programação!$O$5:$O$1004,"&lt;="&amp;$E$3,Programação!$V$5:$V$1004,"Interna"))</f>
        <v/>
      </c>
      <c r="M101" s="91" t="str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/>
      </c>
    </row>
    <row r="102" customFormat="false" ht="15.75" hidden="false" customHeight="true" outlineLevel="0" collapsed="false">
      <c r="H102" s="21" t="str">
        <f aca="false">IF(Listas!B48="","",Listas!B48)</f>
        <v/>
      </c>
      <c r="I102" s="91" t="str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/>
      </c>
      <c r="J102" s="91" t="str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/>
      </c>
      <c r="K102" s="92" t="str">
        <f aca="false">IF(OR($H102="",$I102=0),"",$J102/$I102)</f>
        <v/>
      </c>
      <c r="L102" s="91" t="str">
        <f aca="false">IF($H102="","",COUNTIFS(Programação!$D$5:$D$1004,$H102,Programação!$B$5:$B$1004,"VENCIDA",Programação!$O$5:$O$1004,"&gt;="&amp;$C$3,Programação!$O$5:$O$1004,"&lt;="&amp;$E$3,Programação!$V$5:$V$1004,"Interna"))</f>
        <v/>
      </c>
      <c r="M102" s="91" t="str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/>
      </c>
    </row>
    <row r="105" customFormat="false" ht="15" hidden="false" customHeight="false" outlineLevel="0" collapsed="false">
      <c r="A105" s="29" t="s">
        <v>746</v>
      </c>
      <c r="B105" s="29"/>
      <c r="C105" s="29"/>
      <c r="D105" s="29"/>
      <c r="E105" s="29"/>
      <c r="F105" s="29"/>
    </row>
    <row r="106" customFormat="false" ht="15" hidden="false" customHeight="false" outlineLevel="0" collapsed="false">
      <c r="A106" s="19" t="s">
        <v>744</v>
      </c>
      <c r="B106" s="19" t="s">
        <v>210</v>
      </c>
      <c r="C106" s="19" t="s">
        <v>215</v>
      </c>
      <c r="D106" s="19" t="s">
        <v>745</v>
      </c>
      <c r="E106" s="19" t="s">
        <v>679</v>
      </c>
      <c r="F106" s="19" t="s">
        <v>229</v>
      </c>
    </row>
    <row r="107" customFormat="false" ht="15.75" hidden="false" customHeight="true" outlineLevel="0" collapsed="false">
      <c r="A107" s="21" t="str">
        <f aca="false">IF(Listas!C5="","",Listas!C5)</f>
        <v>Corretiva</v>
      </c>
      <c r="B107" s="91" t="n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>69</v>
      </c>
      <c r="C107" s="91" t="n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>20</v>
      </c>
      <c r="D107" s="92" t="n">
        <f aca="false">IF(OR($A107="",$B107=0),"",$C107/$B107)</f>
        <v>0.289855072463768</v>
      </c>
      <c r="E107" s="91" t="n">
        <f aca="false">IF($A107="","",COUNTIFS(Programação!$G$5:$G$1004,$A107,Programação!$B$5:$B$1004,"VENCIDA",Programação!$O$5:$O$1004,"&gt;="&amp;$C$3,Programação!$O$5:$O$1004,"&lt;="&amp;$E$3,Programação!$V$5:$V$1004,"Interna"))</f>
        <v>50</v>
      </c>
      <c r="F107" s="91" t="n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>13</v>
      </c>
    </row>
    <row r="108" customFormat="false" ht="15.75" hidden="false" customHeight="true" outlineLevel="0" collapsed="false">
      <c r="A108" s="21" t="str">
        <f aca="false">IF(Listas!C6="","",Listas!C6)</f>
        <v>Preventiva</v>
      </c>
      <c r="B108" s="91" t="n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>15</v>
      </c>
      <c r="C108" s="91" t="n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>4</v>
      </c>
      <c r="D108" s="92" t="n">
        <f aca="false">IF(OR($A108="",$B108=0),"",$C108/$B108)</f>
        <v>0.266666666666667</v>
      </c>
      <c r="E108" s="91" t="n">
        <f aca="false">IF($A108="","",COUNTIFS(Programação!$G$5:$G$1004,$A108,Programação!$B$5:$B$1004,"VENCIDA",Programação!$O$5:$O$1004,"&gt;="&amp;$C$3,Programação!$O$5:$O$1004,"&lt;="&amp;$E$3,Programação!$V$5:$V$1004,"Interna"))</f>
        <v>11</v>
      </c>
      <c r="F108" s="91" t="n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>0</v>
      </c>
    </row>
    <row r="109" customFormat="false" ht="15.75" hidden="false" customHeight="true" outlineLevel="0" collapsed="false">
      <c r="A109" s="21" t="str">
        <f aca="false">IF(Listas!C7="","",Listas!C7)</f>
        <v>Preditiva</v>
      </c>
      <c r="B109" s="91" t="n">
        <f aca="false">IF($A109="","",COUNTIFS(Programação!$G$5:$G$1004,$A109,Programação!$O$5:$O$1004,"&gt;="&amp;$C$3,Programação!$O$5:$O$1004,"&lt;="&amp;$E$3,Programação!$R$5:$R$1004,"&lt;&gt;Cancelada",Programação!$V$5:$V$1004,"Interna",Programação!$H$5:$H$1004,"&lt;&gt;Extra"))</f>
        <v>0</v>
      </c>
      <c r="C109" s="91" t="n">
        <f aca="false">IF($A109="","",SUMIFS(Programação!$AB$5:$AB$1004,Programação!$G$5:$G$1004,$A109,Programação!$O$5:$O$1004,"&gt;="&amp;$C$3,Programação!$O$5:$O$1004,"&lt;="&amp;$E$3,Programação!$H$5:$H$1004,"&lt;&gt;Extra",Programação!$V$5:$V$1004,"Interna"))</f>
        <v>0</v>
      </c>
      <c r="D109" s="92" t="str">
        <f aca="false">IF(OR($A109="",$B109=0),"",$C109/$B109)</f>
        <v/>
      </c>
      <c r="E109" s="91" t="n">
        <f aca="false">IF($A109="","",COUNTIFS(Programação!$G$5:$G$1004,$A109,Programação!$B$5:$B$1004,"VENCIDA",Programação!$O$5:$O$1004,"&gt;="&amp;$C$3,Programação!$O$5:$O$1004,"&lt;="&amp;$E$3,Programação!$V$5:$V$1004,"Interna"))</f>
        <v>0</v>
      </c>
      <c r="F109" s="91" t="n">
        <f aca="false">IF($A109="","",COUNTIFS(Programação!$G$5:$G$1004,$A109,Programação!$O$5:$O$1004,"&gt;="&amp;$C$3,Programação!$O$5:$O$1004,"&lt;="&amp;$E$3,Programação!$H$5:$H$1004,"Extra",Programação!$R$5:$R$1004,"&lt;&gt;Cancelada",Programação!$V$5:$V$1004,"Interna"))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A110" s="21" t="str">
        <f aca="false">IF(Listas!C8="","",Listas!C8)</f>
        <v>Melhoria</v>
      </c>
      <c r="B110" s="91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0</v>
      </c>
      <c r="C110" s="91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0</v>
      </c>
      <c r="D110" s="92" t="str">
        <f aca="false">IF(OR($A110="",$B110=0),"",$C110/$B110)</f>
        <v/>
      </c>
      <c r="E110" s="91" t="n">
        <f aca="false">IF($A110="","",COUNTIFS(Programação!$G$5:$G$1004,$A110,Programação!$B$5:$B$1004,"VENCIDA",Programação!$O$5:$O$1004,"&gt;="&amp;$C$3,Programação!$O$5:$O$1004,"&lt;="&amp;$E$3,Programação!$V$5:$V$1004,"Interna"))</f>
        <v>0</v>
      </c>
      <c r="F110" s="91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A111" s="21" t="str">
        <f aca="false">IF(Listas!C9="","",Listas!C9)</f>
        <v>Inspeção</v>
      </c>
      <c r="B111" s="91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0</v>
      </c>
      <c r="C111" s="91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0</v>
      </c>
      <c r="D111" s="92" t="str">
        <f aca="false">IF(OR($A111="",$B111=0),"",$C111/$B111)</f>
        <v/>
      </c>
      <c r="E111" s="91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91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IF(Listas!C10="","",Listas!C10)</f>
        <v>Borracharia</v>
      </c>
      <c r="B112" s="91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4</v>
      </c>
      <c r="C112" s="91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1</v>
      </c>
      <c r="D112" s="92" t="n">
        <f aca="false">IF(OR($A112="",$B112=0),"",$C112/$B112)</f>
        <v>0.25</v>
      </c>
      <c r="E112" s="91" t="n">
        <f aca="false">IF($A112="","",COUNTIFS(Programação!$G$5:$G$1004,$A112,Programação!$B$5:$B$1004,"VENCIDA",Programação!$O$5:$O$1004,"&gt;="&amp;$C$3,Programação!$O$5:$O$1004,"&lt;="&amp;$E$3,Programação!$V$5:$V$1004,"Interna"))</f>
        <v>3</v>
      </c>
      <c r="F112" s="91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IF(Listas!C11="","",Listas!C11)</f>
        <v>Mecânica</v>
      </c>
      <c r="B113" s="91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2</v>
      </c>
      <c r="C113" s="91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92" t="n">
        <f aca="false">IF(OR($A113="",$B113=0),"",$C113/$B113)</f>
        <v>0</v>
      </c>
      <c r="E113" s="91" t="n">
        <f aca="false">IF($A113="","",COUNTIFS(Programação!$G$5:$G$1004,$A113,Programação!$B$5:$B$1004,"VENCIDA",Programação!$O$5:$O$1004,"&gt;="&amp;$C$3,Programação!$O$5:$O$1004,"&lt;="&amp;$E$3,Programação!$V$5:$V$1004,"Interna"))</f>
        <v>2</v>
      </c>
      <c r="F113" s="91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IF(Listas!C12="","",Listas!C12)</f>
        <v>Não classificado</v>
      </c>
      <c r="B114" s="91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1</v>
      </c>
      <c r="C114" s="91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92" t="n">
        <f aca="false">IF(OR($A114="",$B114=0),"",$C114/$B114)</f>
        <v>0</v>
      </c>
      <c r="E114" s="91" t="n">
        <f aca="false">IF($A114="","",COUNTIFS(Programação!$G$5:$G$1004,$A114,Programação!$B$5:$B$1004,"VENCIDA",Programação!$O$5:$O$1004,"&gt;="&amp;$C$3,Programação!$O$5:$O$1004,"&lt;="&amp;$E$3,Programação!$V$5:$V$1004,"Interna"))</f>
        <v>1</v>
      </c>
      <c r="F114" s="91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IF(Listas!C13="","",Listas!C13)</f>
        <v/>
      </c>
      <c r="B115" s="91" t="str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/>
      </c>
      <c r="C115" s="91" t="str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/>
      </c>
      <c r="D115" s="92" t="str">
        <f aca="false">IF(OR($A115="",$B115=0),"",$C115/$B115)</f>
        <v/>
      </c>
      <c r="E115" s="91" t="str">
        <f aca="false">IF($A115="","",COUNTIFS(Programação!$G$5:$G$1004,$A115,Programação!$B$5:$B$1004,"VENCIDA",Programação!$O$5:$O$1004,"&gt;="&amp;$C$3,Programação!$O$5:$O$1004,"&lt;="&amp;$E$3,Programação!$V$5:$V$1004,"Interna"))</f>
        <v/>
      </c>
      <c r="F115" s="91" t="str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/>
      </c>
    </row>
    <row r="116" customFormat="false" ht="15.75" hidden="false" customHeight="true" outlineLevel="0" collapsed="false">
      <c r="A116" s="21" t="str">
        <f aca="false">IF(Listas!C14="","",Listas!C14)</f>
        <v/>
      </c>
      <c r="B116" s="91" t="str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/>
      </c>
      <c r="C116" s="91" t="str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/>
      </c>
      <c r="D116" s="92" t="str">
        <f aca="false">IF(OR($A116="",$B116=0),"",$C116/$B116)</f>
        <v/>
      </c>
      <c r="E116" s="91" t="str">
        <f aca="false">IF($A116="","",COUNTIFS(Programação!$G$5:$G$1004,$A116,Programação!$B$5:$B$1004,"VENCIDA",Programação!$O$5:$O$1004,"&gt;="&amp;$C$3,Programação!$O$5:$O$1004,"&lt;="&amp;$E$3,Programação!$V$5:$V$1004,"Interna"))</f>
        <v/>
      </c>
      <c r="F116" s="91" t="str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5:F105"/>
  </mergeCells>
  <conditionalFormatting sqref="B20">
    <cfRule type="cellIs" priority="2" operator="greaterThanOrEqual" aboveAverage="0" equalAverage="0" bottom="0" percent="0" rank="0" text="" dxfId="50">
      <formula>0.85</formula>
    </cfRule>
    <cfRule type="cellIs" priority="3" operator="lessThan" aboveAverage="0" equalAverage="0" bottom="0" percent="0" rank="0" text="" dxfId="51">
      <formula>0.6</formula>
    </cfRule>
  </conditionalFormatting>
  <conditionalFormatting sqref="B21">
    <cfRule type="cellIs" priority="4" operator="greaterThanOrEqual" aboveAverage="0" equalAverage="0" bottom="0" percent="0" rank="0" text="" dxfId="50">
      <formula>0.85</formula>
    </cfRule>
    <cfRule type="cellIs" priority="5" operator="lessThan" aboveAverage="0" equalAverage="0" bottom="0" percent="0" rank="0" text="" dxfId="51">
      <formula>0.6</formula>
    </cfRule>
  </conditionalFormatting>
  <conditionalFormatting sqref="B24">
    <cfRule type="cellIs" priority="6" operator="greaterThanOrEqual" aboveAverage="0" equalAverage="0" bottom="0" percent="0" rank="0" text="" dxfId="50">
      <formula>0.85</formula>
    </cfRule>
    <cfRule type="cellIs" priority="7" operator="lessThan" aboveAverage="0" equalAverage="0" bottom="0" percent="0" rank="0" text="" dxfId="51">
      <formula>0.6</formula>
    </cfRule>
  </conditionalFormatting>
  <conditionalFormatting sqref="B25">
    <cfRule type="cellIs" priority="8" operator="greaterThanOrEqual" aboveAverage="0" equalAverage="0" bottom="0" percent="0" rank="0" text="" dxfId="50">
      <formula>0.85</formula>
    </cfRule>
    <cfRule type="cellIs" priority="9" operator="lessThan" aboveAverage="0" equalAverage="0" bottom="0" percent="0" rank="0" text="" dxfId="51">
      <formula>0.6</formula>
    </cfRule>
  </conditionalFormatting>
  <conditionalFormatting sqref="B27">
    <cfRule type="cellIs" priority="10" operator="greaterThan" aboveAverage="0" equalAverage="0" bottom="0" percent="0" rank="0" text="" dxfId="52">
      <formula>0</formula>
    </cfRule>
  </conditionalFormatting>
  <conditionalFormatting sqref="B14">
    <cfRule type="cellIs" priority="11" operator="greaterThan" aboveAverage="0" equalAverage="0" bottom="0" percent="0" rank="0" text="" dxfId="53">
      <formula>0</formula>
    </cfRule>
  </conditionalFormatting>
  <conditionalFormatting sqref="B22">
    <cfRule type="cellIs" priority="12" operator="greaterThan" aboveAverage="0" equalAverage="0" bottom="0" percent="0" rank="0" text="" dxfId="53">
      <formula>0</formula>
    </cfRule>
  </conditionalFormatting>
  <conditionalFormatting sqref="A6">
    <cfRule type="cellIs" priority="13" operator="greaterThanOrEqual" aboveAverage="0" equalAverage="0" bottom="0" percent="0" rank="0" text="" dxfId="54">
      <formula>0.85</formula>
    </cfRule>
    <cfRule type="cellIs" priority="14" operator="lessThan" aboveAverage="0" equalAverage="0" bottom="0" percent="0" rank="0" text="" dxfId="55">
      <formula>0.6</formula>
    </cfRule>
  </conditionalFormatting>
  <conditionalFormatting sqref="G6">
    <cfRule type="cellIs" priority="15" operator="greaterThanOrEqual" aboveAverage="0" equalAverage="0" bottom="0" percent="0" rank="0" text="" dxfId="54">
      <formula>0.85</formula>
    </cfRule>
    <cfRule type="cellIs" priority="16" operator="lessThan" aboveAverage="0" equalAverage="0" bottom="0" percent="0" rank="0" text="" dxfId="55">
      <formula>0.6</formula>
    </cfRule>
  </conditionalFormatting>
  <conditionalFormatting sqref="F59:F75">
    <cfRule type="cellIs" priority="17" operator="greaterThan" aboveAverage="0" equalAverage="0" bottom="0" percent="0" rank="0" text="" dxfId="56">
      <formula>0</formula>
    </cfRule>
  </conditionalFormatting>
  <conditionalFormatting sqref="D59:D75">
    <cfRule type="cellIs" priority="18" operator="greaterThanOrEqual" aboveAverage="0" equalAverage="0" bottom="0" percent="0" rank="0" text="" dxfId="48">
      <formula>0.85</formula>
    </cfRule>
    <cfRule type="cellIs" priority="19" operator="lessThan" aboveAverage="0" equalAverage="0" bottom="0" percent="0" rank="0" text="" dxfId="49">
      <formula>0.6</formula>
    </cfRule>
  </conditionalFormatting>
  <conditionalFormatting sqref="E59:E75">
    <cfRule type="cellIs" priority="20" operator="greaterThan" aboveAverage="0" equalAverage="0" bottom="0" percent="0" rank="0" text="" dxfId="57">
      <formula>0</formula>
    </cfRule>
  </conditionalFormatting>
  <conditionalFormatting sqref="M59:M102">
    <cfRule type="cellIs" priority="21" operator="greaterThan" aboveAverage="0" equalAverage="0" bottom="0" percent="0" rank="0" text="" dxfId="56">
      <formula>0</formula>
    </cfRule>
  </conditionalFormatting>
  <conditionalFormatting sqref="K59:K102">
    <cfRule type="cellIs" priority="22" operator="greaterThanOrEqual" aboveAverage="0" equalAverage="0" bottom="0" percent="0" rank="0" text="" dxfId="48">
      <formula>0.85</formula>
    </cfRule>
    <cfRule type="cellIs" priority="23" operator="lessThan" aboveAverage="0" equalAverage="0" bottom="0" percent="0" rank="0" text="" dxfId="49">
      <formula>0.6</formula>
    </cfRule>
  </conditionalFormatting>
  <conditionalFormatting sqref="L59:L102">
    <cfRule type="cellIs" priority="24" operator="greaterThan" aboveAverage="0" equalAverage="0" bottom="0" percent="0" rank="0" text="" dxfId="57">
      <formula>0</formula>
    </cfRule>
  </conditionalFormatting>
  <conditionalFormatting sqref="F107:F116">
    <cfRule type="cellIs" priority="25" operator="greaterThan" aboveAverage="0" equalAverage="0" bottom="0" percent="0" rank="0" text="" dxfId="56">
      <formula>0</formula>
    </cfRule>
  </conditionalFormatting>
  <conditionalFormatting sqref="D107:D116">
    <cfRule type="cellIs" priority="26" operator="greaterThanOrEqual" aboveAverage="0" equalAverage="0" bottom="0" percent="0" rank="0" text="" dxfId="48">
      <formula>0.85</formula>
    </cfRule>
    <cfRule type="cellIs" priority="27" operator="lessThan" aboveAverage="0" equalAverage="0" bottom="0" percent="0" rank="0" text="" dxfId="49">
      <formula>0.6</formula>
    </cfRule>
  </conditionalFormatting>
  <conditionalFormatting sqref="E107:E116">
    <cfRule type="cellIs" priority="28" operator="greaterThan" aboveAverage="0" equalAverage="0" bottom="0" percent="0" rank="0" text="" dxfId="57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747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3" t="s">
        <v>748</v>
      </c>
      <c r="B2" s="83"/>
      <c r="C2" s="83"/>
      <c r="D2" s="83"/>
      <c r="E2" s="83"/>
      <c r="F2" s="83"/>
      <c r="G2" s="83"/>
      <c r="H2" s="83"/>
      <c r="I2" s="83"/>
    </row>
    <row r="3" customFormat="false" ht="24" hidden="false" customHeight="true" outlineLevel="0" collapsed="false">
      <c r="A3" s="124" t="s">
        <v>749</v>
      </c>
      <c r="B3" s="124"/>
      <c r="C3" s="124" t="s">
        <v>750</v>
      </c>
      <c r="D3" s="124" t="s">
        <v>751</v>
      </c>
      <c r="E3" s="124" t="s">
        <v>752</v>
      </c>
      <c r="F3" s="124"/>
      <c r="G3" s="124" t="s">
        <v>753</v>
      </c>
      <c r="H3" s="124"/>
      <c r="I3" s="124" t="s">
        <v>754</v>
      </c>
    </row>
    <row r="4" customFormat="false" ht="30" hidden="false" customHeight="true" outlineLevel="0" collapsed="false">
      <c r="A4" s="125" t="n">
        <f aca="false">COUNTIFS($A$9:$A$308,"&lt;&gt;")</f>
        <v>1</v>
      </c>
      <c r="B4" s="125"/>
      <c r="C4" s="126" t="n">
        <f aca="false">COUNTIFS($A$9:$A$308,"&lt;&gt;",$E$9:$E$308,"&lt;&gt;")</f>
        <v>0</v>
      </c>
      <c r="D4" s="126" t="n">
        <f aca="false">COUNTIFS($A$9:$A$308,"&lt;&gt;",$E$9:$E$308,"&lt;&gt;")-COUNTIFS($A$9:$A$308,"&lt;&gt;",$F$9:$F$308,"&gt;0")</f>
        <v>0</v>
      </c>
      <c r="E4" s="127" t="str">
        <f aca="false">IF($C$4=0,"",$D$4/$C$4)</f>
        <v/>
      </c>
      <c r="F4" s="127"/>
      <c r="G4" s="128" t="str">
        <f aca="false">IF(COUNTIFS($A$9:$A$308,"&lt;&gt;",$F$9:$F$308,"&gt;0")=0,"",SUMIFS($F$9:$F$308,$A$9:$A$308,"&lt;&gt;")/COUNTIFS($A$9:$A$308,"&lt;&gt;",$F$9:$F$308,"&gt;0"))</f>
        <v/>
      </c>
      <c r="H4" s="128"/>
      <c r="I4" s="129" t="n">
        <f aca="false">SUMIFS($F$9:$F$308,$A$9:$A$308,"&lt;&gt;")</f>
        <v>0</v>
      </c>
    </row>
    <row r="6" customFormat="false" ht="18" hidden="false" customHeight="true" outlineLevel="0" collapsed="false">
      <c r="A6" s="130" t="s">
        <v>755</v>
      </c>
      <c r="B6" s="130"/>
      <c r="C6" s="130"/>
      <c r="D6" s="130"/>
      <c r="E6" s="130"/>
      <c r="F6" s="130"/>
      <c r="G6" s="130"/>
      <c r="H6" s="130"/>
      <c r="I6" s="130"/>
    </row>
    <row r="8" customFormat="false" ht="25.5" hidden="false" customHeight="true" outlineLevel="0" collapsed="false">
      <c r="A8" s="131" t="s">
        <v>14</v>
      </c>
      <c r="B8" s="131" t="s">
        <v>756</v>
      </c>
      <c r="C8" s="131" t="s">
        <v>757</v>
      </c>
      <c r="D8" s="131" t="s">
        <v>758</v>
      </c>
      <c r="E8" s="131" t="s">
        <v>759</v>
      </c>
      <c r="F8" s="131" t="s">
        <v>213</v>
      </c>
      <c r="G8" s="131" t="s">
        <v>20</v>
      </c>
      <c r="H8" s="131" t="s">
        <v>760</v>
      </c>
      <c r="I8" s="131" t="s">
        <v>761</v>
      </c>
    </row>
    <row r="9" customFormat="false" ht="21" hidden="false" customHeight="true" outlineLevel="0" collapsed="false">
      <c r="A9" s="132" t="s">
        <v>144</v>
      </c>
      <c r="B9" s="133" t="s">
        <v>762</v>
      </c>
      <c r="C9" s="134" t="n">
        <v>46267</v>
      </c>
      <c r="D9" s="134" t="n">
        <v>46268</v>
      </c>
      <c r="E9" s="134"/>
      <c r="F9" s="132" t="str">
        <f aca="false">IF(OR($A9="",$D9="",$E9=""),"",MAX(0,$E9-$D9))</f>
        <v/>
      </c>
      <c r="G9" s="132" t="str">
        <f aca="false">IF($A9="","",IF($E9&lt;&gt;"",IF(N($F9)&gt;0,"Entregue com atraso","Entregue no prazo"),IF($D9="","Sem data prometida",IF($D9&lt;Hoje!$L$1,"ATRASADA","Aguardando"))))</f>
        <v>Aguardando</v>
      </c>
      <c r="H9" s="133" t="s">
        <v>763</v>
      </c>
      <c r="I9" s="133"/>
    </row>
    <row r="10" customFormat="false" ht="21" hidden="false" customHeight="true" outlineLevel="0" collapsed="false">
      <c r="A10" s="132"/>
      <c r="B10" s="133"/>
      <c r="C10" s="134"/>
      <c r="D10" s="134"/>
      <c r="E10" s="134"/>
      <c r="F10" s="132" t="str">
        <f aca="false">IF(OR($A10="",$D10="",$E10=""),"",MAX(0,$E10-$D10))</f>
        <v/>
      </c>
      <c r="G10" s="132" t="str">
        <f aca="false">IF($A10="","",IF($E10&lt;&gt;"",IF(N($F10)&gt;0,"Entregue com atraso","Entregue no prazo"),IF($D10="","Sem data prometida",IF($D10&lt;Hoje!$L$1,"ATRASADA","Aguardando"))))</f>
        <v/>
      </c>
      <c r="H10" s="133"/>
      <c r="I10" s="133"/>
    </row>
    <row r="11" customFormat="false" ht="21" hidden="false" customHeight="true" outlineLevel="0" collapsed="false">
      <c r="A11" s="132"/>
      <c r="B11" s="133"/>
      <c r="C11" s="134"/>
      <c r="D11" s="134"/>
      <c r="E11" s="134"/>
      <c r="F11" s="132" t="str">
        <f aca="false">IF(OR($A11="",$D11="",$E11=""),"",MAX(0,$E11-$D11))</f>
        <v/>
      </c>
      <c r="G11" s="132" t="str">
        <f aca="false">IF($A11="","",IF($E11&lt;&gt;"",IF(N($F11)&gt;0,"Entregue com atraso","Entregue no prazo"),IF($D11="","Sem data prometida",IF($D11&lt;Hoje!$L$1,"ATRASADA","Aguardando"))))</f>
        <v/>
      </c>
      <c r="H11" s="133"/>
      <c r="I11" s="133"/>
    </row>
    <row r="12" customFormat="false" ht="21" hidden="false" customHeight="true" outlineLevel="0" collapsed="false">
      <c r="A12" s="132"/>
      <c r="B12" s="133"/>
      <c r="C12" s="134"/>
      <c r="D12" s="134"/>
      <c r="E12" s="134"/>
      <c r="F12" s="132" t="str">
        <f aca="false">IF(OR($A12="",$D12="",$E12=""),"",MAX(0,$E12-$D12))</f>
        <v/>
      </c>
      <c r="G12" s="132" t="str">
        <f aca="false">IF($A12="","",IF($E12&lt;&gt;"",IF(N($F12)&gt;0,"Entregue com atraso","Entregue no prazo"),IF($D12="","Sem data prometida",IF($D12&lt;Hoje!$L$1,"ATRASADA","Aguardando"))))</f>
        <v/>
      </c>
      <c r="H12" s="133"/>
      <c r="I12" s="133"/>
    </row>
    <row r="13" customFormat="false" ht="21" hidden="false" customHeight="true" outlineLevel="0" collapsed="false">
      <c r="A13" s="132"/>
      <c r="B13" s="133"/>
      <c r="C13" s="134"/>
      <c r="D13" s="134"/>
      <c r="E13" s="134"/>
      <c r="F13" s="132" t="str">
        <f aca="false">IF(OR($A13="",$D13="",$E13=""),"",MAX(0,$E13-$D13))</f>
        <v/>
      </c>
      <c r="G13" s="132" t="str">
        <f aca="false">IF($A13="","",IF($E13&lt;&gt;"",IF(N($F13)&gt;0,"Entregue com atraso","Entregue no prazo"),IF($D13="","Sem data prometida",IF($D13&lt;Hoje!$L$1,"ATRASADA","Aguardando"))))</f>
        <v/>
      </c>
      <c r="H13" s="133"/>
      <c r="I13" s="133"/>
    </row>
    <row r="14" customFormat="false" ht="21" hidden="false" customHeight="true" outlineLevel="0" collapsed="false">
      <c r="A14" s="132"/>
      <c r="B14" s="133"/>
      <c r="C14" s="134"/>
      <c r="D14" s="134"/>
      <c r="E14" s="134"/>
      <c r="F14" s="132" t="str">
        <f aca="false">IF(OR($A14="",$D14="",$E14=""),"",MAX(0,$E14-$D14))</f>
        <v/>
      </c>
      <c r="G14" s="132" t="str">
        <f aca="false">IF($A14="","",IF($E14&lt;&gt;"",IF(N($F14)&gt;0,"Entregue com atraso","Entregue no prazo"),IF($D14="","Sem data prometida",IF($D14&lt;Hoje!$L$1,"ATRASADA","Aguardando"))))</f>
        <v/>
      </c>
      <c r="H14" s="133"/>
      <c r="I14" s="133"/>
    </row>
    <row r="15" customFormat="false" ht="21" hidden="false" customHeight="true" outlineLevel="0" collapsed="false">
      <c r="A15" s="132"/>
      <c r="B15" s="133"/>
      <c r="C15" s="134"/>
      <c r="D15" s="134"/>
      <c r="E15" s="134"/>
      <c r="F15" s="132" t="str">
        <f aca="false">IF(OR($A15="",$D15="",$E15=""),"",MAX(0,$E15-$D15))</f>
        <v/>
      </c>
      <c r="G15" s="132" t="str">
        <f aca="false">IF($A15="","",IF($E15&lt;&gt;"",IF(N($F15)&gt;0,"Entregue com atraso","Entregue no prazo"),IF($D15="","Sem data prometida",IF($D15&lt;Hoje!$L$1,"ATRASADA","Aguardando"))))</f>
        <v/>
      </c>
      <c r="H15" s="133"/>
      <c r="I15" s="133"/>
    </row>
    <row r="16" customFormat="false" ht="21" hidden="false" customHeight="true" outlineLevel="0" collapsed="false">
      <c r="A16" s="132"/>
      <c r="B16" s="133"/>
      <c r="C16" s="134"/>
      <c r="D16" s="134"/>
      <c r="E16" s="134"/>
      <c r="F16" s="132" t="str">
        <f aca="false">IF(OR($A16="",$D16="",$E16=""),"",MAX(0,$E16-$D16))</f>
        <v/>
      </c>
      <c r="G16" s="132" t="str">
        <f aca="false">IF($A16="","",IF($E16&lt;&gt;"",IF(N($F16)&gt;0,"Entregue com atraso","Entregue no prazo"),IF($D16="","Sem data prometida",IF($D16&lt;Hoje!$L$1,"ATRASADA","Aguardando"))))</f>
        <v/>
      </c>
      <c r="H16" s="133"/>
      <c r="I16" s="133"/>
    </row>
    <row r="17" customFormat="false" ht="21" hidden="false" customHeight="true" outlineLevel="0" collapsed="false">
      <c r="A17" s="132"/>
      <c r="B17" s="133"/>
      <c r="C17" s="134"/>
      <c r="D17" s="134"/>
      <c r="E17" s="134"/>
      <c r="F17" s="132" t="str">
        <f aca="false">IF(OR($A17="",$D17="",$E17=""),"",MAX(0,$E17-$D17))</f>
        <v/>
      </c>
      <c r="G17" s="132" t="str">
        <f aca="false">IF($A17="","",IF($E17&lt;&gt;"",IF(N($F17)&gt;0,"Entregue com atraso","Entregue no prazo"),IF($D17="","Sem data prometida",IF($D17&lt;Hoje!$L$1,"ATRASADA","Aguardando"))))</f>
        <v/>
      </c>
      <c r="H17" s="133"/>
      <c r="I17" s="133"/>
    </row>
    <row r="18" customFormat="false" ht="21" hidden="false" customHeight="true" outlineLevel="0" collapsed="false">
      <c r="A18" s="132"/>
      <c r="B18" s="133"/>
      <c r="C18" s="134"/>
      <c r="D18" s="134"/>
      <c r="E18" s="134"/>
      <c r="F18" s="132" t="str">
        <f aca="false">IF(OR($A18="",$D18="",$E18=""),"",MAX(0,$E18-$D18))</f>
        <v/>
      </c>
      <c r="G18" s="132" t="str">
        <f aca="false">IF($A18="","",IF($E18&lt;&gt;"",IF(N($F18)&gt;0,"Entregue com atraso","Entregue no prazo"),IF($D18="","Sem data prometida",IF($D18&lt;Hoje!$L$1,"ATRASADA","Aguardando"))))</f>
        <v/>
      </c>
      <c r="H18" s="133"/>
      <c r="I18" s="133"/>
    </row>
    <row r="19" customFormat="false" ht="21" hidden="false" customHeight="true" outlineLevel="0" collapsed="false">
      <c r="A19" s="132"/>
      <c r="B19" s="133"/>
      <c r="C19" s="134"/>
      <c r="D19" s="134"/>
      <c r="E19" s="134"/>
      <c r="F19" s="132" t="str">
        <f aca="false">IF(OR($A19="",$D19="",$E19=""),"",MAX(0,$E19-$D19))</f>
        <v/>
      </c>
      <c r="G19" s="132" t="str">
        <f aca="false">IF($A19="","",IF($E19&lt;&gt;"",IF(N($F19)&gt;0,"Entregue com atraso","Entregue no prazo"),IF($D19="","Sem data prometida",IF($D19&lt;Hoje!$L$1,"ATRASADA","Aguardando"))))</f>
        <v/>
      </c>
      <c r="H19" s="133"/>
      <c r="I19" s="133"/>
    </row>
    <row r="20" customFormat="false" ht="21" hidden="false" customHeight="true" outlineLevel="0" collapsed="false">
      <c r="A20" s="132"/>
      <c r="B20" s="133"/>
      <c r="C20" s="134"/>
      <c r="D20" s="134"/>
      <c r="E20" s="134"/>
      <c r="F20" s="132" t="str">
        <f aca="false">IF(OR($A20="",$D20="",$E20=""),"",MAX(0,$E20-$D20))</f>
        <v/>
      </c>
      <c r="G20" s="132" t="str">
        <f aca="false">IF($A20="","",IF($E20&lt;&gt;"",IF(N($F20)&gt;0,"Entregue com atraso","Entregue no prazo"),IF($D20="","Sem data prometida",IF($D20&lt;Hoje!$L$1,"ATRASADA","Aguardando"))))</f>
        <v/>
      </c>
      <c r="H20" s="133"/>
      <c r="I20" s="133"/>
    </row>
    <row r="21" customFormat="false" ht="21" hidden="false" customHeight="true" outlineLevel="0" collapsed="false">
      <c r="A21" s="132"/>
      <c r="B21" s="133"/>
      <c r="C21" s="134"/>
      <c r="D21" s="134"/>
      <c r="E21" s="134"/>
      <c r="F21" s="132" t="str">
        <f aca="false">IF(OR($A21="",$D21="",$E21=""),"",MAX(0,$E21-$D21))</f>
        <v/>
      </c>
      <c r="G21" s="132" t="str">
        <f aca="false">IF($A21="","",IF($E21&lt;&gt;"",IF(N($F21)&gt;0,"Entregue com atraso","Entregue no prazo"),IF($D21="","Sem data prometida",IF($D21&lt;Hoje!$L$1,"ATRASADA","Aguardando"))))</f>
        <v/>
      </c>
      <c r="H21" s="133"/>
      <c r="I21" s="133"/>
    </row>
    <row r="22" customFormat="false" ht="21" hidden="false" customHeight="true" outlineLevel="0" collapsed="false">
      <c r="A22" s="132"/>
      <c r="B22" s="133"/>
      <c r="C22" s="134"/>
      <c r="D22" s="134"/>
      <c r="E22" s="134"/>
      <c r="F22" s="132" t="str">
        <f aca="false">IF(OR($A22="",$D22="",$E22=""),"",MAX(0,$E22-$D22))</f>
        <v/>
      </c>
      <c r="G22" s="132" t="str">
        <f aca="false">IF($A22="","",IF($E22&lt;&gt;"",IF(N($F22)&gt;0,"Entregue com atraso","Entregue no prazo"),IF($D22="","Sem data prometida",IF($D22&lt;Hoje!$L$1,"ATRASADA","Aguardando"))))</f>
        <v/>
      </c>
      <c r="H22" s="133"/>
      <c r="I22" s="133"/>
    </row>
    <row r="23" customFormat="false" ht="21" hidden="false" customHeight="true" outlineLevel="0" collapsed="false">
      <c r="A23" s="132"/>
      <c r="B23" s="133"/>
      <c r="C23" s="134"/>
      <c r="D23" s="134"/>
      <c r="E23" s="134"/>
      <c r="F23" s="132" t="str">
        <f aca="false">IF(OR($A23="",$D23="",$E23=""),"",MAX(0,$E23-$D23))</f>
        <v/>
      </c>
      <c r="G23" s="132" t="str">
        <f aca="false">IF($A23="","",IF($E23&lt;&gt;"",IF(N($F23)&gt;0,"Entregue com atraso","Entregue no prazo"),IF($D23="","Sem data prometida",IF($D23&lt;Hoje!$L$1,"ATRASADA","Aguardando"))))</f>
        <v/>
      </c>
      <c r="H23" s="133"/>
      <c r="I23" s="133"/>
    </row>
    <row r="24" customFormat="false" ht="21" hidden="false" customHeight="true" outlineLevel="0" collapsed="false">
      <c r="A24" s="132"/>
      <c r="B24" s="133"/>
      <c r="C24" s="134"/>
      <c r="D24" s="134"/>
      <c r="E24" s="134"/>
      <c r="F24" s="132" t="str">
        <f aca="false">IF(OR($A24="",$D24="",$E24=""),"",MAX(0,$E24-$D24))</f>
        <v/>
      </c>
      <c r="G24" s="132" t="str">
        <f aca="false">IF($A24="","",IF($E24&lt;&gt;"",IF(N($F24)&gt;0,"Entregue com atraso","Entregue no prazo"),IF($D24="","Sem data prometida",IF($D24&lt;Hoje!$L$1,"ATRASADA","Aguardando"))))</f>
        <v/>
      </c>
      <c r="H24" s="133"/>
      <c r="I24" s="133"/>
    </row>
    <row r="25" customFormat="false" ht="21" hidden="false" customHeight="true" outlineLevel="0" collapsed="false">
      <c r="A25" s="132"/>
      <c r="B25" s="133"/>
      <c r="C25" s="134"/>
      <c r="D25" s="134"/>
      <c r="E25" s="134"/>
      <c r="F25" s="132" t="str">
        <f aca="false">IF(OR($A25="",$D25="",$E25=""),"",MAX(0,$E25-$D25))</f>
        <v/>
      </c>
      <c r="G25" s="132" t="str">
        <f aca="false">IF($A25="","",IF($E25&lt;&gt;"",IF(N($F25)&gt;0,"Entregue com atraso","Entregue no prazo"),IF($D25="","Sem data prometida",IF($D25&lt;Hoje!$L$1,"ATRASADA","Aguardando"))))</f>
        <v/>
      </c>
      <c r="H25" s="133"/>
      <c r="I25" s="133"/>
    </row>
    <row r="26" customFormat="false" ht="21" hidden="false" customHeight="true" outlineLevel="0" collapsed="false">
      <c r="A26" s="132"/>
      <c r="B26" s="133"/>
      <c r="C26" s="134"/>
      <c r="D26" s="134"/>
      <c r="E26" s="134"/>
      <c r="F26" s="132" t="str">
        <f aca="false">IF(OR($A26="",$D26="",$E26=""),"",MAX(0,$E26-$D26))</f>
        <v/>
      </c>
      <c r="G26" s="132" t="str">
        <f aca="false">IF($A26="","",IF($E26&lt;&gt;"",IF(N($F26)&gt;0,"Entregue com atraso","Entregue no prazo"),IF($D26="","Sem data prometida",IF($D26&lt;Hoje!$L$1,"ATRASADA","Aguardando"))))</f>
        <v/>
      </c>
      <c r="H26" s="133"/>
      <c r="I26" s="133"/>
    </row>
    <row r="27" customFormat="false" ht="21" hidden="false" customHeight="true" outlineLevel="0" collapsed="false">
      <c r="A27" s="132"/>
      <c r="B27" s="133"/>
      <c r="C27" s="134"/>
      <c r="D27" s="134"/>
      <c r="E27" s="134"/>
      <c r="F27" s="132" t="str">
        <f aca="false">IF(OR($A27="",$D27="",$E27=""),"",MAX(0,$E27-$D27))</f>
        <v/>
      </c>
      <c r="G27" s="132" t="str">
        <f aca="false">IF($A27="","",IF($E27&lt;&gt;"",IF(N($F27)&gt;0,"Entregue com atraso","Entregue no prazo"),IF($D27="","Sem data prometida",IF($D27&lt;Hoje!$L$1,"ATRASADA","Aguardando"))))</f>
        <v/>
      </c>
      <c r="H27" s="133"/>
      <c r="I27" s="133"/>
    </row>
    <row r="28" customFormat="false" ht="21" hidden="false" customHeight="true" outlineLevel="0" collapsed="false">
      <c r="A28" s="132"/>
      <c r="B28" s="133"/>
      <c r="C28" s="134"/>
      <c r="D28" s="134"/>
      <c r="E28" s="134"/>
      <c r="F28" s="132" t="str">
        <f aca="false">IF(OR($A28="",$D28="",$E28=""),"",MAX(0,$E28-$D28))</f>
        <v/>
      </c>
      <c r="G28" s="132" t="str">
        <f aca="false">IF($A28="","",IF($E28&lt;&gt;"",IF(N($F28)&gt;0,"Entregue com atraso","Entregue no prazo"),IF($D28="","Sem data prometida",IF($D28&lt;Hoje!$L$1,"ATRASADA","Aguardando"))))</f>
        <v/>
      </c>
      <c r="H28" s="133"/>
      <c r="I28" s="133"/>
    </row>
    <row r="29" customFormat="false" ht="21" hidden="false" customHeight="true" outlineLevel="0" collapsed="false">
      <c r="A29" s="132"/>
      <c r="B29" s="133"/>
      <c r="C29" s="134"/>
      <c r="D29" s="134"/>
      <c r="E29" s="134"/>
      <c r="F29" s="132" t="str">
        <f aca="false">IF(OR($A29="",$D29="",$E29=""),"",MAX(0,$E29-$D29))</f>
        <v/>
      </c>
      <c r="G29" s="132" t="str">
        <f aca="false">IF($A29="","",IF($E29&lt;&gt;"",IF(N($F29)&gt;0,"Entregue com atraso","Entregue no prazo"),IF($D29="","Sem data prometida",IF($D29&lt;Hoje!$L$1,"ATRASADA","Aguardando"))))</f>
        <v/>
      </c>
      <c r="H29" s="133"/>
      <c r="I29" s="133"/>
    </row>
    <row r="30" customFormat="false" ht="21" hidden="false" customHeight="true" outlineLevel="0" collapsed="false">
      <c r="A30" s="132"/>
      <c r="B30" s="133"/>
      <c r="C30" s="134"/>
      <c r="D30" s="134"/>
      <c r="E30" s="134"/>
      <c r="F30" s="132" t="str">
        <f aca="false">IF(OR($A30="",$D30="",$E30=""),"",MAX(0,$E30-$D30))</f>
        <v/>
      </c>
      <c r="G30" s="132" t="str">
        <f aca="false">IF($A30="","",IF($E30&lt;&gt;"",IF(N($F30)&gt;0,"Entregue com atraso","Entregue no prazo"),IF($D30="","Sem data prometida",IF($D30&lt;Hoje!$L$1,"ATRASADA","Aguardando"))))</f>
        <v/>
      </c>
      <c r="H30" s="133"/>
      <c r="I30" s="133"/>
    </row>
    <row r="31" customFormat="false" ht="21" hidden="false" customHeight="true" outlineLevel="0" collapsed="false">
      <c r="A31" s="132"/>
      <c r="B31" s="133"/>
      <c r="C31" s="134"/>
      <c r="D31" s="134"/>
      <c r="E31" s="134"/>
      <c r="F31" s="132" t="str">
        <f aca="false">IF(OR($A31="",$D31="",$E31=""),"",MAX(0,$E31-$D31))</f>
        <v/>
      </c>
      <c r="G31" s="132" t="str">
        <f aca="false">IF($A31="","",IF($E31&lt;&gt;"",IF(N($F31)&gt;0,"Entregue com atraso","Entregue no prazo"),IF($D31="","Sem data prometida",IF($D31&lt;Hoje!$L$1,"ATRASADA","Aguardando"))))</f>
        <v/>
      </c>
      <c r="H31" s="133"/>
      <c r="I31" s="133"/>
    </row>
    <row r="32" customFormat="false" ht="21" hidden="false" customHeight="true" outlineLevel="0" collapsed="false">
      <c r="A32" s="132"/>
      <c r="B32" s="133"/>
      <c r="C32" s="134"/>
      <c r="D32" s="134"/>
      <c r="E32" s="134"/>
      <c r="F32" s="132" t="str">
        <f aca="false">IF(OR($A32="",$D32="",$E32=""),"",MAX(0,$E32-$D32))</f>
        <v/>
      </c>
      <c r="G32" s="132" t="str">
        <f aca="false">IF($A32="","",IF($E32&lt;&gt;"",IF(N($F32)&gt;0,"Entregue com atraso","Entregue no prazo"),IF($D32="","Sem data prometida",IF($D32&lt;Hoje!$L$1,"ATRASADA","Aguardando"))))</f>
        <v/>
      </c>
      <c r="H32" s="133"/>
      <c r="I32" s="133"/>
    </row>
    <row r="33" customFormat="false" ht="21" hidden="false" customHeight="true" outlineLevel="0" collapsed="false">
      <c r="A33" s="132"/>
      <c r="B33" s="133"/>
      <c r="C33" s="134"/>
      <c r="D33" s="134"/>
      <c r="E33" s="134"/>
      <c r="F33" s="132" t="str">
        <f aca="false">IF(OR($A33="",$D33="",$E33=""),"",MAX(0,$E33-$D33))</f>
        <v/>
      </c>
      <c r="G33" s="132" t="str">
        <f aca="false">IF($A33="","",IF($E33&lt;&gt;"",IF(N($F33)&gt;0,"Entregue com atraso","Entregue no prazo"),IF($D33="","Sem data prometida",IF($D33&lt;Hoje!$L$1,"ATRASADA","Aguardando"))))</f>
        <v/>
      </c>
      <c r="H33" s="133"/>
      <c r="I33" s="133"/>
    </row>
    <row r="34" customFormat="false" ht="21" hidden="false" customHeight="true" outlineLevel="0" collapsed="false">
      <c r="A34" s="132"/>
      <c r="B34" s="133"/>
      <c r="C34" s="134"/>
      <c r="D34" s="134"/>
      <c r="E34" s="134"/>
      <c r="F34" s="132" t="str">
        <f aca="false">IF(OR($A34="",$D34="",$E34=""),"",MAX(0,$E34-$D34))</f>
        <v/>
      </c>
      <c r="G34" s="132" t="str">
        <f aca="false">IF($A34="","",IF($E34&lt;&gt;"",IF(N($F34)&gt;0,"Entregue com atraso","Entregue no prazo"),IF($D34="","Sem data prometida",IF($D34&lt;Hoje!$L$1,"ATRASADA","Aguardando"))))</f>
        <v/>
      </c>
      <c r="H34" s="133"/>
      <c r="I34" s="133"/>
    </row>
    <row r="35" customFormat="false" ht="21" hidden="false" customHeight="true" outlineLevel="0" collapsed="false">
      <c r="A35" s="132"/>
      <c r="B35" s="133"/>
      <c r="C35" s="134"/>
      <c r="D35" s="134"/>
      <c r="E35" s="134"/>
      <c r="F35" s="132" t="str">
        <f aca="false">IF(OR($A35="",$D35="",$E35=""),"",MAX(0,$E35-$D35))</f>
        <v/>
      </c>
      <c r="G35" s="132" t="str">
        <f aca="false">IF($A35="","",IF($E35&lt;&gt;"",IF(N($F35)&gt;0,"Entregue com atraso","Entregue no prazo"),IF($D35="","Sem data prometida",IF($D35&lt;Hoje!$L$1,"ATRASADA","Aguardando"))))</f>
        <v/>
      </c>
      <c r="H35" s="133"/>
      <c r="I35" s="133"/>
    </row>
    <row r="36" customFormat="false" ht="21" hidden="false" customHeight="true" outlineLevel="0" collapsed="false">
      <c r="A36" s="132"/>
      <c r="B36" s="133"/>
      <c r="C36" s="134"/>
      <c r="D36" s="134"/>
      <c r="E36" s="134"/>
      <c r="F36" s="132" t="str">
        <f aca="false">IF(OR($A36="",$D36="",$E36=""),"",MAX(0,$E36-$D36))</f>
        <v/>
      </c>
      <c r="G36" s="132" t="str">
        <f aca="false">IF($A36="","",IF($E36&lt;&gt;"",IF(N($F36)&gt;0,"Entregue com atraso","Entregue no prazo"),IF($D36="","Sem data prometida",IF($D36&lt;Hoje!$L$1,"ATRASADA","Aguardando"))))</f>
        <v/>
      </c>
      <c r="H36" s="133"/>
      <c r="I36" s="133"/>
    </row>
    <row r="37" customFormat="false" ht="21" hidden="false" customHeight="true" outlineLevel="0" collapsed="false">
      <c r="A37" s="132"/>
      <c r="B37" s="133"/>
      <c r="C37" s="134"/>
      <c r="D37" s="134"/>
      <c r="E37" s="134"/>
      <c r="F37" s="132" t="str">
        <f aca="false">IF(OR($A37="",$D37="",$E37=""),"",MAX(0,$E37-$D37))</f>
        <v/>
      </c>
      <c r="G37" s="132" t="str">
        <f aca="false">IF($A37="","",IF($E37&lt;&gt;"",IF(N($F37)&gt;0,"Entregue com atraso","Entregue no prazo"),IF($D37="","Sem data prometida",IF($D37&lt;Hoje!$L$1,"ATRASADA","Aguardando"))))</f>
        <v/>
      </c>
      <c r="H37" s="133"/>
      <c r="I37" s="133"/>
    </row>
    <row r="38" customFormat="false" ht="21" hidden="false" customHeight="true" outlineLevel="0" collapsed="false">
      <c r="A38" s="132"/>
      <c r="B38" s="133"/>
      <c r="C38" s="134"/>
      <c r="D38" s="134"/>
      <c r="E38" s="134"/>
      <c r="F38" s="132" t="str">
        <f aca="false">IF(OR($A38="",$D38="",$E38=""),"",MAX(0,$E38-$D38))</f>
        <v/>
      </c>
      <c r="G38" s="132" t="str">
        <f aca="false">IF($A38="","",IF($E38&lt;&gt;"",IF(N($F38)&gt;0,"Entregue com atraso","Entregue no prazo"),IF($D38="","Sem data prometida",IF($D38&lt;Hoje!$L$1,"ATRASADA","Aguardando"))))</f>
        <v/>
      </c>
      <c r="H38" s="133"/>
      <c r="I38" s="133"/>
    </row>
    <row r="39" customFormat="false" ht="21" hidden="false" customHeight="true" outlineLevel="0" collapsed="false">
      <c r="A39" s="132"/>
      <c r="B39" s="133"/>
      <c r="C39" s="134"/>
      <c r="D39" s="134"/>
      <c r="E39" s="134"/>
      <c r="F39" s="132" t="str">
        <f aca="false">IF(OR($A39="",$D39="",$E39=""),"",MAX(0,$E39-$D39))</f>
        <v/>
      </c>
      <c r="G39" s="132" t="str">
        <f aca="false">IF($A39="","",IF($E39&lt;&gt;"",IF(N($F39)&gt;0,"Entregue com atraso","Entregue no prazo"),IF($D39="","Sem data prometida",IF($D39&lt;Hoje!$L$1,"ATRASADA","Aguardando"))))</f>
        <v/>
      </c>
      <c r="H39" s="133"/>
      <c r="I39" s="133"/>
    </row>
    <row r="40" customFormat="false" ht="21" hidden="false" customHeight="true" outlineLevel="0" collapsed="false">
      <c r="A40" s="132"/>
      <c r="B40" s="133"/>
      <c r="C40" s="134"/>
      <c r="D40" s="134"/>
      <c r="E40" s="134"/>
      <c r="F40" s="132" t="str">
        <f aca="false">IF(OR($A40="",$D40="",$E40=""),"",MAX(0,$E40-$D40))</f>
        <v/>
      </c>
      <c r="G40" s="132" t="str">
        <f aca="false">IF($A40="","",IF($E40&lt;&gt;"",IF(N($F40)&gt;0,"Entregue com atraso","Entregue no prazo"),IF($D40="","Sem data prometida",IF($D40&lt;Hoje!$L$1,"ATRASADA","Aguardando"))))</f>
        <v/>
      </c>
      <c r="H40" s="133"/>
      <c r="I40" s="133"/>
    </row>
    <row r="41" customFormat="false" ht="21" hidden="false" customHeight="true" outlineLevel="0" collapsed="false">
      <c r="A41" s="132"/>
      <c r="B41" s="133"/>
      <c r="C41" s="134"/>
      <c r="D41" s="134"/>
      <c r="E41" s="134"/>
      <c r="F41" s="132" t="str">
        <f aca="false">IF(OR($A41="",$D41="",$E41=""),"",MAX(0,$E41-$D41))</f>
        <v/>
      </c>
      <c r="G41" s="132" t="str">
        <f aca="false">IF($A41="","",IF($E41&lt;&gt;"",IF(N($F41)&gt;0,"Entregue com atraso","Entregue no prazo"),IF($D41="","Sem data prometida",IF($D41&lt;Hoje!$L$1,"ATRASADA","Aguardando"))))</f>
        <v/>
      </c>
      <c r="H41" s="133"/>
      <c r="I41" s="133"/>
    </row>
    <row r="42" customFormat="false" ht="21" hidden="false" customHeight="true" outlineLevel="0" collapsed="false">
      <c r="A42" s="132"/>
      <c r="B42" s="133"/>
      <c r="C42" s="134"/>
      <c r="D42" s="134"/>
      <c r="E42" s="134"/>
      <c r="F42" s="132" t="str">
        <f aca="false">IF(OR($A42="",$D42="",$E42=""),"",MAX(0,$E42-$D42))</f>
        <v/>
      </c>
      <c r="G42" s="132" t="str">
        <f aca="false">IF($A42="","",IF($E42&lt;&gt;"",IF(N($F42)&gt;0,"Entregue com atraso","Entregue no prazo"),IF($D42="","Sem data prometida",IF($D42&lt;Hoje!$L$1,"ATRASADA","Aguardando"))))</f>
        <v/>
      </c>
      <c r="H42" s="133"/>
      <c r="I42" s="133"/>
    </row>
    <row r="43" customFormat="false" ht="21" hidden="false" customHeight="true" outlineLevel="0" collapsed="false">
      <c r="A43" s="132"/>
      <c r="B43" s="133"/>
      <c r="C43" s="134"/>
      <c r="D43" s="134"/>
      <c r="E43" s="134"/>
      <c r="F43" s="132" t="str">
        <f aca="false">IF(OR($A43="",$D43="",$E43=""),"",MAX(0,$E43-$D43))</f>
        <v/>
      </c>
      <c r="G43" s="132" t="str">
        <f aca="false">IF($A43="","",IF($E43&lt;&gt;"",IF(N($F43)&gt;0,"Entregue com atraso","Entregue no prazo"),IF($D43="","Sem data prometida",IF($D43&lt;Hoje!$L$1,"ATRASADA","Aguardando"))))</f>
        <v/>
      </c>
      <c r="H43" s="133"/>
      <c r="I43" s="133"/>
    </row>
    <row r="44" customFormat="false" ht="21" hidden="false" customHeight="true" outlineLevel="0" collapsed="false">
      <c r="A44" s="132"/>
      <c r="B44" s="133"/>
      <c r="C44" s="134"/>
      <c r="D44" s="134"/>
      <c r="E44" s="134"/>
      <c r="F44" s="132" t="str">
        <f aca="false">IF(OR($A44="",$D44="",$E44=""),"",MAX(0,$E44-$D44))</f>
        <v/>
      </c>
      <c r="G44" s="132" t="str">
        <f aca="false">IF($A44="","",IF($E44&lt;&gt;"",IF(N($F44)&gt;0,"Entregue com atraso","Entregue no prazo"),IF($D44="","Sem data prometida",IF($D44&lt;Hoje!$L$1,"ATRASADA","Aguardando"))))</f>
        <v/>
      </c>
      <c r="H44" s="133"/>
      <c r="I44" s="133"/>
    </row>
    <row r="45" customFormat="false" ht="21" hidden="false" customHeight="true" outlineLevel="0" collapsed="false">
      <c r="A45" s="132"/>
      <c r="B45" s="133"/>
      <c r="C45" s="134"/>
      <c r="D45" s="134"/>
      <c r="E45" s="134"/>
      <c r="F45" s="132" t="str">
        <f aca="false">IF(OR($A45="",$D45="",$E45=""),"",MAX(0,$E45-$D45))</f>
        <v/>
      </c>
      <c r="G45" s="132" t="str">
        <f aca="false">IF($A45="","",IF($E45&lt;&gt;"",IF(N($F45)&gt;0,"Entregue com atraso","Entregue no prazo"),IF($D45="","Sem data prometida",IF($D45&lt;Hoje!$L$1,"ATRASADA","Aguardando"))))</f>
        <v/>
      </c>
      <c r="H45" s="133"/>
      <c r="I45" s="133"/>
    </row>
    <row r="46" customFormat="false" ht="21" hidden="false" customHeight="true" outlineLevel="0" collapsed="false">
      <c r="A46" s="132"/>
      <c r="B46" s="133"/>
      <c r="C46" s="134"/>
      <c r="D46" s="134"/>
      <c r="E46" s="134"/>
      <c r="F46" s="132" t="str">
        <f aca="false">IF(OR($A46="",$D46="",$E46=""),"",MAX(0,$E46-$D46))</f>
        <v/>
      </c>
      <c r="G46" s="132" t="str">
        <f aca="false">IF($A46="","",IF($E46&lt;&gt;"",IF(N($F46)&gt;0,"Entregue com atraso","Entregue no prazo"),IF($D46="","Sem data prometida",IF($D46&lt;Hoje!$L$1,"ATRASADA","Aguardando"))))</f>
        <v/>
      </c>
      <c r="H46" s="133"/>
      <c r="I46" s="133"/>
    </row>
    <row r="47" customFormat="false" ht="21" hidden="false" customHeight="true" outlineLevel="0" collapsed="false">
      <c r="A47" s="132"/>
      <c r="B47" s="133"/>
      <c r="C47" s="134"/>
      <c r="D47" s="134"/>
      <c r="E47" s="134"/>
      <c r="F47" s="132" t="str">
        <f aca="false">IF(OR($A47="",$D47="",$E47=""),"",MAX(0,$E47-$D47))</f>
        <v/>
      </c>
      <c r="G47" s="132" t="str">
        <f aca="false">IF($A47="","",IF($E47&lt;&gt;"",IF(N($F47)&gt;0,"Entregue com atraso","Entregue no prazo"),IF($D47="","Sem data prometida",IF($D47&lt;Hoje!$L$1,"ATRASADA","Aguardando"))))</f>
        <v/>
      </c>
      <c r="H47" s="133"/>
      <c r="I47" s="133"/>
    </row>
    <row r="48" customFormat="false" ht="21" hidden="false" customHeight="true" outlineLevel="0" collapsed="false">
      <c r="A48" s="132"/>
      <c r="B48" s="133"/>
      <c r="C48" s="134"/>
      <c r="D48" s="134"/>
      <c r="E48" s="134"/>
      <c r="F48" s="132" t="str">
        <f aca="false">IF(OR($A48="",$D48="",$E48=""),"",MAX(0,$E48-$D48))</f>
        <v/>
      </c>
      <c r="G48" s="132" t="str">
        <f aca="false">IF($A48="","",IF($E48&lt;&gt;"",IF(N($F48)&gt;0,"Entregue com atraso","Entregue no prazo"),IF($D48="","Sem data prometida",IF($D48&lt;Hoje!$L$1,"ATRASADA","Aguardando"))))</f>
        <v/>
      </c>
      <c r="H48" s="133"/>
      <c r="I48" s="133"/>
    </row>
    <row r="49" customFormat="false" ht="21" hidden="false" customHeight="true" outlineLevel="0" collapsed="false">
      <c r="A49" s="132"/>
      <c r="B49" s="133"/>
      <c r="C49" s="134"/>
      <c r="D49" s="134"/>
      <c r="E49" s="134"/>
      <c r="F49" s="132" t="str">
        <f aca="false">IF(OR($A49="",$D49="",$E49=""),"",MAX(0,$E49-$D49))</f>
        <v/>
      </c>
      <c r="G49" s="132" t="str">
        <f aca="false">IF($A49="","",IF($E49&lt;&gt;"",IF(N($F49)&gt;0,"Entregue com atraso","Entregue no prazo"),IF($D49="","Sem data prometida",IF($D49&lt;Hoje!$L$1,"ATRASADA","Aguardando"))))</f>
        <v/>
      </c>
      <c r="H49" s="133"/>
      <c r="I49" s="133"/>
    </row>
    <row r="50" customFormat="false" ht="21" hidden="false" customHeight="true" outlineLevel="0" collapsed="false">
      <c r="A50" s="132"/>
      <c r="B50" s="133"/>
      <c r="C50" s="134"/>
      <c r="D50" s="134"/>
      <c r="E50" s="134"/>
      <c r="F50" s="132" t="str">
        <f aca="false">IF(OR($A50="",$D50="",$E50=""),"",MAX(0,$E50-$D50))</f>
        <v/>
      </c>
      <c r="G50" s="132" t="str">
        <f aca="false">IF($A50="","",IF($E50&lt;&gt;"",IF(N($F50)&gt;0,"Entregue com atraso","Entregue no prazo"),IF($D50="","Sem data prometida",IF($D50&lt;Hoje!$L$1,"ATRASADA","Aguardando"))))</f>
        <v/>
      </c>
      <c r="H50" s="133"/>
      <c r="I50" s="133"/>
    </row>
    <row r="51" customFormat="false" ht="21" hidden="false" customHeight="true" outlineLevel="0" collapsed="false">
      <c r="A51" s="132"/>
      <c r="B51" s="133"/>
      <c r="C51" s="134"/>
      <c r="D51" s="134"/>
      <c r="E51" s="134"/>
      <c r="F51" s="132" t="str">
        <f aca="false">IF(OR($A51="",$D51="",$E51=""),"",MAX(0,$E51-$D51))</f>
        <v/>
      </c>
      <c r="G51" s="132" t="str">
        <f aca="false">IF($A51="","",IF($E51&lt;&gt;"",IF(N($F51)&gt;0,"Entregue com atraso","Entregue no prazo"),IF($D51="","Sem data prometida",IF($D51&lt;Hoje!$L$1,"ATRASADA","Aguardando"))))</f>
        <v/>
      </c>
      <c r="H51" s="133"/>
      <c r="I51" s="133"/>
    </row>
    <row r="52" customFormat="false" ht="21" hidden="false" customHeight="true" outlineLevel="0" collapsed="false">
      <c r="A52" s="132"/>
      <c r="B52" s="133"/>
      <c r="C52" s="134"/>
      <c r="D52" s="134"/>
      <c r="E52" s="134"/>
      <c r="F52" s="132" t="str">
        <f aca="false">IF(OR($A52="",$D52="",$E52=""),"",MAX(0,$E52-$D52))</f>
        <v/>
      </c>
      <c r="G52" s="132" t="str">
        <f aca="false">IF($A52="","",IF($E52&lt;&gt;"",IF(N($F52)&gt;0,"Entregue com atraso","Entregue no prazo"),IF($D52="","Sem data prometida",IF($D52&lt;Hoje!$L$1,"ATRASADA","Aguardando"))))</f>
        <v/>
      </c>
      <c r="H52" s="133"/>
      <c r="I52" s="133"/>
    </row>
    <row r="53" customFormat="false" ht="21" hidden="false" customHeight="true" outlineLevel="0" collapsed="false">
      <c r="A53" s="132"/>
      <c r="B53" s="133"/>
      <c r="C53" s="134"/>
      <c r="D53" s="134"/>
      <c r="E53" s="134"/>
      <c r="F53" s="132" t="str">
        <f aca="false">IF(OR($A53="",$D53="",$E53=""),"",MAX(0,$E53-$D53))</f>
        <v/>
      </c>
      <c r="G53" s="132" t="str">
        <f aca="false">IF($A53="","",IF($E53&lt;&gt;"",IF(N($F53)&gt;0,"Entregue com atraso","Entregue no prazo"),IF($D53="","Sem data prometida",IF($D53&lt;Hoje!$L$1,"ATRASADA","Aguardando"))))</f>
        <v/>
      </c>
      <c r="H53" s="133"/>
      <c r="I53" s="133"/>
    </row>
    <row r="54" customFormat="false" ht="21" hidden="false" customHeight="true" outlineLevel="0" collapsed="false">
      <c r="A54" s="132"/>
      <c r="B54" s="133"/>
      <c r="C54" s="134"/>
      <c r="D54" s="134"/>
      <c r="E54" s="134"/>
      <c r="F54" s="132" t="str">
        <f aca="false">IF(OR($A54="",$D54="",$E54=""),"",MAX(0,$E54-$D54))</f>
        <v/>
      </c>
      <c r="G54" s="132" t="str">
        <f aca="false">IF($A54="","",IF($E54&lt;&gt;"",IF(N($F54)&gt;0,"Entregue com atraso","Entregue no prazo"),IF($D54="","Sem data prometida",IF($D54&lt;Hoje!$L$1,"ATRASADA","Aguardando"))))</f>
        <v/>
      </c>
      <c r="H54" s="133"/>
      <c r="I54" s="133"/>
    </row>
    <row r="55" customFormat="false" ht="21" hidden="false" customHeight="true" outlineLevel="0" collapsed="false">
      <c r="A55" s="132"/>
      <c r="B55" s="133"/>
      <c r="C55" s="134"/>
      <c r="D55" s="134"/>
      <c r="E55" s="134"/>
      <c r="F55" s="132" t="str">
        <f aca="false">IF(OR($A55="",$D55="",$E55=""),"",MAX(0,$E55-$D55))</f>
        <v/>
      </c>
      <c r="G55" s="132" t="str">
        <f aca="false">IF($A55="","",IF($E55&lt;&gt;"",IF(N($F55)&gt;0,"Entregue com atraso","Entregue no prazo"),IF($D55="","Sem data prometida",IF($D55&lt;Hoje!$L$1,"ATRASADA","Aguardando"))))</f>
        <v/>
      </c>
      <c r="H55" s="133"/>
      <c r="I55" s="133"/>
    </row>
    <row r="56" customFormat="false" ht="21" hidden="false" customHeight="true" outlineLevel="0" collapsed="false">
      <c r="A56" s="132"/>
      <c r="B56" s="133"/>
      <c r="C56" s="134"/>
      <c r="D56" s="134"/>
      <c r="E56" s="134"/>
      <c r="F56" s="132" t="str">
        <f aca="false">IF(OR($A56="",$D56="",$E56=""),"",MAX(0,$E56-$D56))</f>
        <v/>
      </c>
      <c r="G56" s="132" t="str">
        <f aca="false">IF($A56="","",IF($E56&lt;&gt;"",IF(N($F56)&gt;0,"Entregue com atraso","Entregue no prazo"),IF($D56="","Sem data prometida",IF($D56&lt;Hoje!$L$1,"ATRASADA","Aguardando"))))</f>
        <v/>
      </c>
      <c r="H56" s="133"/>
      <c r="I56" s="133"/>
    </row>
    <row r="57" customFormat="false" ht="21" hidden="false" customHeight="true" outlineLevel="0" collapsed="false">
      <c r="A57" s="132"/>
      <c r="B57" s="133"/>
      <c r="C57" s="134"/>
      <c r="D57" s="134"/>
      <c r="E57" s="134"/>
      <c r="F57" s="132" t="str">
        <f aca="false">IF(OR($A57="",$D57="",$E57=""),"",MAX(0,$E57-$D57))</f>
        <v/>
      </c>
      <c r="G57" s="132" t="str">
        <f aca="false">IF($A57="","",IF($E57&lt;&gt;"",IF(N($F57)&gt;0,"Entregue com atraso","Entregue no prazo"),IF($D57="","Sem data prometida",IF($D57&lt;Hoje!$L$1,"ATRASADA","Aguardando"))))</f>
        <v/>
      </c>
      <c r="H57" s="133"/>
      <c r="I57" s="133"/>
    </row>
    <row r="58" customFormat="false" ht="21" hidden="false" customHeight="true" outlineLevel="0" collapsed="false">
      <c r="A58" s="132"/>
      <c r="B58" s="133"/>
      <c r="C58" s="134"/>
      <c r="D58" s="134"/>
      <c r="E58" s="134"/>
      <c r="F58" s="132" t="str">
        <f aca="false">IF(OR($A58="",$D58="",$E58=""),"",MAX(0,$E58-$D58))</f>
        <v/>
      </c>
      <c r="G58" s="132" t="str">
        <f aca="false">IF($A58="","",IF($E58&lt;&gt;"",IF(N($F58)&gt;0,"Entregue com atraso","Entregue no prazo"),IF($D58="","Sem data prometida",IF($D58&lt;Hoje!$L$1,"ATRASADA","Aguardando"))))</f>
        <v/>
      </c>
      <c r="H58" s="133"/>
      <c r="I58" s="133"/>
    </row>
    <row r="59" customFormat="false" ht="21" hidden="false" customHeight="true" outlineLevel="0" collapsed="false">
      <c r="A59" s="132"/>
      <c r="B59" s="133"/>
      <c r="C59" s="134"/>
      <c r="D59" s="134"/>
      <c r="E59" s="134"/>
      <c r="F59" s="132" t="str">
        <f aca="false">IF(OR($A59="",$D59="",$E59=""),"",MAX(0,$E59-$D59))</f>
        <v/>
      </c>
      <c r="G59" s="132" t="str">
        <f aca="false">IF($A59="","",IF($E59&lt;&gt;"",IF(N($F59)&gt;0,"Entregue com atraso","Entregue no prazo"),IF($D59="","Sem data prometida",IF($D59&lt;Hoje!$L$1,"ATRASADA","Aguardando"))))</f>
        <v/>
      </c>
      <c r="H59" s="133"/>
      <c r="I59" s="133"/>
    </row>
    <row r="60" customFormat="false" ht="21" hidden="false" customHeight="true" outlineLevel="0" collapsed="false">
      <c r="A60" s="132"/>
      <c r="B60" s="133"/>
      <c r="C60" s="134"/>
      <c r="D60" s="134"/>
      <c r="E60" s="134"/>
      <c r="F60" s="132" t="str">
        <f aca="false">IF(OR($A60="",$D60="",$E60=""),"",MAX(0,$E60-$D60))</f>
        <v/>
      </c>
      <c r="G60" s="132" t="str">
        <f aca="false">IF($A60="","",IF($E60&lt;&gt;"",IF(N($F60)&gt;0,"Entregue com atraso","Entregue no prazo"),IF($D60="","Sem data prometida",IF($D60&lt;Hoje!$L$1,"ATRASADA","Aguardando"))))</f>
        <v/>
      </c>
      <c r="H60" s="133"/>
      <c r="I60" s="133"/>
    </row>
    <row r="61" customFormat="false" ht="21" hidden="false" customHeight="true" outlineLevel="0" collapsed="false">
      <c r="A61" s="132"/>
      <c r="B61" s="133"/>
      <c r="C61" s="134"/>
      <c r="D61" s="134"/>
      <c r="E61" s="134"/>
      <c r="F61" s="132" t="str">
        <f aca="false">IF(OR($A61="",$D61="",$E61=""),"",MAX(0,$E61-$D61))</f>
        <v/>
      </c>
      <c r="G61" s="132" t="str">
        <f aca="false">IF($A61="","",IF($E61&lt;&gt;"",IF(N($F61)&gt;0,"Entregue com atraso","Entregue no prazo"),IF($D61="","Sem data prometida",IF($D61&lt;Hoje!$L$1,"ATRASADA","Aguardando"))))</f>
        <v/>
      </c>
      <c r="H61" s="133"/>
      <c r="I61" s="133"/>
    </row>
    <row r="62" customFormat="false" ht="21" hidden="false" customHeight="true" outlineLevel="0" collapsed="false">
      <c r="A62" s="132"/>
      <c r="B62" s="133"/>
      <c r="C62" s="134"/>
      <c r="D62" s="134"/>
      <c r="E62" s="134"/>
      <c r="F62" s="132" t="str">
        <f aca="false">IF(OR($A62="",$D62="",$E62=""),"",MAX(0,$E62-$D62))</f>
        <v/>
      </c>
      <c r="G62" s="132" t="str">
        <f aca="false">IF($A62="","",IF($E62&lt;&gt;"",IF(N($F62)&gt;0,"Entregue com atraso","Entregue no prazo"),IF($D62="","Sem data prometida",IF($D62&lt;Hoje!$L$1,"ATRASADA","Aguardando"))))</f>
        <v/>
      </c>
      <c r="H62" s="133"/>
      <c r="I62" s="133"/>
    </row>
    <row r="63" customFormat="false" ht="21" hidden="false" customHeight="true" outlineLevel="0" collapsed="false">
      <c r="A63" s="132"/>
      <c r="B63" s="133"/>
      <c r="C63" s="134"/>
      <c r="D63" s="134"/>
      <c r="E63" s="134"/>
      <c r="F63" s="132" t="str">
        <f aca="false">IF(OR($A63="",$D63="",$E63=""),"",MAX(0,$E63-$D63))</f>
        <v/>
      </c>
      <c r="G63" s="132" t="str">
        <f aca="false">IF($A63="","",IF($E63&lt;&gt;"",IF(N($F63)&gt;0,"Entregue com atraso","Entregue no prazo"),IF($D63="","Sem data prometida",IF($D63&lt;Hoje!$L$1,"ATRASADA","Aguardando"))))</f>
        <v/>
      </c>
      <c r="H63" s="133"/>
      <c r="I63" s="133"/>
    </row>
    <row r="64" customFormat="false" ht="21" hidden="false" customHeight="true" outlineLevel="0" collapsed="false">
      <c r="A64" s="132"/>
      <c r="B64" s="133"/>
      <c r="C64" s="134"/>
      <c r="D64" s="134"/>
      <c r="E64" s="134"/>
      <c r="F64" s="132" t="str">
        <f aca="false">IF(OR($A64="",$D64="",$E64=""),"",MAX(0,$E64-$D64))</f>
        <v/>
      </c>
      <c r="G64" s="132" t="str">
        <f aca="false">IF($A64="","",IF($E64&lt;&gt;"",IF(N($F64)&gt;0,"Entregue com atraso","Entregue no prazo"),IF($D64="","Sem data prometida",IF($D64&lt;Hoje!$L$1,"ATRASADA","Aguardando"))))</f>
        <v/>
      </c>
      <c r="H64" s="133"/>
      <c r="I64" s="133"/>
    </row>
    <row r="65" customFormat="false" ht="21" hidden="false" customHeight="true" outlineLevel="0" collapsed="false">
      <c r="A65" s="132"/>
      <c r="B65" s="133"/>
      <c r="C65" s="134"/>
      <c r="D65" s="134"/>
      <c r="E65" s="134"/>
      <c r="F65" s="132" t="str">
        <f aca="false">IF(OR($A65="",$D65="",$E65=""),"",MAX(0,$E65-$D65))</f>
        <v/>
      </c>
      <c r="G65" s="132" t="str">
        <f aca="false">IF($A65="","",IF($E65&lt;&gt;"",IF(N($F65)&gt;0,"Entregue com atraso","Entregue no prazo"),IF($D65="","Sem data prometida",IF($D65&lt;Hoje!$L$1,"ATRASADA","Aguardando"))))</f>
        <v/>
      </c>
      <c r="H65" s="133"/>
      <c r="I65" s="133"/>
    </row>
    <row r="66" customFormat="false" ht="21" hidden="false" customHeight="true" outlineLevel="0" collapsed="false">
      <c r="A66" s="132"/>
      <c r="B66" s="133"/>
      <c r="C66" s="134"/>
      <c r="D66" s="134"/>
      <c r="E66" s="134"/>
      <c r="F66" s="132" t="str">
        <f aca="false">IF(OR($A66="",$D66="",$E66=""),"",MAX(0,$E66-$D66))</f>
        <v/>
      </c>
      <c r="G66" s="132" t="str">
        <f aca="false">IF($A66="","",IF($E66&lt;&gt;"",IF(N($F66)&gt;0,"Entregue com atraso","Entregue no prazo"),IF($D66="","Sem data prometida",IF($D66&lt;Hoje!$L$1,"ATRASADA","Aguardando"))))</f>
        <v/>
      </c>
      <c r="H66" s="133"/>
      <c r="I66" s="133"/>
    </row>
    <row r="67" customFormat="false" ht="21" hidden="false" customHeight="true" outlineLevel="0" collapsed="false">
      <c r="A67" s="132"/>
      <c r="B67" s="133"/>
      <c r="C67" s="134"/>
      <c r="D67" s="134"/>
      <c r="E67" s="134"/>
      <c r="F67" s="132" t="str">
        <f aca="false">IF(OR($A67="",$D67="",$E67=""),"",MAX(0,$E67-$D67))</f>
        <v/>
      </c>
      <c r="G67" s="132" t="str">
        <f aca="false">IF($A67="","",IF($E67&lt;&gt;"",IF(N($F67)&gt;0,"Entregue com atraso","Entregue no prazo"),IF($D67="","Sem data prometida",IF($D67&lt;Hoje!$L$1,"ATRASADA","Aguardando"))))</f>
        <v/>
      </c>
      <c r="H67" s="133"/>
      <c r="I67" s="133"/>
    </row>
    <row r="68" customFormat="false" ht="21" hidden="false" customHeight="true" outlineLevel="0" collapsed="false">
      <c r="A68" s="132"/>
      <c r="B68" s="133"/>
      <c r="C68" s="134"/>
      <c r="D68" s="134"/>
      <c r="E68" s="134"/>
      <c r="F68" s="132" t="str">
        <f aca="false">IF(OR($A68="",$D68="",$E68=""),"",MAX(0,$E68-$D68))</f>
        <v/>
      </c>
      <c r="G68" s="132" t="str">
        <f aca="false">IF($A68="","",IF($E68&lt;&gt;"",IF(N($F68)&gt;0,"Entregue com atraso","Entregue no prazo"),IF($D68="","Sem data prometida",IF($D68&lt;Hoje!$L$1,"ATRASADA","Aguardando"))))</f>
        <v/>
      </c>
      <c r="H68" s="133"/>
      <c r="I68" s="133"/>
    </row>
    <row r="69" customFormat="false" ht="21" hidden="false" customHeight="true" outlineLevel="0" collapsed="false">
      <c r="A69" s="132"/>
      <c r="B69" s="133"/>
      <c r="C69" s="134"/>
      <c r="D69" s="134"/>
      <c r="E69" s="134"/>
      <c r="F69" s="132" t="str">
        <f aca="false">IF(OR($A69="",$D69="",$E69=""),"",MAX(0,$E69-$D69))</f>
        <v/>
      </c>
      <c r="G69" s="132" t="str">
        <f aca="false">IF($A69="","",IF($E69&lt;&gt;"",IF(N($F69)&gt;0,"Entregue com atraso","Entregue no prazo"),IF($D69="","Sem data prometida",IF($D69&lt;Hoje!$L$1,"ATRASADA","Aguardando"))))</f>
        <v/>
      </c>
      <c r="H69" s="133"/>
      <c r="I69" s="133"/>
    </row>
    <row r="70" customFormat="false" ht="21" hidden="false" customHeight="true" outlineLevel="0" collapsed="false">
      <c r="A70" s="132"/>
      <c r="B70" s="133"/>
      <c r="C70" s="134"/>
      <c r="D70" s="134"/>
      <c r="E70" s="134"/>
      <c r="F70" s="132" t="str">
        <f aca="false">IF(OR($A70="",$D70="",$E70=""),"",MAX(0,$E70-$D70))</f>
        <v/>
      </c>
      <c r="G70" s="132" t="str">
        <f aca="false">IF($A70="","",IF($E70&lt;&gt;"",IF(N($F70)&gt;0,"Entregue com atraso","Entregue no prazo"),IF($D70="","Sem data prometida",IF($D70&lt;Hoje!$L$1,"ATRASADA","Aguardando"))))</f>
        <v/>
      </c>
      <c r="H70" s="133"/>
      <c r="I70" s="133"/>
    </row>
    <row r="71" customFormat="false" ht="21" hidden="false" customHeight="true" outlineLevel="0" collapsed="false">
      <c r="A71" s="132"/>
      <c r="B71" s="133"/>
      <c r="C71" s="134"/>
      <c r="D71" s="134"/>
      <c r="E71" s="134"/>
      <c r="F71" s="132" t="str">
        <f aca="false">IF(OR($A71="",$D71="",$E71=""),"",MAX(0,$E71-$D71))</f>
        <v/>
      </c>
      <c r="G71" s="132" t="str">
        <f aca="false">IF($A71="","",IF($E71&lt;&gt;"",IF(N($F71)&gt;0,"Entregue com atraso","Entregue no prazo"),IF($D71="","Sem data prometida",IF($D71&lt;Hoje!$L$1,"ATRASADA","Aguardando"))))</f>
        <v/>
      </c>
      <c r="H71" s="133"/>
      <c r="I71" s="133"/>
    </row>
    <row r="72" customFormat="false" ht="21" hidden="false" customHeight="true" outlineLevel="0" collapsed="false">
      <c r="A72" s="132"/>
      <c r="B72" s="133"/>
      <c r="C72" s="134"/>
      <c r="D72" s="134"/>
      <c r="E72" s="134"/>
      <c r="F72" s="132" t="str">
        <f aca="false">IF(OR($A72="",$D72="",$E72=""),"",MAX(0,$E72-$D72))</f>
        <v/>
      </c>
      <c r="G72" s="132" t="str">
        <f aca="false">IF($A72="","",IF($E72&lt;&gt;"",IF(N($F72)&gt;0,"Entregue com atraso","Entregue no prazo"),IF($D72="","Sem data prometida",IF($D72&lt;Hoje!$L$1,"ATRASADA","Aguardando"))))</f>
        <v/>
      </c>
      <c r="H72" s="133"/>
      <c r="I72" s="133"/>
    </row>
    <row r="73" customFormat="false" ht="21" hidden="false" customHeight="true" outlineLevel="0" collapsed="false">
      <c r="A73" s="132"/>
      <c r="B73" s="133"/>
      <c r="C73" s="134"/>
      <c r="D73" s="134"/>
      <c r="E73" s="134"/>
      <c r="F73" s="132" t="str">
        <f aca="false">IF(OR($A73="",$D73="",$E73=""),"",MAX(0,$E73-$D73))</f>
        <v/>
      </c>
      <c r="G73" s="132" t="str">
        <f aca="false">IF($A73="","",IF($E73&lt;&gt;"",IF(N($F73)&gt;0,"Entregue com atraso","Entregue no prazo"),IF($D73="","Sem data prometida",IF($D73&lt;Hoje!$L$1,"ATRASADA","Aguardando"))))</f>
        <v/>
      </c>
      <c r="H73" s="133"/>
      <c r="I73" s="133"/>
    </row>
    <row r="74" customFormat="false" ht="21" hidden="false" customHeight="true" outlineLevel="0" collapsed="false">
      <c r="A74" s="132"/>
      <c r="B74" s="133"/>
      <c r="C74" s="134"/>
      <c r="D74" s="134"/>
      <c r="E74" s="134"/>
      <c r="F74" s="132" t="str">
        <f aca="false">IF(OR($A74="",$D74="",$E74=""),"",MAX(0,$E74-$D74))</f>
        <v/>
      </c>
      <c r="G74" s="132" t="str">
        <f aca="false">IF($A74="","",IF($E74&lt;&gt;"",IF(N($F74)&gt;0,"Entregue com atraso","Entregue no prazo"),IF($D74="","Sem data prometida",IF($D74&lt;Hoje!$L$1,"ATRASADA","Aguardando"))))</f>
        <v/>
      </c>
      <c r="H74" s="133"/>
      <c r="I74" s="133"/>
    </row>
    <row r="75" customFormat="false" ht="21" hidden="false" customHeight="true" outlineLevel="0" collapsed="false">
      <c r="A75" s="132"/>
      <c r="B75" s="133"/>
      <c r="C75" s="134"/>
      <c r="D75" s="134"/>
      <c r="E75" s="134"/>
      <c r="F75" s="132" t="str">
        <f aca="false">IF(OR($A75="",$D75="",$E75=""),"",MAX(0,$E75-$D75))</f>
        <v/>
      </c>
      <c r="G75" s="132" t="str">
        <f aca="false">IF($A75="","",IF($E75&lt;&gt;"",IF(N($F75)&gt;0,"Entregue com atraso","Entregue no prazo"),IF($D75="","Sem data prometida",IF($D75&lt;Hoje!$L$1,"ATRASADA","Aguardando"))))</f>
        <v/>
      </c>
      <c r="H75" s="133"/>
      <c r="I75" s="133"/>
    </row>
    <row r="76" customFormat="false" ht="21" hidden="false" customHeight="true" outlineLevel="0" collapsed="false">
      <c r="A76" s="132"/>
      <c r="B76" s="133"/>
      <c r="C76" s="134"/>
      <c r="D76" s="134"/>
      <c r="E76" s="134"/>
      <c r="F76" s="132" t="str">
        <f aca="false">IF(OR($A76="",$D76="",$E76=""),"",MAX(0,$E76-$D76))</f>
        <v/>
      </c>
      <c r="G76" s="132" t="str">
        <f aca="false">IF($A76="","",IF($E76&lt;&gt;"",IF(N($F76)&gt;0,"Entregue com atraso","Entregue no prazo"),IF($D76="","Sem data prometida",IF($D76&lt;Hoje!$L$1,"ATRASADA","Aguardando"))))</f>
        <v/>
      </c>
      <c r="H76" s="133"/>
      <c r="I76" s="133"/>
    </row>
    <row r="77" customFormat="false" ht="21" hidden="false" customHeight="true" outlineLevel="0" collapsed="false">
      <c r="A77" s="132"/>
      <c r="B77" s="133"/>
      <c r="C77" s="134"/>
      <c r="D77" s="134"/>
      <c r="E77" s="134"/>
      <c r="F77" s="132" t="str">
        <f aca="false">IF(OR($A77="",$D77="",$E77=""),"",MAX(0,$E77-$D77))</f>
        <v/>
      </c>
      <c r="G77" s="132" t="str">
        <f aca="false">IF($A77="","",IF($E77&lt;&gt;"",IF(N($F77)&gt;0,"Entregue com atraso","Entregue no prazo"),IF($D77="","Sem data prometida",IF($D77&lt;Hoje!$L$1,"ATRASADA","Aguardando"))))</f>
        <v/>
      </c>
      <c r="H77" s="133"/>
      <c r="I77" s="133"/>
    </row>
    <row r="78" customFormat="false" ht="21" hidden="false" customHeight="true" outlineLevel="0" collapsed="false">
      <c r="A78" s="132"/>
      <c r="B78" s="133"/>
      <c r="C78" s="134"/>
      <c r="D78" s="134"/>
      <c r="E78" s="134"/>
      <c r="F78" s="132" t="str">
        <f aca="false">IF(OR($A78="",$D78="",$E78=""),"",MAX(0,$E78-$D78))</f>
        <v/>
      </c>
      <c r="G78" s="132" t="str">
        <f aca="false">IF($A78="","",IF($E78&lt;&gt;"",IF(N($F78)&gt;0,"Entregue com atraso","Entregue no prazo"),IF($D78="","Sem data prometida",IF($D78&lt;Hoje!$L$1,"ATRASADA","Aguardando"))))</f>
        <v/>
      </c>
      <c r="H78" s="133"/>
      <c r="I78" s="133"/>
    </row>
    <row r="79" customFormat="false" ht="21" hidden="false" customHeight="true" outlineLevel="0" collapsed="false">
      <c r="A79" s="132"/>
      <c r="B79" s="133"/>
      <c r="C79" s="134"/>
      <c r="D79" s="134"/>
      <c r="E79" s="134"/>
      <c r="F79" s="132" t="str">
        <f aca="false">IF(OR($A79="",$D79="",$E79=""),"",MAX(0,$E79-$D79))</f>
        <v/>
      </c>
      <c r="G79" s="132" t="str">
        <f aca="false">IF($A79="","",IF($E79&lt;&gt;"",IF(N($F79)&gt;0,"Entregue com atraso","Entregue no prazo"),IF($D79="","Sem data prometida",IF($D79&lt;Hoje!$L$1,"ATRASADA","Aguardando"))))</f>
        <v/>
      </c>
      <c r="H79" s="133"/>
      <c r="I79" s="133"/>
    </row>
    <row r="80" customFormat="false" ht="21" hidden="false" customHeight="true" outlineLevel="0" collapsed="false">
      <c r="A80" s="132"/>
      <c r="B80" s="133"/>
      <c r="C80" s="134"/>
      <c r="D80" s="134"/>
      <c r="E80" s="134"/>
      <c r="F80" s="132" t="str">
        <f aca="false">IF(OR($A80="",$D80="",$E80=""),"",MAX(0,$E80-$D80))</f>
        <v/>
      </c>
      <c r="G80" s="132" t="str">
        <f aca="false">IF($A80="","",IF($E80&lt;&gt;"",IF(N($F80)&gt;0,"Entregue com atraso","Entregue no prazo"),IF($D80="","Sem data prometida",IF($D80&lt;Hoje!$L$1,"ATRASADA","Aguardando"))))</f>
        <v/>
      </c>
      <c r="H80" s="133"/>
      <c r="I80" s="133"/>
    </row>
    <row r="81" customFormat="false" ht="21" hidden="false" customHeight="true" outlineLevel="0" collapsed="false">
      <c r="A81" s="132"/>
      <c r="B81" s="133"/>
      <c r="C81" s="134"/>
      <c r="D81" s="134"/>
      <c r="E81" s="134"/>
      <c r="F81" s="132" t="str">
        <f aca="false">IF(OR($A81="",$D81="",$E81=""),"",MAX(0,$E81-$D81))</f>
        <v/>
      </c>
      <c r="G81" s="132" t="str">
        <f aca="false">IF($A81="","",IF($E81&lt;&gt;"",IF(N($F81)&gt;0,"Entregue com atraso","Entregue no prazo"),IF($D81="","Sem data prometida",IF($D81&lt;Hoje!$L$1,"ATRASADA","Aguardando"))))</f>
        <v/>
      </c>
      <c r="H81" s="133"/>
      <c r="I81" s="133"/>
    </row>
    <row r="82" customFormat="false" ht="21" hidden="false" customHeight="true" outlineLevel="0" collapsed="false">
      <c r="A82" s="132"/>
      <c r="B82" s="133"/>
      <c r="C82" s="134"/>
      <c r="D82" s="134"/>
      <c r="E82" s="134"/>
      <c r="F82" s="132" t="str">
        <f aca="false">IF(OR($A82="",$D82="",$E82=""),"",MAX(0,$E82-$D82))</f>
        <v/>
      </c>
      <c r="G82" s="132" t="str">
        <f aca="false">IF($A82="","",IF($E82&lt;&gt;"",IF(N($F82)&gt;0,"Entregue com atraso","Entregue no prazo"),IF($D82="","Sem data prometida",IF($D82&lt;Hoje!$L$1,"ATRASADA","Aguardando"))))</f>
        <v/>
      </c>
      <c r="H82" s="133"/>
      <c r="I82" s="133"/>
    </row>
    <row r="83" customFormat="false" ht="21" hidden="false" customHeight="true" outlineLevel="0" collapsed="false">
      <c r="A83" s="132"/>
      <c r="B83" s="133"/>
      <c r="C83" s="134"/>
      <c r="D83" s="134"/>
      <c r="E83" s="134"/>
      <c r="F83" s="132" t="str">
        <f aca="false">IF(OR($A83="",$D83="",$E83=""),"",MAX(0,$E83-$D83))</f>
        <v/>
      </c>
      <c r="G83" s="132" t="str">
        <f aca="false">IF($A83="","",IF($E83&lt;&gt;"",IF(N($F83)&gt;0,"Entregue com atraso","Entregue no prazo"),IF($D83="","Sem data prometida",IF($D83&lt;Hoje!$L$1,"ATRASADA","Aguardando"))))</f>
        <v/>
      </c>
      <c r="H83" s="133"/>
      <c r="I83" s="133"/>
    </row>
    <row r="84" customFormat="false" ht="21" hidden="false" customHeight="true" outlineLevel="0" collapsed="false">
      <c r="A84" s="132"/>
      <c r="B84" s="133"/>
      <c r="C84" s="134"/>
      <c r="D84" s="134"/>
      <c r="E84" s="134"/>
      <c r="F84" s="132" t="str">
        <f aca="false">IF(OR($A84="",$D84="",$E84=""),"",MAX(0,$E84-$D84))</f>
        <v/>
      </c>
      <c r="G84" s="132" t="str">
        <f aca="false">IF($A84="","",IF($E84&lt;&gt;"",IF(N($F84)&gt;0,"Entregue com atraso","Entregue no prazo"),IF($D84="","Sem data prometida",IF($D84&lt;Hoje!$L$1,"ATRASADA","Aguardando"))))</f>
        <v/>
      </c>
      <c r="H84" s="133"/>
      <c r="I84" s="133"/>
    </row>
    <row r="85" customFormat="false" ht="21" hidden="false" customHeight="true" outlineLevel="0" collapsed="false">
      <c r="A85" s="132"/>
      <c r="B85" s="133"/>
      <c r="C85" s="134"/>
      <c r="D85" s="134"/>
      <c r="E85" s="134"/>
      <c r="F85" s="132" t="str">
        <f aca="false">IF(OR($A85="",$D85="",$E85=""),"",MAX(0,$E85-$D85))</f>
        <v/>
      </c>
      <c r="G85" s="132" t="str">
        <f aca="false">IF($A85="","",IF($E85&lt;&gt;"",IF(N($F85)&gt;0,"Entregue com atraso","Entregue no prazo"),IF($D85="","Sem data prometida",IF($D85&lt;Hoje!$L$1,"ATRASADA","Aguardando"))))</f>
        <v/>
      </c>
      <c r="H85" s="133"/>
      <c r="I85" s="133"/>
    </row>
    <row r="86" customFormat="false" ht="21" hidden="false" customHeight="true" outlineLevel="0" collapsed="false">
      <c r="A86" s="132"/>
      <c r="B86" s="133"/>
      <c r="C86" s="134"/>
      <c r="D86" s="134"/>
      <c r="E86" s="134"/>
      <c r="F86" s="132" t="str">
        <f aca="false">IF(OR($A86="",$D86="",$E86=""),"",MAX(0,$E86-$D86))</f>
        <v/>
      </c>
      <c r="G86" s="132" t="str">
        <f aca="false">IF($A86="","",IF($E86&lt;&gt;"",IF(N($F86)&gt;0,"Entregue com atraso","Entregue no prazo"),IF($D86="","Sem data prometida",IF($D86&lt;Hoje!$L$1,"ATRASADA","Aguardando"))))</f>
        <v/>
      </c>
      <c r="H86" s="133"/>
      <c r="I86" s="133"/>
    </row>
    <row r="87" customFormat="false" ht="21" hidden="false" customHeight="true" outlineLevel="0" collapsed="false">
      <c r="A87" s="132"/>
      <c r="B87" s="133"/>
      <c r="C87" s="134"/>
      <c r="D87" s="134"/>
      <c r="E87" s="134"/>
      <c r="F87" s="132" t="str">
        <f aca="false">IF(OR($A87="",$D87="",$E87=""),"",MAX(0,$E87-$D87))</f>
        <v/>
      </c>
      <c r="G87" s="132" t="str">
        <f aca="false">IF($A87="","",IF($E87&lt;&gt;"",IF(N($F87)&gt;0,"Entregue com atraso","Entregue no prazo"),IF($D87="","Sem data prometida",IF($D87&lt;Hoje!$L$1,"ATRASADA","Aguardando"))))</f>
        <v/>
      </c>
      <c r="H87" s="133"/>
      <c r="I87" s="133"/>
    </row>
    <row r="88" customFormat="false" ht="21" hidden="false" customHeight="true" outlineLevel="0" collapsed="false">
      <c r="A88" s="132"/>
      <c r="B88" s="133"/>
      <c r="C88" s="134"/>
      <c r="D88" s="134"/>
      <c r="E88" s="134"/>
      <c r="F88" s="132" t="str">
        <f aca="false">IF(OR($A88="",$D88="",$E88=""),"",MAX(0,$E88-$D88))</f>
        <v/>
      </c>
      <c r="G88" s="132" t="str">
        <f aca="false">IF($A88="","",IF($E88&lt;&gt;"",IF(N($F88)&gt;0,"Entregue com atraso","Entregue no prazo"),IF($D88="","Sem data prometida",IF($D88&lt;Hoje!$L$1,"ATRASADA","Aguardando"))))</f>
        <v/>
      </c>
      <c r="H88" s="133"/>
      <c r="I88" s="133"/>
    </row>
    <row r="89" customFormat="false" ht="21" hidden="false" customHeight="true" outlineLevel="0" collapsed="false">
      <c r="A89" s="132"/>
      <c r="B89" s="133"/>
      <c r="C89" s="134"/>
      <c r="D89" s="134"/>
      <c r="E89" s="134"/>
      <c r="F89" s="132" t="str">
        <f aca="false">IF(OR($A89="",$D89="",$E89=""),"",MAX(0,$E89-$D89))</f>
        <v/>
      </c>
      <c r="G89" s="132" t="str">
        <f aca="false">IF($A89="","",IF($E89&lt;&gt;"",IF(N($F89)&gt;0,"Entregue com atraso","Entregue no prazo"),IF($D89="","Sem data prometida",IF($D89&lt;Hoje!$L$1,"ATRASADA","Aguardando"))))</f>
        <v/>
      </c>
      <c r="H89" s="133"/>
      <c r="I89" s="133"/>
    </row>
    <row r="90" customFormat="false" ht="21" hidden="false" customHeight="true" outlineLevel="0" collapsed="false">
      <c r="A90" s="132"/>
      <c r="B90" s="133"/>
      <c r="C90" s="134"/>
      <c r="D90" s="134"/>
      <c r="E90" s="134"/>
      <c r="F90" s="132" t="str">
        <f aca="false">IF(OR($A90="",$D90="",$E90=""),"",MAX(0,$E90-$D90))</f>
        <v/>
      </c>
      <c r="G90" s="132" t="str">
        <f aca="false">IF($A90="","",IF($E90&lt;&gt;"",IF(N($F90)&gt;0,"Entregue com atraso","Entregue no prazo"),IF($D90="","Sem data prometida",IF($D90&lt;Hoje!$L$1,"ATRASADA","Aguardando"))))</f>
        <v/>
      </c>
      <c r="H90" s="133"/>
      <c r="I90" s="133"/>
    </row>
    <row r="91" customFormat="false" ht="21" hidden="false" customHeight="true" outlineLevel="0" collapsed="false">
      <c r="A91" s="132"/>
      <c r="B91" s="133"/>
      <c r="C91" s="134"/>
      <c r="D91" s="134"/>
      <c r="E91" s="134"/>
      <c r="F91" s="132" t="str">
        <f aca="false">IF(OR($A91="",$D91="",$E91=""),"",MAX(0,$E91-$D91))</f>
        <v/>
      </c>
      <c r="G91" s="132" t="str">
        <f aca="false">IF($A91="","",IF($E91&lt;&gt;"",IF(N($F91)&gt;0,"Entregue com atraso","Entregue no prazo"),IF($D91="","Sem data prometida",IF($D91&lt;Hoje!$L$1,"ATRASADA","Aguardando"))))</f>
        <v/>
      </c>
      <c r="H91" s="133"/>
      <c r="I91" s="133"/>
    </row>
    <row r="92" customFormat="false" ht="21" hidden="false" customHeight="true" outlineLevel="0" collapsed="false">
      <c r="A92" s="132"/>
      <c r="B92" s="133"/>
      <c r="C92" s="134"/>
      <c r="D92" s="134"/>
      <c r="E92" s="134"/>
      <c r="F92" s="132" t="str">
        <f aca="false">IF(OR($A92="",$D92="",$E92=""),"",MAX(0,$E92-$D92))</f>
        <v/>
      </c>
      <c r="G92" s="132" t="str">
        <f aca="false">IF($A92="","",IF($E92&lt;&gt;"",IF(N($F92)&gt;0,"Entregue com atraso","Entregue no prazo"),IF($D92="","Sem data prometida",IF($D92&lt;Hoje!$L$1,"ATRASADA","Aguardando"))))</f>
        <v/>
      </c>
      <c r="H92" s="133"/>
      <c r="I92" s="133"/>
    </row>
    <row r="93" customFormat="false" ht="21" hidden="false" customHeight="true" outlineLevel="0" collapsed="false">
      <c r="A93" s="132"/>
      <c r="B93" s="133"/>
      <c r="C93" s="134"/>
      <c r="D93" s="134"/>
      <c r="E93" s="134"/>
      <c r="F93" s="132" t="str">
        <f aca="false">IF(OR($A93="",$D93="",$E93=""),"",MAX(0,$E93-$D93))</f>
        <v/>
      </c>
      <c r="G93" s="132" t="str">
        <f aca="false">IF($A93="","",IF($E93&lt;&gt;"",IF(N($F93)&gt;0,"Entregue com atraso","Entregue no prazo"),IF($D93="","Sem data prometida",IF($D93&lt;Hoje!$L$1,"ATRASADA","Aguardando"))))</f>
        <v/>
      </c>
      <c r="H93" s="133"/>
      <c r="I93" s="133"/>
    </row>
    <row r="94" customFormat="false" ht="21" hidden="false" customHeight="true" outlineLevel="0" collapsed="false">
      <c r="A94" s="132"/>
      <c r="B94" s="133"/>
      <c r="C94" s="134"/>
      <c r="D94" s="134"/>
      <c r="E94" s="134"/>
      <c r="F94" s="132" t="str">
        <f aca="false">IF(OR($A94="",$D94="",$E94=""),"",MAX(0,$E94-$D94))</f>
        <v/>
      </c>
      <c r="G94" s="132" t="str">
        <f aca="false">IF($A94="","",IF($E94&lt;&gt;"",IF(N($F94)&gt;0,"Entregue com atraso","Entregue no prazo"),IF($D94="","Sem data prometida",IF($D94&lt;Hoje!$L$1,"ATRASADA","Aguardando"))))</f>
        <v/>
      </c>
      <c r="H94" s="133"/>
      <c r="I94" s="133"/>
    </row>
    <row r="95" customFormat="false" ht="21" hidden="false" customHeight="true" outlineLevel="0" collapsed="false">
      <c r="A95" s="132"/>
      <c r="B95" s="133"/>
      <c r="C95" s="134"/>
      <c r="D95" s="134"/>
      <c r="E95" s="134"/>
      <c r="F95" s="132" t="str">
        <f aca="false">IF(OR($A95="",$D95="",$E95=""),"",MAX(0,$E95-$D95))</f>
        <v/>
      </c>
      <c r="G95" s="132" t="str">
        <f aca="false">IF($A95="","",IF($E95&lt;&gt;"",IF(N($F95)&gt;0,"Entregue com atraso","Entregue no prazo"),IF($D95="","Sem data prometida",IF($D95&lt;Hoje!$L$1,"ATRASADA","Aguardando"))))</f>
        <v/>
      </c>
      <c r="H95" s="133"/>
      <c r="I95" s="133"/>
    </row>
    <row r="96" customFormat="false" ht="21" hidden="false" customHeight="true" outlineLevel="0" collapsed="false">
      <c r="A96" s="132"/>
      <c r="B96" s="133"/>
      <c r="C96" s="134"/>
      <c r="D96" s="134"/>
      <c r="E96" s="134"/>
      <c r="F96" s="132" t="str">
        <f aca="false">IF(OR($A96="",$D96="",$E96=""),"",MAX(0,$E96-$D96))</f>
        <v/>
      </c>
      <c r="G96" s="132" t="str">
        <f aca="false">IF($A96="","",IF($E96&lt;&gt;"",IF(N($F96)&gt;0,"Entregue com atraso","Entregue no prazo"),IF($D96="","Sem data prometida",IF($D96&lt;Hoje!$L$1,"ATRASADA","Aguardando"))))</f>
        <v/>
      </c>
      <c r="H96" s="133"/>
      <c r="I96" s="133"/>
    </row>
    <row r="97" customFormat="false" ht="21" hidden="false" customHeight="true" outlineLevel="0" collapsed="false">
      <c r="A97" s="132"/>
      <c r="B97" s="133"/>
      <c r="C97" s="134"/>
      <c r="D97" s="134"/>
      <c r="E97" s="134"/>
      <c r="F97" s="132" t="str">
        <f aca="false">IF(OR($A97="",$D97="",$E97=""),"",MAX(0,$E97-$D97))</f>
        <v/>
      </c>
      <c r="G97" s="132" t="str">
        <f aca="false">IF($A97="","",IF($E97&lt;&gt;"",IF(N($F97)&gt;0,"Entregue com atraso","Entregue no prazo"),IF($D97="","Sem data prometida",IF($D97&lt;Hoje!$L$1,"ATRASADA","Aguardando"))))</f>
        <v/>
      </c>
      <c r="H97" s="133"/>
      <c r="I97" s="133"/>
    </row>
    <row r="98" customFormat="false" ht="21" hidden="false" customHeight="true" outlineLevel="0" collapsed="false">
      <c r="A98" s="132"/>
      <c r="B98" s="133"/>
      <c r="C98" s="134"/>
      <c r="D98" s="134"/>
      <c r="E98" s="134"/>
      <c r="F98" s="132" t="str">
        <f aca="false">IF(OR($A98="",$D98="",$E98=""),"",MAX(0,$E98-$D98))</f>
        <v/>
      </c>
      <c r="G98" s="132" t="str">
        <f aca="false">IF($A98="","",IF($E98&lt;&gt;"",IF(N($F98)&gt;0,"Entregue com atraso","Entregue no prazo"),IF($D98="","Sem data prometida",IF($D98&lt;Hoje!$L$1,"ATRASADA","Aguardando"))))</f>
        <v/>
      </c>
      <c r="H98" s="133"/>
      <c r="I98" s="133"/>
    </row>
    <row r="99" customFormat="false" ht="21" hidden="false" customHeight="true" outlineLevel="0" collapsed="false">
      <c r="A99" s="132"/>
      <c r="B99" s="133"/>
      <c r="C99" s="134"/>
      <c r="D99" s="134"/>
      <c r="E99" s="134"/>
      <c r="F99" s="132" t="str">
        <f aca="false">IF(OR($A99="",$D99="",$E99=""),"",MAX(0,$E99-$D99))</f>
        <v/>
      </c>
      <c r="G99" s="132" t="str">
        <f aca="false">IF($A99="","",IF($E99&lt;&gt;"",IF(N($F99)&gt;0,"Entregue com atraso","Entregue no prazo"),IF($D99="","Sem data prometida",IF($D99&lt;Hoje!$L$1,"ATRASADA","Aguardando"))))</f>
        <v/>
      </c>
      <c r="H99" s="133"/>
      <c r="I99" s="133"/>
    </row>
    <row r="100" customFormat="false" ht="21" hidden="false" customHeight="true" outlineLevel="0" collapsed="false">
      <c r="A100" s="132"/>
      <c r="B100" s="133"/>
      <c r="C100" s="134"/>
      <c r="D100" s="134"/>
      <c r="E100" s="134"/>
      <c r="F100" s="132" t="str">
        <f aca="false">IF(OR($A100="",$D100="",$E100=""),"",MAX(0,$E100-$D100))</f>
        <v/>
      </c>
      <c r="G100" s="132" t="str">
        <f aca="false">IF($A100="","",IF($E100&lt;&gt;"",IF(N($F100)&gt;0,"Entregue com atraso","Entregue no prazo"),IF($D100="","Sem data prometida",IF($D100&lt;Hoje!$L$1,"ATRASADA","Aguardando"))))</f>
        <v/>
      </c>
      <c r="H100" s="133"/>
      <c r="I100" s="133"/>
    </row>
    <row r="101" customFormat="false" ht="21" hidden="false" customHeight="true" outlineLevel="0" collapsed="false">
      <c r="A101" s="132"/>
      <c r="B101" s="133"/>
      <c r="C101" s="134"/>
      <c r="D101" s="134"/>
      <c r="E101" s="134"/>
      <c r="F101" s="132" t="str">
        <f aca="false">IF(OR($A101="",$D101="",$E101=""),"",MAX(0,$E101-$D101))</f>
        <v/>
      </c>
      <c r="G101" s="132" t="str">
        <f aca="false">IF($A101="","",IF($E101&lt;&gt;"",IF(N($F101)&gt;0,"Entregue com atraso","Entregue no prazo"),IF($D101="","Sem data prometida",IF($D101&lt;Hoje!$L$1,"ATRASADA","Aguardando"))))</f>
        <v/>
      </c>
      <c r="H101" s="133"/>
      <c r="I101" s="133"/>
    </row>
    <row r="102" customFormat="false" ht="21" hidden="false" customHeight="true" outlineLevel="0" collapsed="false">
      <c r="A102" s="132"/>
      <c r="B102" s="133"/>
      <c r="C102" s="134"/>
      <c r="D102" s="134"/>
      <c r="E102" s="134"/>
      <c r="F102" s="132" t="str">
        <f aca="false">IF(OR($A102="",$D102="",$E102=""),"",MAX(0,$E102-$D102))</f>
        <v/>
      </c>
      <c r="G102" s="132" t="str">
        <f aca="false">IF($A102="","",IF($E102&lt;&gt;"",IF(N($F102)&gt;0,"Entregue com atraso","Entregue no prazo"),IF($D102="","Sem data prometida",IF($D102&lt;Hoje!$L$1,"ATRASADA","Aguardando"))))</f>
        <v/>
      </c>
      <c r="H102" s="133"/>
      <c r="I102" s="133"/>
    </row>
    <row r="103" customFormat="false" ht="21" hidden="false" customHeight="true" outlineLevel="0" collapsed="false">
      <c r="A103" s="132"/>
      <c r="B103" s="133"/>
      <c r="C103" s="134"/>
      <c r="D103" s="134"/>
      <c r="E103" s="134"/>
      <c r="F103" s="132" t="str">
        <f aca="false">IF(OR($A103="",$D103="",$E103=""),"",MAX(0,$E103-$D103))</f>
        <v/>
      </c>
      <c r="G103" s="132" t="str">
        <f aca="false">IF($A103="","",IF($E103&lt;&gt;"",IF(N($F103)&gt;0,"Entregue com atraso","Entregue no prazo"),IF($D103="","Sem data prometida",IF($D103&lt;Hoje!$L$1,"ATRASADA","Aguardando"))))</f>
        <v/>
      </c>
      <c r="H103" s="133"/>
      <c r="I103" s="133"/>
    </row>
    <row r="104" customFormat="false" ht="21" hidden="false" customHeight="true" outlineLevel="0" collapsed="false">
      <c r="A104" s="132"/>
      <c r="B104" s="133"/>
      <c r="C104" s="134"/>
      <c r="D104" s="134"/>
      <c r="E104" s="134"/>
      <c r="F104" s="132" t="str">
        <f aca="false">IF(OR($A104="",$D104="",$E104=""),"",MAX(0,$E104-$D104))</f>
        <v/>
      </c>
      <c r="G104" s="132" t="str">
        <f aca="false">IF($A104="","",IF($E104&lt;&gt;"",IF(N($F104)&gt;0,"Entregue com atraso","Entregue no prazo"),IF($D104="","Sem data prometida",IF($D104&lt;Hoje!$L$1,"ATRASADA","Aguardando"))))</f>
        <v/>
      </c>
      <c r="H104" s="133"/>
      <c r="I104" s="133"/>
    </row>
    <row r="105" customFormat="false" ht="21" hidden="false" customHeight="true" outlineLevel="0" collapsed="false">
      <c r="A105" s="132"/>
      <c r="B105" s="133"/>
      <c r="C105" s="134"/>
      <c r="D105" s="134"/>
      <c r="E105" s="134"/>
      <c r="F105" s="132" t="str">
        <f aca="false">IF(OR($A105="",$D105="",$E105=""),"",MAX(0,$E105-$D105))</f>
        <v/>
      </c>
      <c r="G105" s="132" t="str">
        <f aca="false">IF($A105="","",IF($E105&lt;&gt;"",IF(N($F105)&gt;0,"Entregue com atraso","Entregue no prazo"),IF($D105="","Sem data prometida",IF($D105&lt;Hoje!$L$1,"ATRASADA","Aguardando"))))</f>
        <v/>
      </c>
      <c r="H105" s="133"/>
      <c r="I105" s="133"/>
    </row>
    <row r="106" customFormat="false" ht="21" hidden="false" customHeight="true" outlineLevel="0" collapsed="false">
      <c r="A106" s="132"/>
      <c r="B106" s="133"/>
      <c r="C106" s="134"/>
      <c r="D106" s="134"/>
      <c r="E106" s="134"/>
      <c r="F106" s="132" t="str">
        <f aca="false">IF(OR($A106="",$D106="",$E106=""),"",MAX(0,$E106-$D106))</f>
        <v/>
      </c>
      <c r="G106" s="132" t="str">
        <f aca="false">IF($A106="","",IF($E106&lt;&gt;"",IF(N($F106)&gt;0,"Entregue com atraso","Entregue no prazo"),IF($D106="","Sem data prometida",IF($D106&lt;Hoje!$L$1,"ATRASADA","Aguardando"))))</f>
        <v/>
      </c>
      <c r="H106" s="133"/>
      <c r="I106" s="133"/>
    </row>
    <row r="107" customFormat="false" ht="21" hidden="false" customHeight="true" outlineLevel="0" collapsed="false">
      <c r="A107" s="132"/>
      <c r="B107" s="133"/>
      <c r="C107" s="134"/>
      <c r="D107" s="134"/>
      <c r="E107" s="134"/>
      <c r="F107" s="132" t="str">
        <f aca="false">IF(OR($A107="",$D107="",$E107=""),"",MAX(0,$E107-$D107))</f>
        <v/>
      </c>
      <c r="G107" s="132" t="str">
        <f aca="false">IF($A107="","",IF($E107&lt;&gt;"",IF(N($F107)&gt;0,"Entregue com atraso","Entregue no prazo"),IF($D107="","Sem data prometida",IF($D107&lt;Hoje!$L$1,"ATRASADA","Aguardando"))))</f>
        <v/>
      </c>
      <c r="H107" s="133"/>
      <c r="I107" s="133"/>
    </row>
    <row r="108" customFormat="false" ht="21" hidden="false" customHeight="true" outlineLevel="0" collapsed="false">
      <c r="A108" s="132"/>
      <c r="B108" s="133"/>
      <c r="C108" s="134"/>
      <c r="D108" s="134"/>
      <c r="E108" s="134"/>
      <c r="F108" s="132" t="str">
        <f aca="false">IF(OR($A108="",$D108="",$E108=""),"",MAX(0,$E108-$D108))</f>
        <v/>
      </c>
      <c r="G108" s="132" t="str">
        <f aca="false">IF($A108="","",IF($E108&lt;&gt;"",IF(N($F108)&gt;0,"Entregue com atraso","Entregue no prazo"),IF($D108="","Sem data prometida",IF($D108&lt;Hoje!$L$1,"ATRASADA","Aguardando"))))</f>
        <v/>
      </c>
      <c r="H108" s="133"/>
      <c r="I108" s="133"/>
    </row>
    <row r="109" customFormat="false" ht="21" hidden="false" customHeight="true" outlineLevel="0" collapsed="false">
      <c r="A109" s="132"/>
      <c r="B109" s="133"/>
      <c r="C109" s="134"/>
      <c r="D109" s="134"/>
      <c r="E109" s="134"/>
      <c r="F109" s="132" t="str">
        <f aca="false">IF(OR($A109="",$D109="",$E109=""),"",MAX(0,$E109-$D109))</f>
        <v/>
      </c>
      <c r="G109" s="132" t="str">
        <f aca="false">IF($A109="","",IF($E109&lt;&gt;"",IF(N($F109)&gt;0,"Entregue com atraso","Entregue no prazo"),IF($D109="","Sem data prometida",IF($D109&lt;Hoje!$L$1,"ATRASADA","Aguardando"))))</f>
        <v/>
      </c>
      <c r="H109" s="133"/>
      <c r="I109" s="133"/>
    </row>
    <row r="110" customFormat="false" ht="21" hidden="false" customHeight="true" outlineLevel="0" collapsed="false">
      <c r="A110" s="132"/>
      <c r="B110" s="133"/>
      <c r="C110" s="134"/>
      <c r="D110" s="134"/>
      <c r="E110" s="134"/>
      <c r="F110" s="132" t="str">
        <f aca="false">IF(OR($A110="",$D110="",$E110=""),"",MAX(0,$E110-$D110))</f>
        <v/>
      </c>
      <c r="G110" s="132" t="str">
        <f aca="false">IF($A110="","",IF($E110&lt;&gt;"",IF(N($F110)&gt;0,"Entregue com atraso","Entregue no prazo"),IF($D110="","Sem data prometida",IF($D110&lt;Hoje!$L$1,"ATRASADA","Aguardando"))))</f>
        <v/>
      </c>
      <c r="H110" s="133"/>
      <c r="I110" s="133"/>
    </row>
    <row r="111" customFormat="false" ht="21" hidden="false" customHeight="true" outlineLevel="0" collapsed="false">
      <c r="A111" s="132"/>
      <c r="B111" s="133"/>
      <c r="C111" s="134"/>
      <c r="D111" s="134"/>
      <c r="E111" s="134"/>
      <c r="F111" s="132" t="str">
        <f aca="false">IF(OR($A111="",$D111="",$E111=""),"",MAX(0,$E111-$D111))</f>
        <v/>
      </c>
      <c r="G111" s="132" t="str">
        <f aca="false">IF($A111="","",IF($E111&lt;&gt;"",IF(N($F111)&gt;0,"Entregue com atraso","Entregue no prazo"),IF($D111="","Sem data prometida",IF($D111&lt;Hoje!$L$1,"ATRASADA","Aguardando"))))</f>
        <v/>
      </c>
      <c r="H111" s="133"/>
      <c r="I111" s="133"/>
    </row>
    <row r="112" customFormat="false" ht="21" hidden="false" customHeight="true" outlineLevel="0" collapsed="false">
      <c r="A112" s="132"/>
      <c r="B112" s="133"/>
      <c r="C112" s="134"/>
      <c r="D112" s="134"/>
      <c r="E112" s="134"/>
      <c r="F112" s="132" t="str">
        <f aca="false">IF(OR($A112="",$D112="",$E112=""),"",MAX(0,$E112-$D112))</f>
        <v/>
      </c>
      <c r="G112" s="132" t="str">
        <f aca="false">IF($A112="","",IF($E112&lt;&gt;"",IF(N($F112)&gt;0,"Entregue com atraso","Entregue no prazo"),IF($D112="","Sem data prometida",IF($D112&lt;Hoje!$L$1,"ATRASADA","Aguardando"))))</f>
        <v/>
      </c>
      <c r="H112" s="133"/>
      <c r="I112" s="133"/>
    </row>
    <row r="113" customFormat="false" ht="21" hidden="false" customHeight="true" outlineLevel="0" collapsed="false">
      <c r="A113" s="132"/>
      <c r="B113" s="133"/>
      <c r="C113" s="134"/>
      <c r="D113" s="134"/>
      <c r="E113" s="134"/>
      <c r="F113" s="132" t="str">
        <f aca="false">IF(OR($A113="",$D113="",$E113=""),"",MAX(0,$E113-$D113))</f>
        <v/>
      </c>
      <c r="G113" s="132" t="str">
        <f aca="false">IF($A113="","",IF($E113&lt;&gt;"",IF(N($F113)&gt;0,"Entregue com atraso","Entregue no prazo"),IF($D113="","Sem data prometida",IF($D113&lt;Hoje!$L$1,"ATRASADA","Aguardando"))))</f>
        <v/>
      </c>
      <c r="H113" s="133"/>
      <c r="I113" s="133"/>
    </row>
    <row r="114" customFormat="false" ht="21" hidden="false" customHeight="true" outlineLevel="0" collapsed="false">
      <c r="A114" s="132"/>
      <c r="B114" s="133"/>
      <c r="C114" s="134"/>
      <c r="D114" s="134"/>
      <c r="E114" s="134"/>
      <c r="F114" s="132" t="str">
        <f aca="false">IF(OR($A114="",$D114="",$E114=""),"",MAX(0,$E114-$D114))</f>
        <v/>
      </c>
      <c r="G114" s="132" t="str">
        <f aca="false">IF($A114="","",IF($E114&lt;&gt;"",IF(N($F114)&gt;0,"Entregue com atraso","Entregue no prazo"),IF($D114="","Sem data prometida",IF($D114&lt;Hoje!$L$1,"ATRASADA","Aguardando"))))</f>
        <v/>
      </c>
      <c r="H114" s="133"/>
      <c r="I114" s="133"/>
    </row>
    <row r="115" customFormat="false" ht="21" hidden="false" customHeight="true" outlineLevel="0" collapsed="false">
      <c r="A115" s="132"/>
      <c r="B115" s="133"/>
      <c r="C115" s="134"/>
      <c r="D115" s="134"/>
      <c r="E115" s="134"/>
      <c r="F115" s="132" t="str">
        <f aca="false">IF(OR($A115="",$D115="",$E115=""),"",MAX(0,$E115-$D115))</f>
        <v/>
      </c>
      <c r="G115" s="132" t="str">
        <f aca="false">IF($A115="","",IF($E115&lt;&gt;"",IF(N($F115)&gt;0,"Entregue com atraso","Entregue no prazo"),IF($D115="","Sem data prometida",IF($D115&lt;Hoje!$L$1,"ATRASADA","Aguardando"))))</f>
        <v/>
      </c>
      <c r="H115" s="133"/>
      <c r="I115" s="133"/>
    </row>
    <row r="116" customFormat="false" ht="21" hidden="false" customHeight="true" outlineLevel="0" collapsed="false">
      <c r="A116" s="132"/>
      <c r="B116" s="133"/>
      <c r="C116" s="134"/>
      <c r="D116" s="134"/>
      <c r="E116" s="134"/>
      <c r="F116" s="132" t="str">
        <f aca="false">IF(OR($A116="",$D116="",$E116=""),"",MAX(0,$E116-$D116))</f>
        <v/>
      </c>
      <c r="G116" s="132" t="str">
        <f aca="false">IF($A116="","",IF($E116&lt;&gt;"",IF(N($F116)&gt;0,"Entregue com atraso","Entregue no prazo"),IF($D116="","Sem data prometida",IF($D116&lt;Hoje!$L$1,"ATRASADA","Aguardando"))))</f>
        <v/>
      </c>
      <c r="H116" s="133"/>
      <c r="I116" s="133"/>
    </row>
    <row r="117" customFormat="false" ht="21" hidden="false" customHeight="true" outlineLevel="0" collapsed="false">
      <c r="A117" s="132"/>
      <c r="B117" s="133"/>
      <c r="C117" s="134"/>
      <c r="D117" s="134"/>
      <c r="E117" s="134"/>
      <c r="F117" s="132" t="str">
        <f aca="false">IF(OR($A117="",$D117="",$E117=""),"",MAX(0,$E117-$D117))</f>
        <v/>
      </c>
      <c r="G117" s="132" t="str">
        <f aca="false">IF($A117="","",IF($E117&lt;&gt;"",IF(N($F117)&gt;0,"Entregue com atraso","Entregue no prazo"),IF($D117="","Sem data prometida",IF($D117&lt;Hoje!$L$1,"ATRASADA","Aguardando"))))</f>
        <v/>
      </c>
      <c r="H117" s="133"/>
      <c r="I117" s="133"/>
    </row>
    <row r="118" customFormat="false" ht="21" hidden="false" customHeight="true" outlineLevel="0" collapsed="false">
      <c r="A118" s="132"/>
      <c r="B118" s="133"/>
      <c r="C118" s="134"/>
      <c r="D118" s="134"/>
      <c r="E118" s="134"/>
      <c r="F118" s="132" t="str">
        <f aca="false">IF(OR($A118="",$D118="",$E118=""),"",MAX(0,$E118-$D118))</f>
        <v/>
      </c>
      <c r="G118" s="132" t="str">
        <f aca="false">IF($A118="","",IF($E118&lt;&gt;"",IF(N($F118)&gt;0,"Entregue com atraso","Entregue no prazo"),IF($D118="","Sem data prometida",IF($D118&lt;Hoje!$L$1,"ATRASADA","Aguardando"))))</f>
        <v/>
      </c>
      <c r="H118" s="133"/>
      <c r="I118" s="133"/>
    </row>
    <row r="119" customFormat="false" ht="21" hidden="false" customHeight="true" outlineLevel="0" collapsed="false">
      <c r="A119" s="132"/>
      <c r="B119" s="133"/>
      <c r="C119" s="134"/>
      <c r="D119" s="134"/>
      <c r="E119" s="134"/>
      <c r="F119" s="132" t="str">
        <f aca="false">IF(OR($A119="",$D119="",$E119=""),"",MAX(0,$E119-$D119))</f>
        <v/>
      </c>
      <c r="G119" s="132" t="str">
        <f aca="false">IF($A119="","",IF($E119&lt;&gt;"",IF(N($F119)&gt;0,"Entregue com atraso","Entregue no prazo"),IF($D119="","Sem data prometida",IF($D119&lt;Hoje!$L$1,"ATRASADA","Aguardando"))))</f>
        <v/>
      </c>
      <c r="H119" s="133"/>
      <c r="I119" s="133"/>
    </row>
    <row r="120" customFormat="false" ht="21" hidden="false" customHeight="true" outlineLevel="0" collapsed="false">
      <c r="A120" s="132"/>
      <c r="B120" s="133"/>
      <c r="C120" s="134"/>
      <c r="D120" s="134"/>
      <c r="E120" s="134"/>
      <c r="F120" s="132" t="str">
        <f aca="false">IF(OR($A120="",$D120="",$E120=""),"",MAX(0,$E120-$D120))</f>
        <v/>
      </c>
      <c r="G120" s="132" t="str">
        <f aca="false">IF($A120="","",IF($E120&lt;&gt;"",IF(N($F120)&gt;0,"Entregue com atraso","Entregue no prazo"),IF($D120="","Sem data prometida",IF($D120&lt;Hoje!$L$1,"ATRASADA","Aguardando"))))</f>
        <v/>
      </c>
      <c r="H120" s="133"/>
      <c r="I120" s="133"/>
    </row>
    <row r="121" customFormat="false" ht="21" hidden="false" customHeight="true" outlineLevel="0" collapsed="false">
      <c r="A121" s="132"/>
      <c r="B121" s="133"/>
      <c r="C121" s="134"/>
      <c r="D121" s="134"/>
      <c r="E121" s="134"/>
      <c r="F121" s="132" t="str">
        <f aca="false">IF(OR($A121="",$D121="",$E121=""),"",MAX(0,$E121-$D121))</f>
        <v/>
      </c>
      <c r="G121" s="132" t="str">
        <f aca="false">IF($A121="","",IF($E121&lt;&gt;"",IF(N($F121)&gt;0,"Entregue com atraso","Entregue no prazo"),IF($D121="","Sem data prometida",IF($D121&lt;Hoje!$L$1,"ATRASADA","Aguardando"))))</f>
        <v/>
      </c>
      <c r="H121" s="133"/>
      <c r="I121" s="133"/>
    </row>
    <row r="122" customFormat="false" ht="21" hidden="false" customHeight="true" outlineLevel="0" collapsed="false">
      <c r="A122" s="132"/>
      <c r="B122" s="133"/>
      <c r="C122" s="134"/>
      <c r="D122" s="134"/>
      <c r="E122" s="134"/>
      <c r="F122" s="132" t="str">
        <f aca="false">IF(OR($A122="",$D122="",$E122=""),"",MAX(0,$E122-$D122))</f>
        <v/>
      </c>
      <c r="G122" s="132" t="str">
        <f aca="false">IF($A122="","",IF($E122&lt;&gt;"",IF(N($F122)&gt;0,"Entregue com atraso","Entregue no prazo"),IF($D122="","Sem data prometida",IF($D122&lt;Hoje!$L$1,"ATRASADA","Aguardando"))))</f>
        <v/>
      </c>
      <c r="H122" s="133"/>
      <c r="I122" s="133"/>
    </row>
    <row r="123" customFormat="false" ht="21" hidden="false" customHeight="true" outlineLevel="0" collapsed="false">
      <c r="A123" s="132"/>
      <c r="B123" s="133"/>
      <c r="C123" s="134"/>
      <c r="D123" s="134"/>
      <c r="E123" s="134"/>
      <c r="F123" s="132" t="str">
        <f aca="false">IF(OR($A123="",$D123="",$E123=""),"",MAX(0,$E123-$D123))</f>
        <v/>
      </c>
      <c r="G123" s="132" t="str">
        <f aca="false">IF($A123="","",IF($E123&lt;&gt;"",IF(N($F123)&gt;0,"Entregue com atraso","Entregue no prazo"),IF($D123="","Sem data prometida",IF($D123&lt;Hoje!$L$1,"ATRASADA","Aguardando"))))</f>
        <v/>
      </c>
      <c r="H123" s="133"/>
      <c r="I123" s="133"/>
    </row>
    <row r="124" customFormat="false" ht="21" hidden="false" customHeight="true" outlineLevel="0" collapsed="false">
      <c r="A124" s="132"/>
      <c r="B124" s="133"/>
      <c r="C124" s="134"/>
      <c r="D124" s="134"/>
      <c r="E124" s="134"/>
      <c r="F124" s="132" t="str">
        <f aca="false">IF(OR($A124="",$D124="",$E124=""),"",MAX(0,$E124-$D124))</f>
        <v/>
      </c>
      <c r="G124" s="132" t="str">
        <f aca="false">IF($A124="","",IF($E124&lt;&gt;"",IF(N($F124)&gt;0,"Entregue com atraso","Entregue no prazo"),IF($D124="","Sem data prometida",IF($D124&lt;Hoje!$L$1,"ATRASADA","Aguardando"))))</f>
        <v/>
      </c>
      <c r="H124" s="133"/>
      <c r="I124" s="133"/>
    </row>
    <row r="125" customFormat="false" ht="21" hidden="false" customHeight="true" outlineLevel="0" collapsed="false">
      <c r="A125" s="132"/>
      <c r="B125" s="133"/>
      <c r="C125" s="134"/>
      <c r="D125" s="134"/>
      <c r="E125" s="134"/>
      <c r="F125" s="132" t="str">
        <f aca="false">IF(OR($A125="",$D125="",$E125=""),"",MAX(0,$E125-$D125))</f>
        <v/>
      </c>
      <c r="G125" s="132" t="str">
        <f aca="false">IF($A125="","",IF($E125&lt;&gt;"",IF(N($F125)&gt;0,"Entregue com atraso","Entregue no prazo"),IF($D125="","Sem data prometida",IF($D125&lt;Hoje!$L$1,"ATRASADA","Aguardando"))))</f>
        <v/>
      </c>
      <c r="H125" s="133"/>
      <c r="I125" s="133"/>
    </row>
    <row r="126" customFormat="false" ht="21" hidden="false" customHeight="true" outlineLevel="0" collapsed="false">
      <c r="A126" s="132"/>
      <c r="B126" s="133"/>
      <c r="C126" s="134"/>
      <c r="D126" s="134"/>
      <c r="E126" s="134"/>
      <c r="F126" s="132" t="str">
        <f aca="false">IF(OR($A126="",$D126="",$E126=""),"",MAX(0,$E126-$D126))</f>
        <v/>
      </c>
      <c r="G126" s="132" t="str">
        <f aca="false">IF($A126="","",IF($E126&lt;&gt;"",IF(N($F126)&gt;0,"Entregue com atraso","Entregue no prazo"),IF($D126="","Sem data prometida",IF($D126&lt;Hoje!$L$1,"ATRASADA","Aguardando"))))</f>
        <v/>
      </c>
      <c r="H126" s="133"/>
      <c r="I126" s="133"/>
    </row>
    <row r="127" customFormat="false" ht="21" hidden="false" customHeight="true" outlineLevel="0" collapsed="false">
      <c r="A127" s="132"/>
      <c r="B127" s="133"/>
      <c r="C127" s="134"/>
      <c r="D127" s="134"/>
      <c r="E127" s="134"/>
      <c r="F127" s="132" t="str">
        <f aca="false">IF(OR($A127="",$D127="",$E127=""),"",MAX(0,$E127-$D127))</f>
        <v/>
      </c>
      <c r="G127" s="132" t="str">
        <f aca="false">IF($A127="","",IF($E127&lt;&gt;"",IF(N($F127)&gt;0,"Entregue com atraso","Entregue no prazo"),IF($D127="","Sem data prometida",IF($D127&lt;Hoje!$L$1,"ATRASADA","Aguardando"))))</f>
        <v/>
      </c>
      <c r="H127" s="133"/>
      <c r="I127" s="133"/>
    </row>
    <row r="128" customFormat="false" ht="21" hidden="false" customHeight="true" outlineLevel="0" collapsed="false">
      <c r="A128" s="132"/>
      <c r="B128" s="133"/>
      <c r="C128" s="134"/>
      <c r="D128" s="134"/>
      <c r="E128" s="134"/>
      <c r="F128" s="132" t="str">
        <f aca="false">IF(OR($A128="",$D128="",$E128=""),"",MAX(0,$E128-$D128))</f>
        <v/>
      </c>
      <c r="G128" s="132" t="str">
        <f aca="false">IF($A128="","",IF($E128&lt;&gt;"",IF(N($F128)&gt;0,"Entregue com atraso","Entregue no prazo"),IF($D128="","Sem data prometida",IF($D128&lt;Hoje!$L$1,"ATRASADA","Aguardando"))))</f>
        <v/>
      </c>
      <c r="H128" s="133"/>
      <c r="I128" s="133"/>
    </row>
    <row r="129" customFormat="false" ht="21" hidden="false" customHeight="true" outlineLevel="0" collapsed="false">
      <c r="A129" s="132"/>
      <c r="B129" s="133"/>
      <c r="C129" s="134"/>
      <c r="D129" s="134"/>
      <c r="E129" s="134"/>
      <c r="F129" s="132" t="str">
        <f aca="false">IF(OR($A129="",$D129="",$E129=""),"",MAX(0,$E129-$D129))</f>
        <v/>
      </c>
      <c r="G129" s="132" t="str">
        <f aca="false">IF($A129="","",IF($E129&lt;&gt;"",IF(N($F129)&gt;0,"Entregue com atraso","Entregue no prazo"),IF($D129="","Sem data prometida",IF($D129&lt;Hoje!$L$1,"ATRASADA","Aguardando"))))</f>
        <v/>
      </c>
      <c r="H129" s="133"/>
      <c r="I129" s="133"/>
    </row>
    <row r="130" customFormat="false" ht="21" hidden="false" customHeight="true" outlineLevel="0" collapsed="false">
      <c r="A130" s="132"/>
      <c r="B130" s="133"/>
      <c r="C130" s="134"/>
      <c r="D130" s="134"/>
      <c r="E130" s="134"/>
      <c r="F130" s="132" t="str">
        <f aca="false">IF(OR($A130="",$D130="",$E130=""),"",MAX(0,$E130-$D130))</f>
        <v/>
      </c>
      <c r="G130" s="132" t="str">
        <f aca="false">IF($A130="","",IF($E130&lt;&gt;"",IF(N($F130)&gt;0,"Entregue com atraso","Entregue no prazo"),IF($D130="","Sem data prometida",IF($D130&lt;Hoje!$L$1,"ATRASADA","Aguardando"))))</f>
        <v/>
      </c>
      <c r="H130" s="133"/>
      <c r="I130" s="133"/>
    </row>
    <row r="131" customFormat="false" ht="21" hidden="false" customHeight="true" outlineLevel="0" collapsed="false">
      <c r="A131" s="132"/>
      <c r="B131" s="133"/>
      <c r="C131" s="134"/>
      <c r="D131" s="134"/>
      <c r="E131" s="134"/>
      <c r="F131" s="132" t="str">
        <f aca="false">IF(OR($A131="",$D131="",$E131=""),"",MAX(0,$E131-$D131))</f>
        <v/>
      </c>
      <c r="G131" s="132" t="str">
        <f aca="false">IF($A131="","",IF($E131&lt;&gt;"",IF(N($F131)&gt;0,"Entregue com atraso","Entregue no prazo"),IF($D131="","Sem data prometida",IF($D131&lt;Hoje!$L$1,"ATRASADA","Aguardando"))))</f>
        <v/>
      </c>
      <c r="H131" s="133"/>
      <c r="I131" s="133"/>
    </row>
    <row r="132" customFormat="false" ht="21" hidden="false" customHeight="true" outlineLevel="0" collapsed="false">
      <c r="A132" s="132"/>
      <c r="B132" s="133"/>
      <c r="C132" s="134"/>
      <c r="D132" s="134"/>
      <c r="E132" s="134"/>
      <c r="F132" s="132" t="str">
        <f aca="false">IF(OR($A132="",$D132="",$E132=""),"",MAX(0,$E132-$D132))</f>
        <v/>
      </c>
      <c r="G132" s="132" t="str">
        <f aca="false">IF($A132="","",IF($E132&lt;&gt;"",IF(N($F132)&gt;0,"Entregue com atraso","Entregue no prazo"),IF($D132="","Sem data prometida",IF($D132&lt;Hoje!$L$1,"ATRASADA","Aguardando"))))</f>
        <v/>
      </c>
      <c r="H132" s="133"/>
      <c r="I132" s="133"/>
    </row>
    <row r="133" customFormat="false" ht="21" hidden="false" customHeight="true" outlineLevel="0" collapsed="false">
      <c r="A133" s="132"/>
      <c r="B133" s="133"/>
      <c r="C133" s="134"/>
      <c r="D133" s="134"/>
      <c r="E133" s="134"/>
      <c r="F133" s="132" t="str">
        <f aca="false">IF(OR($A133="",$D133="",$E133=""),"",MAX(0,$E133-$D133))</f>
        <v/>
      </c>
      <c r="G133" s="132" t="str">
        <f aca="false">IF($A133="","",IF($E133&lt;&gt;"",IF(N($F133)&gt;0,"Entregue com atraso","Entregue no prazo"),IF($D133="","Sem data prometida",IF($D133&lt;Hoje!$L$1,"ATRASADA","Aguardando"))))</f>
        <v/>
      </c>
      <c r="H133" s="133"/>
      <c r="I133" s="133"/>
    </row>
    <row r="134" customFormat="false" ht="21" hidden="false" customHeight="true" outlineLevel="0" collapsed="false">
      <c r="A134" s="132"/>
      <c r="B134" s="133"/>
      <c r="C134" s="134"/>
      <c r="D134" s="134"/>
      <c r="E134" s="134"/>
      <c r="F134" s="132" t="str">
        <f aca="false">IF(OR($A134="",$D134="",$E134=""),"",MAX(0,$E134-$D134))</f>
        <v/>
      </c>
      <c r="G134" s="132" t="str">
        <f aca="false">IF($A134="","",IF($E134&lt;&gt;"",IF(N($F134)&gt;0,"Entregue com atraso","Entregue no prazo"),IF($D134="","Sem data prometida",IF($D134&lt;Hoje!$L$1,"ATRASADA","Aguardando"))))</f>
        <v/>
      </c>
      <c r="H134" s="133"/>
      <c r="I134" s="133"/>
    </row>
    <row r="135" customFormat="false" ht="21" hidden="false" customHeight="true" outlineLevel="0" collapsed="false">
      <c r="A135" s="132"/>
      <c r="B135" s="133"/>
      <c r="C135" s="134"/>
      <c r="D135" s="134"/>
      <c r="E135" s="134"/>
      <c r="F135" s="132" t="str">
        <f aca="false">IF(OR($A135="",$D135="",$E135=""),"",MAX(0,$E135-$D135))</f>
        <v/>
      </c>
      <c r="G135" s="132" t="str">
        <f aca="false">IF($A135="","",IF($E135&lt;&gt;"",IF(N($F135)&gt;0,"Entregue com atraso","Entregue no prazo"),IF($D135="","Sem data prometida",IF($D135&lt;Hoje!$L$1,"ATRASADA","Aguardando"))))</f>
        <v/>
      </c>
      <c r="H135" s="133"/>
      <c r="I135" s="133"/>
    </row>
    <row r="136" customFormat="false" ht="21" hidden="false" customHeight="true" outlineLevel="0" collapsed="false">
      <c r="A136" s="132"/>
      <c r="B136" s="133"/>
      <c r="C136" s="134"/>
      <c r="D136" s="134"/>
      <c r="E136" s="134"/>
      <c r="F136" s="132" t="str">
        <f aca="false">IF(OR($A136="",$D136="",$E136=""),"",MAX(0,$E136-$D136))</f>
        <v/>
      </c>
      <c r="G136" s="132" t="str">
        <f aca="false">IF($A136="","",IF($E136&lt;&gt;"",IF(N($F136)&gt;0,"Entregue com atraso","Entregue no prazo"),IF($D136="","Sem data prometida",IF($D136&lt;Hoje!$L$1,"ATRASADA","Aguardando"))))</f>
        <v/>
      </c>
      <c r="H136" s="133"/>
      <c r="I136" s="133"/>
    </row>
    <row r="137" customFormat="false" ht="21" hidden="false" customHeight="true" outlineLevel="0" collapsed="false">
      <c r="A137" s="132"/>
      <c r="B137" s="133"/>
      <c r="C137" s="134"/>
      <c r="D137" s="134"/>
      <c r="E137" s="134"/>
      <c r="F137" s="132" t="str">
        <f aca="false">IF(OR($A137="",$D137="",$E137=""),"",MAX(0,$E137-$D137))</f>
        <v/>
      </c>
      <c r="G137" s="132" t="str">
        <f aca="false">IF($A137="","",IF($E137&lt;&gt;"",IF(N($F137)&gt;0,"Entregue com atraso","Entregue no prazo"),IF($D137="","Sem data prometida",IF($D137&lt;Hoje!$L$1,"ATRASADA","Aguardando"))))</f>
        <v/>
      </c>
      <c r="H137" s="133"/>
      <c r="I137" s="133"/>
    </row>
    <row r="138" customFormat="false" ht="21" hidden="false" customHeight="true" outlineLevel="0" collapsed="false">
      <c r="A138" s="132"/>
      <c r="B138" s="133"/>
      <c r="C138" s="134"/>
      <c r="D138" s="134"/>
      <c r="E138" s="134"/>
      <c r="F138" s="132" t="str">
        <f aca="false">IF(OR($A138="",$D138="",$E138=""),"",MAX(0,$E138-$D138))</f>
        <v/>
      </c>
      <c r="G138" s="132" t="str">
        <f aca="false">IF($A138="","",IF($E138&lt;&gt;"",IF(N($F138)&gt;0,"Entregue com atraso","Entregue no prazo"),IF($D138="","Sem data prometida",IF($D138&lt;Hoje!$L$1,"ATRASADA","Aguardando"))))</f>
        <v/>
      </c>
      <c r="H138" s="133"/>
      <c r="I138" s="133"/>
    </row>
    <row r="139" customFormat="false" ht="21" hidden="false" customHeight="true" outlineLevel="0" collapsed="false">
      <c r="A139" s="132"/>
      <c r="B139" s="133"/>
      <c r="C139" s="134"/>
      <c r="D139" s="134"/>
      <c r="E139" s="134"/>
      <c r="F139" s="132" t="str">
        <f aca="false">IF(OR($A139="",$D139="",$E139=""),"",MAX(0,$E139-$D139))</f>
        <v/>
      </c>
      <c r="G139" s="132" t="str">
        <f aca="false">IF($A139="","",IF($E139&lt;&gt;"",IF(N($F139)&gt;0,"Entregue com atraso","Entregue no prazo"),IF($D139="","Sem data prometida",IF($D139&lt;Hoje!$L$1,"ATRASADA","Aguardando"))))</f>
        <v/>
      </c>
      <c r="H139" s="133"/>
      <c r="I139" s="133"/>
    </row>
    <row r="140" customFormat="false" ht="21" hidden="false" customHeight="true" outlineLevel="0" collapsed="false">
      <c r="A140" s="132"/>
      <c r="B140" s="133"/>
      <c r="C140" s="134"/>
      <c r="D140" s="134"/>
      <c r="E140" s="134"/>
      <c r="F140" s="132" t="str">
        <f aca="false">IF(OR($A140="",$D140="",$E140=""),"",MAX(0,$E140-$D140))</f>
        <v/>
      </c>
      <c r="G140" s="132" t="str">
        <f aca="false">IF($A140="","",IF($E140&lt;&gt;"",IF(N($F140)&gt;0,"Entregue com atraso","Entregue no prazo"),IF($D140="","Sem data prometida",IF($D140&lt;Hoje!$L$1,"ATRASADA","Aguardando"))))</f>
        <v/>
      </c>
      <c r="H140" s="133"/>
      <c r="I140" s="133"/>
    </row>
    <row r="141" customFormat="false" ht="21" hidden="false" customHeight="true" outlineLevel="0" collapsed="false">
      <c r="A141" s="132"/>
      <c r="B141" s="133"/>
      <c r="C141" s="134"/>
      <c r="D141" s="134"/>
      <c r="E141" s="134"/>
      <c r="F141" s="132" t="str">
        <f aca="false">IF(OR($A141="",$D141="",$E141=""),"",MAX(0,$E141-$D141))</f>
        <v/>
      </c>
      <c r="G141" s="132" t="str">
        <f aca="false">IF($A141="","",IF($E141&lt;&gt;"",IF(N($F141)&gt;0,"Entregue com atraso","Entregue no prazo"),IF($D141="","Sem data prometida",IF($D141&lt;Hoje!$L$1,"ATRASADA","Aguardando"))))</f>
        <v/>
      </c>
      <c r="H141" s="133"/>
      <c r="I141" s="133"/>
    </row>
    <row r="142" customFormat="false" ht="21" hidden="false" customHeight="true" outlineLevel="0" collapsed="false">
      <c r="A142" s="132"/>
      <c r="B142" s="133"/>
      <c r="C142" s="134"/>
      <c r="D142" s="134"/>
      <c r="E142" s="134"/>
      <c r="F142" s="132" t="str">
        <f aca="false">IF(OR($A142="",$D142="",$E142=""),"",MAX(0,$E142-$D142))</f>
        <v/>
      </c>
      <c r="G142" s="132" t="str">
        <f aca="false">IF($A142="","",IF($E142&lt;&gt;"",IF(N($F142)&gt;0,"Entregue com atraso","Entregue no prazo"),IF($D142="","Sem data prometida",IF($D142&lt;Hoje!$L$1,"ATRASADA","Aguardando"))))</f>
        <v/>
      </c>
      <c r="H142" s="133"/>
      <c r="I142" s="133"/>
    </row>
    <row r="143" customFormat="false" ht="21" hidden="false" customHeight="true" outlineLevel="0" collapsed="false">
      <c r="A143" s="132"/>
      <c r="B143" s="133"/>
      <c r="C143" s="134"/>
      <c r="D143" s="134"/>
      <c r="E143" s="134"/>
      <c r="F143" s="132" t="str">
        <f aca="false">IF(OR($A143="",$D143="",$E143=""),"",MAX(0,$E143-$D143))</f>
        <v/>
      </c>
      <c r="G143" s="132" t="str">
        <f aca="false">IF($A143="","",IF($E143&lt;&gt;"",IF(N($F143)&gt;0,"Entregue com atraso","Entregue no prazo"),IF($D143="","Sem data prometida",IF($D143&lt;Hoje!$L$1,"ATRASADA","Aguardando"))))</f>
        <v/>
      </c>
      <c r="H143" s="133"/>
      <c r="I143" s="133"/>
    </row>
    <row r="144" customFormat="false" ht="21" hidden="false" customHeight="true" outlineLevel="0" collapsed="false">
      <c r="A144" s="132"/>
      <c r="B144" s="133"/>
      <c r="C144" s="134"/>
      <c r="D144" s="134"/>
      <c r="E144" s="134"/>
      <c r="F144" s="132" t="str">
        <f aca="false">IF(OR($A144="",$D144="",$E144=""),"",MAX(0,$E144-$D144))</f>
        <v/>
      </c>
      <c r="G144" s="132" t="str">
        <f aca="false">IF($A144="","",IF($E144&lt;&gt;"",IF(N($F144)&gt;0,"Entregue com atraso","Entregue no prazo"),IF($D144="","Sem data prometida",IF($D144&lt;Hoje!$L$1,"ATRASADA","Aguardando"))))</f>
        <v/>
      </c>
      <c r="H144" s="133"/>
      <c r="I144" s="133"/>
    </row>
    <row r="145" customFormat="false" ht="21" hidden="false" customHeight="true" outlineLevel="0" collapsed="false">
      <c r="A145" s="132"/>
      <c r="B145" s="133"/>
      <c r="C145" s="134"/>
      <c r="D145" s="134"/>
      <c r="E145" s="134"/>
      <c r="F145" s="132" t="str">
        <f aca="false">IF(OR($A145="",$D145="",$E145=""),"",MAX(0,$E145-$D145))</f>
        <v/>
      </c>
      <c r="G145" s="132" t="str">
        <f aca="false">IF($A145="","",IF($E145&lt;&gt;"",IF(N($F145)&gt;0,"Entregue com atraso","Entregue no prazo"),IF($D145="","Sem data prometida",IF($D145&lt;Hoje!$L$1,"ATRASADA","Aguardando"))))</f>
        <v/>
      </c>
      <c r="H145" s="133"/>
      <c r="I145" s="133"/>
    </row>
    <row r="146" customFormat="false" ht="21" hidden="false" customHeight="true" outlineLevel="0" collapsed="false">
      <c r="A146" s="132"/>
      <c r="B146" s="133"/>
      <c r="C146" s="134"/>
      <c r="D146" s="134"/>
      <c r="E146" s="134"/>
      <c r="F146" s="132" t="str">
        <f aca="false">IF(OR($A146="",$D146="",$E146=""),"",MAX(0,$E146-$D146))</f>
        <v/>
      </c>
      <c r="G146" s="132" t="str">
        <f aca="false">IF($A146="","",IF($E146&lt;&gt;"",IF(N($F146)&gt;0,"Entregue com atraso","Entregue no prazo"),IF($D146="","Sem data prometida",IF($D146&lt;Hoje!$L$1,"ATRASADA","Aguardando"))))</f>
        <v/>
      </c>
      <c r="H146" s="133"/>
      <c r="I146" s="133"/>
    </row>
    <row r="147" customFormat="false" ht="21" hidden="false" customHeight="true" outlineLevel="0" collapsed="false">
      <c r="A147" s="132"/>
      <c r="B147" s="133"/>
      <c r="C147" s="134"/>
      <c r="D147" s="134"/>
      <c r="E147" s="134"/>
      <c r="F147" s="132" t="str">
        <f aca="false">IF(OR($A147="",$D147="",$E147=""),"",MAX(0,$E147-$D147))</f>
        <v/>
      </c>
      <c r="G147" s="132" t="str">
        <f aca="false">IF($A147="","",IF($E147&lt;&gt;"",IF(N($F147)&gt;0,"Entregue com atraso","Entregue no prazo"),IF($D147="","Sem data prometida",IF($D147&lt;Hoje!$L$1,"ATRASADA","Aguardando"))))</f>
        <v/>
      </c>
      <c r="H147" s="133"/>
      <c r="I147" s="133"/>
    </row>
    <row r="148" customFormat="false" ht="21" hidden="false" customHeight="true" outlineLevel="0" collapsed="false">
      <c r="A148" s="132"/>
      <c r="B148" s="133"/>
      <c r="C148" s="134"/>
      <c r="D148" s="134"/>
      <c r="E148" s="134"/>
      <c r="F148" s="132" t="str">
        <f aca="false">IF(OR($A148="",$D148="",$E148=""),"",MAX(0,$E148-$D148))</f>
        <v/>
      </c>
      <c r="G148" s="132" t="str">
        <f aca="false">IF($A148="","",IF($E148&lt;&gt;"",IF(N($F148)&gt;0,"Entregue com atraso","Entregue no prazo"),IF($D148="","Sem data prometida",IF($D148&lt;Hoje!$L$1,"ATRASADA","Aguardando"))))</f>
        <v/>
      </c>
      <c r="H148" s="133"/>
      <c r="I148" s="133"/>
    </row>
    <row r="149" customFormat="false" ht="21" hidden="false" customHeight="true" outlineLevel="0" collapsed="false">
      <c r="A149" s="132"/>
      <c r="B149" s="133"/>
      <c r="C149" s="134"/>
      <c r="D149" s="134"/>
      <c r="E149" s="134"/>
      <c r="F149" s="132" t="str">
        <f aca="false">IF(OR($A149="",$D149="",$E149=""),"",MAX(0,$E149-$D149))</f>
        <v/>
      </c>
      <c r="G149" s="132" t="str">
        <f aca="false">IF($A149="","",IF($E149&lt;&gt;"",IF(N($F149)&gt;0,"Entregue com atraso","Entregue no prazo"),IF($D149="","Sem data prometida",IF($D149&lt;Hoje!$L$1,"ATRASADA","Aguardando"))))</f>
        <v/>
      </c>
      <c r="H149" s="133"/>
      <c r="I149" s="133"/>
    </row>
    <row r="150" customFormat="false" ht="21" hidden="false" customHeight="true" outlineLevel="0" collapsed="false">
      <c r="A150" s="132"/>
      <c r="B150" s="133"/>
      <c r="C150" s="134"/>
      <c r="D150" s="134"/>
      <c r="E150" s="134"/>
      <c r="F150" s="132" t="str">
        <f aca="false">IF(OR($A150="",$D150="",$E150=""),"",MAX(0,$E150-$D150))</f>
        <v/>
      </c>
      <c r="G150" s="132" t="str">
        <f aca="false">IF($A150="","",IF($E150&lt;&gt;"",IF(N($F150)&gt;0,"Entregue com atraso","Entregue no prazo"),IF($D150="","Sem data prometida",IF($D150&lt;Hoje!$L$1,"ATRASADA","Aguardando"))))</f>
        <v/>
      </c>
      <c r="H150" s="133"/>
      <c r="I150" s="133"/>
    </row>
    <row r="151" customFormat="false" ht="21" hidden="false" customHeight="true" outlineLevel="0" collapsed="false">
      <c r="A151" s="132"/>
      <c r="B151" s="133"/>
      <c r="C151" s="134"/>
      <c r="D151" s="134"/>
      <c r="E151" s="134"/>
      <c r="F151" s="132" t="str">
        <f aca="false">IF(OR($A151="",$D151="",$E151=""),"",MAX(0,$E151-$D151))</f>
        <v/>
      </c>
      <c r="G151" s="132" t="str">
        <f aca="false">IF($A151="","",IF($E151&lt;&gt;"",IF(N($F151)&gt;0,"Entregue com atraso","Entregue no prazo"),IF($D151="","Sem data prometida",IF($D151&lt;Hoje!$L$1,"ATRASADA","Aguardando"))))</f>
        <v/>
      </c>
      <c r="H151" s="133"/>
      <c r="I151" s="133"/>
    </row>
    <row r="152" customFormat="false" ht="21" hidden="false" customHeight="true" outlineLevel="0" collapsed="false">
      <c r="A152" s="132"/>
      <c r="B152" s="133"/>
      <c r="C152" s="134"/>
      <c r="D152" s="134"/>
      <c r="E152" s="134"/>
      <c r="F152" s="132" t="str">
        <f aca="false">IF(OR($A152="",$D152="",$E152=""),"",MAX(0,$E152-$D152))</f>
        <v/>
      </c>
      <c r="G152" s="132" t="str">
        <f aca="false">IF($A152="","",IF($E152&lt;&gt;"",IF(N($F152)&gt;0,"Entregue com atraso","Entregue no prazo"),IF($D152="","Sem data prometida",IF($D152&lt;Hoje!$L$1,"ATRASADA","Aguardando"))))</f>
        <v/>
      </c>
      <c r="H152" s="133"/>
      <c r="I152" s="133"/>
    </row>
    <row r="153" customFormat="false" ht="21" hidden="false" customHeight="true" outlineLevel="0" collapsed="false">
      <c r="A153" s="132"/>
      <c r="B153" s="133"/>
      <c r="C153" s="134"/>
      <c r="D153" s="134"/>
      <c r="E153" s="134"/>
      <c r="F153" s="132" t="str">
        <f aca="false">IF(OR($A153="",$D153="",$E153=""),"",MAX(0,$E153-$D153))</f>
        <v/>
      </c>
      <c r="G153" s="132" t="str">
        <f aca="false">IF($A153="","",IF($E153&lt;&gt;"",IF(N($F153)&gt;0,"Entregue com atraso","Entregue no prazo"),IF($D153="","Sem data prometida",IF($D153&lt;Hoje!$L$1,"ATRASADA","Aguardando"))))</f>
        <v/>
      </c>
      <c r="H153" s="133"/>
      <c r="I153" s="133"/>
    </row>
    <row r="154" customFormat="false" ht="21" hidden="false" customHeight="true" outlineLevel="0" collapsed="false">
      <c r="A154" s="132"/>
      <c r="B154" s="133"/>
      <c r="C154" s="134"/>
      <c r="D154" s="134"/>
      <c r="E154" s="134"/>
      <c r="F154" s="132" t="str">
        <f aca="false">IF(OR($A154="",$D154="",$E154=""),"",MAX(0,$E154-$D154))</f>
        <v/>
      </c>
      <c r="G154" s="132" t="str">
        <f aca="false">IF($A154="","",IF($E154&lt;&gt;"",IF(N($F154)&gt;0,"Entregue com atraso","Entregue no prazo"),IF($D154="","Sem data prometida",IF($D154&lt;Hoje!$L$1,"ATRASADA","Aguardando"))))</f>
        <v/>
      </c>
      <c r="H154" s="133"/>
      <c r="I154" s="133"/>
    </row>
    <row r="155" customFormat="false" ht="21" hidden="false" customHeight="true" outlineLevel="0" collapsed="false">
      <c r="A155" s="132"/>
      <c r="B155" s="133"/>
      <c r="C155" s="134"/>
      <c r="D155" s="134"/>
      <c r="E155" s="134"/>
      <c r="F155" s="132" t="str">
        <f aca="false">IF(OR($A155="",$D155="",$E155=""),"",MAX(0,$E155-$D155))</f>
        <v/>
      </c>
      <c r="G155" s="132" t="str">
        <f aca="false">IF($A155="","",IF($E155&lt;&gt;"",IF(N($F155)&gt;0,"Entregue com atraso","Entregue no prazo"),IF($D155="","Sem data prometida",IF($D155&lt;Hoje!$L$1,"ATRASADA","Aguardando"))))</f>
        <v/>
      </c>
      <c r="H155" s="133"/>
      <c r="I155" s="133"/>
    </row>
    <row r="156" customFormat="false" ht="21" hidden="false" customHeight="true" outlineLevel="0" collapsed="false">
      <c r="A156" s="132"/>
      <c r="B156" s="133"/>
      <c r="C156" s="134"/>
      <c r="D156" s="134"/>
      <c r="E156" s="134"/>
      <c r="F156" s="132" t="str">
        <f aca="false">IF(OR($A156="",$D156="",$E156=""),"",MAX(0,$E156-$D156))</f>
        <v/>
      </c>
      <c r="G156" s="132" t="str">
        <f aca="false">IF($A156="","",IF($E156&lt;&gt;"",IF(N($F156)&gt;0,"Entregue com atraso","Entregue no prazo"),IF($D156="","Sem data prometida",IF($D156&lt;Hoje!$L$1,"ATRASADA","Aguardando"))))</f>
        <v/>
      </c>
      <c r="H156" s="133"/>
      <c r="I156" s="133"/>
    </row>
    <row r="157" customFormat="false" ht="21" hidden="false" customHeight="true" outlineLevel="0" collapsed="false">
      <c r="A157" s="132"/>
      <c r="B157" s="133"/>
      <c r="C157" s="134"/>
      <c r="D157" s="134"/>
      <c r="E157" s="134"/>
      <c r="F157" s="132" t="str">
        <f aca="false">IF(OR($A157="",$D157="",$E157=""),"",MAX(0,$E157-$D157))</f>
        <v/>
      </c>
      <c r="G157" s="132" t="str">
        <f aca="false">IF($A157="","",IF($E157&lt;&gt;"",IF(N($F157)&gt;0,"Entregue com atraso","Entregue no prazo"),IF($D157="","Sem data prometida",IF($D157&lt;Hoje!$L$1,"ATRASADA","Aguardando"))))</f>
        <v/>
      </c>
      <c r="H157" s="133"/>
      <c r="I157" s="133"/>
    </row>
    <row r="158" customFormat="false" ht="21" hidden="false" customHeight="true" outlineLevel="0" collapsed="false">
      <c r="A158" s="132"/>
      <c r="B158" s="133"/>
      <c r="C158" s="134"/>
      <c r="D158" s="134"/>
      <c r="E158" s="134"/>
      <c r="F158" s="132" t="str">
        <f aca="false">IF(OR($A158="",$D158="",$E158=""),"",MAX(0,$E158-$D158))</f>
        <v/>
      </c>
      <c r="G158" s="132" t="str">
        <f aca="false">IF($A158="","",IF($E158&lt;&gt;"",IF(N($F158)&gt;0,"Entregue com atraso","Entregue no prazo"),IF($D158="","Sem data prometida",IF($D158&lt;Hoje!$L$1,"ATRASADA","Aguardando"))))</f>
        <v/>
      </c>
      <c r="H158" s="133"/>
      <c r="I158" s="133"/>
    </row>
    <row r="159" customFormat="false" ht="21" hidden="false" customHeight="true" outlineLevel="0" collapsed="false">
      <c r="A159" s="132"/>
      <c r="B159" s="133"/>
      <c r="C159" s="134"/>
      <c r="D159" s="134"/>
      <c r="E159" s="134"/>
      <c r="F159" s="132" t="str">
        <f aca="false">IF(OR($A159="",$D159="",$E159=""),"",MAX(0,$E159-$D159))</f>
        <v/>
      </c>
      <c r="G159" s="132" t="str">
        <f aca="false">IF($A159="","",IF($E159&lt;&gt;"",IF(N($F159)&gt;0,"Entregue com atraso","Entregue no prazo"),IF($D159="","Sem data prometida",IF($D159&lt;Hoje!$L$1,"ATRASADA","Aguardando"))))</f>
        <v/>
      </c>
      <c r="H159" s="133"/>
      <c r="I159" s="133"/>
    </row>
    <row r="160" customFormat="false" ht="21" hidden="false" customHeight="true" outlineLevel="0" collapsed="false">
      <c r="A160" s="132"/>
      <c r="B160" s="133"/>
      <c r="C160" s="134"/>
      <c r="D160" s="134"/>
      <c r="E160" s="134"/>
      <c r="F160" s="132" t="str">
        <f aca="false">IF(OR($A160="",$D160="",$E160=""),"",MAX(0,$E160-$D160))</f>
        <v/>
      </c>
      <c r="G160" s="132" t="str">
        <f aca="false">IF($A160="","",IF($E160&lt;&gt;"",IF(N($F160)&gt;0,"Entregue com atraso","Entregue no prazo"),IF($D160="","Sem data prometida",IF($D160&lt;Hoje!$L$1,"ATRASADA","Aguardando"))))</f>
        <v/>
      </c>
      <c r="H160" s="133"/>
      <c r="I160" s="133"/>
    </row>
    <row r="161" customFormat="false" ht="21" hidden="false" customHeight="true" outlineLevel="0" collapsed="false">
      <c r="A161" s="132"/>
      <c r="B161" s="133"/>
      <c r="C161" s="134"/>
      <c r="D161" s="134"/>
      <c r="E161" s="134"/>
      <c r="F161" s="132" t="str">
        <f aca="false">IF(OR($A161="",$D161="",$E161=""),"",MAX(0,$E161-$D161))</f>
        <v/>
      </c>
      <c r="G161" s="132" t="str">
        <f aca="false">IF($A161="","",IF($E161&lt;&gt;"",IF(N($F161)&gt;0,"Entregue com atraso","Entregue no prazo"),IF($D161="","Sem data prometida",IF($D161&lt;Hoje!$L$1,"ATRASADA","Aguardando"))))</f>
        <v/>
      </c>
      <c r="H161" s="133"/>
      <c r="I161" s="133"/>
    </row>
    <row r="162" customFormat="false" ht="21" hidden="false" customHeight="true" outlineLevel="0" collapsed="false">
      <c r="A162" s="132"/>
      <c r="B162" s="133"/>
      <c r="C162" s="134"/>
      <c r="D162" s="134"/>
      <c r="E162" s="134"/>
      <c r="F162" s="132" t="str">
        <f aca="false">IF(OR($A162="",$D162="",$E162=""),"",MAX(0,$E162-$D162))</f>
        <v/>
      </c>
      <c r="G162" s="132" t="str">
        <f aca="false">IF($A162="","",IF($E162&lt;&gt;"",IF(N($F162)&gt;0,"Entregue com atraso","Entregue no prazo"),IF($D162="","Sem data prometida",IF($D162&lt;Hoje!$L$1,"ATRASADA","Aguardando"))))</f>
        <v/>
      </c>
      <c r="H162" s="133"/>
      <c r="I162" s="133"/>
    </row>
    <row r="163" customFormat="false" ht="21" hidden="false" customHeight="true" outlineLevel="0" collapsed="false">
      <c r="A163" s="132"/>
      <c r="B163" s="133"/>
      <c r="C163" s="134"/>
      <c r="D163" s="134"/>
      <c r="E163" s="134"/>
      <c r="F163" s="132" t="str">
        <f aca="false">IF(OR($A163="",$D163="",$E163=""),"",MAX(0,$E163-$D163))</f>
        <v/>
      </c>
      <c r="G163" s="132" t="str">
        <f aca="false">IF($A163="","",IF($E163&lt;&gt;"",IF(N($F163)&gt;0,"Entregue com atraso","Entregue no prazo"),IF($D163="","Sem data prometida",IF($D163&lt;Hoje!$L$1,"ATRASADA","Aguardando"))))</f>
        <v/>
      </c>
      <c r="H163" s="133"/>
      <c r="I163" s="133"/>
    </row>
    <row r="164" customFormat="false" ht="21" hidden="false" customHeight="true" outlineLevel="0" collapsed="false">
      <c r="A164" s="132"/>
      <c r="B164" s="133"/>
      <c r="C164" s="134"/>
      <c r="D164" s="134"/>
      <c r="E164" s="134"/>
      <c r="F164" s="132" t="str">
        <f aca="false">IF(OR($A164="",$D164="",$E164=""),"",MAX(0,$E164-$D164))</f>
        <v/>
      </c>
      <c r="G164" s="132" t="str">
        <f aca="false">IF($A164="","",IF($E164&lt;&gt;"",IF(N($F164)&gt;0,"Entregue com atraso","Entregue no prazo"),IF($D164="","Sem data prometida",IF($D164&lt;Hoje!$L$1,"ATRASADA","Aguardando"))))</f>
        <v/>
      </c>
      <c r="H164" s="133"/>
      <c r="I164" s="133"/>
    </row>
    <row r="165" customFormat="false" ht="21" hidden="false" customHeight="true" outlineLevel="0" collapsed="false">
      <c r="A165" s="132"/>
      <c r="B165" s="133"/>
      <c r="C165" s="134"/>
      <c r="D165" s="134"/>
      <c r="E165" s="134"/>
      <c r="F165" s="132" t="str">
        <f aca="false">IF(OR($A165="",$D165="",$E165=""),"",MAX(0,$E165-$D165))</f>
        <v/>
      </c>
      <c r="G165" s="132" t="str">
        <f aca="false">IF($A165="","",IF($E165&lt;&gt;"",IF(N($F165)&gt;0,"Entregue com atraso","Entregue no prazo"),IF($D165="","Sem data prometida",IF($D165&lt;Hoje!$L$1,"ATRASADA","Aguardando"))))</f>
        <v/>
      </c>
      <c r="H165" s="133"/>
      <c r="I165" s="133"/>
    </row>
    <row r="166" customFormat="false" ht="21" hidden="false" customHeight="true" outlineLevel="0" collapsed="false">
      <c r="A166" s="132"/>
      <c r="B166" s="133"/>
      <c r="C166" s="134"/>
      <c r="D166" s="134"/>
      <c r="E166" s="134"/>
      <c r="F166" s="132" t="str">
        <f aca="false">IF(OR($A166="",$D166="",$E166=""),"",MAX(0,$E166-$D166))</f>
        <v/>
      </c>
      <c r="G166" s="132" t="str">
        <f aca="false">IF($A166="","",IF($E166&lt;&gt;"",IF(N($F166)&gt;0,"Entregue com atraso","Entregue no prazo"),IF($D166="","Sem data prometida",IF($D166&lt;Hoje!$L$1,"ATRASADA","Aguardando"))))</f>
        <v/>
      </c>
      <c r="H166" s="133"/>
      <c r="I166" s="133"/>
    </row>
    <row r="167" customFormat="false" ht="21" hidden="false" customHeight="true" outlineLevel="0" collapsed="false">
      <c r="A167" s="132"/>
      <c r="B167" s="133"/>
      <c r="C167" s="134"/>
      <c r="D167" s="134"/>
      <c r="E167" s="134"/>
      <c r="F167" s="132" t="str">
        <f aca="false">IF(OR($A167="",$D167="",$E167=""),"",MAX(0,$E167-$D167))</f>
        <v/>
      </c>
      <c r="G167" s="132" t="str">
        <f aca="false">IF($A167="","",IF($E167&lt;&gt;"",IF(N($F167)&gt;0,"Entregue com atraso","Entregue no prazo"),IF($D167="","Sem data prometida",IF($D167&lt;Hoje!$L$1,"ATRASADA","Aguardando"))))</f>
        <v/>
      </c>
      <c r="H167" s="133"/>
      <c r="I167" s="133"/>
    </row>
    <row r="168" customFormat="false" ht="21" hidden="false" customHeight="true" outlineLevel="0" collapsed="false">
      <c r="A168" s="132"/>
      <c r="B168" s="133"/>
      <c r="C168" s="134"/>
      <c r="D168" s="134"/>
      <c r="E168" s="134"/>
      <c r="F168" s="132" t="str">
        <f aca="false">IF(OR($A168="",$D168="",$E168=""),"",MAX(0,$E168-$D168))</f>
        <v/>
      </c>
      <c r="G168" s="132" t="str">
        <f aca="false">IF($A168="","",IF($E168&lt;&gt;"",IF(N($F168)&gt;0,"Entregue com atraso","Entregue no prazo"),IF($D168="","Sem data prometida",IF($D168&lt;Hoje!$L$1,"ATRASADA","Aguardando"))))</f>
        <v/>
      </c>
      <c r="H168" s="133"/>
      <c r="I168" s="133"/>
    </row>
    <row r="169" customFormat="false" ht="21" hidden="false" customHeight="true" outlineLevel="0" collapsed="false">
      <c r="A169" s="132"/>
      <c r="B169" s="133"/>
      <c r="C169" s="134"/>
      <c r="D169" s="134"/>
      <c r="E169" s="134"/>
      <c r="F169" s="132" t="str">
        <f aca="false">IF(OR($A169="",$D169="",$E169=""),"",MAX(0,$E169-$D169))</f>
        <v/>
      </c>
      <c r="G169" s="132" t="str">
        <f aca="false">IF($A169="","",IF($E169&lt;&gt;"",IF(N($F169)&gt;0,"Entregue com atraso","Entregue no prazo"),IF($D169="","Sem data prometida",IF($D169&lt;Hoje!$L$1,"ATRASADA","Aguardando"))))</f>
        <v/>
      </c>
      <c r="H169" s="133"/>
      <c r="I169" s="133"/>
    </row>
    <row r="170" customFormat="false" ht="21" hidden="false" customHeight="true" outlineLevel="0" collapsed="false">
      <c r="A170" s="132"/>
      <c r="B170" s="133"/>
      <c r="C170" s="134"/>
      <c r="D170" s="134"/>
      <c r="E170" s="134"/>
      <c r="F170" s="132" t="str">
        <f aca="false">IF(OR($A170="",$D170="",$E170=""),"",MAX(0,$E170-$D170))</f>
        <v/>
      </c>
      <c r="G170" s="132" t="str">
        <f aca="false">IF($A170="","",IF($E170&lt;&gt;"",IF(N($F170)&gt;0,"Entregue com atraso","Entregue no prazo"),IF($D170="","Sem data prometida",IF($D170&lt;Hoje!$L$1,"ATRASADA","Aguardando"))))</f>
        <v/>
      </c>
      <c r="H170" s="133"/>
      <c r="I170" s="133"/>
    </row>
    <row r="171" customFormat="false" ht="21" hidden="false" customHeight="true" outlineLevel="0" collapsed="false">
      <c r="A171" s="132"/>
      <c r="B171" s="133"/>
      <c r="C171" s="134"/>
      <c r="D171" s="134"/>
      <c r="E171" s="134"/>
      <c r="F171" s="132" t="str">
        <f aca="false">IF(OR($A171="",$D171="",$E171=""),"",MAX(0,$E171-$D171))</f>
        <v/>
      </c>
      <c r="G171" s="132" t="str">
        <f aca="false">IF($A171="","",IF($E171&lt;&gt;"",IF(N($F171)&gt;0,"Entregue com atraso","Entregue no prazo"),IF($D171="","Sem data prometida",IF($D171&lt;Hoje!$L$1,"ATRASADA","Aguardando"))))</f>
        <v/>
      </c>
      <c r="H171" s="133"/>
      <c r="I171" s="133"/>
    </row>
    <row r="172" customFormat="false" ht="21" hidden="false" customHeight="true" outlineLevel="0" collapsed="false">
      <c r="A172" s="132"/>
      <c r="B172" s="133"/>
      <c r="C172" s="134"/>
      <c r="D172" s="134"/>
      <c r="E172" s="134"/>
      <c r="F172" s="132" t="str">
        <f aca="false">IF(OR($A172="",$D172="",$E172=""),"",MAX(0,$E172-$D172))</f>
        <v/>
      </c>
      <c r="G172" s="132" t="str">
        <f aca="false">IF($A172="","",IF($E172&lt;&gt;"",IF(N($F172)&gt;0,"Entregue com atraso","Entregue no prazo"),IF($D172="","Sem data prometida",IF($D172&lt;Hoje!$L$1,"ATRASADA","Aguardando"))))</f>
        <v/>
      </c>
      <c r="H172" s="133"/>
      <c r="I172" s="133"/>
    </row>
    <row r="173" customFormat="false" ht="21" hidden="false" customHeight="true" outlineLevel="0" collapsed="false">
      <c r="A173" s="132"/>
      <c r="B173" s="133"/>
      <c r="C173" s="134"/>
      <c r="D173" s="134"/>
      <c r="E173" s="134"/>
      <c r="F173" s="132" t="str">
        <f aca="false">IF(OR($A173="",$D173="",$E173=""),"",MAX(0,$E173-$D173))</f>
        <v/>
      </c>
      <c r="G173" s="132" t="str">
        <f aca="false">IF($A173="","",IF($E173&lt;&gt;"",IF(N($F173)&gt;0,"Entregue com atraso","Entregue no prazo"),IF($D173="","Sem data prometida",IF($D173&lt;Hoje!$L$1,"ATRASADA","Aguardando"))))</f>
        <v/>
      </c>
      <c r="H173" s="133"/>
      <c r="I173" s="133"/>
    </row>
    <row r="174" customFormat="false" ht="21" hidden="false" customHeight="true" outlineLevel="0" collapsed="false">
      <c r="A174" s="132"/>
      <c r="B174" s="133"/>
      <c r="C174" s="134"/>
      <c r="D174" s="134"/>
      <c r="E174" s="134"/>
      <c r="F174" s="132" t="str">
        <f aca="false">IF(OR($A174="",$D174="",$E174=""),"",MAX(0,$E174-$D174))</f>
        <v/>
      </c>
      <c r="G174" s="132" t="str">
        <f aca="false">IF($A174="","",IF($E174&lt;&gt;"",IF(N($F174)&gt;0,"Entregue com atraso","Entregue no prazo"),IF($D174="","Sem data prometida",IF($D174&lt;Hoje!$L$1,"ATRASADA","Aguardando"))))</f>
        <v/>
      </c>
      <c r="H174" s="133"/>
      <c r="I174" s="133"/>
    </row>
    <row r="175" customFormat="false" ht="21" hidden="false" customHeight="true" outlineLevel="0" collapsed="false">
      <c r="A175" s="132"/>
      <c r="B175" s="133"/>
      <c r="C175" s="134"/>
      <c r="D175" s="134"/>
      <c r="E175" s="134"/>
      <c r="F175" s="132" t="str">
        <f aca="false">IF(OR($A175="",$D175="",$E175=""),"",MAX(0,$E175-$D175))</f>
        <v/>
      </c>
      <c r="G175" s="132" t="str">
        <f aca="false">IF($A175="","",IF($E175&lt;&gt;"",IF(N($F175)&gt;0,"Entregue com atraso","Entregue no prazo"),IF($D175="","Sem data prometida",IF($D175&lt;Hoje!$L$1,"ATRASADA","Aguardando"))))</f>
        <v/>
      </c>
      <c r="H175" s="133"/>
      <c r="I175" s="133"/>
    </row>
    <row r="176" customFormat="false" ht="21" hidden="false" customHeight="true" outlineLevel="0" collapsed="false">
      <c r="A176" s="132"/>
      <c r="B176" s="133"/>
      <c r="C176" s="134"/>
      <c r="D176" s="134"/>
      <c r="E176" s="134"/>
      <c r="F176" s="132" t="str">
        <f aca="false">IF(OR($A176="",$D176="",$E176=""),"",MAX(0,$E176-$D176))</f>
        <v/>
      </c>
      <c r="G176" s="132" t="str">
        <f aca="false">IF($A176="","",IF($E176&lt;&gt;"",IF(N($F176)&gt;0,"Entregue com atraso","Entregue no prazo"),IF($D176="","Sem data prometida",IF($D176&lt;Hoje!$L$1,"ATRASADA","Aguardando"))))</f>
        <v/>
      </c>
      <c r="H176" s="133"/>
      <c r="I176" s="133"/>
    </row>
    <row r="177" customFormat="false" ht="21" hidden="false" customHeight="true" outlineLevel="0" collapsed="false">
      <c r="A177" s="132"/>
      <c r="B177" s="133"/>
      <c r="C177" s="134"/>
      <c r="D177" s="134"/>
      <c r="E177" s="134"/>
      <c r="F177" s="132" t="str">
        <f aca="false">IF(OR($A177="",$D177="",$E177=""),"",MAX(0,$E177-$D177))</f>
        <v/>
      </c>
      <c r="G177" s="132" t="str">
        <f aca="false">IF($A177="","",IF($E177&lt;&gt;"",IF(N($F177)&gt;0,"Entregue com atraso","Entregue no prazo"),IF($D177="","Sem data prometida",IF($D177&lt;Hoje!$L$1,"ATRASADA","Aguardando"))))</f>
        <v/>
      </c>
      <c r="H177" s="133"/>
      <c r="I177" s="133"/>
    </row>
    <row r="178" customFormat="false" ht="21" hidden="false" customHeight="true" outlineLevel="0" collapsed="false">
      <c r="A178" s="132"/>
      <c r="B178" s="133"/>
      <c r="C178" s="134"/>
      <c r="D178" s="134"/>
      <c r="E178" s="134"/>
      <c r="F178" s="132" t="str">
        <f aca="false">IF(OR($A178="",$D178="",$E178=""),"",MAX(0,$E178-$D178))</f>
        <v/>
      </c>
      <c r="G178" s="132" t="str">
        <f aca="false">IF($A178="","",IF($E178&lt;&gt;"",IF(N($F178)&gt;0,"Entregue com atraso","Entregue no prazo"),IF($D178="","Sem data prometida",IF($D178&lt;Hoje!$L$1,"ATRASADA","Aguardando"))))</f>
        <v/>
      </c>
      <c r="H178" s="133"/>
      <c r="I178" s="133"/>
    </row>
    <row r="179" customFormat="false" ht="21" hidden="false" customHeight="true" outlineLevel="0" collapsed="false">
      <c r="A179" s="132"/>
      <c r="B179" s="133"/>
      <c r="C179" s="134"/>
      <c r="D179" s="134"/>
      <c r="E179" s="134"/>
      <c r="F179" s="132" t="str">
        <f aca="false">IF(OR($A179="",$D179="",$E179=""),"",MAX(0,$E179-$D179))</f>
        <v/>
      </c>
      <c r="G179" s="132" t="str">
        <f aca="false">IF($A179="","",IF($E179&lt;&gt;"",IF(N($F179)&gt;0,"Entregue com atraso","Entregue no prazo"),IF($D179="","Sem data prometida",IF($D179&lt;Hoje!$L$1,"ATRASADA","Aguardando"))))</f>
        <v/>
      </c>
      <c r="H179" s="133"/>
      <c r="I179" s="133"/>
    </row>
    <row r="180" customFormat="false" ht="21" hidden="false" customHeight="true" outlineLevel="0" collapsed="false">
      <c r="A180" s="132"/>
      <c r="B180" s="133"/>
      <c r="C180" s="134"/>
      <c r="D180" s="134"/>
      <c r="E180" s="134"/>
      <c r="F180" s="132" t="str">
        <f aca="false">IF(OR($A180="",$D180="",$E180=""),"",MAX(0,$E180-$D180))</f>
        <v/>
      </c>
      <c r="G180" s="132" t="str">
        <f aca="false">IF($A180="","",IF($E180&lt;&gt;"",IF(N($F180)&gt;0,"Entregue com atraso","Entregue no prazo"),IF($D180="","Sem data prometida",IF($D180&lt;Hoje!$L$1,"ATRASADA","Aguardando"))))</f>
        <v/>
      </c>
      <c r="H180" s="133"/>
      <c r="I180" s="133"/>
    </row>
    <row r="181" customFormat="false" ht="21" hidden="false" customHeight="true" outlineLevel="0" collapsed="false">
      <c r="A181" s="132"/>
      <c r="B181" s="133"/>
      <c r="C181" s="134"/>
      <c r="D181" s="134"/>
      <c r="E181" s="134"/>
      <c r="F181" s="132" t="str">
        <f aca="false">IF(OR($A181="",$D181="",$E181=""),"",MAX(0,$E181-$D181))</f>
        <v/>
      </c>
      <c r="G181" s="132" t="str">
        <f aca="false">IF($A181="","",IF($E181&lt;&gt;"",IF(N($F181)&gt;0,"Entregue com atraso","Entregue no prazo"),IF($D181="","Sem data prometida",IF($D181&lt;Hoje!$L$1,"ATRASADA","Aguardando"))))</f>
        <v/>
      </c>
      <c r="H181" s="133"/>
      <c r="I181" s="133"/>
    </row>
    <row r="182" customFormat="false" ht="21" hidden="false" customHeight="true" outlineLevel="0" collapsed="false">
      <c r="A182" s="132"/>
      <c r="B182" s="133"/>
      <c r="C182" s="134"/>
      <c r="D182" s="134"/>
      <c r="E182" s="134"/>
      <c r="F182" s="132" t="str">
        <f aca="false">IF(OR($A182="",$D182="",$E182=""),"",MAX(0,$E182-$D182))</f>
        <v/>
      </c>
      <c r="G182" s="132" t="str">
        <f aca="false">IF($A182="","",IF($E182&lt;&gt;"",IF(N($F182)&gt;0,"Entregue com atraso","Entregue no prazo"),IF($D182="","Sem data prometida",IF($D182&lt;Hoje!$L$1,"ATRASADA","Aguardando"))))</f>
        <v/>
      </c>
      <c r="H182" s="133"/>
      <c r="I182" s="133"/>
    </row>
    <row r="183" customFormat="false" ht="21" hidden="false" customHeight="true" outlineLevel="0" collapsed="false">
      <c r="A183" s="132"/>
      <c r="B183" s="133"/>
      <c r="C183" s="134"/>
      <c r="D183" s="134"/>
      <c r="E183" s="134"/>
      <c r="F183" s="132" t="str">
        <f aca="false">IF(OR($A183="",$D183="",$E183=""),"",MAX(0,$E183-$D183))</f>
        <v/>
      </c>
      <c r="G183" s="132" t="str">
        <f aca="false">IF($A183="","",IF($E183&lt;&gt;"",IF(N($F183)&gt;0,"Entregue com atraso","Entregue no prazo"),IF($D183="","Sem data prometida",IF($D183&lt;Hoje!$L$1,"ATRASADA","Aguardando"))))</f>
        <v/>
      </c>
      <c r="H183" s="133"/>
      <c r="I183" s="133"/>
    </row>
    <row r="184" customFormat="false" ht="21" hidden="false" customHeight="true" outlineLevel="0" collapsed="false">
      <c r="A184" s="132"/>
      <c r="B184" s="133"/>
      <c r="C184" s="134"/>
      <c r="D184" s="134"/>
      <c r="E184" s="134"/>
      <c r="F184" s="132" t="str">
        <f aca="false">IF(OR($A184="",$D184="",$E184=""),"",MAX(0,$E184-$D184))</f>
        <v/>
      </c>
      <c r="G184" s="132" t="str">
        <f aca="false">IF($A184="","",IF($E184&lt;&gt;"",IF(N($F184)&gt;0,"Entregue com atraso","Entregue no prazo"),IF($D184="","Sem data prometida",IF($D184&lt;Hoje!$L$1,"ATRASADA","Aguardando"))))</f>
        <v/>
      </c>
      <c r="H184" s="133"/>
      <c r="I184" s="133"/>
    </row>
    <row r="185" customFormat="false" ht="21" hidden="false" customHeight="true" outlineLevel="0" collapsed="false">
      <c r="A185" s="132"/>
      <c r="B185" s="133"/>
      <c r="C185" s="134"/>
      <c r="D185" s="134"/>
      <c r="E185" s="134"/>
      <c r="F185" s="132" t="str">
        <f aca="false">IF(OR($A185="",$D185="",$E185=""),"",MAX(0,$E185-$D185))</f>
        <v/>
      </c>
      <c r="G185" s="132" t="str">
        <f aca="false">IF($A185="","",IF($E185&lt;&gt;"",IF(N($F185)&gt;0,"Entregue com atraso","Entregue no prazo"),IF($D185="","Sem data prometida",IF($D185&lt;Hoje!$L$1,"ATRASADA","Aguardando"))))</f>
        <v/>
      </c>
      <c r="H185" s="133"/>
      <c r="I185" s="133"/>
    </row>
    <row r="186" customFormat="false" ht="21" hidden="false" customHeight="true" outlineLevel="0" collapsed="false">
      <c r="A186" s="132"/>
      <c r="B186" s="133"/>
      <c r="C186" s="134"/>
      <c r="D186" s="134"/>
      <c r="E186" s="134"/>
      <c r="F186" s="132" t="str">
        <f aca="false">IF(OR($A186="",$D186="",$E186=""),"",MAX(0,$E186-$D186))</f>
        <v/>
      </c>
      <c r="G186" s="132" t="str">
        <f aca="false">IF($A186="","",IF($E186&lt;&gt;"",IF(N($F186)&gt;0,"Entregue com atraso","Entregue no prazo"),IF($D186="","Sem data prometida",IF($D186&lt;Hoje!$L$1,"ATRASADA","Aguardando"))))</f>
        <v/>
      </c>
      <c r="H186" s="133"/>
      <c r="I186" s="133"/>
    </row>
    <row r="187" customFormat="false" ht="21" hidden="false" customHeight="true" outlineLevel="0" collapsed="false">
      <c r="A187" s="132"/>
      <c r="B187" s="133"/>
      <c r="C187" s="134"/>
      <c r="D187" s="134"/>
      <c r="E187" s="134"/>
      <c r="F187" s="132" t="str">
        <f aca="false">IF(OR($A187="",$D187="",$E187=""),"",MAX(0,$E187-$D187))</f>
        <v/>
      </c>
      <c r="G187" s="132" t="str">
        <f aca="false">IF($A187="","",IF($E187&lt;&gt;"",IF(N($F187)&gt;0,"Entregue com atraso","Entregue no prazo"),IF($D187="","Sem data prometida",IF($D187&lt;Hoje!$L$1,"ATRASADA","Aguardando"))))</f>
        <v/>
      </c>
      <c r="H187" s="133"/>
      <c r="I187" s="133"/>
    </row>
    <row r="188" customFormat="false" ht="21" hidden="false" customHeight="true" outlineLevel="0" collapsed="false">
      <c r="A188" s="132"/>
      <c r="B188" s="133"/>
      <c r="C188" s="134"/>
      <c r="D188" s="134"/>
      <c r="E188" s="134"/>
      <c r="F188" s="132" t="str">
        <f aca="false">IF(OR($A188="",$D188="",$E188=""),"",MAX(0,$E188-$D188))</f>
        <v/>
      </c>
      <c r="G188" s="132" t="str">
        <f aca="false">IF($A188="","",IF($E188&lt;&gt;"",IF(N($F188)&gt;0,"Entregue com atraso","Entregue no prazo"),IF($D188="","Sem data prometida",IF($D188&lt;Hoje!$L$1,"ATRASADA","Aguardando"))))</f>
        <v/>
      </c>
      <c r="H188" s="133"/>
      <c r="I188" s="133"/>
    </row>
    <row r="189" customFormat="false" ht="21" hidden="false" customHeight="true" outlineLevel="0" collapsed="false">
      <c r="A189" s="132"/>
      <c r="B189" s="133"/>
      <c r="C189" s="134"/>
      <c r="D189" s="134"/>
      <c r="E189" s="134"/>
      <c r="F189" s="132" t="str">
        <f aca="false">IF(OR($A189="",$D189="",$E189=""),"",MAX(0,$E189-$D189))</f>
        <v/>
      </c>
      <c r="G189" s="132" t="str">
        <f aca="false">IF($A189="","",IF($E189&lt;&gt;"",IF(N($F189)&gt;0,"Entregue com atraso","Entregue no prazo"),IF($D189="","Sem data prometida",IF($D189&lt;Hoje!$L$1,"ATRASADA","Aguardando"))))</f>
        <v/>
      </c>
      <c r="H189" s="133"/>
      <c r="I189" s="133"/>
    </row>
    <row r="190" customFormat="false" ht="21" hidden="false" customHeight="true" outlineLevel="0" collapsed="false">
      <c r="A190" s="132"/>
      <c r="B190" s="133"/>
      <c r="C190" s="134"/>
      <c r="D190" s="134"/>
      <c r="E190" s="134"/>
      <c r="F190" s="132" t="str">
        <f aca="false">IF(OR($A190="",$D190="",$E190=""),"",MAX(0,$E190-$D190))</f>
        <v/>
      </c>
      <c r="G190" s="132" t="str">
        <f aca="false">IF($A190="","",IF($E190&lt;&gt;"",IF(N($F190)&gt;0,"Entregue com atraso","Entregue no prazo"),IF($D190="","Sem data prometida",IF($D190&lt;Hoje!$L$1,"ATRASADA","Aguardando"))))</f>
        <v/>
      </c>
      <c r="H190" s="133"/>
      <c r="I190" s="133"/>
    </row>
    <row r="191" customFormat="false" ht="21" hidden="false" customHeight="true" outlineLevel="0" collapsed="false">
      <c r="A191" s="132"/>
      <c r="B191" s="133"/>
      <c r="C191" s="134"/>
      <c r="D191" s="134"/>
      <c r="E191" s="134"/>
      <c r="F191" s="132" t="str">
        <f aca="false">IF(OR($A191="",$D191="",$E191=""),"",MAX(0,$E191-$D191))</f>
        <v/>
      </c>
      <c r="G191" s="132" t="str">
        <f aca="false">IF($A191="","",IF($E191&lt;&gt;"",IF(N($F191)&gt;0,"Entregue com atraso","Entregue no prazo"),IF($D191="","Sem data prometida",IF($D191&lt;Hoje!$L$1,"ATRASADA","Aguardando"))))</f>
        <v/>
      </c>
      <c r="H191" s="133"/>
      <c r="I191" s="133"/>
    </row>
    <row r="192" customFormat="false" ht="21" hidden="false" customHeight="true" outlineLevel="0" collapsed="false">
      <c r="A192" s="132"/>
      <c r="B192" s="133"/>
      <c r="C192" s="134"/>
      <c r="D192" s="134"/>
      <c r="E192" s="134"/>
      <c r="F192" s="132" t="str">
        <f aca="false">IF(OR($A192="",$D192="",$E192=""),"",MAX(0,$E192-$D192))</f>
        <v/>
      </c>
      <c r="G192" s="132" t="str">
        <f aca="false">IF($A192="","",IF($E192&lt;&gt;"",IF(N($F192)&gt;0,"Entregue com atraso","Entregue no prazo"),IF($D192="","Sem data prometida",IF($D192&lt;Hoje!$L$1,"ATRASADA","Aguardando"))))</f>
        <v/>
      </c>
      <c r="H192" s="133"/>
      <c r="I192" s="133"/>
    </row>
    <row r="193" customFormat="false" ht="21" hidden="false" customHeight="true" outlineLevel="0" collapsed="false">
      <c r="A193" s="132"/>
      <c r="B193" s="133"/>
      <c r="C193" s="134"/>
      <c r="D193" s="134"/>
      <c r="E193" s="134"/>
      <c r="F193" s="132" t="str">
        <f aca="false">IF(OR($A193="",$D193="",$E193=""),"",MAX(0,$E193-$D193))</f>
        <v/>
      </c>
      <c r="G193" s="132" t="str">
        <f aca="false">IF($A193="","",IF($E193&lt;&gt;"",IF(N($F193)&gt;0,"Entregue com atraso","Entregue no prazo"),IF($D193="","Sem data prometida",IF($D193&lt;Hoje!$L$1,"ATRASADA","Aguardando"))))</f>
        <v/>
      </c>
      <c r="H193" s="133"/>
      <c r="I193" s="133"/>
    </row>
    <row r="194" customFormat="false" ht="21" hidden="false" customHeight="true" outlineLevel="0" collapsed="false">
      <c r="A194" s="132"/>
      <c r="B194" s="133"/>
      <c r="C194" s="134"/>
      <c r="D194" s="134"/>
      <c r="E194" s="134"/>
      <c r="F194" s="132" t="str">
        <f aca="false">IF(OR($A194="",$D194="",$E194=""),"",MAX(0,$E194-$D194))</f>
        <v/>
      </c>
      <c r="G194" s="132" t="str">
        <f aca="false">IF($A194="","",IF($E194&lt;&gt;"",IF(N($F194)&gt;0,"Entregue com atraso","Entregue no prazo"),IF($D194="","Sem data prometida",IF($D194&lt;Hoje!$L$1,"ATRASADA","Aguardando"))))</f>
        <v/>
      </c>
      <c r="H194" s="133"/>
      <c r="I194" s="133"/>
    </row>
    <row r="195" customFormat="false" ht="21" hidden="false" customHeight="true" outlineLevel="0" collapsed="false">
      <c r="A195" s="132"/>
      <c r="B195" s="133"/>
      <c r="C195" s="134"/>
      <c r="D195" s="134"/>
      <c r="E195" s="134"/>
      <c r="F195" s="132" t="str">
        <f aca="false">IF(OR($A195="",$D195="",$E195=""),"",MAX(0,$E195-$D195))</f>
        <v/>
      </c>
      <c r="G195" s="132" t="str">
        <f aca="false">IF($A195="","",IF($E195&lt;&gt;"",IF(N($F195)&gt;0,"Entregue com atraso","Entregue no prazo"),IF($D195="","Sem data prometida",IF($D195&lt;Hoje!$L$1,"ATRASADA","Aguardando"))))</f>
        <v/>
      </c>
      <c r="H195" s="133"/>
      <c r="I195" s="133"/>
    </row>
    <row r="196" customFormat="false" ht="21" hidden="false" customHeight="true" outlineLevel="0" collapsed="false">
      <c r="A196" s="132"/>
      <c r="B196" s="133"/>
      <c r="C196" s="134"/>
      <c r="D196" s="134"/>
      <c r="E196" s="134"/>
      <c r="F196" s="132" t="str">
        <f aca="false">IF(OR($A196="",$D196="",$E196=""),"",MAX(0,$E196-$D196))</f>
        <v/>
      </c>
      <c r="G196" s="132" t="str">
        <f aca="false">IF($A196="","",IF($E196&lt;&gt;"",IF(N($F196)&gt;0,"Entregue com atraso","Entregue no prazo"),IF($D196="","Sem data prometida",IF($D196&lt;Hoje!$L$1,"ATRASADA","Aguardando"))))</f>
        <v/>
      </c>
      <c r="H196" s="133"/>
      <c r="I196" s="133"/>
    </row>
    <row r="197" customFormat="false" ht="21" hidden="false" customHeight="true" outlineLevel="0" collapsed="false">
      <c r="A197" s="132"/>
      <c r="B197" s="133"/>
      <c r="C197" s="134"/>
      <c r="D197" s="134"/>
      <c r="E197" s="134"/>
      <c r="F197" s="132" t="str">
        <f aca="false">IF(OR($A197="",$D197="",$E197=""),"",MAX(0,$E197-$D197))</f>
        <v/>
      </c>
      <c r="G197" s="132" t="str">
        <f aca="false">IF($A197="","",IF($E197&lt;&gt;"",IF(N($F197)&gt;0,"Entregue com atraso","Entregue no prazo"),IF($D197="","Sem data prometida",IF($D197&lt;Hoje!$L$1,"ATRASADA","Aguardando"))))</f>
        <v/>
      </c>
      <c r="H197" s="133"/>
      <c r="I197" s="133"/>
    </row>
    <row r="198" customFormat="false" ht="21" hidden="false" customHeight="true" outlineLevel="0" collapsed="false">
      <c r="A198" s="132"/>
      <c r="B198" s="133"/>
      <c r="C198" s="134"/>
      <c r="D198" s="134"/>
      <c r="E198" s="134"/>
      <c r="F198" s="132" t="str">
        <f aca="false">IF(OR($A198="",$D198="",$E198=""),"",MAX(0,$E198-$D198))</f>
        <v/>
      </c>
      <c r="G198" s="132" t="str">
        <f aca="false">IF($A198="","",IF($E198&lt;&gt;"",IF(N($F198)&gt;0,"Entregue com atraso","Entregue no prazo"),IF($D198="","Sem data prometida",IF($D198&lt;Hoje!$L$1,"ATRASADA","Aguardando"))))</f>
        <v/>
      </c>
      <c r="H198" s="133"/>
      <c r="I198" s="133"/>
    </row>
    <row r="199" customFormat="false" ht="21" hidden="false" customHeight="true" outlineLevel="0" collapsed="false">
      <c r="A199" s="132"/>
      <c r="B199" s="133"/>
      <c r="C199" s="134"/>
      <c r="D199" s="134"/>
      <c r="E199" s="134"/>
      <c r="F199" s="132" t="str">
        <f aca="false">IF(OR($A199="",$D199="",$E199=""),"",MAX(0,$E199-$D199))</f>
        <v/>
      </c>
      <c r="G199" s="132" t="str">
        <f aca="false">IF($A199="","",IF($E199&lt;&gt;"",IF(N($F199)&gt;0,"Entregue com atraso","Entregue no prazo"),IF($D199="","Sem data prometida",IF($D199&lt;Hoje!$L$1,"ATRASADA","Aguardando"))))</f>
        <v/>
      </c>
      <c r="H199" s="133"/>
      <c r="I199" s="133"/>
    </row>
    <row r="200" customFormat="false" ht="21" hidden="false" customHeight="true" outlineLevel="0" collapsed="false">
      <c r="A200" s="132"/>
      <c r="B200" s="133"/>
      <c r="C200" s="134"/>
      <c r="D200" s="134"/>
      <c r="E200" s="134"/>
      <c r="F200" s="132" t="str">
        <f aca="false">IF(OR($A200="",$D200="",$E200=""),"",MAX(0,$E200-$D200))</f>
        <v/>
      </c>
      <c r="G200" s="132" t="str">
        <f aca="false">IF($A200="","",IF($E200&lt;&gt;"",IF(N($F200)&gt;0,"Entregue com atraso","Entregue no prazo"),IF($D200="","Sem data prometida",IF($D200&lt;Hoje!$L$1,"ATRASADA","Aguardando"))))</f>
        <v/>
      </c>
      <c r="H200" s="133"/>
      <c r="I200" s="133"/>
    </row>
    <row r="201" customFormat="false" ht="21" hidden="false" customHeight="true" outlineLevel="0" collapsed="false">
      <c r="A201" s="132"/>
      <c r="B201" s="133"/>
      <c r="C201" s="134"/>
      <c r="D201" s="134"/>
      <c r="E201" s="134"/>
      <c r="F201" s="132" t="str">
        <f aca="false">IF(OR($A201="",$D201="",$E201=""),"",MAX(0,$E201-$D201))</f>
        <v/>
      </c>
      <c r="G201" s="132" t="str">
        <f aca="false">IF($A201="","",IF($E201&lt;&gt;"",IF(N($F201)&gt;0,"Entregue com atraso","Entregue no prazo"),IF($D201="","Sem data prometida",IF($D201&lt;Hoje!$L$1,"ATRASADA","Aguardando"))))</f>
        <v/>
      </c>
      <c r="H201" s="133"/>
      <c r="I201" s="133"/>
    </row>
    <row r="202" customFormat="false" ht="21" hidden="false" customHeight="true" outlineLevel="0" collapsed="false">
      <c r="A202" s="132"/>
      <c r="B202" s="133"/>
      <c r="C202" s="134"/>
      <c r="D202" s="134"/>
      <c r="E202" s="134"/>
      <c r="F202" s="132" t="str">
        <f aca="false">IF(OR($A202="",$D202="",$E202=""),"",MAX(0,$E202-$D202))</f>
        <v/>
      </c>
      <c r="G202" s="132" t="str">
        <f aca="false">IF($A202="","",IF($E202&lt;&gt;"",IF(N($F202)&gt;0,"Entregue com atraso","Entregue no prazo"),IF($D202="","Sem data prometida",IF($D202&lt;Hoje!$L$1,"ATRASADA","Aguardando"))))</f>
        <v/>
      </c>
      <c r="H202" s="133"/>
      <c r="I202" s="133"/>
    </row>
    <row r="203" customFormat="false" ht="21" hidden="false" customHeight="true" outlineLevel="0" collapsed="false">
      <c r="A203" s="132"/>
      <c r="B203" s="133"/>
      <c r="C203" s="134"/>
      <c r="D203" s="134"/>
      <c r="E203" s="134"/>
      <c r="F203" s="132" t="str">
        <f aca="false">IF(OR($A203="",$D203="",$E203=""),"",MAX(0,$E203-$D203))</f>
        <v/>
      </c>
      <c r="G203" s="132" t="str">
        <f aca="false">IF($A203="","",IF($E203&lt;&gt;"",IF(N($F203)&gt;0,"Entregue com atraso","Entregue no prazo"),IF($D203="","Sem data prometida",IF($D203&lt;Hoje!$L$1,"ATRASADA","Aguardando"))))</f>
        <v/>
      </c>
      <c r="H203" s="133"/>
      <c r="I203" s="133"/>
    </row>
    <row r="204" customFormat="false" ht="21" hidden="false" customHeight="true" outlineLevel="0" collapsed="false">
      <c r="A204" s="132"/>
      <c r="B204" s="133"/>
      <c r="C204" s="134"/>
      <c r="D204" s="134"/>
      <c r="E204" s="134"/>
      <c r="F204" s="132" t="str">
        <f aca="false">IF(OR($A204="",$D204="",$E204=""),"",MAX(0,$E204-$D204))</f>
        <v/>
      </c>
      <c r="G204" s="132" t="str">
        <f aca="false">IF($A204="","",IF($E204&lt;&gt;"",IF(N($F204)&gt;0,"Entregue com atraso","Entregue no prazo"),IF($D204="","Sem data prometida",IF($D204&lt;Hoje!$L$1,"ATRASADA","Aguardando"))))</f>
        <v/>
      </c>
      <c r="H204" s="133"/>
      <c r="I204" s="133"/>
    </row>
    <row r="205" customFormat="false" ht="21" hidden="false" customHeight="true" outlineLevel="0" collapsed="false">
      <c r="A205" s="132"/>
      <c r="B205" s="133"/>
      <c r="C205" s="134"/>
      <c r="D205" s="134"/>
      <c r="E205" s="134"/>
      <c r="F205" s="132" t="str">
        <f aca="false">IF(OR($A205="",$D205="",$E205=""),"",MAX(0,$E205-$D205))</f>
        <v/>
      </c>
      <c r="G205" s="132" t="str">
        <f aca="false">IF($A205="","",IF($E205&lt;&gt;"",IF(N($F205)&gt;0,"Entregue com atraso","Entregue no prazo"),IF($D205="","Sem data prometida",IF($D205&lt;Hoje!$L$1,"ATRASADA","Aguardando"))))</f>
        <v/>
      </c>
      <c r="H205" s="133"/>
      <c r="I205" s="133"/>
    </row>
    <row r="206" customFormat="false" ht="21" hidden="false" customHeight="true" outlineLevel="0" collapsed="false">
      <c r="A206" s="132"/>
      <c r="B206" s="133"/>
      <c r="C206" s="134"/>
      <c r="D206" s="134"/>
      <c r="E206" s="134"/>
      <c r="F206" s="132" t="str">
        <f aca="false">IF(OR($A206="",$D206="",$E206=""),"",MAX(0,$E206-$D206))</f>
        <v/>
      </c>
      <c r="G206" s="132" t="str">
        <f aca="false">IF($A206="","",IF($E206&lt;&gt;"",IF(N($F206)&gt;0,"Entregue com atraso","Entregue no prazo"),IF($D206="","Sem data prometida",IF($D206&lt;Hoje!$L$1,"ATRASADA","Aguardando"))))</f>
        <v/>
      </c>
      <c r="H206" s="133"/>
      <c r="I206" s="133"/>
    </row>
    <row r="207" customFormat="false" ht="21" hidden="false" customHeight="true" outlineLevel="0" collapsed="false">
      <c r="A207" s="132"/>
      <c r="B207" s="133"/>
      <c r="C207" s="134"/>
      <c r="D207" s="134"/>
      <c r="E207" s="134"/>
      <c r="F207" s="132" t="str">
        <f aca="false">IF(OR($A207="",$D207="",$E207=""),"",MAX(0,$E207-$D207))</f>
        <v/>
      </c>
      <c r="G207" s="132" t="str">
        <f aca="false">IF($A207="","",IF($E207&lt;&gt;"",IF(N($F207)&gt;0,"Entregue com atraso","Entregue no prazo"),IF($D207="","Sem data prometida",IF($D207&lt;Hoje!$L$1,"ATRASADA","Aguardando"))))</f>
        <v/>
      </c>
      <c r="H207" s="133"/>
      <c r="I207" s="133"/>
    </row>
    <row r="208" customFormat="false" ht="21" hidden="false" customHeight="true" outlineLevel="0" collapsed="false">
      <c r="A208" s="132"/>
      <c r="B208" s="133"/>
      <c r="C208" s="134"/>
      <c r="D208" s="134"/>
      <c r="E208" s="134"/>
      <c r="F208" s="132" t="str">
        <f aca="false">IF(OR($A208="",$D208="",$E208=""),"",MAX(0,$E208-$D208))</f>
        <v/>
      </c>
      <c r="G208" s="132" t="str">
        <f aca="false">IF($A208="","",IF($E208&lt;&gt;"",IF(N($F208)&gt;0,"Entregue com atraso","Entregue no prazo"),IF($D208="","Sem data prometida",IF($D208&lt;Hoje!$L$1,"ATRASADA","Aguardando"))))</f>
        <v/>
      </c>
      <c r="H208" s="133"/>
      <c r="I208" s="133"/>
    </row>
    <row r="209" customFormat="false" ht="21" hidden="false" customHeight="true" outlineLevel="0" collapsed="false">
      <c r="A209" s="132"/>
      <c r="B209" s="133"/>
      <c r="C209" s="134"/>
      <c r="D209" s="134"/>
      <c r="E209" s="134"/>
      <c r="F209" s="132" t="str">
        <f aca="false">IF(OR($A209="",$D209="",$E209=""),"",MAX(0,$E209-$D209))</f>
        <v/>
      </c>
      <c r="G209" s="132" t="str">
        <f aca="false">IF($A209="","",IF($E209&lt;&gt;"",IF(N($F209)&gt;0,"Entregue com atraso","Entregue no prazo"),IF($D209="","Sem data prometida",IF($D209&lt;Hoje!$L$1,"ATRASADA","Aguardando"))))</f>
        <v/>
      </c>
      <c r="H209" s="133"/>
      <c r="I209" s="133"/>
    </row>
    <row r="210" customFormat="false" ht="21" hidden="false" customHeight="true" outlineLevel="0" collapsed="false">
      <c r="A210" s="132"/>
      <c r="B210" s="133"/>
      <c r="C210" s="134"/>
      <c r="D210" s="134"/>
      <c r="E210" s="134"/>
      <c r="F210" s="132" t="str">
        <f aca="false">IF(OR($A210="",$D210="",$E210=""),"",MAX(0,$E210-$D210))</f>
        <v/>
      </c>
      <c r="G210" s="132" t="str">
        <f aca="false">IF($A210="","",IF($E210&lt;&gt;"",IF(N($F210)&gt;0,"Entregue com atraso","Entregue no prazo"),IF($D210="","Sem data prometida",IF($D210&lt;Hoje!$L$1,"ATRASADA","Aguardando"))))</f>
        <v/>
      </c>
      <c r="H210" s="133"/>
      <c r="I210" s="133"/>
    </row>
    <row r="211" customFormat="false" ht="21" hidden="false" customHeight="true" outlineLevel="0" collapsed="false">
      <c r="A211" s="132"/>
      <c r="B211" s="133"/>
      <c r="C211" s="134"/>
      <c r="D211" s="134"/>
      <c r="E211" s="134"/>
      <c r="F211" s="132" t="str">
        <f aca="false">IF(OR($A211="",$D211="",$E211=""),"",MAX(0,$E211-$D211))</f>
        <v/>
      </c>
      <c r="G211" s="132" t="str">
        <f aca="false">IF($A211="","",IF($E211&lt;&gt;"",IF(N($F211)&gt;0,"Entregue com atraso","Entregue no prazo"),IF($D211="","Sem data prometida",IF($D211&lt;Hoje!$L$1,"ATRASADA","Aguardando"))))</f>
        <v/>
      </c>
      <c r="H211" s="133"/>
      <c r="I211" s="133"/>
    </row>
    <row r="212" customFormat="false" ht="21" hidden="false" customHeight="true" outlineLevel="0" collapsed="false">
      <c r="A212" s="132"/>
      <c r="B212" s="133"/>
      <c r="C212" s="134"/>
      <c r="D212" s="134"/>
      <c r="E212" s="134"/>
      <c r="F212" s="132" t="str">
        <f aca="false">IF(OR($A212="",$D212="",$E212=""),"",MAX(0,$E212-$D212))</f>
        <v/>
      </c>
      <c r="G212" s="132" t="str">
        <f aca="false">IF($A212="","",IF($E212&lt;&gt;"",IF(N($F212)&gt;0,"Entregue com atraso","Entregue no prazo"),IF($D212="","Sem data prometida",IF($D212&lt;Hoje!$L$1,"ATRASADA","Aguardando"))))</f>
        <v/>
      </c>
      <c r="H212" s="133"/>
      <c r="I212" s="133"/>
    </row>
    <row r="213" customFormat="false" ht="21" hidden="false" customHeight="true" outlineLevel="0" collapsed="false">
      <c r="A213" s="132"/>
      <c r="B213" s="133"/>
      <c r="C213" s="134"/>
      <c r="D213" s="134"/>
      <c r="E213" s="134"/>
      <c r="F213" s="132" t="str">
        <f aca="false">IF(OR($A213="",$D213="",$E213=""),"",MAX(0,$E213-$D213))</f>
        <v/>
      </c>
      <c r="G213" s="132" t="str">
        <f aca="false">IF($A213="","",IF($E213&lt;&gt;"",IF(N($F213)&gt;0,"Entregue com atraso","Entregue no prazo"),IF($D213="","Sem data prometida",IF($D213&lt;Hoje!$L$1,"ATRASADA","Aguardando"))))</f>
        <v/>
      </c>
      <c r="H213" s="133"/>
      <c r="I213" s="133"/>
    </row>
    <row r="214" customFormat="false" ht="21" hidden="false" customHeight="true" outlineLevel="0" collapsed="false">
      <c r="A214" s="132"/>
      <c r="B214" s="133"/>
      <c r="C214" s="134"/>
      <c r="D214" s="134"/>
      <c r="E214" s="134"/>
      <c r="F214" s="132" t="str">
        <f aca="false">IF(OR($A214="",$D214="",$E214=""),"",MAX(0,$E214-$D214))</f>
        <v/>
      </c>
      <c r="G214" s="132" t="str">
        <f aca="false">IF($A214="","",IF($E214&lt;&gt;"",IF(N($F214)&gt;0,"Entregue com atraso","Entregue no prazo"),IF($D214="","Sem data prometida",IF($D214&lt;Hoje!$L$1,"ATRASADA","Aguardando"))))</f>
        <v/>
      </c>
      <c r="H214" s="133"/>
      <c r="I214" s="133"/>
    </row>
    <row r="215" customFormat="false" ht="21" hidden="false" customHeight="true" outlineLevel="0" collapsed="false">
      <c r="A215" s="132"/>
      <c r="B215" s="133"/>
      <c r="C215" s="134"/>
      <c r="D215" s="134"/>
      <c r="E215" s="134"/>
      <c r="F215" s="132" t="str">
        <f aca="false">IF(OR($A215="",$D215="",$E215=""),"",MAX(0,$E215-$D215))</f>
        <v/>
      </c>
      <c r="G215" s="132" t="str">
        <f aca="false">IF($A215="","",IF($E215&lt;&gt;"",IF(N($F215)&gt;0,"Entregue com atraso","Entregue no prazo"),IF($D215="","Sem data prometida",IF($D215&lt;Hoje!$L$1,"ATRASADA","Aguardando"))))</f>
        <v/>
      </c>
      <c r="H215" s="133"/>
      <c r="I215" s="133"/>
    </row>
    <row r="216" customFormat="false" ht="21" hidden="false" customHeight="true" outlineLevel="0" collapsed="false">
      <c r="A216" s="132"/>
      <c r="B216" s="133"/>
      <c r="C216" s="134"/>
      <c r="D216" s="134"/>
      <c r="E216" s="134"/>
      <c r="F216" s="132" t="str">
        <f aca="false">IF(OR($A216="",$D216="",$E216=""),"",MAX(0,$E216-$D216))</f>
        <v/>
      </c>
      <c r="G216" s="132" t="str">
        <f aca="false">IF($A216="","",IF($E216&lt;&gt;"",IF(N($F216)&gt;0,"Entregue com atraso","Entregue no prazo"),IF($D216="","Sem data prometida",IF($D216&lt;Hoje!$L$1,"ATRASADA","Aguardando"))))</f>
        <v/>
      </c>
      <c r="H216" s="133"/>
      <c r="I216" s="133"/>
    </row>
    <row r="217" customFormat="false" ht="21" hidden="false" customHeight="true" outlineLevel="0" collapsed="false">
      <c r="A217" s="132"/>
      <c r="B217" s="133"/>
      <c r="C217" s="134"/>
      <c r="D217" s="134"/>
      <c r="E217" s="134"/>
      <c r="F217" s="132" t="str">
        <f aca="false">IF(OR($A217="",$D217="",$E217=""),"",MAX(0,$E217-$D217))</f>
        <v/>
      </c>
      <c r="G217" s="132" t="str">
        <f aca="false">IF($A217="","",IF($E217&lt;&gt;"",IF(N($F217)&gt;0,"Entregue com atraso","Entregue no prazo"),IF($D217="","Sem data prometida",IF($D217&lt;Hoje!$L$1,"ATRASADA","Aguardando"))))</f>
        <v/>
      </c>
      <c r="H217" s="133"/>
      <c r="I217" s="133"/>
    </row>
    <row r="218" customFormat="false" ht="21" hidden="false" customHeight="true" outlineLevel="0" collapsed="false">
      <c r="A218" s="132"/>
      <c r="B218" s="133"/>
      <c r="C218" s="134"/>
      <c r="D218" s="134"/>
      <c r="E218" s="134"/>
      <c r="F218" s="132" t="str">
        <f aca="false">IF(OR($A218="",$D218="",$E218=""),"",MAX(0,$E218-$D218))</f>
        <v/>
      </c>
      <c r="G218" s="132" t="str">
        <f aca="false">IF($A218="","",IF($E218&lt;&gt;"",IF(N($F218)&gt;0,"Entregue com atraso","Entregue no prazo"),IF($D218="","Sem data prometida",IF($D218&lt;Hoje!$L$1,"ATRASADA","Aguardando"))))</f>
        <v/>
      </c>
      <c r="H218" s="133"/>
      <c r="I218" s="133"/>
    </row>
    <row r="219" customFormat="false" ht="21" hidden="false" customHeight="true" outlineLevel="0" collapsed="false">
      <c r="A219" s="132"/>
      <c r="B219" s="133"/>
      <c r="C219" s="134"/>
      <c r="D219" s="134"/>
      <c r="E219" s="134"/>
      <c r="F219" s="132" t="str">
        <f aca="false">IF(OR($A219="",$D219="",$E219=""),"",MAX(0,$E219-$D219))</f>
        <v/>
      </c>
      <c r="G219" s="132" t="str">
        <f aca="false">IF($A219="","",IF($E219&lt;&gt;"",IF(N($F219)&gt;0,"Entregue com atraso","Entregue no prazo"),IF($D219="","Sem data prometida",IF($D219&lt;Hoje!$L$1,"ATRASADA","Aguardando"))))</f>
        <v/>
      </c>
      <c r="H219" s="133"/>
      <c r="I219" s="133"/>
    </row>
    <row r="220" customFormat="false" ht="21" hidden="false" customHeight="true" outlineLevel="0" collapsed="false">
      <c r="A220" s="132"/>
      <c r="B220" s="133"/>
      <c r="C220" s="134"/>
      <c r="D220" s="134"/>
      <c r="E220" s="134"/>
      <c r="F220" s="132" t="str">
        <f aca="false">IF(OR($A220="",$D220="",$E220=""),"",MAX(0,$E220-$D220))</f>
        <v/>
      </c>
      <c r="G220" s="132" t="str">
        <f aca="false">IF($A220="","",IF($E220&lt;&gt;"",IF(N($F220)&gt;0,"Entregue com atraso","Entregue no prazo"),IF($D220="","Sem data prometida",IF($D220&lt;Hoje!$L$1,"ATRASADA","Aguardando"))))</f>
        <v/>
      </c>
      <c r="H220" s="133"/>
      <c r="I220" s="133"/>
    </row>
    <row r="221" customFormat="false" ht="21" hidden="false" customHeight="true" outlineLevel="0" collapsed="false">
      <c r="A221" s="132"/>
      <c r="B221" s="133"/>
      <c r="C221" s="134"/>
      <c r="D221" s="134"/>
      <c r="E221" s="134"/>
      <c r="F221" s="132" t="str">
        <f aca="false">IF(OR($A221="",$D221="",$E221=""),"",MAX(0,$E221-$D221))</f>
        <v/>
      </c>
      <c r="G221" s="132" t="str">
        <f aca="false">IF($A221="","",IF($E221&lt;&gt;"",IF(N($F221)&gt;0,"Entregue com atraso","Entregue no prazo"),IF($D221="","Sem data prometida",IF($D221&lt;Hoje!$L$1,"ATRASADA","Aguardando"))))</f>
        <v/>
      </c>
      <c r="H221" s="133"/>
      <c r="I221" s="133"/>
    </row>
    <row r="222" customFormat="false" ht="21" hidden="false" customHeight="true" outlineLevel="0" collapsed="false">
      <c r="A222" s="132"/>
      <c r="B222" s="133"/>
      <c r="C222" s="134"/>
      <c r="D222" s="134"/>
      <c r="E222" s="134"/>
      <c r="F222" s="132" t="str">
        <f aca="false">IF(OR($A222="",$D222="",$E222=""),"",MAX(0,$E222-$D222))</f>
        <v/>
      </c>
      <c r="G222" s="132" t="str">
        <f aca="false">IF($A222="","",IF($E222&lt;&gt;"",IF(N($F222)&gt;0,"Entregue com atraso","Entregue no prazo"),IF($D222="","Sem data prometida",IF($D222&lt;Hoje!$L$1,"ATRASADA","Aguardando"))))</f>
        <v/>
      </c>
      <c r="H222" s="133"/>
      <c r="I222" s="133"/>
    </row>
    <row r="223" customFormat="false" ht="21" hidden="false" customHeight="true" outlineLevel="0" collapsed="false">
      <c r="A223" s="132"/>
      <c r="B223" s="133"/>
      <c r="C223" s="134"/>
      <c r="D223" s="134"/>
      <c r="E223" s="134"/>
      <c r="F223" s="132" t="str">
        <f aca="false">IF(OR($A223="",$D223="",$E223=""),"",MAX(0,$E223-$D223))</f>
        <v/>
      </c>
      <c r="G223" s="132" t="str">
        <f aca="false">IF($A223="","",IF($E223&lt;&gt;"",IF(N($F223)&gt;0,"Entregue com atraso","Entregue no prazo"),IF($D223="","Sem data prometida",IF($D223&lt;Hoje!$L$1,"ATRASADA","Aguardando"))))</f>
        <v/>
      </c>
      <c r="H223" s="133"/>
      <c r="I223" s="133"/>
    </row>
    <row r="224" customFormat="false" ht="21" hidden="false" customHeight="true" outlineLevel="0" collapsed="false">
      <c r="A224" s="132"/>
      <c r="B224" s="133"/>
      <c r="C224" s="134"/>
      <c r="D224" s="134"/>
      <c r="E224" s="134"/>
      <c r="F224" s="132" t="str">
        <f aca="false">IF(OR($A224="",$D224="",$E224=""),"",MAX(0,$E224-$D224))</f>
        <v/>
      </c>
      <c r="G224" s="132" t="str">
        <f aca="false">IF($A224="","",IF($E224&lt;&gt;"",IF(N($F224)&gt;0,"Entregue com atraso","Entregue no prazo"),IF($D224="","Sem data prometida",IF($D224&lt;Hoje!$L$1,"ATRASADA","Aguardando"))))</f>
        <v/>
      </c>
      <c r="H224" s="133"/>
      <c r="I224" s="133"/>
    </row>
    <row r="225" customFormat="false" ht="21" hidden="false" customHeight="true" outlineLevel="0" collapsed="false">
      <c r="A225" s="132"/>
      <c r="B225" s="133"/>
      <c r="C225" s="134"/>
      <c r="D225" s="134"/>
      <c r="E225" s="134"/>
      <c r="F225" s="132" t="str">
        <f aca="false">IF(OR($A225="",$D225="",$E225=""),"",MAX(0,$E225-$D225))</f>
        <v/>
      </c>
      <c r="G225" s="132" t="str">
        <f aca="false">IF($A225="","",IF($E225&lt;&gt;"",IF(N($F225)&gt;0,"Entregue com atraso","Entregue no prazo"),IF($D225="","Sem data prometida",IF($D225&lt;Hoje!$L$1,"ATRASADA","Aguardando"))))</f>
        <v/>
      </c>
      <c r="H225" s="133"/>
      <c r="I225" s="133"/>
    </row>
    <row r="226" customFormat="false" ht="21" hidden="false" customHeight="true" outlineLevel="0" collapsed="false">
      <c r="A226" s="132"/>
      <c r="B226" s="133"/>
      <c r="C226" s="134"/>
      <c r="D226" s="134"/>
      <c r="E226" s="134"/>
      <c r="F226" s="132" t="str">
        <f aca="false">IF(OR($A226="",$D226="",$E226=""),"",MAX(0,$E226-$D226))</f>
        <v/>
      </c>
      <c r="G226" s="132" t="str">
        <f aca="false">IF($A226="","",IF($E226&lt;&gt;"",IF(N($F226)&gt;0,"Entregue com atraso","Entregue no prazo"),IF($D226="","Sem data prometida",IF($D226&lt;Hoje!$L$1,"ATRASADA","Aguardando"))))</f>
        <v/>
      </c>
      <c r="H226" s="133"/>
      <c r="I226" s="133"/>
    </row>
    <row r="227" customFormat="false" ht="21" hidden="false" customHeight="true" outlineLevel="0" collapsed="false">
      <c r="A227" s="132"/>
      <c r="B227" s="133"/>
      <c r="C227" s="134"/>
      <c r="D227" s="134"/>
      <c r="E227" s="134"/>
      <c r="F227" s="132" t="str">
        <f aca="false">IF(OR($A227="",$D227="",$E227=""),"",MAX(0,$E227-$D227))</f>
        <v/>
      </c>
      <c r="G227" s="132" t="str">
        <f aca="false">IF($A227="","",IF($E227&lt;&gt;"",IF(N($F227)&gt;0,"Entregue com atraso","Entregue no prazo"),IF($D227="","Sem data prometida",IF($D227&lt;Hoje!$L$1,"ATRASADA","Aguardando"))))</f>
        <v/>
      </c>
      <c r="H227" s="133"/>
      <c r="I227" s="133"/>
    </row>
    <row r="228" customFormat="false" ht="21" hidden="false" customHeight="true" outlineLevel="0" collapsed="false">
      <c r="A228" s="132"/>
      <c r="B228" s="133"/>
      <c r="C228" s="134"/>
      <c r="D228" s="134"/>
      <c r="E228" s="134"/>
      <c r="F228" s="132" t="str">
        <f aca="false">IF(OR($A228="",$D228="",$E228=""),"",MAX(0,$E228-$D228))</f>
        <v/>
      </c>
      <c r="G228" s="132" t="str">
        <f aca="false">IF($A228="","",IF($E228&lt;&gt;"",IF(N($F228)&gt;0,"Entregue com atraso","Entregue no prazo"),IF($D228="","Sem data prometida",IF($D228&lt;Hoje!$L$1,"ATRASADA","Aguardando"))))</f>
        <v/>
      </c>
      <c r="H228" s="133"/>
      <c r="I228" s="133"/>
    </row>
    <row r="229" customFormat="false" ht="21" hidden="false" customHeight="true" outlineLevel="0" collapsed="false">
      <c r="A229" s="132"/>
      <c r="B229" s="133"/>
      <c r="C229" s="134"/>
      <c r="D229" s="134"/>
      <c r="E229" s="134"/>
      <c r="F229" s="132" t="str">
        <f aca="false">IF(OR($A229="",$D229="",$E229=""),"",MAX(0,$E229-$D229))</f>
        <v/>
      </c>
      <c r="G229" s="132" t="str">
        <f aca="false">IF($A229="","",IF($E229&lt;&gt;"",IF(N($F229)&gt;0,"Entregue com atraso","Entregue no prazo"),IF($D229="","Sem data prometida",IF($D229&lt;Hoje!$L$1,"ATRASADA","Aguardando"))))</f>
        <v/>
      </c>
      <c r="H229" s="133"/>
      <c r="I229" s="133"/>
    </row>
    <row r="230" customFormat="false" ht="21" hidden="false" customHeight="true" outlineLevel="0" collapsed="false">
      <c r="A230" s="132"/>
      <c r="B230" s="133"/>
      <c r="C230" s="134"/>
      <c r="D230" s="134"/>
      <c r="E230" s="134"/>
      <c r="F230" s="132" t="str">
        <f aca="false">IF(OR($A230="",$D230="",$E230=""),"",MAX(0,$E230-$D230))</f>
        <v/>
      </c>
      <c r="G230" s="132" t="str">
        <f aca="false">IF($A230="","",IF($E230&lt;&gt;"",IF(N($F230)&gt;0,"Entregue com atraso","Entregue no prazo"),IF($D230="","Sem data prometida",IF($D230&lt;Hoje!$L$1,"ATRASADA","Aguardando"))))</f>
        <v/>
      </c>
      <c r="H230" s="133"/>
      <c r="I230" s="133"/>
    </row>
    <row r="231" customFormat="false" ht="21" hidden="false" customHeight="true" outlineLevel="0" collapsed="false">
      <c r="A231" s="132"/>
      <c r="B231" s="133"/>
      <c r="C231" s="134"/>
      <c r="D231" s="134"/>
      <c r="E231" s="134"/>
      <c r="F231" s="132" t="str">
        <f aca="false">IF(OR($A231="",$D231="",$E231=""),"",MAX(0,$E231-$D231))</f>
        <v/>
      </c>
      <c r="G231" s="132" t="str">
        <f aca="false">IF($A231="","",IF($E231&lt;&gt;"",IF(N($F231)&gt;0,"Entregue com atraso","Entregue no prazo"),IF($D231="","Sem data prometida",IF($D231&lt;Hoje!$L$1,"ATRASADA","Aguardando"))))</f>
        <v/>
      </c>
      <c r="H231" s="133"/>
      <c r="I231" s="133"/>
    </row>
    <row r="232" customFormat="false" ht="21" hidden="false" customHeight="true" outlineLevel="0" collapsed="false">
      <c r="A232" s="132"/>
      <c r="B232" s="133"/>
      <c r="C232" s="134"/>
      <c r="D232" s="134"/>
      <c r="E232" s="134"/>
      <c r="F232" s="132" t="str">
        <f aca="false">IF(OR($A232="",$D232="",$E232=""),"",MAX(0,$E232-$D232))</f>
        <v/>
      </c>
      <c r="G232" s="132" t="str">
        <f aca="false">IF($A232="","",IF($E232&lt;&gt;"",IF(N($F232)&gt;0,"Entregue com atraso","Entregue no prazo"),IF($D232="","Sem data prometida",IF($D232&lt;Hoje!$L$1,"ATRASADA","Aguardando"))))</f>
        <v/>
      </c>
      <c r="H232" s="133"/>
      <c r="I232" s="133"/>
    </row>
    <row r="233" customFormat="false" ht="21" hidden="false" customHeight="true" outlineLevel="0" collapsed="false">
      <c r="A233" s="132"/>
      <c r="B233" s="133"/>
      <c r="C233" s="134"/>
      <c r="D233" s="134"/>
      <c r="E233" s="134"/>
      <c r="F233" s="132" t="str">
        <f aca="false">IF(OR($A233="",$D233="",$E233=""),"",MAX(0,$E233-$D233))</f>
        <v/>
      </c>
      <c r="G233" s="132" t="str">
        <f aca="false">IF($A233="","",IF($E233&lt;&gt;"",IF(N($F233)&gt;0,"Entregue com atraso","Entregue no prazo"),IF($D233="","Sem data prometida",IF($D233&lt;Hoje!$L$1,"ATRASADA","Aguardando"))))</f>
        <v/>
      </c>
      <c r="H233" s="133"/>
      <c r="I233" s="133"/>
    </row>
    <row r="234" customFormat="false" ht="21" hidden="false" customHeight="true" outlineLevel="0" collapsed="false">
      <c r="A234" s="132"/>
      <c r="B234" s="133"/>
      <c r="C234" s="134"/>
      <c r="D234" s="134"/>
      <c r="E234" s="134"/>
      <c r="F234" s="132" t="str">
        <f aca="false">IF(OR($A234="",$D234="",$E234=""),"",MAX(0,$E234-$D234))</f>
        <v/>
      </c>
      <c r="G234" s="132" t="str">
        <f aca="false">IF($A234="","",IF($E234&lt;&gt;"",IF(N($F234)&gt;0,"Entregue com atraso","Entregue no prazo"),IF($D234="","Sem data prometida",IF($D234&lt;Hoje!$L$1,"ATRASADA","Aguardando"))))</f>
        <v/>
      </c>
      <c r="H234" s="133"/>
      <c r="I234" s="133"/>
    </row>
    <row r="235" customFormat="false" ht="21" hidden="false" customHeight="true" outlineLevel="0" collapsed="false">
      <c r="A235" s="132"/>
      <c r="B235" s="133"/>
      <c r="C235" s="134"/>
      <c r="D235" s="134"/>
      <c r="E235" s="134"/>
      <c r="F235" s="132" t="str">
        <f aca="false">IF(OR($A235="",$D235="",$E235=""),"",MAX(0,$E235-$D235))</f>
        <v/>
      </c>
      <c r="G235" s="132" t="str">
        <f aca="false">IF($A235="","",IF($E235&lt;&gt;"",IF(N($F235)&gt;0,"Entregue com atraso","Entregue no prazo"),IF($D235="","Sem data prometida",IF($D235&lt;Hoje!$L$1,"ATRASADA","Aguardando"))))</f>
        <v/>
      </c>
      <c r="H235" s="133"/>
      <c r="I235" s="133"/>
    </row>
    <row r="236" customFormat="false" ht="21" hidden="false" customHeight="true" outlineLevel="0" collapsed="false">
      <c r="A236" s="132"/>
      <c r="B236" s="133"/>
      <c r="C236" s="134"/>
      <c r="D236" s="134"/>
      <c r="E236" s="134"/>
      <c r="F236" s="132" t="str">
        <f aca="false">IF(OR($A236="",$D236="",$E236=""),"",MAX(0,$E236-$D236))</f>
        <v/>
      </c>
      <c r="G236" s="132" t="str">
        <f aca="false">IF($A236="","",IF($E236&lt;&gt;"",IF(N($F236)&gt;0,"Entregue com atraso","Entregue no prazo"),IF($D236="","Sem data prometida",IF($D236&lt;Hoje!$L$1,"ATRASADA","Aguardando"))))</f>
        <v/>
      </c>
      <c r="H236" s="133"/>
      <c r="I236" s="133"/>
    </row>
    <row r="237" customFormat="false" ht="21" hidden="false" customHeight="true" outlineLevel="0" collapsed="false">
      <c r="A237" s="132"/>
      <c r="B237" s="133"/>
      <c r="C237" s="134"/>
      <c r="D237" s="134"/>
      <c r="E237" s="134"/>
      <c r="F237" s="132" t="str">
        <f aca="false">IF(OR($A237="",$D237="",$E237=""),"",MAX(0,$E237-$D237))</f>
        <v/>
      </c>
      <c r="G237" s="132" t="str">
        <f aca="false">IF($A237="","",IF($E237&lt;&gt;"",IF(N($F237)&gt;0,"Entregue com atraso","Entregue no prazo"),IF($D237="","Sem data prometida",IF($D237&lt;Hoje!$L$1,"ATRASADA","Aguardando"))))</f>
        <v/>
      </c>
      <c r="H237" s="133"/>
      <c r="I237" s="133"/>
    </row>
    <row r="238" customFormat="false" ht="21" hidden="false" customHeight="true" outlineLevel="0" collapsed="false">
      <c r="A238" s="132"/>
      <c r="B238" s="133"/>
      <c r="C238" s="134"/>
      <c r="D238" s="134"/>
      <c r="E238" s="134"/>
      <c r="F238" s="132" t="str">
        <f aca="false">IF(OR($A238="",$D238="",$E238=""),"",MAX(0,$E238-$D238))</f>
        <v/>
      </c>
      <c r="G238" s="132" t="str">
        <f aca="false">IF($A238="","",IF($E238&lt;&gt;"",IF(N($F238)&gt;0,"Entregue com atraso","Entregue no prazo"),IF($D238="","Sem data prometida",IF($D238&lt;Hoje!$L$1,"ATRASADA","Aguardando"))))</f>
        <v/>
      </c>
      <c r="H238" s="133"/>
      <c r="I238" s="133"/>
    </row>
    <row r="239" customFormat="false" ht="21" hidden="false" customHeight="true" outlineLevel="0" collapsed="false">
      <c r="A239" s="132"/>
      <c r="B239" s="133"/>
      <c r="C239" s="134"/>
      <c r="D239" s="134"/>
      <c r="E239" s="134"/>
      <c r="F239" s="132" t="str">
        <f aca="false">IF(OR($A239="",$D239="",$E239=""),"",MAX(0,$E239-$D239))</f>
        <v/>
      </c>
      <c r="G239" s="132" t="str">
        <f aca="false">IF($A239="","",IF($E239&lt;&gt;"",IF(N($F239)&gt;0,"Entregue com atraso","Entregue no prazo"),IF($D239="","Sem data prometida",IF($D239&lt;Hoje!$L$1,"ATRASADA","Aguardando"))))</f>
        <v/>
      </c>
      <c r="H239" s="133"/>
      <c r="I239" s="133"/>
    </row>
    <row r="240" customFormat="false" ht="21" hidden="false" customHeight="true" outlineLevel="0" collapsed="false">
      <c r="A240" s="132"/>
      <c r="B240" s="133"/>
      <c r="C240" s="134"/>
      <c r="D240" s="134"/>
      <c r="E240" s="134"/>
      <c r="F240" s="132" t="str">
        <f aca="false">IF(OR($A240="",$D240="",$E240=""),"",MAX(0,$E240-$D240))</f>
        <v/>
      </c>
      <c r="G240" s="132" t="str">
        <f aca="false">IF($A240="","",IF($E240&lt;&gt;"",IF(N($F240)&gt;0,"Entregue com atraso","Entregue no prazo"),IF($D240="","Sem data prometida",IF($D240&lt;Hoje!$L$1,"ATRASADA","Aguardando"))))</f>
        <v/>
      </c>
      <c r="H240" s="133"/>
      <c r="I240" s="133"/>
    </row>
    <row r="241" customFormat="false" ht="21" hidden="false" customHeight="true" outlineLevel="0" collapsed="false">
      <c r="A241" s="132"/>
      <c r="B241" s="133"/>
      <c r="C241" s="134"/>
      <c r="D241" s="134"/>
      <c r="E241" s="134"/>
      <c r="F241" s="132" t="str">
        <f aca="false">IF(OR($A241="",$D241="",$E241=""),"",MAX(0,$E241-$D241))</f>
        <v/>
      </c>
      <c r="G241" s="132" t="str">
        <f aca="false">IF($A241="","",IF($E241&lt;&gt;"",IF(N($F241)&gt;0,"Entregue com atraso","Entregue no prazo"),IF($D241="","Sem data prometida",IF($D241&lt;Hoje!$L$1,"ATRASADA","Aguardando"))))</f>
        <v/>
      </c>
      <c r="H241" s="133"/>
      <c r="I241" s="133"/>
    </row>
    <row r="242" customFormat="false" ht="21" hidden="false" customHeight="true" outlineLevel="0" collapsed="false">
      <c r="A242" s="132"/>
      <c r="B242" s="133"/>
      <c r="C242" s="134"/>
      <c r="D242" s="134"/>
      <c r="E242" s="134"/>
      <c r="F242" s="132" t="str">
        <f aca="false">IF(OR($A242="",$D242="",$E242=""),"",MAX(0,$E242-$D242))</f>
        <v/>
      </c>
      <c r="G242" s="132" t="str">
        <f aca="false">IF($A242="","",IF($E242&lt;&gt;"",IF(N($F242)&gt;0,"Entregue com atraso","Entregue no prazo"),IF($D242="","Sem data prometida",IF($D242&lt;Hoje!$L$1,"ATRASADA","Aguardando"))))</f>
        <v/>
      </c>
      <c r="H242" s="133"/>
      <c r="I242" s="133"/>
    </row>
    <row r="243" customFormat="false" ht="21" hidden="false" customHeight="true" outlineLevel="0" collapsed="false">
      <c r="A243" s="132"/>
      <c r="B243" s="133"/>
      <c r="C243" s="134"/>
      <c r="D243" s="134"/>
      <c r="E243" s="134"/>
      <c r="F243" s="132" t="str">
        <f aca="false">IF(OR($A243="",$D243="",$E243=""),"",MAX(0,$E243-$D243))</f>
        <v/>
      </c>
      <c r="G243" s="132" t="str">
        <f aca="false">IF($A243="","",IF($E243&lt;&gt;"",IF(N($F243)&gt;0,"Entregue com atraso","Entregue no prazo"),IF($D243="","Sem data prometida",IF($D243&lt;Hoje!$L$1,"ATRASADA","Aguardando"))))</f>
        <v/>
      </c>
      <c r="H243" s="133"/>
      <c r="I243" s="133"/>
    </row>
    <row r="244" customFormat="false" ht="21" hidden="false" customHeight="true" outlineLevel="0" collapsed="false">
      <c r="A244" s="132"/>
      <c r="B244" s="133"/>
      <c r="C244" s="134"/>
      <c r="D244" s="134"/>
      <c r="E244" s="134"/>
      <c r="F244" s="132" t="str">
        <f aca="false">IF(OR($A244="",$D244="",$E244=""),"",MAX(0,$E244-$D244))</f>
        <v/>
      </c>
      <c r="G244" s="132" t="str">
        <f aca="false">IF($A244="","",IF($E244&lt;&gt;"",IF(N($F244)&gt;0,"Entregue com atraso","Entregue no prazo"),IF($D244="","Sem data prometida",IF($D244&lt;Hoje!$L$1,"ATRASADA","Aguardando"))))</f>
        <v/>
      </c>
      <c r="H244" s="133"/>
      <c r="I244" s="133"/>
    </row>
    <row r="245" customFormat="false" ht="21" hidden="false" customHeight="true" outlineLevel="0" collapsed="false">
      <c r="A245" s="132"/>
      <c r="B245" s="133"/>
      <c r="C245" s="134"/>
      <c r="D245" s="134"/>
      <c r="E245" s="134"/>
      <c r="F245" s="132" t="str">
        <f aca="false">IF(OR($A245="",$D245="",$E245=""),"",MAX(0,$E245-$D245))</f>
        <v/>
      </c>
      <c r="G245" s="132" t="str">
        <f aca="false">IF($A245="","",IF($E245&lt;&gt;"",IF(N($F245)&gt;0,"Entregue com atraso","Entregue no prazo"),IF($D245="","Sem data prometida",IF($D245&lt;Hoje!$L$1,"ATRASADA","Aguardando"))))</f>
        <v/>
      </c>
      <c r="H245" s="133"/>
      <c r="I245" s="133"/>
    </row>
    <row r="246" customFormat="false" ht="21" hidden="false" customHeight="true" outlineLevel="0" collapsed="false">
      <c r="A246" s="132"/>
      <c r="B246" s="133"/>
      <c r="C246" s="134"/>
      <c r="D246" s="134"/>
      <c r="E246" s="134"/>
      <c r="F246" s="132" t="str">
        <f aca="false">IF(OR($A246="",$D246="",$E246=""),"",MAX(0,$E246-$D246))</f>
        <v/>
      </c>
      <c r="G246" s="132" t="str">
        <f aca="false">IF($A246="","",IF($E246&lt;&gt;"",IF(N($F246)&gt;0,"Entregue com atraso","Entregue no prazo"),IF($D246="","Sem data prometida",IF($D246&lt;Hoje!$L$1,"ATRASADA","Aguardando"))))</f>
        <v/>
      </c>
      <c r="H246" s="133"/>
      <c r="I246" s="133"/>
    </row>
    <row r="247" customFormat="false" ht="21" hidden="false" customHeight="true" outlineLevel="0" collapsed="false">
      <c r="A247" s="132"/>
      <c r="B247" s="133"/>
      <c r="C247" s="134"/>
      <c r="D247" s="134"/>
      <c r="E247" s="134"/>
      <c r="F247" s="132" t="str">
        <f aca="false">IF(OR($A247="",$D247="",$E247=""),"",MAX(0,$E247-$D247))</f>
        <v/>
      </c>
      <c r="G247" s="132" t="str">
        <f aca="false">IF($A247="","",IF($E247&lt;&gt;"",IF(N($F247)&gt;0,"Entregue com atraso","Entregue no prazo"),IF($D247="","Sem data prometida",IF($D247&lt;Hoje!$L$1,"ATRASADA","Aguardando"))))</f>
        <v/>
      </c>
      <c r="H247" s="133"/>
      <c r="I247" s="133"/>
    </row>
    <row r="248" customFormat="false" ht="21" hidden="false" customHeight="true" outlineLevel="0" collapsed="false">
      <c r="A248" s="132"/>
      <c r="B248" s="133"/>
      <c r="C248" s="134"/>
      <c r="D248" s="134"/>
      <c r="E248" s="134"/>
      <c r="F248" s="132" t="str">
        <f aca="false">IF(OR($A248="",$D248="",$E248=""),"",MAX(0,$E248-$D248))</f>
        <v/>
      </c>
      <c r="G248" s="132" t="str">
        <f aca="false">IF($A248="","",IF($E248&lt;&gt;"",IF(N($F248)&gt;0,"Entregue com atraso","Entregue no prazo"),IF($D248="","Sem data prometida",IF($D248&lt;Hoje!$L$1,"ATRASADA","Aguardando"))))</f>
        <v/>
      </c>
      <c r="H248" s="133"/>
      <c r="I248" s="133"/>
    </row>
    <row r="249" customFormat="false" ht="21" hidden="false" customHeight="true" outlineLevel="0" collapsed="false">
      <c r="A249" s="132"/>
      <c r="B249" s="133"/>
      <c r="C249" s="134"/>
      <c r="D249" s="134"/>
      <c r="E249" s="134"/>
      <c r="F249" s="132" t="str">
        <f aca="false">IF(OR($A249="",$D249="",$E249=""),"",MAX(0,$E249-$D249))</f>
        <v/>
      </c>
      <c r="G249" s="132" t="str">
        <f aca="false">IF($A249="","",IF($E249&lt;&gt;"",IF(N($F249)&gt;0,"Entregue com atraso","Entregue no prazo"),IF($D249="","Sem data prometida",IF($D249&lt;Hoje!$L$1,"ATRASADA","Aguardando"))))</f>
        <v/>
      </c>
      <c r="H249" s="133"/>
      <c r="I249" s="133"/>
    </row>
    <row r="250" customFormat="false" ht="21" hidden="false" customHeight="true" outlineLevel="0" collapsed="false">
      <c r="A250" s="132"/>
      <c r="B250" s="133"/>
      <c r="C250" s="134"/>
      <c r="D250" s="134"/>
      <c r="E250" s="134"/>
      <c r="F250" s="132" t="str">
        <f aca="false">IF(OR($A250="",$D250="",$E250=""),"",MAX(0,$E250-$D250))</f>
        <v/>
      </c>
      <c r="G250" s="132" t="str">
        <f aca="false">IF($A250="","",IF($E250&lt;&gt;"",IF(N($F250)&gt;0,"Entregue com atraso","Entregue no prazo"),IF($D250="","Sem data prometida",IF($D250&lt;Hoje!$L$1,"ATRASADA","Aguardando"))))</f>
        <v/>
      </c>
      <c r="H250" s="133"/>
      <c r="I250" s="133"/>
    </row>
    <row r="251" customFormat="false" ht="21" hidden="false" customHeight="true" outlineLevel="0" collapsed="false">
      <c r="A251" s="132"/>
      <c r="B251" s="133"/>
      <c r="C251" s="134"/>
      <c r="D251" s="134"/>
      <c r="E251" s="134"/>
      <c r="F251" s="132" t="str">
        <f aca="false">IF(OR($A251="",$D251="",$E251=""),"",MAX(0,$E251-$D251))</f>
        <v/>
      </c>
      <c r="G251" s="132" t="str">
        <f aca="false">IF($A251="","",IF($E251&lt;&gt;"",IF(N($F251)&gt;0,"Entregue com atraso","Entregue no prazo"),IF($D251="","Sem data prometida",IF($D251&lt;Hoje!$L$1,"ATRASADA","Aguardando"))))</f>
        <v/>
      </c>
      <c r="H251" s="133"/>
      <c r="I251" s="133"/>
    </row>
    <row r="252" customFormat="false" ht="21" hidden="false" customHeight="true" outlineLevel="0" collapsed="false">
      <c r="A252" s="132"/>
      <c r="B252" s="133"/>
      <c r="C252" s="134"/>
      <c r="D252" s="134"/>
      <c r="E252" s="134"/>
      <c r="F252" s="132" t="str">
        <f aca="false">IF(OR($A252="",$D252="",$E252=""),"",MAX(0,$E252-$D252))</f>
        <v/>
      </c>
      <c r="G252" s="132" t="str">
        <f aca="false">IF($A252="","",IF($E252&lt;&gt;"",IF(N($F252)&gt;0,"Entregue com atraso","Entregue no prazo"),IF($D252="","Sem data prometida",IF($D252&lt;Hoje!$L$1,"ATRASADA","Aguardando"))))</f>
        <v/>
      </c>
      <c r="H252" s="133"/>
      <c r="I252" s="133"/>
    </row>
    <row r="253" customFormat="false" ht="21" hidden="false" customHeight="true" outlineLevel="0" collapsed="false">
      <c r="A253" s="132"/>
      <c r="B253" s="133"/>
      <c r="C253" s="134"/>
      <c r="D253" s="134"/>
      <c r="E253" s="134"/>
      <c r="F253" s="132" t="str">
        <f aca="false">IF(OR($A253="",$D253="",$E253=""),"",MAX(0,$E253-$D253))</f>
        <v/>
      </c>
      <c r="G253" s="132" t="str">
        <f aca="false">IF($A253="","",IF($E253&lt;&gt;"",IF(N($F253)&gt;0,"Entregue com atraso","Entregue no prazo"),IF($D253="","Sem data prometida",IF($D253&lt;Hoje!$L$1,"ATRASADA","Aguardando"))))</f>
        <v/>
      </c>
      <c r="H253" s="133"/>
      <c r="I253" s="133"/>
    </row>
    <row r="254" customFormat="false" ht="21" hidden="false" customHeight="true" outlineLevel="0" collapsed="false">
      <c r="A254" s="132"/>
      <c r="B254" s="133"/>
      <c r="C254" s="134"/>
      <c r="D254" s="134"/>
      <c r="E254" s="134"/>
      <c r="F254" s="132" t="str">
        <f aca="false">IF(OR($A254="",$D254="",$E254=""),"",MAX(0,$E254-$D254))</f>
        <v/>
      </c>
      <c r="G254" s="132" t="str">
        <f aca="false">IF($A254="","",IF($E254&lt;&gt;"",IF(N($F254)&gt;0,"Entregue com atraso","Entregue no prazo"),IF($D254="","Sem data prometida",IF($D254&lt;Hoje!$L$1,"ATRASADA","Aguardando"))))</f>
        <v/>
      </c>
      <c r="H254" s="133"/>
      <c r="I254" s="133"/>
    </row>
    <row r="255" customFormat="false" ht="21" hidden="false" customHeight="true" outlineLevel="0" collapsed="false">
      <c r="A255" s="132"/>
      <c r="B255" s="133"/>
      <c r="C255" s="134"/>
      <c r="D255" s="134"/>
      <c r="E255" s="134"/>
      <c r="F255" s="132" t="str">
        <f aca="false">IF(OR($A255="",$D255="",$E255=""),"",MAX(0,$E255-$D255))</f>
        <v/>
      </c>
      <c r="G255" s="132" t="str">
        <f aca="false">IF($A255="","",IF($E255&lt;&gt;"",IF(N($F255)&gt;0,"Entregue com atraso","Entregue no prazo"),IF($D255="","Sem data prometida",IF($D255&lt;Hoje!$L$1,"ATRASADA","Aguardando"))))</f>
        <v/>
      </c>
      <c r="H255" s="133"/>
      <c r="I255" s="133"/>
    </row>
    <row r="256" customFormat="false" ht="21" hidden="false" customHeight="true" outlineLevel="0" collapsed="false">
      <c r="A256" s="132"/>
      <c r="B256" s="133"/>
      <c r="C256" s="134"/>
      <c r="D256" s="134"/>
      <c r="E256" s="134"/>
      <c r="F256" s="132" t="str">
        <f aca="false">IF(OR($A256="",$D256="",$E256=""),"",MAX(0,$E256-$D256))</f>
        <v/>
      </c>
      <c r="G256" s="132" t="str">
        <f aca="false">IF($A256="","",IF($E256&lt;&gt;"",IF(N($F256)&gt;0,"Entregue com atraso","Entregue no prazo"),IF($D256="","Sem data prometida",IF($D256&lt;Hoje!$L$1,"ATRASADA","Aguardando"))))</f>
        <v/>
      </c>
      <c r="H256" s="133"/>
      <c r="I256" s="133"/>
    </row>
    <row r="257" customFormat="false" ht="21" hidden="false" customHeight="true" outlineLevel="0" collapsed="false">
      <c r="A257" s="132"/>
      <c r="B257" s="133"/>
      <c r="C257" s="134"/>
      <c r="D257" s="134"/>
      <c r="E257" s="134"/>
      <c r="F257" s="132" t="str">
        <f aca="false">IF(OR($A257="",$D257="",$E257=""),"",MAX(0,$E257-$D257))</f>
        <v/>
      </c>
      <c r="G257" s="132" t="str">
        <f aca="false">IF($A257="","",IF($E257&lt;&gt;"",IF(N($F257)&gt;0,"Entregue com atraso","Entregue no prazo"),IF($D257="","Sem data prometida",IF($D257&lt;Hoje!$L$1,"ATRASADA","Aguardando"))))</f>
        <v/>
      </c>
      <c r="H257" s="133"/>
      <c r="I257" s="133"/>
    </row>
    <row r="258" customFormat="false" ht="21" hidden="false" customHeight="true" outlineLevel="0" collapsed="false">
      <c r="A258" s="132"/>
      <c r="B258" s="133"/>
      <c r="C258" s="134"/>
      <c r="D258" s="134"/>
      <c r="E258" s="134"/>
      <c r="F258" s="132" t="str">
        <f aca="false">IF(OR($A258="",$D258="",$E258=""),"",MAX(0,$E258-$D258))</f>
        <v/>
      </c>
      <c r="G258" s="132" t="str">
        <f aca="false">IF($A258="","",IF($E258&lt;&gt;"",IF(N($F258)&gt;0,"Entregue com atraso","Entregue no prazo"),IF($D258="","Sem data prometida",IF($D258&lt;Hoje!$L$1,"ATRASADA","Aguardando"))))</f>
        <v/>
      </c>
      <c r="H258" s="133"/>
      <c r="I258" s="133"/>
    </row>
    <row r="259" customFormat="false" ht="21" hidden="false" customHeight="true" outlineLevel="0" collapsed="false">
      <c r="A259" s="132"/>
      <c r="B259" s="133"/>
      <c r="C259" s="134"/>
      <c r="D259" s="134"/>
      <c r="E259" s="134"/>
      <c r="F259" s="132" t="str">
        <f aca="false">IF(OR($A259="",$D259="",$E259=""),"",MAX(0,$E259-$D259))</f>
        <v/>
      </c>
      <c r="G259" s="132" t="str">
        <f aca="false">IF($A259="","",IF($E259&lt;&gt;"",IF(N($F259)&gt;0,"Entregue com atraso","Entregue no prazo"),IF($D259="","Sem data prometida",IF($D259&lt;Hoje!$L$1,"ATRASADA","Aguardando"))))</f>
        <v/>
      </c>
      <c r="H259" s="133"/>
      <c r="I259" s="133"/>
    </row>
    <row r="260" customFormat="false" ht="21" hidden="false" customHeight="true" outlineLevel="0" collapsed="false">
      <c r="A260" s="132"/>
      <c r="B260" s="133"/>
      <c r="C260" s="134"/>
      <c r="D260" s="134"/>
      <c r="E260" s="134"/>
      <c r="F260" s="132" t="str">
        <f aca="false">IF(OR($A260="",$D260="",$E260=""),"",MAX(0,$E260-$D260))</f>
        <v/>
      </c>
      <c r="G260" s="132" t="str">
        <f aca="false">IF($A260="","",IF($E260&lt;&gt;"",IF(N($F260)&gt;0,"Entregue com atraso","Entregue no prazo"),IF($D260="","Sem data prometida",IF($D260&lt;Hoje!$L$1,"ATRASADA","Aguardando"))))</f>
        <v/>
      </c>
      <c r="H260" s="133"/>
      <c r="I260" s="133"/>
    </row>
    <row r="261" customFormat="false" ht="21" hidden="false" customHeight="true" outlineLevel="0" collapsed="false">
      <c r="A261" s="132"/>
      <c r="B261" s="133"/>
      <c r="C261" s="134"/>
      <c r="D261" s="134"/>
      <c r="E261" s="134"/>
      <c r="F261" s="132" t="str">
        <f aca="false">IF(OR($A261="",$D261="",$E261=""),"",MAX(0,$E261-$D261))</f>
        <v/>
      </c>
      <c r="G261" s="132" t="str">
        <f aca="false">IF($A261="","",IF($E261&lt;&gt;"",IF(N($F261)&gt;0,"Entregue com atraso","Entregue no prazo"),IF($D261="","Sem data prometida",IF($D261&lt;Hoje!$L$1,"ATRASADA","Aguardando"))))</f>
        <v/>
      </c>
      <c r="H261" s="133"/>
      <c r="I261" s="133"/>
    </row>
    <row r="262" customFormat="false" ht="21" hidden="false" customHeight="true" outlineLevel="0" collapsed="false">
      <c r="A262" s="132"/>
      <c r="B262" s="133"/>
      <c r="C262" s="134"/>
      <c r="D262" s="134"/>
      <c r="E262" s="134"/>
      <c r="F262" s="132" t="str">
        <f aca="false">IF(OR($A262="",$D262="",$E262=""),"",MAX(0,$E262-$D262))</f>
        <v/>
      </c>
      <c r="G262" s="132" t="str">
        <f aca="false">IF($A262="","",IF($E262&lt;&gt;"",IF(N($F262)&gt;0,"Entregue com atraso","Entregue no prazo"),IF($D262="","Sem data prometida",IF($D262&lt;Hoje!$L$1,"ATRASADA","Aguardando"))))</f>
        <v/>
      </c>
      <c r="H262" s="133"/>
      <c r="I262" s="133"/>
    </row>
    <row r="263" customFormat="false" ht="21" hidden="false" customHeight="true" outlineLevel="0" collapsed="false">
      <c r="A263" s="132"/>
      <c r="B263" s="133"/>
      <c r="C263" s="134"/>
      <c r="D263" s="134"/>
      <c r="E263" s="134"/>
      <c r="F263" s="132" t="str">
        <f aca="false">IF(OR($A263="",$D263="",$E263=""),"",MAX(0,$E263-$D263))</f>
        <v/>
      </c>
      <c r="G263" s="132" t="str">
        <f aca="false">IF($A263="","",IF($E263&lt;&gt;"",IF(N($F263)&gt;0,"Entregue com atraso","Entregue no prazo"),IF($D263="","Sem data prometida",IF($D263&lt;Hoje!$L$1,"ATRASADA","Aguardando"))))</f>
        <v/>
      </c>
      <c r="H263" s="133"/>
      <c r="I263" s="133"/>
    </row>
    <row r="264" customFormat="false" ht="21" hidden="false" customHeight="true" outlineLevel="0" collapsed="false">
      <c r="A264" s="132"/>
      <c r="B264" s="133"/>
      <c r="C264" s="134"/>
      <c r="D264" s="134"/>
      <c r="E264" s="134"/>
      <c r="F264" s="132" t="str">
        <f aca="false">IF(OR($A264="",$D264="",$E264=""),"",MAX(0,$E264-$D264))</f>
        <v/>
      </c>
      <c r="G264" s="132" t="str">
        <f aca="false">IF($A264="","",IF($E264&lt;&gt;"",IF(N($F264)&gt;0,"Entregue com atraso","Entregue no prazo"),IF($D264="","Sem data prometida",IF($D264&lt;Hoje!$L$1,"ATRASADA","Aguardando"))))</f>
        <v/>
      </c>
      <c r="H264" s="133"/>
      <c r="I264" s="133"/>
    </row>
    <row r="265" customFormat="false" ht="21" hidden="false" customHeight="true" outlineLevel="0" collapsed="false">
      <c r="A265" s="132"/>
      <c r="B265" s="133"/>
      <c r="C265" s="134"/>
      <c r="D265" s="134"/>
      <c r="E265" s="134"/>
      <c r="F265" s="132" t="str">
        <f aca="false">IF(OR($A265="",$D265="",$E265=""),"",MAX(0,$E265-$D265))</f>
        <v/>
      </c>
      <c r="G265" s="132" t="str">
        <f aca="false">IF($A265="","",IF($E265&lt;&gt;"",IF(N($F265)&gt;0,"Entregue com atraso","Entregue no prazo"),IF($D265="","Sem data prometida",IF($D265&lt;Hoje!$L$1,"ATRASADA","Aguardando"))))</f>
        <v/>
      </c>
      <c r="H265" s="133"/>
      <c r="I265" s="133"/>
    </row>
    <row r="266" customFormat="false" ht="21" hidden="false" customHeight="true" outlineLevel="0" collapsed="false">
      <c r="A266" s="132"/>
      <c r="B266" s="133"/>
      <c r="C266" s="134"/>
      <c r="D266" s="134"/>
      <c r="E266" s="134"/>
      <c r="F266" s="132" t="str">
        <f aca="false">IF(OR($A266="",$D266="",$E266=""),"",MAX(0,$E266-$D266))</f>
        <v/>
      </c>
      <c r="G266" s="132" t="str">
        <f aca="false">IF($A266="","",IF($E266&lt;&gt;"",IF(N($F266)&gt;0,"Entregue com atraso","Entregue no prazo"),IF($D266="","Sem data prometida",IF($D266&lt;Hoje!$L$1,"ATRASADA","Aguardando"))))</f>
        <v/>
      </c>
      <c r="H266" s="133"/>
      <c r="I266" s="133"/>
    </row>
    <row r="267" customFormat="false" ht="21" hidden="false" customHeight="true" outlineLevel="0" collapsed="false">
      <c r="A267" s="132"/>
      <c r="B267" s="133"/>
      <c r="C267" s="134"/>
      <c r="D267" s="134"/>
      <c r="E267" s="134"/>
      <c r="F267" s="132" t="str">
        <f aca="false">IF(OR($A267="",$D267="",$E267=""),"",MAX(0,$E267-$D267))</f>
        <v/>
      </c>
      <c r="G267" s="132" t="str">
        <f aca="false">IF($A267="","",IF($E267&lt;&gt;"",IF(N($F267)&gt;0,"Entregue com atraso","Entregue no prazo"),IF($D267="","Sem data prometida",IF($D267&lt;Hoje!$L$1,"ATRASADA","Aguardando"))))</f>
        <v/>
      </c>
      <c r="H267" s="133"/>
      <c r="I267" s="133"/>
    </row>
    <row r="268" customFormat="false" ht="21" hidden="false" customHeight="true" outlineLevel="0" collapsed="false">
      <c r="A268" s="132"/>
      <c r="B268" s="133"/>
      <c r="C268" s="134"/>
      <c r="D268" s="134"/>
      <c r="E268" s="134"/>
      <c r="F268" s="132" t="str">
        <f aca="false">IF(OR($A268="",$D268="",$E268=""),"",MAX(0,$E268-$D268))</f>
        <v/>
      </c>
      <c r="G268" s="132" t="str">
        <f aca="false">IF($A268="","",IF($E268&lt;&gt;"",IF(N($F268)&gt;0,"Entregue com atraso","Entregue no prazo"),IF($D268="","Sem data prometida",IF($D268&lt;Hoje!$L$1,"ATRASADA","Aguardando"))))</f>
        <v/>
      </c>
      <c r="H268" s="133"/>
      <c r="I268" s="133"/>
    </row>
    <row r="269" customFormat="false" ht="21" hidden="false" customHeight="true" outlineLevel="0" collapsed="false">
      <c r="A269" s="132"/>
      <c r="B269" s="133"/>
      <c r="C269" s="134"/>
      <c r="D269" s="134"/>
      <c r="E269" s="134"/>
      <c r="F269" s="132" t="str">
        <f aca="false">IF(OR($A269="",$D269="",$E269=""),"",MAX(0,$E269-$D269))</f>
        <v/>
      </c>
      <c r="G269" s="132" t="str">
        <f aca="false">IF($A269="","",IF($E269&lt;&gt;"",IF(N($F269)&gt;0,"Entregue com atraso","Entregue no prazo"),IF($D269="","Sem data prometida",IF($D269&lt;Hoje!$L$1,"ATRASADA","Aguardando"))))</f>
        <v/>
      </c>
      <c r="H269" s="133"/>
      <c r="I269" s="133"/>
    </row>
    <row r="270" customFormat="false" ht="21" hidden="false" customHeight="true" outlineLevel="0" collapsed="false">
      <c r="A270" s="132"/>
      <c r="B270" s="133"/>
      <c r="C270" s="134"/>
      <c r="D270" s="134"/>
      <c r="E270" s="134"/>
      <c r="F270" s="132" t="str">
        <f aca="false">IF(OR($A270="",$D270="",$E270=""),"",MAX(0,$E270-$D270))</f>
        <v/>
      </c>
      <c r="G270" s="132" t="str">
        <f aca="false">IF($A270="","",IF($E270&lt;&gt;"",IF(N($F270)&gt;0,"Entregue com atraso","Entregue no prazo"),IF($D270="","Sem data prometida",IF($D270&lt;Hoje!$L$1,"ATRASADA","Aguardando"))))</f>
        <v/>
      </c>
      <c r="H270" s="133"/>
      <c r="I270" s="133"/>
    </row>
    <row r="271" customFormat="false" ht="21" hidden="false" customHeight="true" outlineLevel="0" collapsed="false">
      <c r="A271" s="132"/>
      <c r="B271" s="133"/>
      <c r="C271" s="134"/>
      <c r="D271" s="134"/>
      <c r="E271" s="134"/>
      <c r="F271" s="132" t="str">
        <f aca="false">IF(OR($A271="",$D271="",$E271=""),"",MAX(0,$E271-$D271))</f>
        <v/>
      </c>
      <c r="G271" s="132" t="str">
        <f aca="false">IF($A271="","",IF($E271&lt;&gt;"",IF(N($F271)&gt;0,"Entregue com atraso","Entregue no prazo"),IF($D271="","Sem data prometida",IF($D271&lt;Hoje!$L$1,"ATRASADA","Aguardando"))))</f>
        <v/>
      </c>
      <c r="H271" s="133"/>
      <c r="I271" s="133"/>
    </row>
    <row r="272" customFormat="false" ht="21" hidden="false" customHeight="true" outlineLevel="0" collapsed="false">
      <c r="A272" s="132"/>
      <c r="B272" s="133"/>
      <c r="C272" s="134"/>
      <c r="D272" s="134"/>
      <c r="E272" s="134"/>
      <c r="F272" s="132" t="str">
        <f aca="false">IF(OR($A272="",$D272="",$E272=""),"",MAX(0,$E272-$D272))</f>
        <v/>
      </c>
      <c r="G272" s="132" t="str">
        <f aca="false">IF($A272="","",IF($E272&lt;&gt;"",IF(N($F272)&gt;0,"Entregue com atraso","Entregue no prazo"),IF($D272="","Sem data prometida",IF($D272&lt;Hoje!$L$1,"ATRASADA","Aguardando"))))</f>
        <v/>
      </c>
      <c r="H272" s="133"/>
      <c r="I272" s="133"/>
    </row>
    <row r="273" customFormat="false" ht="21" hidden="false" customHeight="true" outlineLevel="0" collapsed="false">
      <c r="A273" s="132"/>
      <c r="B273" s="133"/>
      <c r="C273" s="134"/>
      <c r="D273" s="134"/>
      <c r="E273" s="134"/>
      <c r="F273" s="132" t="str">
        <f aca="false">IF(OR($A273="",$D273="",$E273=""),"",MAX(0,$E273-$D273))</f>
        <v/>
      </c>
      <c r="G273" s="132" t="str">
        <f aca="false">IF($A273="","",IF($E273&lt;&gt;"",IF(N($F273)&gt;0,"Entregue com atraso","Entregue no prazo"),IF($D273="","Sem data prometida",IF($D273&lt;Hoje!$L$1,"ATRASADA","Aguardando"))))</f>
        <v/>
      </c>
      <c r="H273" s="133"/>
      <c r="I273" s="133"/>
    </row>
    <row r="274" customFormat="false" ht="21" hidden="false" customHeight="true" outlineLevel="0" collapsed="false">
      <c r="A274" s="132"/>
      <c r="B274" s="133"/>
      <c r="C274" s="134"/>
      <c r="D274" s="134"/>
      <c r="E274" s="134"/>
      <c r="F274" s="132" t="str">
        <f aca="false">IF(OR($A274="",$D274="",$E274=""),"",MAX(0,$E274-$D274))</f>
        <v/>
      </c>
      <c r="G274" s="132" t="str">
        <f aca="false">IF($A274="","",IF($E274&lt;&gt;"",IF(N($F274)&gt;0,"Entregue com atraso","Entregue no prazo"),IF($D274="","Sem data prometida",IF($D274&lt;Hoje!$L$1,"ATRASADA","Aguardando"))))</f>
        <v/>
      </c>
      <c r="H274" s="133"/>
      <c r="I274" s="133"/>
    </row>
    <row r="275" customFormat="false" ht="21" hidden="false" customHeight="true" outlineLevel="0" collapsed="false">
      <c r="A275" s="132"/>
      <c r="B275" s="133"/>
      <c r="C275" s="134"/>
      <c r="D275" s="134"/>
      <c r="E275" s="134"/>
      <c r="F275" s="132" t="str">
        <f aca="false">IF(OR($A275="",$D275="",$E275=""),"",MAX(0,$E275-$D275))</f>
        <v/>
      </c>
      <c r="G275" s="132" t="str">
        <f aca="false">IF($A275="","",IF($E275&lt;&gt;"",IF(N($F275)&gt;0,"Entregue com atraso","Entregue no prazo"),IF($D275="","Sem data prometida",IF($D275&lt;Hoje!$L$1,"ATRASADA","Aguardando"))))</f>
        <v/>
      </c>
      <c r="H275" s="133"/>
      <c r="I275" s="133"/>
    </row>
    <row r="276" customFormat="false" ht="21" hidden="false" customHeight="true" outlineLevel="0" collapsed="false">
      <c r="A276" s="132"/>
      <c r="B276" s="133"/>
      <c r="C276" s="134"/>
      <c r="D276" s="134"/>
      <c r="E276" s="134"/>
      <c r="F276" s="132" t="str">
        <f aca="false">IF(OR($A276="",$D276="",$E276=""),"",MAX(0,$E276-$D276))</f>
        <v/>
      </c>
      <c r="G276" s="132" t="str">
        <f aca="false">IF($A276="","",IF($E276&lt;&gt;"",IF(N($F276)&gt;0,"Entregue com atraso","Entregue no prazo"),IF($D276="","Sem data prometida",IF($D276&lt;Hoje!$L$1,"ATRASADA","Aguardando"))))</f>
        <v/>
      </c>
      <c r="H276" s="133"/>
      <c r="I276" s="133"/>
    </row>
    <row r="277" customFormat="false" ht="21" hidden="false" customHeight="true" outlineLevel="0" collapsed="false">
      <c r="A277" s="132"/>
      <c r="B277" s="133"/>
      <c r="C277" s="134"/>
      <c r="D277" s="134"/>
      <c r="E277" s="134"/>
      <c r="F277" s="132" t="str">
        <f aca="false">IF(OR($A277="",$D277="",$E277=""),"",MAX(0,$E277-$D277))</f>
        <v/>
      </c>
      <c r="G277" s="132" t="str">
        <f aca="false">IF($A277="","",IF($E277&lt;&gt;"",IF(N($F277)&gt;0,"Entregue com atraso","Entregue no prazo"),IF($D277="","Sem data prometida",IF($D277&lt;Hoje!$L$1,"ATRASADA","Aguardando"))))</f>
        <v/>
      </c>
      <c r="H277" s="133"/>
      <c r="I277" s="133"/>
    </row>
    <row r="278" customFormat="false" ht="21" hidden="false" customHeight="true" outlineLevel="0" collapsed="false">
      <c r="A278" s="132"/>
      <c r="B278" s="133"/>
      <c r="C278" s="134"/>
      <c r="D278" s="134"/>
      <c r="E278" s="134"/>
      <c r="F278" s="132" t="str">
        <f aca="false">IF(OR($A278="",$D278="",$E278=""),"",MAX(0,$E278-$D278))</f>
        <v/>
      </c>
      <c r="G278" s="132" t="str">
        <f aca="false">IF($A278="","",IF($E278&lt;&gt;"",IF(N($F278)&gt;0,"Entregue com atraso","Entregue no prazo"),IF($D278="","Sem data prometida",IF($D278&lt;Hoje!$L$1,"ATRASADA","Aguardando"))))</f>
        <v/>
      </c>
      <c r="H278" s="133"/>
      <c r="I278" s="133"/>
    </row>
    <row r="279" customFormat="false" ht="21" hidden="false" customHeight="true" outlineLevel="0" collapsed="false">
      <c r="A279" s="132"/>
      <c r="B279" s="133"/>
      <c r="C279" s="134"/>
      <c r="D279" s="134"/>
      <c r="E279" s="134"/>
      <c r="F279" s="132" t="str">
        <f aca="false">IF(OR($A279="",$D279="",$E279=""),"",MAX(0,$E279-$D279))</f>
        <v/>
      </c>
      <c r="G279" s="132" t="str">
        <f aca="false">IF($A279="","",IF($E279&lt;&gt;"",IF(N($F279)&gt;0,"Entregue com atraso","Entregue no prazo"),IF($D279="","Sem data prometida",IF($D279&lt;Hoje!$L$1,"ATRASADA","Aguardando"))))</f>
        <v/>
      </c>
      <c r="H279" s="133"/>
      <c r="I279" s="133"/>
    </row>
    <row r="280" customFormat="false" ht="21" hidden="false" customHeight="true" outlineLevel="0" collapsed="false">
      <c r="A280" s="132"/>
      <c r="B280" s="133"/>
      <c r="C280" s="134"/>
      <c r="D280" s="134"/>
      <c r="E280" s="134"/>
      <c r="F280" s="132" t="str">
        <f aca="false">IF(OR($A280="",$D280="",$E280=""),"",MAX(0,$E280-$D280))</f>
        <v/>
      </c>
      <c r="G280" s="132" t="str">
        <f aca="false">IF($A280="","",IF($E280&lt;&gt;"",IF(N($F280)&gt;0,"Entregue com atraso","Entregue no prazo"),IF($D280="","Sem data prometida",IF($D280&lt;Hoje!$L$1,"ATRASADA","Aguardando"))))</f>
        <v/>
      </c>
      <c r="H280" s="133"/>
      <c r="I280" s="133"/>
    </row>
    <row r="281" customFormat="false" ht="21" hidden="false" customHeight="true" outlineLevel="0" collapsed="false">
      <c r="A281" s="132"/>
      <c r="B281" s="133"/>
      <c r="C281" s="134"/>
      <c r="D281" s="134"/>
      <c r="E281" s="134"/>
      <c r="F281" s="132" t="str">
        <f aca="false">IF(OR($A281="",$D281="",$E281=""),"",MAX(0,$E281-$D281))</f>
        <v/>
      </c>
      <c r="G281" s="132" t="str">
        <f aca="false">IF($A281="","",IF($E281&lt;&gt;"",IF(N($F281)&gt;0,"Entregue com atraso","Entregue no prazo"),IF($D281="","Sem data prometida",IF($D281&lt;Hoje!$L$1,"ATRASADA","Aguardando"))))</f>
        <v/>
      </c>
      <c r="H281" s="133"/>
      <c r="I281" s="133"/>
    </row>
    <row r="282" customFormat="false" ht="21" hidden="false" customHeight="true" outlineLevel="0" collapsed="false">
      <c r="A282" s="132"/>
      <c r="B282" s="133"/>
      <c r="C282" s="134"/>
      <c r="D282" s="134"/>
      <c r="E282" s="134"/>
      <c r="F282" s="132" t="str">
        <f aca="false">IF(OR($A282="",$D282="",$E282=""),"",MAX(0,$E282-$D282))</f>
        <v/>
      </c>
      <c r="G282" s="132" t="str">
        <f aca="false">IF($A282="","",IF($E282&lt;&gt;"",IF(N($F282)&gt;0,"Entregue com atraso","Entregue no prazo"),IF($D282="","Sem data prometida",IF($D282&lt;Hoje!$L$1,"ATRASADA","Aguardando"))))</f>
        <v/>
      </c>
      <c r="H282" s="133"/>
      <c r="I282" s="133"/>
    </row>
    <row r="283" customFormat="false" ht="21" hidden="false" customHeight="true" outlineLevel="0" collapsed="false">
      <c r="A283" s="132"/>
      <c r="B283" s="133"/>
      <c r="C283" s="134"/>
      <c r="D283" s="134"/>
      <c r="E283" s="134"/>
      <c r="F283" s="132" t="str">
        <f aca="false">IF(OR($A283="",$D283="",$E283=""),"",MAX(0,$E283-$D283))</f>
        <v/>
      </c>
      <c r="G283" s="132" t="str">
        <f aca="false">IF($A283="","",IF($E283&lt;&gt;"",IF(N($F283)&gt;0,"Entregue com atraso","Entregue no prazo"),IF($D283="","Sem data prometida",IF($D283&lt;Hoje!$L$1,"ATRASADA","Aguardando"))))</f>
        <v/>
      </c>
      <c r="H283" s="133"/>
      <c r="I283" s="133"/>
    </row>
    <row r="284" customFormat="false" ht="21" hidden="false" customHeight="true" outlineLevel="0" collapsed="false">
      <c r="A284" s="132"/>
      <c r="B284" s="133"/>
      <c r="C284" s="134"/>
      <c r="D284" s="134"/>
      <c r="E284" s="134"/>
      <c r="F284" s="132" t="str">
        <f aca="false">IF(OR($A284="",$D284="",$E284=""),"",MAX(0,$E284-$D284))</f>
        <v/>
      </c>
      <c r="G284" s="132" t="str">
        <f aca="false">IF($A284="","",IF($E284&lt;&gt;"",IF(N($F284)&gt;0,"Entregue com atraso","Entregue no prazo"),IF($D284="","Sem data prometida",IF($D284&lt;Hoje!$L$1,"ATRASADA","Aguardando"))))</f>
        <v/>
      </c>
      <c r="H284" s="133"/>
      <c r="I284" s="133"/>
    </row>
    <row r="285" customFormat="false" ht="21" hidden="false" customHeight="true" outlineLevel="0" collapsed="false">
      <c r="A285" s="132"/>
      <c r="B285" s="133"/>
      <c r="C285" s="134"/>
      <c r="D285" s="134"/>
      <c r="E285" s="134"/>
      <c r="F285" s="132" t="str">
        <f aca="false">IF(OR($A285="",$D285="",$E285=""),"",MAX(0,$E285-$D285))</f>
        <v/>
      </c>
      <c r="G285" s="132" t="str">
        <f aca="false">IF($A285="","",IF($E285&lt;&gt;"",IF(N($F285)&gt;0,"Entregue com atraso","Entregue no prazo"),IF($D285="","Sem data prometida",IF($D285&lt;Hoje!$L$1,"ATRASADA","Aguardando"))))</f>
        <v/>
      </c>
      <c r="H285" s="133"/>
      <c r="I285" s="133"/>
    </row>
    <row r="286" customFormat="false" ht="21" hidden="false" customHeight="true" outlineLevel="0" collapsed="false">
      <c r="A286" s="132"/>
      <c r="B286" s="133"/>
      <c r="C286" s="134"/>
      <c r="D286" s="134"/>
      <c r="E286" s="134"/>
      <c r="F286" s="132" t="str">
        <f aca="false">IF(OR($A286="",$D286="",$E286=""),"",MAX(0,$E286-$D286))</f>
        <v/>
      </c>
      <c r="G286" s="132" t="str">
        <f aca="false">IF($A286="","",IF($E286&lt;&gt;"",IF(N($F286)&gt;0,"Entregue com atraso","Entregue no prazo"),IF($D286="","Sem data prometida",IF($D286&lt;Hoje!$L$1,"ATRASADA","Aguardando"))))</f>
        <v/>
      </c>
      <c r="H286" s="133"/>
      <c r="I286" s="133"/>
    </row>
    <row r="287" customFormat="false" ht="21" hidden="false" customHeight="true" outlineLevel="0" collapsed="false">
      <c r="A287" s="132"/>
      <c r="B287" s="133"/>
      <c r="C287" s="134"/>
      <c r="D287" s="134"/>
      <c r="E287" s="134"/>
      <c r="F287" s="132" t="str">
        <f aca="false">IF(OR($A287="",$D287="",$E287=""),"",MAX(0,$E287-$D287))</f>
        <v/>
      </c>
      <c r="G287" s="132" t="str">
        <f aca="false">IF($A287="","",IF($E287&lt;&gt;"",IF(N($F287)&gt;0,"Entregue com atraso","Entregue no prazo"),IF($D287="","Sem data prometida",IF($D287&lt;Hoje!$L$1,"ATRASADA","Aguardando"))))</f>
        <v/>
      </c>
      <c r="H287" s="133"/>
      <c r="I287" s="133"/>
    </row>
    <row r="288" customFormat="false" ht="21" hidden="false" customHeight="true" outlineLevel="0" collapsed="false">
      <c r="A288" s="132"/>
      <c r="B288" s="133"/>
      <c r="C288" s="134"/>
      <c r="D288" s="134"/>
      <c r="E288" s="134"/>
      <c r="F288" s="132" t="str">
        <f aca="false">IF(OR($A288="",$D288="",$E288=""),"",MAX(0,$E288-$D288))</f>
        <v/>
      </c>
      <c r="G288" s="132" t="str">
        <f aca="false">IF($A288="","",IF($E288&lt;&gt;"",IF(N($F288)&gt;0,"Entregue com atraso","Entregue no prazo"),IF($D288="","Sem data prometida",IF($D288&lt;Hoje!$L$1,"ATRASADA","Aguardando"))))</f>
        <v/>
      </c>
      <c r="H288" s="133"/>
      <c r="I288" s="133"/>
    </row>
    <row r="289" customFormat="false" ht="21" hidden="false" customHeight="true" outlineLevel="0" collapsed="false">
      <c r="A289" s="132"/>
      <c r="B289" s="133"/>
      <c r="C289" s="134"/>
      <c r="D289" s="134"/>
      <c r="E289" s="134"/>
      <c r="F289" s="132" t="str">
        <f aca="false">IF(OR($A289="",$D289="",$E289=""),"",MAX(0,$E289-$D289))</f>
        <v/>
      </c>
      <c r="G289" s="132" t="str">
        <f aca="false">IF($A289="","",IF($E289&lt;&gt;"",IF(N($F289)&gt;0,"Entregue com atraso","Entregue no prazo"),IF($D289="","Sem data prometida",IF($D289&lt;Hoje!$L$1,"ATRASADA","Aguardando"))))</f>
        <v/>
      </c>
      <c r="H289" s="133"/>
      <c r="I289" s="133"/>
    </row>
    <row r="290" customFormat="false" ht="21" hidden="false" customHeight="true" outlineLevel="0" collapsed="false">
      <c r="A290" s="132"/>
      <c r="B290" s="133"/>
      <c r="C290" s="134"/>
      <c r="D290" s="134"/>
      <c r="E290" s="134"/>
      <c r="F290" s="132" t="str">
        <f aca="false">IF(OR($A290="",$D290="",$E290=""),"",MAX(0,$E290-$D290))</f>
        <v/>
      </c>
      <c r="G290" s="132" t="str">
        <f aca="false">IF($A290="","",IF($E290&lt;&gt;"",IF(N($F290)&gt;0,"Entregue com atraso","Entregue no prazo"),IF($D290="","Sem data prometida",IF($D290&lt;Hoje!$L$1,"ATRASADA","Aguardando"))))</f>
        <v/>
      </c>
      <c r="H290" s="133"/>
      <c r="I290" s="133"/>
    </row>
    <row r="291" customFormat="false" ht="21" hidden="false" customHeight="true" outlineLevel="0" collapsed="false">
      <c r="A291" s="132"/>
      <c r="B291" s="133"/>
      <c r="C291" s="134"/>
      <c r="D291" s="134"/>
      <c r="E291" s="134"/>
      <c r="F291" s="132" t="str">
        <f aca="false">IF(OR($A291="",$D291="",$E291=""),"",MAX(0,$E291-$D291))</f>
        <v/>
      </c>
      <c r="G291" s="132" t="str">
        <f aca="false">IF($A291="","",IF($E291&lt;&gt;"",IF(N($F291)&gt;0,"Entregue com atraso","Entregue no prazo"),IF($D291="","Sem data prometida",IF($D291&lt;Hoje!$L$1,"ATRASADA","Aguardando"))))</f>
        <v/>
      </c>
      <c r="H291" s="133"/>
      <c r="I291" s="133"/>
    </row>
    <row r="292" customFormat="false" ht="21" hidden="false" customHeight="true" outlineLevel="0" collapsed="false">
      <c r="A292" s="132"/>
      <c r="B292" s="133"/>
      <c r="C292" s="134"/>
      <c r="D292" s="134"/>
      <c r="E292" s="134"/>
      <c r="F292" s="132" t="str">
        <f aca="false">IF(OR($A292="",$D292="",$E292=""),"",MAX(0,$E292-$D292))</f>
        <v/>
      </c>
      <c r="G292" s="132" t="str">
        <f aca="false">IF($A292="","",IF($E292&lt;&gt;"",IF(N($F292)&gt;0,"Entregue com atraso","Entregue no prazo"),IF($D292="","Sem data prometida",IF($D292&lt;Hoje!$L$1,"ATRASADA","Aguardando"))))</f>
        <v/>
      </c>
      <c r="H292" s="133"/>
      <c r="I292" s="133"/>
    </row>
    <row r="293" customFormat="false" ht="21" hidden="false" customHeight="true" outlineLevel="0" collapsed="false">
      <c r="A293" s="132"/>
      <c r="B293" s="133"/>
      <c r="C293" s="134"/>
      <c r="D293" s="134"/>
      <c r="E293" s="134"/>
      <c r="F293" s="132" t="str">
        <f aca="false">IF(OR($A293="",$D293="",$E293=""),"",MAX(0,$E293-$D293))</f>
        <v/>
      </c>
      <c r="G293" s="132" t="str">
        <f aca="false">IF($A293="","",IF($E293&lt;&gt;"",IF(N($F293)&gt;0,"Entregue com atraso","Entregue no prazo"),IF($D293="","Sem data prometida",IF($D293&lt;Hoje!$L$1,"ATRASADA","Aguardando"))))</f>
        <v/>
      </c>
      <c r="H293" s="133"/>
      <c r="I293" s="133"/>
    </row>
    <row r="294" customFormat="false" ht="21" hidden="false" customHeight="true" outlineLevel="0" collapsed="false">
      <c r="A294" s="132"/>
      <c r="B294" s="133"/>
      <c r="C294" s="134"/>
      <c r="D294" s="134"/>
      <c r="E294" s="134"/>
      <c r="F294" s="132" t="str">
        <f aca="false">IF(OR($A294="",$D294="",$E294=""),"",MAX(0,$E294-$D294))</f>
        <v/>
      </c>
      <c r="G294" s="132" t="str">
        <f aca="false">IF($A294="","",IF($E294&lt;&gt;"",IF(N($F294)&gt;0,"Entregue com atraso","Entregue no prazo"),IF($D294="","Sem data prometida",IF($D294&lt;Hoje!$L$1,"ATRASADA","Aguardando"))))</f>
        <v/>
      </c>
      <c r="H294" s="133"/>
      <c r="I294" s="133"/>
    </row>
    <row r="295" customFormat="false" ht="21" hidden="false" customHeight="true" outlineLevel="0" collapsed="false">
      <c r="A295" s="132"/>
      <c r="B295" s="133"/>
      <c r="C295" s="134"/>
      <c r="D295" s="134"/>
      <c r="E295" s="134"/>
      <c r="F295" s="132" t="str">
        <f aca="false">IF(OR($A295="",$D295="",$E295=""),"",MAX(0,$E295-$D295))</f>
        <v/>
      </c>
      <c r="G295" s="132" t="str">
        <f aca="false">IF($A295="","",IF($E295&lt;&gt;"",IF(N($F295)&gt;0,"Entregue com atraso","Entregue no prazo"),IF($D295="","Sem data prometida",IF($D295&lt;Hoje!$L$1,"ATRASADA","Aguardando"))))</f>
        <v/>
      </c>
      <c r="H295" s="133"/>
      <c r="I295" s="133"/>
    </row>
    <row r="296" customFormat="false" ht="21" hidden="false" customHeight="true" outlineLevel="0" collapsed="false">
      <c r="A296" s="132"/>
      <c r="B296" s="133"/>
      <c r="C296" s="134"/>
      <c r="D296" s="134"/>
      <c r="E296" s="134"/>
      <c r="F296" s="132" t="str">
        <f aca="false">IF(OR($A296="",$D296="",$E296=""),"",MAX(0,$E296-$D296))</f>
        <v/>
      </c>
      <c r="G296" s="132" t="str">
        <f aca="false">IF($A296="","",IF($E296&lt;&gt;"",IF(N($F296)&gt;0,"Entregue com atraso","Entregue no prazo"),IF($D296="","Sem data prometida",IF($D296&lt;Hoje!$L$1,"ATRASADA","Aguardando"))))</f>
        <v/>
      </c>
      <c r="H296" s="133"/>
      <c r="I296" s="133"/>
    </row>
    <row r="297" customFormat="false" ht="21" hidden="false" customHeight="true" outlineLevel="0" collapsed="false">
      <c r="A297" s="132"/>
      <c r="B297" s="133"/>
      <c r="C297" s="134"/>
      <c r="D297" s="134"/>
      <c r="E297" s="134"/>
      <c r="F297" s="132" t="str">
        <f aca="false">IF(OR($A297="",$D297="",$E297=""),"",MAX(0,$E297-$D297))</f>
        <v/>
      </c>
      <c r="G297" s="132" t="str">
        <f aca="false">IF($A297="","",IF($E297&lt;&gt;"",IF(N($F297)&gt;0,"Entregue com atraso","Entregue no prazo"),IF($D297="","Sem data prometida",IF($D297&lt;Hoje!$L$1,"ATRASADA","Aguardando"))))</f>
        <v/>
      </c>
      <c r="H297" s="133"/>
      <c r="I297" s="133"/>
    </row>
    <row r="298" customFormat="false" ht="21" hidden="false" customHeight="true" outlineLevel="0" collapsed="false">
      <c r="A298" s="132"/>
      <c r="B298" s="133"/>
      <c r="C298" s="134"/>
      <c r="D298" s="134"/>
      <c r="E298" s="134"/>
      <c r="F298" s="132" t="str">
        <f aca="false">IF(OR($A298="",$D298="",$E298=""),"",MAX(0,$E298-$D298))</f>
        <v/>
      </c>
      <c r="G298" s="132" t="str">
        <f aca="false">IF($A298="","",IF($E298&lt;&gt;"",IF(N($F298)&gt;0,"Entregue com atraso","Entregue no prazo"),IF($D298="","Sem data prometida",IF($D298&lt;Hoje!$L$1,"ATRASADA","Aguardando"))))</f>
        <v/>
      </c>
      <c r="H298" s="133"/>
      <c r="I298" s="133"/>
    </row>
    <row r="299" customFormat="false" ht="21" hidden="false" customHeight="true" outlineLevel="0" collapsed="false">
      <c r="A299" s="132"/>
      <c r="B299" s="133"/>
      <c r="C299" s="134"/>
      <c r="D299" s="134"/>
      <c r="E299" s="134"/>
      <c r="F299" s="132" t="str">
        <f aca="false">IF(OR($A299="",$D299="",$E299=""),"",MAX(0,$E299-$D299))</f>
        <v/>
      </c>
      <c r="G299" s="132" t="str">
        <f aca="false">IF($A299="","",IF($E299&lt;&gt;"",IF(N($F299)&gt;0,"Entregue com atraso","Entregue no prazo"),IF($D299="","Sem data prometida",IF($D299&lt;Hoje!$L$1,"ATRASADA","Aguardando"))))</f>
        <v/>
      </c>
      <c r="H299" s="133"/>
      <c r="I299" s="133"/>
    </row>
    <row r="300" customFormat="false" ht="21" hidden="false" customHeight="true" outlineLevel="0" collapsed="false">
      <c r="A300" s="132"/>
      <c r="B300" s="133"/>
      <c r="C300" s="134"/>
      <c r="D300" s="134"/>
      <c r="E300" s="134"/>
      <c r="F300" s="132" t="str">
        <f aca="false">IF(OR($A300="",$D300="",$E300=""),"",MAX(0,$E300-$D300))</f>
        <v/>
      </c>
      <c r="G300" s="132" t="str">
        <f aca="false">IF($A300="","",IF($E300&lt;&gt;"",IF(N($F300)&gt;0,"Entregue com atraso","Entregue no prazo"),IF($D300="","Sem data prometida",IF($D300&lt;Hoje!$L$1,"ATRASADA","Aguardando"))))</f>
        <v/>
      </c>
      <c r="H300" s="133"/>
      <c r="I300" s="133"/>
    </row>
    <row r="301" customFormat="false" ht="21" hidden="false" customHeight="true" outlineLevel="0" collapsed="false">
      <c r="A301" s="132"/>
      <c r="B301" s="133"/>
      <c r="C301" s="134"/>
      <c r="D301" s="134"/>
      <c r="E301" s="134"/>
      <c r="F301" s="132" t="str">
        <f aca="false">IF(OR($A301="",$D301="",$E301=""),"",MAX(0,$E301-$D301))</f>
        <v/>
      </c>
      <c r="G301" s="132" t="str">
        <f aca="false">IF($A301="","",IF($E301&lt;&gt;"",IF(N($F301)&gt;0,"Entregue com atraso","Entregue no prazo"),IF($D301="","Sem data prometida",IF($D301&lt;Hoje!$L$1,"ATRASADA","Aguardando"))))</f>
        <v/>
      </c>
      <c r="H301" s="133"/>
      <c r="I301" s="133"/>
    </row>
    <row r="302" customFormat="false" ht="21" hidden="false" customHeight="true" outlineLevel="0" collapsed="false">
      <c r="A302" s="132"/>
      <c r="B302" s="133"/>
      <c r="C302" s="134"/>
      <c r="D302" s="134"/>
      <c r="E302" s="134"/>
      <c r="F302" s="132" t="str">
        <f aca="false">IF(OR($A302="",$D302="",$E302=""),"",MAX(0,$E302-$D302))</f>
        <v/>
      </c>
      <c r="G302" s="132" t="str">
        <f aca="false">IF($A302="","",IF($E302&lt;&gt;"",IF(N($F302)&gt;0,"Entregue com atraso","Entregue no prazo"),IF($D302="","Sem data prometida",IF($D302&lt;Hoje!$L$1,"ATRASADA","Aguardando"))))</f>
        <v/>
      </c>
      <c r="H302" s="133"/>
      <c r="I302" s="133"/>
    </row>
    <row r="303" customFormat="false" ht="21" hidden="false" customHeight="true" outlineLevel="0" collapsed="false">
      <c r="A303" s="132"/>
      <c r="B303" s="133"/>
      <c r="C303" s="134"/>
      <c r="D303" s="134"/>
      <c r="E303" s="134"/>
      <c r="F303" s="132" t="str">
        <f aca="false">IF(OR($A303="",$D303="",$E303=""),"",MAX(0,$E303-$D303))</f>
        <v/>
      </c>
      <c r="G303" s="132" t="str">
        <f aca="false">IF($A303="","",IF($E303&lt;&gt;"",IF(N($F303)&gt;0,"Entregue com atraso","Entregue no prazo"),IF($D303="","Sem data prometida",IF($D303&lt;Hoje!$L$1,"ATRASADA","Aguardando"))))</f>
        <v/>
      </c>
      <c r="H303" s="133"/>
      <c r="I303" s="133"/>
    </row>
    <row r="304" customFormat="false" ht="21" hidden="false" customHeight="true" outlineLevel="0" collapsed="false">
      <c r="A304" s="132"/>
      <c r="B304" s="133"/>
      <c r="C304" s="134"/>
      <c r="D304" s="134"/>
      <c r="E304" s="134"/>
      <c r="F304" s="132" t="str">
        <f aca="false">IF(OR($A304="",$D304="",$E304=""),"",MAX(0,$E304-$D304))</f>
        <v/>
      </c>
      <c r="G304" s="132" t="str">
        <f aca="false">IF($A304="","",IF($E304&lt;&gt;"",IF(N($F304)&gt;0,"Entregue com atraso","Entregue no prazo"),IF($D304="","Sem data prometida",IF($D304&lt;Hoje!$L$1,"ATRASADA","Aguardando"))))</f>
        <v/>
      </c>
      <c r="H304" s="133"/>
      <c r="I304" s="133"/>
    </row>
    <row r="305" customFormat="false" ht="21" hidden="false" customHeight="true" outlineLevel="0" collapsed="false">
      <c r="A305" s="132"/>
      <c r="B305" s="133"/>
      <c r="C305" s="134"/>
      <c r="D305" s="134"/>
      <c r="E305" s="134"/>
      <c r="F305" s="132" t="str">
        <f aca="false">IF(OR($A305="",$D305="",$E305=""),"",MAX(0,$E305-$D305))</f>
        <v/>
      </c>
      <c r="G305" s="132" t="str">
        <f aca="false">IF($A305="","",IF($E305&lt;&gt;"",IF(N($F305)&gt;0,"Entregue com atraso","Entregue no prazo"),IF($D305="","Sem data prometida",IF($D305&lt;Hoje!$L$1,"ATRASADA","Aguardando"))))</f>
        <v/>
      </c>
      <c r="H305" s="133"/>
      <c r="I305" s="133"/>
    </row>
    <row r="306" customFormat="false" ht="21" hidden="false" customHeight="true" outlineLevel="0" collapsed="false">
      <c r="A306" s="132"/>
      <c r="B306" s="133"/>
      <c r="C306" s="134"/>
      <c r="D306" s="134"/>
      <c r="E306" s="134"/>
      <c r="F306" s="132" t="str">
        <f aca="false">IF(OR($A306="",$D306="",$E306=""),"",MAX(0,$E306-$D306))</f>
        <v/>
      </c>
      <c r="G306" s="132" t="str">
        <f aca="false">IF($A306="","",IF($E306&lt;&gt;"",IF(N($F306)&gt;0,"Entregue com atraso","Entregue no prazo"),IF($D306="","Sem data prometida",IF($D306&lt;Hoje!$L$1,"ATRASADA","Aguardando"))))</f>
        <v/>
      </c>
      <c r="H306" s="133"/>
      <c r="I306" s="133"/>
    </row>
    <row r="307" customFormat="false" ht="21" hidden="false" customHeight="true" outlineLevel="0" collapsed="false">
      <c r="A307" s="132"/>
      <c r="B307" s="133"/>
      <c r="C307" s="134"/>
      <c r="D307" s="134"/>
      <c r="E307" s="134"/>
      <c r="F307" s="132" t="str">
        <f aca="false">IF(OR($A307="",$D307="",$E307=""),"",MAX(0,$E307-$D307))</f>
        <v/>
      </c>
      <c r="G307" s="132" t="str">
        <f aca="false">IF($A307="","",IF($E307&lt;&gt;"",IF(N($F307)&gt;0,"Entregue com atraso","Entregue no prazo"),IF($D307="","Sem data prometida",IF($D307&lt;Hoje!$L$1,"ATRASADA","Aguardando"))))</f>
        <v/>
      </c>
      <c r="H307" s="133"/>
      <c r="I307" s="133"/>
    </row>
    <row r="308" customFormat="false" ht="21" hidden="false" customHeight="true" outlineLevel="0" collapsed="false">
      <c r="A308" s="132"/>
      <c r="B308" s="133"/>
      <c r="C308" s="134"/>
      <c r="D308" s="134"/>
      <c r="E308" s="134"/>
      <c r="F308" s="132" t="str">
        <f aca="false">IF(OR($A308="",$D308="",$E308=""),"",MAX(0,$E308-$D308))</f>
        <v/>
      </c>
      <c r="G308" s="132" t="str">
        <f aca="false">IF($A308="","",IF($E308&lt;&gt;"",IF(N($F308)&gt;0,"Entregue com atraso","Entregue no prazo"),IF($D308="","Sem data prometida",IF($D308&lt;Hoje!$L$1,"ATRASADA","Aguardando"))))</f>
        <v/>
      </c>
      <c r="H308" s="133"/>
      <c r="I308" s="133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58">
      <formula>0.85</formula>
    </cfRule>
    <cfRule type="cellIs" priority="3" operator="lessThan" aboveAverage="0" equalAverage="0" bottom="0" percent="0" rank="0" text="" dxfId="59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4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3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0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2026-09-02T20:00:21Z</dcterms:created>
  <dc:creator>openpyxl</dc:creator>
  <dc:description/>
  <dc:language>en-US</dc:language>
  <cp:lastModifiedBy/>
  <dcterms:modified xsi:type="dcterms:W3CDTF">2026-09-02T20:00:43Z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